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ummary" sheetId="1" state="visible" r:id="rId3"/>
    <sheet name="Abb-Overall Summary" sheetId="2" state="visible" r:id="rId4"/>
    <sheet name="Abb-Group-wise" sheetId="3" state="visible" r:id="rId5"/>
    <sheet name="Abb-Overall by Type-Gender" sheetId="4" state="visible" r:id="rId6"/>
    <sheet name="Abb-Additional-Qualifying" sheetId="5" state="visible" r:id="rId7"/>
    <sheet name="Abb-Subject-wise" sheetId="6" state="visible" r:id="rId8"/>
    <sheet name="BWP Year-over-Year Summary" sheetId="7" state="visible" r:id="rId9"/>
    <sheet name="BWP 2024 Result at a Glance" sheetId="8" state="visible" r:id="rId10"/>
    <sheet name="BWP 2024 Regular (Govt.)" sheetId="9" state="visible" r:id="rId11"/>
    <sheet name="BWP 2024 Regular (Affiliated)" sheetId="10" state="visible" r:id="rId12"/>
    <sheet name="BWP 2024 Total (Regular)" sheetId="11" state="visible" r:id="rId13"/>
    <sheet name="BWP 2024 Private" sheetId="12" state="visible" r:id="rId14"/>
    <sheet name="BWP 2024 Grand Total" sheetId="13" state="visible" r:id="rId15"/>
    <sheet name="BWP 2024 District Wise Pass %" sheetId="14" state="visible" r:id="rId16"/>
    <sheet name="BWP 2024 Subject Wise Pass %" sheetId="15" state="visible" r:id="rId17"/>
    <sheet name="BWP 2025 Regular (Govt.)" sheetId="16" state="visible" r:id="rId18"/>
    <sheet name="BWP 2025 Regular (Affiliated)" sheetId="17" state="visible" r:id="rId19"/>
    <sheet name="BWP 2025 Total (Regular)" sheetId="18" state="visible" r:id="rId20"/>
    <sheet name="BWP 2025 Private" sheetId="19" state="visible" r:id="rId21"/>
    <sheet name="BWP 2025 Grand Total" sheetId="20" state="visible" r:id="rId22"/>
    <sheet name="BWP 2025 Subject Wise Pass %" sheetId="21" state="visible" r:id="rId23"/>
    <sheet name="BWP 2026 Result at a Glance" sheetId="22" state="visible" r:id="rId24"/>
    <sheet name="BWP 2026 Regular (Govt.)" sheetId="23" state="visible" r:id="rId25"/>
    <sheet name="BWP 2026 Regular (Affiliated)" sheetId="24" state="visible" r:id="rId26"/>
    <sheet name="BWP 2026 Total (Regular)" sheetId="25" state="visible" r:id="rId27"/>
    <sheet name="BWP 2026 Private" sheetId="26" state="visible" r:id="rId28"/>
    <sheet name="BWP 2026 Grand Total" sheetId="27" state="visible" r:id="rId29"/>
    <sheet name="BWP 2026 Subject Wise Pass %" sheetId="28" state="visible" r:id="rId30"/>
    <sheet name="BNU Overall Summary" sheetId="29" state="visible" r:id="rId31"/>
    <sheet name="BNU Group-wise" sheetId="30" state="visible" r:id="rId32"/>
    <sheet name="BNU 2026 Category-wise" sheetId="31" state="visible" r:id="rId33"/>
    <sheet name="DGK-Overall Summary" sheetId="32" state="visible" r:id="rId34"/>
    <sheet name="DGK-Gender-wise" sheetId="33" state="visible" r:id="rId35"/>
    <sheet name="DGK-Group-wise" sheetId="34" state="visible" r:id="rId36"/>
    <sheet name="DGK-Group-Gender Summary" sheetId="35" state="visible" r:id="rId37"/>
    <sheet name="DGK-District-wise" sheetId="36" state="visible" r:id="rId38"/>
    <sheet name="DGK-District-Category 2026" sheetId="37" state="visible" r:id="rId39"/>
    <sheet name="DGK-Historical Trend" sheetId="38" state="visible" r:id="rId40"/>
    <sheet name="DGK-Subject-wise" sheetId="39" state="visible" r:id="rId41"/>
    <sheet name="DGK-Subject-wise 2025" sheetId="40" state="visible" r:id="rId42"/>
    <sheet name="DGK-Subject-wise 2026" sheetId="41" state="visible" r:id="rId43"/>
    <sheet name="FSD Overall Summary" sheetId="42" state="visible" r:id="rId44"/>
    <sheet name="FSD Regular District-Group" sheetId="43" state="visible" r:id="rId45"/>
    <sheet name="FSD Regular Gender-School" sheetId="44" state="visible" r:id="rId46"/>
    <sheet name="FSD Private District-Group" sheetId="45" state="visible" r:id="rId47"/>
    <sheet name="FSD Private Gender" sheetId="46" state="visible" r:id="rId48"/>
    <sheet name="FSD Overall Grade-wise" sheetId="47" state="visible" r:id="rId49"/>
    <sheet name="FSD Subjects" sheetId="48" state="visible" r:id="rId50"/>
    <sheet name="GRW Year-over-Year Summary" sheetId="49" state="visible" r:id="rId51"/>
    <sheet name="GRW 2024 Pre-Medical Stats" sheetId="50" state="visible" r:id="rId52"/>
    <sheet name="GRW 2024 Pre-Engineering Stats" sheetId="51" state="visible" r:id="rId53"/>
    <sheet name="GRW 2024 Humanities Stats" sheetId="52" state="visible" r:id="rId54"/>
    <sheet name="GRW 2024 General Science Stats" sheetId="53" state="visible" r:id="rId55"/>
    <sheet name="GRW 2024 Commerce Stats" sheetId="54" state="visible" r:id="rId56"/>
    <sheet name="GRW 2024 Home Economics Stats" sheetId="55" state="visible" r:id="rId57"/>
    <sheet name="GRW 2024 District-wise Stats" sheetId="56" state="visible" r:id="rId58"/>
    <sheet name="GRW 2024 Subject Pass % Part-II" sheetId="57" state="visible" r:id="rId59"/>
    <sheet name="GRW 2024 Subject Pass % Part-I" sheetId="58" state="visible" r:id="rId60"/>
    <sheet name="GRW 2025 Pre-Medical Stats" sheetId="59" state="visible" r:id="rId61"/>
    <sheet name="GRW 2025 Pre-Engineering Stats" sheetId="60" state="visible" r:id="rId62"/>
    <sheet name="GRW 2025 Humanities Stats" sheetId="61" state="visible" r:id="rId63"/>
    <sheet name="GRW 2025 General Science Stats" sheetId="62" state="visible" r:id="rId64"/>
    <sheet name="GRW 2025 Commerce Stats" sheetId="63" state="visible" r:id="rId65"/>
    <sheet name="GRW 2025 Home Economics Stats" sheetId="64" state="visible" r:id="rId66"/>
    <sheet name="GRW 2025 District-wise Stats" sheetId="65" state="visible" r:id="rId67"/>
    <sheet name="GRW 2025 Subject Pass % Part-II" sheetId="66" state="visible" r:id="rId68"/>
    <sheet name="GRW 2025 Subject Pass % Part-I" sheetId="67" state="visible" r:id="rId69"/>
    <sheet name="LHR Year-over-Year Summary" sheetId="68" state="visible" r:id="rId70"/>
    <sheet name="LHR 2024 Notice" sheetId="69" state="visible" r:id="rId71"/>
    <sheet name="LHR 2024 Statistical Data" sheetId="70" state="visible" r:id="rId72"/>
    <sheet name="LHR 2024 Subject Wise Pass %" sheetId="71" state="visible" r:id="rId73"/>
    <sheet name="LHR 2025 Notice" sheetId="72" state="visible" r:id="rId74"/>
    <sheet name="LHR 2025 Statistical Data" sheetId="73" state="visible" r:id="rId75"/>
    <sheet name="LHR 2025 Subject Wise Pass %" sheetId="74" state="visible" r:id="rId76"/>
    <sheet name="LHR 2026 Notice" sheetId="75" state="visible" r:id="rId77"/>
    <sheet name="LHR 2026 Statistical Data" sheetId="76" state="visible" r:id="rId78"/>
    <sheet name="LHR 2026 Subject Wise Pass %" sheetId="77" state="visible" r:id="rId79"/>
    <sheet name="LHR 2026 District Wise Pass %" sheetId="78" state="visible" r:id="rId80"/>
    <sheet name="Mar-Overview" sheetId="79" state="visible" r:id="rId81"/>
    <sheet name="Mar-Pre-Medical Group" sheetId="80" state="visible" r:id="rId82"/>
    <sheet name="Mar-Pre-Engineering Group" sheetId="81" state="visible" r:id="rId83"/>
    <sheet name="Mar-General Science Group" sheetId="82" state="visible" r:id="rId84"/>
    <sheet name="Mar-Humanities Group" sheetId="83" state="visible" r:id="rId85"/>
    <sheet name="Mar-Home Economics Group" sheetId="84" state="visible" r:id="rId86"/>
    <sheet name="Pes-Summary (2024-2026)" sheetId="85" state="visible" r:id="rId87"/>
    <sheet name="Pes-Group-wise Part-I" sheetId="86" state="visible" r:id="rId88"/>
    <sheet name="Pes-Group-wise Part-II" sheetId="87" state="visible" r:id="rId89"/>
    <sheet name="Pes-Gender-wise Part-I" sheetId="88" state="visible" r:id="rId90"/>
    <sheet name="Pes-Gender-wise Part-II" sheetId="89" state="visible" r:id="rId91"/>
    <sheet name="Pes-Subject-wise Pass %" sheetId="90" state="visible" r:id="rId92"/>
    <sheet name="Pes-Subject-wise Part-I 2026" sheetId="91" state="visible" r:id="rId93"/>
    <sheet name="RWP Overview Summary" sheetId="92" state="visible" r:id="rId94"/>
    <sheet name="RWP Pass % by Category" sheetId="93" state="visible" r:id="rId95"/>
    <sheet name="RWP Grades by Category" sheetId="94" state="visible" r:id="rId96"/>
    <sheet name="RWP Grades by Gender" sheetId="95" state="visible" r:id="rId97"/>
    <sheet name="RWP Institute-wise Stats" sheetId="96" state="visible" r:id="rId98"/>
    <sheet name="RWP District Wise Performance" sheetId="97" state="visible" r:id="rId99"/>
    <sheet name="RWP Salient Features" sheetId="98" state="visible" r:id="rId100"/>
    <sheet name="RWP Subject Wise Pass %" sheetId="99" state="visible" r:id="rId101"/>
    <sheet name="RWP Notes" sheetId="100" state="visible" r:id="rId102"/>
    <sheet name="SWL Result At a Glance" sheetId="101" state="visible" r:id="rId103"/>
    <sheet name="SWL Pass Percentage" sheetId="102" state="visible" r:id="rId104"/>
    <sheet name="SWL Groupwise Pass %" sheetId="103" state="visible" r:id="rId105"/>
    <sheet name="SWL Subjectwise Pass %" sheetId="104" state="visible" r:id="rId106"/>
    <sheet name="SWL District Pass %" sheetId="105" state="visible" r:id="rId107"/>
    <sheet name="Sar-Overall Summary" sheetId="106" state="visible" r:id="rId108"/>
    <sheet name="Sar-District-wise" sheetId="107" state="visible" r:id="rId109"/>
    <sheet name="Sar-Grade Dist. by District" sheetId="108" state="visible" r:id="rId110"/>
    <sheet name="Sar-Group-wise" sheetId="109" state="visible" r:id="rId111"/>
    <sheet name="Sar-District-Group Detail" sheetId="110" state="visible" r:id="rId112"/>
    <sheet name="Swat-Summary" sheetId="111" state="visible" r:id="rId113"/>
    <sheet name="Swat-Group-wise Distribution" sheetId="112" state="visible" r:id="rId114"/>
    <sheet name="Swat-Subject-wise Pass %" sheetId="113" state="visible" r:id="rId115"/>
    <sheet name="FBISE Summary" sheetId="114" state="visible" r:id="rId116"/>
    <sheet name="FBISE Regional Details" sheetId="115" state="visible" r:id="rId117"/>
    <sheet name="FBISE Notes" sheetId="116" state="visible" r:id="rId118"/>
    <sheet name="KOH Overall Summary" sheetId="117" state="visible" r:id="rId119"/>
    <sheet name="KOH Group-wise" sheetId="118" state="visible" r:id="rId120"/>
    <sheet name="KOH Subject-wise" sheetId="119" state="visible" r:id="rId1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<sst xmlns="http://schemas.openxmlformats.org/spreadsheetml/2006/main" count="21345" uniqueCount="1072">
  <si>
    <t xml:space="preserve">HSSC CLASS 12th (ANNUAL-I) — MASTER SUMMARY — ALL BISE BOARDS — 2024-2026</t>
  </si>
  <si>
    <t xml:space="preserve">Boards: Abbottabad, Bahawalpur, Bannu, D.G. Khan, Faisalabad, FBISE, Gujranwala, Kohat, Lahore, Mardan, Peshawar, Rawalpindi, Sahiwal, Sargodha, Swat. Figures are each board's Class 12th final-year grand total (where a board reports Part-I and Part-II or Class 11th and 12th separately, the Part-II / 12th-only row is used for comparability). Pass % is recomputed live as Passed ÷ Appeared for every board; the overall figure printed in the gazette (where there is one) is kept in 'Published Pass %' for audit.</t>
  </si>
  <si>
    <t xml:space="preserve">Board</t>
  </si>
  <si>
    <t xml:space="preserve">Year</t>
  </si>
  <si>
    <t xml:space="preserve">Appeared</t>
  </si>
  <si>
    <t xml:space="preserve">Passed</t>
  </si>
  <si>
    <t xml:space="preserve">Pass %</t>
  </si>
  <si>
    <t xml:space="preserve">Notes</t>
  </si>
  <si>
    <t xml:space="preserve">Published Pass %</t>
  </si>
  <si>
    <t xml:space="preserve">Abbottabad</t>
  </si>
  <si>
    <t xml:space="preserve">Appeared includes 396 absent</t>
  </si>
  <si>
    <t xml:space="preserve">Appeared includes 416 absent</t>
  </si>
  <si>
    <t xml:space="preserve">Appeared includes 480 absent</t>
  </si>
  <si>
    <t xml:space="preserve">Bahawalpur</t>
  </si>
  <si>
    <t xml:space="preserve">Part I &amp; II combined; Appeared excludes 948 absent/cancelled roll nos.</t>
  </si>
  <si>
    <t xml:space="preserve">Part I &amp; II combined; Appeared excludes absent/cancelled roll nos. (2025 counts not in supplied pages)</t>
  </si>
  <si>
    <t xml:space="preserve">Part I &amp; II combined; Appeared excludes 1,076 absent/cancelled roll nos.; 61,668 applied</t>
  </si>
  <si>
    <t xml:space="preserve">Bannu</t>
  </si>
  <si>
    <t xml:space="preserve">Part-II (final, 2nd Year); Part-I: 16,859 promoted (16,604 passed, 98%); group Appeared adds to 18,056 vs printed 18,099 - Sub Total used; published % is a whole number</t>
  </si>
  <si>
    <t xml:space="preserve">Part-II (final, 2nd Year); Part-I: 17,857 appeared, 14,845 passed (83%); gazette Private-category Passed counts are below their grade counts - printed totals used; published % is a whole number</t>
  </si>
  <si>
    <t xml:space="preserve">D.G. Khan</t>
  </si>
  <si>
    <t xml:space="preserve">Part-II &amp; Combined; 60,539 applied</t>
  </si>
  <si>
    <t xml:space="preserve">Part-II &amp; Combined; 56,655 applied</t>
  </si>
  <si>
    <t xml:space="preserve">Part-II &amp; Combined; 59,629 applied</t>
  </si>
  <si>
    <t xml:space="preserve">Faisalabad</t>
  </si>
  <si>
    <t xml:space="preserve">Regular + Private; gazette gives Regular 79.00% and Private 47.79% only (no overall %)</t>
  </si>
  <si>
    <t xml:space="preserve">Regular + Private (105,433 admission forms submitted); Regular 80.30%, Private 50.16%</t>
  </si>
  <si>
    <t xml:space="preserve">Regular + Private; Regular 78.29%, Private 43.32%; applied/admission-form count not on supplied pages</t>
  </si>
  <si>
    <t xml:space="preserve">FBISE</t>
  </si>
  <si>
    <t xml:space="preserve">HSSC-II, All Areas (Regular + Private); enrolled 90,518, absent 1,257; published % is on Appeared less RL</t>
  </si>
  <si>
    <t xml:space="preserve">HSSC-II, All Areas (Regular + Private); enrolled 97,925, absent 1,404; published % is on Appeared less RL</t>
  </si>
  <si>
    <t xml:space="preserve">HSSC-II, All Areas (Regular + Private); enrolled 104,838, absent 1,660; published % is on Appeared less RL</t>
  </si>
  <si>
    <t xml:space="preserve">Gujranwala</t>
  </si>
  <si>
    <t xml:space="preserve">Part-II First Annual; overall % not stated in gazette; no applied count given</t>
  </si>
  <si>
    <t xml:space="preserve">Kohat</t>
  </si>
  <si>
    <t xml:space="preserve">Part-II (final, 2nd Year); Part-I: 34,012 appeared, 10,899 passed (32.04%); group Appeared adds to 29,495 vs printed 29,496 - printed total used</t>
  </si>
  <si>
    <t xml:space="preserve">Part-II (final, 2nd Year); Part-I: 22,728 appeared, 6,138 passed (27.01%); group Appeared adds to 31,496 only via printed group totals (two groups each 1 above the sum of their categories)</t>
  </si>
  <si>
    <t xml:space="preserve">Lahore</t>
  </si>
  <si>
    <t xml:space="preserve">Part I &amp; II combined; 194,766 applied</t>
  </si>
  <si>
    <t xml:space="preserve">Part I &amp; II combined; 184,000 applied</t>
  </si>
  <si>
    <t xml:space="preserve">Part I &amp; II combined; 192,950 applied; Appeared/Passed include 431 / 223 Additional-subject candidates not in the group rows</t>
  </si>
  <si>
    <t xml:space="preserve">Mardan</t>
  </si>
  <si>
    <t xml:space="preserve">Annual-I Part-II; no grade data in gazette</t>
  </si>
  <si>
    <t xml:space="preserve">Peshawar</t>
  </si>
  <si>
    <t xml:space="preserve">Annual-I Part-II (final result); 497 absent included in Appeared; Part-I: 62,886 students, 50,207 passed, 99.1% (promotion-based); published % is a whole number</t>
  </si>
  <si>
    <t xml:space="preserve">Annual-I Part-II (final result); 583 absent included in Appeared; no Part-I result in the 2025 gazette; published % is a whole number</t>
  </si>
  <si>
    <t xml:space="preserve">Annual-I Part-II (final result); 754 absent included in Appeared; Part-I: 63,605 students, 31,169 passed, 31,864 promoted, 99.10% (promotion-based)</t>
  </si>
  <si>
    <t xml:space="preserve">Rawalpindi</t>
  </si>
  <si>
    <t xml:space="preserve">1st Annual; 64,232 enrolled; Appeared excludes 917 absent and 24 cancelled</t>
  </si>
  <si>
    <t xml:space="preserve">1st Annual; 59,784 enrolled; Appeared excludes 813 absent and 31 cancelled</t>
  </si>
  <si>
    <t xml:space="preserve">1st Annual; 62,233 enrolled; Appeared excludes 795 absent and 29 cancelled</t>
  </si>
  <si>
    <t xml:space="preserve">Sahiwal</t>
  </si>
  <si>
    <t xml:space="preserve">Part-II First Annual; 46,877 applied</t>
  </si>
  <si>
    <t xml:space="preserve">Part-II First Annual; 44,302 applied</t>
  </si>
  <si>
    <t xml:space="preserve">Part-II First Annual; 47,353 applied</t>
  </si>
  <si>
    <t xml:space="preserve">Sargodha</t>
  </si>
  <si>
    <t xml:space="preserve">Part-II (Composite) First Annual; 53,507 applied; 1,050 absent and 2,080 cancelled excluded from Appeared</t>
  </si>
  <si>
    <t xml:space="preserve">Part-II (Composite) First Annual; 50,982 applied (absent/cancelled counts not in supplied pages)</t>
  </si>
  <si>
    <t xml:space="preserve">Part-II (Composite) First Annual; 55,749 applied; 715 absent and 11,750 un-allotted/cancelled roll numbers excluded</t>
  </si>
  <si>
    <t xml:space="preserve">Swat</t>
  </si>
  <si>
    <t xml:space="preserve">Class 12th; Class 11th also reported (32,284 appeared, 20,484 passed, 63.45%)</t>
  </si>
  <si>
    <t xml:space="preserve">Class 12th (2025 gazette reports Class 12th only)</t>
  </si>
  <si>
    <t xml:space="preserve">Class 12th; Class 11th also reported (31,611 appeared, 19,772 passed, 62.55%)</t>
  </si>
  <si>
    <t xml:space="preserve">Pass % by Board and Year (for chart)</t>
  </si>
  <si>
    <t xml:space="preserve">Data Cleaning Notes:</t>
  </si>
  <si>
    <t xml:space="preserve">- Every board publishes a differently shaped result gazette (own group names, own mix of Applied/Appeared/Absent; some report Part-I and Part-II or Class 11th and 12th separately). This sheet normalizes all of them to one comparable metric: Class 12th (final-year) Appeared, Passed and Pass % (recomputed live as Passed ÷ Appeared).</t>
  </si>
  <si>
    <t xml:space="preserve">- Pass % is a formula in every row. The overall % printed in each gazette, where one exists, is kept as a typed value in 'Published Pass %'. It differs from the recomputed value only where a board counts absent / result-later candidates differently (Abbottabad, FBISE) or prints whole numbers only (Bannu, Peshawar); Gujranwala and Faisalabad 2024 print no overall figure.</t>
  </si>
  <si>
    <t xml:space="preserve">- Appeared is each board's own printed figure and is not forced onto one definition: Abbottabad and Peshawar include absent candidates, while Bahawalpur, Rawalpindi and Sargodha exclude absent/cancelled roll numbers (see Notes column).</t>
  </si>
  <si>
    <t xml:space="preserve">- Gujranwala 2026 was not supplied and is left blank rather than estimated. Bannu and Kohat have no 2024 data (their data starts in 2025).</t>
  </si>
  <si>
    <t xml:space="preserve">- Peshawar, Bannu and Kohat publish Part-I (first year) results as well; only the Part-II (final / Class 12th) figure is used here. Swat's Class 11th figures appear in the Notes column only.</t>
  </si>
  <si>
    <t xml:space="preserve">- Gazette inconsistencies (grades not adding to Passed, group totals off by one, etc.) are kept exactly as published and documented in the header note of the affected tab.</t>
  </si>
  <si>
    <t xml:space="preserve">- Pass % scale: this sheet is 0-100. Each board's own tabs keep their original scale (0-1 fractions: Abbottabad, D.G. Khan, Faisalabad, FBISE, Mardan, Rawalpindi, Sargodha; 0-100: Bahawalpur, Bannu, Gujranwala, Kohat, Lahore, Peshawar, Sahiwal, Swat) - see Workbook Contents.</t>
  </si>
  <si>
    <t xml:space="preserve">- Full per-board detail (subject-wise, group-wise, gender-wise, grade bands, district-wise where applicable) is preserved unchanged on the board-prefixed tabs that follow.</t>
  </si>
  <si>
    <t xml:space="preserve">Workbook Contents (119 sheets, 15 boards):</t>
  </si>
  <si>
    <t xml:space="preserve">Master Summary</t>
  </si>
  <si>
    <t xml:space="preserve">Cross-board Class 12th comparison + chart table + chart + cleaning notes (this sheet)</t>
  </si>
  <si>
    <t xml:space="preserve">Abb-*</t>
  </si>
  <si>
    <t xml:space="preserve">Abbottabad (5 sheets; Pass % scale 0-1 fractions): Overall Summary, Group-wise, Overall by Type-Gender, Additional-Qualifying, Subject-wise</t>
  </si>
  <si>
    <t xml:space="preserve">BWP *</t>
  </si>
  <si>
    <t xml:space="preserve">Bahawalpur (22 sheets; Pass % scale 0-100): Year-over-Year Summary, Result at a Glance (2024-2026), Regular (Govt.) (2024-2026), Regular (Affiliated) (2024-2026), Total (Regular) (2024-2026), Private (2024-2026), Grand Total (2024-2026), District Wise Pass % (2024), Subject Wise Pass % (2024-2026)</t>
  </si>
  <si>
    <t xml:space="preserve">BNU *</t>
  </si>
  <si>
    <t xml:space="preserve">Bannu (3 sheets; Pass % scale 0-100): Overall Summary, Group-wise, Category-wise (2026)</t>
  </si>
  <si>
    <t xml:space="preserve">DGK-*</t>
  </si>
  <si>
    <t xml:space="preserve">D.G. Khan (10 sheets; Pass % scale 0-1 fractions): Overall Summary, Gender-wise, Group-wise, Group-Gender Summary, District-wise, District-Category 2026, Historical Trend, Subject-wise, Subject-wise 2025, Subject-wise 2026</t>
  </si>
  <si>
    <t xml:space="preserve">FSD *</t>
  </si>
  <si>
    <t xml:space="preserve">Faisalabad (7 sheets; Pass % scale 0-1 fractions): Overall Summary, Regular District-Group, Regular Gender-School, Private District-Group, Private Gender, Overall Grade-wise, Subjects</t>
  </si>
  <si>
    <t xml:space="preserve">FBISE *</t>
  </si>
  <si>
    <t xml:space="preserve">FBISE (3 sheets; Pass % scale 0-1 fractions): Summary, Regional Details, Notes</t>
  </si>
  <si>
    <t xml:space="preserve">GRW *</t>
  </si>
  <si>
    <t xml:space="preserve">Gujranwala (19 sheets; Pass % scale 0-100): Year-over-Year Summary, Pre-Medical Stats (2024-2025), Pre-Engineering Stats (2024-2025), Humanities Stats (2024-2025), General Science Stats (2024-2025), Commerce Stats (2024-2025), Home Economics Stats (2024-2025), District-wise Stats (2024-2025), Subject Pass % Part-II (2024-2025), Subject Pass % Part-I (2024-2025)</t>
  </si>
  <si>
    <t xml:space="preserve">KOH *</t>
  </si>
  <si>
    <t xml:space="preserve">Kohat (3 sheets; Pass % scale 0-100): Overall Summary, Group-wise, Subject-wise</t>
  </si>
  <si>
    <t xml:space="preserve">LHR *</t>
  </si>
  <si>
    <t xml:space="preserve">Lahore (11 sheets; Pass % scale 0-100): Year-over-Year Summary, Notice (2024-2026), Statistical Data (2024-2026), Subject Wise Pass % (2024-2026), District Wise Pass % (2026)</t>
  </si>
  <si>
    <t xml:space="preserve">Mar-*</t>
  </si>
  <si>
    <t xml:space="preserve">Mardan (6 sheets; Pass % scale 0-1 fractions): Overview, Pre-Medical Group, Pre-Engineering Group, General Science Group, Humanities Group, Home Economics Group</t>
  </si>
  <si>
    <t xml:space="preserve">Pes-*</t>
  </si>
  <si>
    <t xml:space="preserve">Peshawar (7 sheets; Pass % scale 0-100): Summary (2024-2026), Group-wise Part-I, Group-wise Part-II, Gender-wise Part-I, Gender-wise Part-II, Subject-wise Pass %, Subject-wise Part-I 2026</t>
  </si>
  <si>
    <t xml:space="preserve">RWP *</t>
  </si>
  <si>
    <t xml:space="preserve">Rawalpindi (9 sheets; Pass % scale 0-1 fractions): Overview Summary, Pass % by Category, Grades by Category, Grades by Gender, Institute-wise Stats, District Wise Performance, Salient Features, Subject Wise Pass %, Notes</t>
  </si>
  <si>
    <t xml:space="preserve">SWL *</t>
  </si>
  <si>
    <t xml:space="preserve">Sahiwal (5 sheets; Pass % scale 0-100): Result At a Glance, Pass Percentage, Groupwise Pass %, Subjectwise Pass %, District Pass %</t>
  </si>
  <si>
    <t xml:space="preserve">Sar-*</t>
  </si>
  <si>
    <t xml:space="preserve">Sargodha (5 sheets; Pass % scale 0-1 fractions): Overall Summary, District-wise, Grade Dist. by District, Group-wise, District-Group Detail</t>
  </si>
  <si>
    <t xml:space="preserve">Swat-*</t>
  </si>
  <si>
    <t xml:space="preserve">Swat (3 sheets; Pass % scale 0-100): Summary, Group-wise Distribution, Subject-wise Pass %</t>
  </si>
  <si>
    <t xml:space="preserve">BOARD OF INTERMEDIATE &amp; SECONDARY EDUCATION ABBOTTABAD</t>
  </si>
  <si>
    <t xml:space="preserve">HSSC Class 12th (Annual-I) — Result at a Glance — 2024, 2025 and 2026. "Appeared" includes Absent candidates (Pass % is published as Passed ÷ (Appeared − Absent)).</t>
  </si>
  <si>
    <t xml:space="preserve">Failed/Absent</t>
  </si>
  <si>
    <t xml:space="preserve">Absent</t>
  </si>
  <si>
    <t xml:space="preserve">Group-Wise Pass Percentage &amp; Grade Distribution — HSSC Class 12th (2024–2026)</t>
  </si>
  <si>
    <t xml:space="preserve">Source: BISE Abbottabad Result at a Glance, HSSC 2024, 2025 and 2026 gazettes. Failed/Absent = Appeared − Passed. Pass % as published.</t>
  </si>
  <si>
    <t xml:space="preserve">Candidate Type</t>
  </si>
  <si>
    <t xml:space="preserve">Gender</t>
  </si>
  <si>
    <t xml:space="preserve">Group</t>
  </si>
  <si>
    <t xml:space="preserve">A1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</si>
  <si>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</si>
  <si>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</si>
  <si>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</si>
  <si>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</si>
  <si>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</si>
  <si>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Regular</t>
  </si>
  <si>
    <t xml:space="preserve">Female</t>
  </si>
  <si>
    <t xml:space="preserve">Pre-Medical</t>
  </si>
  <si>
    <t xml:space="preserve">Male</t>
  </si>
  <si>
    <t xml:space="preserve">Private</t>
  </si>
  <si>
    <t xml:space="preserve">Pre-Engineering</t>
  </si>
  <si>
    <t xml:space="preserve">Computer / General Science</t>
  </si>
  <si>
    <t xml:space="preserve">Humanities</t>
  </si>
  <si>
    <t xml:space="preserve">Medical Technology</t>
  </si>
  <si>
    <t xml:space="preserve">Home Economics</t>
  </si>
  <si>
    <t xml:space="preserve">Overall Pass Percentage — by Candidate Type &amp; Gender — HSSC Class 12th (2024–2026)</t>
  </si>
  <si>
    <t xml:space="preserve">Source: BISE Abbottabad Result at a Glance, HSSC 2024, 2025 and 2026 gazettes.</t>
  </si>
  <si>
    <t xml:space="preserve">Regular Female</t>
  </si>
  <si>
    <t xml:space="preserve">Regular Male</t>
  </si>
  <si>
    <t xml:space="preserve">Private Female</t>
  </si>
  <si>
    <t xml:space="preserve">Private Male</t>
  </si>
  <si>
    <t xml:space="preserve">Grand Total</t>
  </si>
  <si>
    <t xml:space="preserve">Additional / Qualifying Subjects Pass Percentage — HSSC Class 12th (2024–2026)</t>
  </si>
  <si>
    <t xml:space="preserve">Subject-Wise Pass Percentage — HSSC Class 12th (2024–2025)</t>
  </si>
  <si>
    <t xml:space="preserve">Source: BISE Abbottabad Result at a Glance, HSSC 2024 and 2025 gazettes (subject-wise page). Pass % as published. 2026 subject-wise page not yet supplied.</t>
  </si>
  <si>
    <t xml:space="preserve">Subject</t>
  </si>
  <si>
    <t xml:space="preserve">English</t>
  </si>
  <si>
    <t xml:space="preserve">Ethics</t>
  </si>
  <si>
    <t xml:space="preserve">Urdu (Comp)</t>
  </si>
  <si>
    <t xml:space="preserve">Pakistani Culture</t>
  </si>
  <si>
    <t xml:space="preserve">Clothing &amp; Related Arts</t>
  </si>
  <si>
    <t xml:space="preserve">Home Managment</t>
  </si>
  <si>
    <t xml:space="preserve">Food And Nutrition</t>
  </si>
  <si>
    <t xml:space="preserve">Pakistan Studies</t>
  </si>
  <si>
    <t xml:space="preserve">Education</t>
  </si>
  <si>
    <t xml:space="preserve">Islamic History</t>
  </si>
  <si>
    <t xml:space="preserve">Economics</t>
  </si>
  <si>
    <t xml:space="preserve">Psychology</t>
  </si>
  <si>
    <t xml:space="preserve">Civics</t>
  </si>
  <si>
    <t xml:space="preserve">Statistics</t>
  </si>
  <si>
    <t xml:space="preserve">Mathematics</t>
  </si>
  <si>
    <t xml:space="preserve">Islamyat Elective</t>
  </si>
  <si>
    <t xml:space="preserve">Health &amp; Physical Education</t>
  </si>
  <si>
    <t xml:space="preserve">Library Science</t>
  </si>
  <si>
    <t xml:space="preserve">General Mathematics</t>
  </si>
  <si>
    <t xml:space="preserve">Geography</t>
  </si>
  <si>
    <t xml:space="preserve">Arabic</t>
  </si>
  <si>
    <t xml:space="preserve">Pashto</t>
  </si>
  <si>
    <t xml:space="preserve">English (Advance)</t>
  </si>
  <si>
    <t xml:space="preserve">Physics</t>
  </si>
  <si>
    <t xml:space="preserve">Chemistry</t>
  </si>
  <si>
    <t xml:space="preserve">Biology</t>
  </si>
  <si>
    <t xml:space="preserve">Archaeology</t>
  </si>
  <si>
    <t xml:space="preserve">Mutaliae-Quran-E-Hakeem</t>
  </si>
  <si>
    <t xml:space="preserve">Computer Science</t>
  </si>
  <si>
    <t xml:space="preserve">Urdu (Advance)</t>
  </si>
  <si>
    <t xml:space="preserve">Microbiology</t>
  </si>
  <si>
    <t xml:space="preserve">BISE Bahawalpur — HSSC First Annual (Part I &amp; II Combined): Year-over-Year Summary (2024-2026)</t>
  </si>
  <si>
    <t xml:space="preserve">2024, 2025 and 2026 gazettes supplied. Appeared excludes absent/cancelled roll numbers (2026: 61,668 applied, 1,076 absent/cancelled; 2025 absent/applied counts not on the supplied pages).</t>
  </si>
  <si>
    <t xml:space="preserve">Regular Appeared</t>
  </si>
  <si>
    <t xml:space="preserve">Regular Passed</t>
  </si>
  <si>
    <t xml:space="preserve">Regular Pass %</t>
  </si>
  <si>
    <t xml:space="preserve">Private Appeared</t>
  </si>
  <si>
    <t xml:space="preserve">Private Passed</t>
  </si>
  <si>
    <t xml:space="preserve">Private Pass %</t>
  </si>
  <si>
    <t xml:space="preserve">Total Appeared</t>
  </si>
  <si>
    <t xml:space="preserve">Total Passed</t>
  </si>
  <si>
    <t xml:space="preserve">Overall Pass %</t>
  </si>
  <si>
    <t xml:space="preserve">BOARD OF INTERMEDIATE AND SECONDARY EDUCATION BAHAWALPUR — Result at a Glance, Intermediate Part I &amp; II Combined (First Annual) 2024</t>
  </si>
  <si>
    <t xml:space="preserve">Item E in the gazette is labelled "Total number of candidates who appeared" but the values (67.23 / 37.34 / 60.16) are pass percentages, so it is labelled "Pass percentage" here.</t>
  </si>
  <si>
    <t xml:space="preserve">Item</t>
  </si>
  <si>
    <t xml:space="preserve">Category</t>
  </si>
  <si>
    <t xml:space="preserve">Value</t>
  </si>
  <si>
    <t xml:space="preserve">Total number of candidates who applied for admission</t>
  </si>
  <si>
    <t xml:space="preserve">Total number of absent candidates &amp; Cancelled Roll No</t>
  </si>
  <si>
    <t xml:space="preserve">Total number of candidates who appeared</t>
  </si>
  <si>
    <t xml:space="preserve">Total</t>
  </si>
  <si>
    <t xml:space="preserve">Number of successful candidates</t>
  </si>
  <si>
    <t xml:space="preserve">Pass percentage</t>
  </si>
  <si>
    <t xml:space="preserve">Overall</t>
  </si>
  <si>
    <t xml:space="preserve">BISE Bahawalpur — General Pass Percentage — Regular (Govt.) — Intermediate Part I &amp; II Combined (First Annual) 2024</t>
  </si>
  <si>
    <t xml:space="preserve">Source: BISE Bahawalpur Result at a Glance, Intermediate Part I &amp; II Combined (First Annual) 2024 gazette. Pass % as published.</t>
  </si>
  <si>
    <t xml:space="preserve">Pass</t>
  </si>
  <si>
    <t xml:space="preserve">A+</t>
  </si>
  <si>
    <t xml:space="preserve">Pre Medical</t>
  </si>
  <si>
    <t xml:space="preserve">Pre Engineering</t>
  </si>
  <si>
    <t xml:space="preserve">General Science</t>
  </si>
  <si>
    <t xml:space="preserve">Commerce</t>
  </si>
  <si>
    <t xml:space="preserve">BISE Bahawalpur — General Pass Percentage — Regular (Affiliated) — Intermediate Part I &amp; II Combined (First Annual) 2024</t>
  </si>
  <si>
    <t xml:space="preserve">BISE Bahawalpur — General Pass Percentage — Total (Regular) — Intermediate Part I &amp; II Combined (First Annual) 2024</t>
  </si>
  <si>
    <t xml:space="preserve">BISE Bahawalpur — General Pass Percentage — Private — Intermediate Part I &amp; II Combined (First Annual) 2024</t>
  </si>
  <si>
    <t xml:space="preserve">BISE Bahawalpur — General Pass Percentage — Grand Total (Regular + Private) — Intermediate Part I &amp; II Combined (First Annual) 2024</t>
  </si>
  <si>
    <t xml:space="preserve">BISE Bahawalpur — District Wise Pass Percentage (2022 - 2024) — Intermediate First Annual</t>
  </si>
  <si>
    <t xml:space="preserve">Source: 2024 gazette (district table also lists 2022 and 2023 for comparison). Pass % as published.</t>
  </si>
  <si>
    <t xml:space="preserve">District</t>
  </si>
  <si>
    <t xml:space="preserve">Male Appeared</t>
  </si>
  <si>
    <t xml:space="preserve">Male Passed</t>
  </si>
  <si>
    <t xml:space="preserve">Male %</t>
  </si>
  <si>
    <t xml:space="preserve">Female Appeared</t>
  </si>
  <si>
    <t xml:space="preserve">Female Passed</t>
  </si>
  <si>
    <t xml:space="preserve">Female %</t>
  </si>
  <si>
    <t xml:space="preserve">Total %</t>
  </si>
  <si>
    <t xml:space="preserve">Bahawalnagar</t>
  </si>
  <si>
    <t xml:space="preserve">Rahimyar Khan</t>
  </si>
  <si>
    <t xml:space="preserve">BISE Bahawalpur — Subject Wise Pass Percentage — Intermediate Part I &amp; II Combined (First Annual) 2024</t>
  </si>
  <si>
    <t xml:space="preserve">Source: BISE Bahawalpur Result at a Glance, Intermediate Part I &amp; II Combined (First Annual) 2024 gazette. Pass % as published. Entries kept exactly as published: "Ethics-I (For Non Muslims)" appears twice (Sr. 26 &amp; 27); two History of Islam-II names are truncated in the gazette.</t>
  </si>
  <si>
    <t xml:space="preserve">Subject Name</t>
  </si>
  <si>
    <t xml:space="preserve">Arabic-I</t>
  </si>
  <si>
    <t xml:space="preserve">Arabic-II</t>
  </si>
  <si>
    <t xml:space="preserve">Banking</t>
  </si>
  <si>
    <t xml:space="preserve">Biology-I</t>
  </si>
  <si>
    <t xml:space="preserve">Biology-II</t>
  </si>
  <si>
    <t xml:space="preserve">Business Mathematics</t>
  </si>
  <si>
    <t xml:space="preserve">Business Statistics</t>
  </si>
  <si>
    <t xml:space="preserve">Chemistry-I</t>
  </si>
  <si>
    <t xml:space="preserve">Chemistry-II</t>
  </si>
  <si>
    <t xml:space="preserve">Civics-I</t>
  </si>
  <si>
    <t xml:space="preserve">Civics-I (For Non Muslims)</t>
  </si>
  <si>
    <t xml:space="preserve">Civics-II</t>
  </si>
  <si>
    <t xml:space="preserve">Civics-II (For Non Muslims)</t>
  </si>
  <si>
    <t xml:space="preserve">Commercial Geography</t>
  </si>
  <si>
    <t xml:space="preserve">Computer Science-I</t>
  </si>
  <si>
    <t xml:space="preserve">Computer Science-II</t>
  </si>
  <si>
    <t xml:space="preserve">Computer Studies-II (Commerce)</t>
  </si>
  <si>
    <t xml:space="preserve">Economics-I</t>
  </si>
  <si>
    <t xml:space="preserve">Economics-II</t>
  </si>
  <si>
    <t xml:space="preserve">Education-I</t>
  </si>
  <si>
    <t xml:space="preserve">Education-II</t>
  </si>
  <si>
    <t xml:space="preserve">English Literature-I</t>
  </si>
  <si>
    <t xml:space="preserve">English Literature-II</t>
  </si>
  <si>
    <t xml:space="preserve">English-I</t>
  </si>
  <si>
    <t xml:space="preserve">English-II</t>
  </si>
  <si>
    <t xml:space="preserve">Ethics-I (For Non Muslims)</t>
  </si>
  <si>
    <t xml:space="preserve">Ethics-II (For Non Muslims)</t>
  </si>
  <si>
    <t xml:space="preserve">Fine Arts-I</t>
  </si>
  <si>
    <t xml:space="preserve">Fine Arts-II</t>
  </si>
  <si>
    <t xml:space="preserve">Geography-I</t>
  </si>
  <si>
    <t xml:space="preserve">Geography-II</t>
  </si>
  <si>
    <t xml:space="preserve">Health &amp; Physical Education-I</t>
  </si>
  <si>
    <t xml:space="preserve">Health &amp; Physical Education-II</t>
  </si>
  <si>
    <t xml:space="preserve">History Of Islam-I</t>
  </si>
  <si>
    <t xml:space="preserve">History Of Islamic Hind-I</t>
  </si>
  <si>
    <t xml:space="preserve">History Of Islamic Hind-II</t>
  </si>
  <si>
    <t xml:space="preserve">History Of Islam-II (Abbasi Of</t>
  </si>
  <si>
    <t xml:space="preserve">History Of Islam-II (Muslims I</t>
  </si>
  <si>
    <t xml:space="preserve">History Of Modern World-I</t>
  </si>
  <si>
    <t xml:space="preserve">History Of Modern World-II</t>
  </si>
  <si>
    <t xml:space="preserve">History Of Pakistan-I</t>
  </si>
  <si>
    <t xml:space="preserve">History Of Pakistan-II</t>
  </si>
  <si>
    <t xml:space="preserve">Islamic Education</t>
  </si>
  <si>
    <t xml:space="preserve">Islamic Studies-I</t>
  </si>
  <si>
    <t xml:space="preserve">Islamic Studies-II</t>
  </si>
  <si>
    <t xml:space="preserve">Library Science-I</t>
  </si>
  <si>
    <t xml:space="preserve">Library Science-II</t>
  </si>
  <si>
    <t xml:space="preserve">Mathematics-I</t>
  </si>
  <si>
    <t xml:space="preserve">Mathematics-II</t>
  </si>
  <si>
    <t xml:space="preserve">Out Line Of Home Economics-I</t>
  </si>
  <si>
    <t xml:space="preserve">Out Line Of Home Economics-II</t>
  </si>
  <si>
    <t xml:space="preserve">Pakistani Culture-I</t>
  </si>
  <si>
    <t xml:space="preserve">Pakistani Culture-II</t>
  </si>
  <si>
    <t xml:space="preserve">Persian-I</t>
  </si>
  <si>
    <t xml:space="preserve">Persian-II</t>
  </si>
  <si>
    <t xml:space="preserve">Philosophy-I</t>
  </si>
  <si>
    <t xml:space="preserve">Philosophy-II</t>
  </si>
  <si>
    <t xml:space="preserve">Physics-I</t>
  </si>
  <si>
    <t xml:space="preserve">Physics-II</t>
  </si>
  <si>
    <t xml:space="preserve">Principles Of Accounting-I</t>
  </si>
  <si>
    <t xml:space="preserve">Principles Of Accounting-II</t>
  </si>
  <si>
    <t xml:space="preserve">Principles Of Commerce</t>
  </si>
  <si>
    <t xml:space="preserve">Principles Of Economics</t>
  </si>
  <si>
    <t xml:space="preserve">Psychology-I</t>
  </si>
  <si>
    <t xml:space="preserve">Psychology-II</t>
  </si>
  <si>
    <t xml:space="preserve">Punjabi-I</t>
  </si>
  <si>
    <t xml:space="preserve">Punjabi-II</t>
  </si>
  <si>
    <t xml:space="preserve">Religious Education-I</t>
  </si>
  <si>
    <t xml:space="preserve">Saraiki-I</t>
  </si>
  <si>
    <t xml:space="preserve">Saraiki-II</t>
  </si>
  <si>
    <t xml:space="preserve">Sociology-I</t>
  </si>
  <si>
    <t xml:space="preserve">Sociology-II</t>
  </si>
  <si>
    <t xml:space="preserve">Statistics-I</t>
  </si>
  <si>
    <t xml:space="preserve">Statistics-II</t>
  </si>
  <si>
    <t xml:space="preserve">Translation Of Holy Quran-I</t>
  </si>
  <si>
    <t xml:space="preserve">Translation Of Holy Quran-II</t>
  </si>
  <si>
    <t xml:space="preserve">Urdu Advance-I</t>
  </si>
  <si>
    <t xml:space="preserve">Urdu Advance-II</t>
  </si>
  <si>
    <t xml:space="preserve">Urdu-I</t>
  </si>
  <si>
    <t xml:space="preserve">Urdu-II</t>
  </si>
  <si>
    <t xml:space="preserve">BISE Bahawalpur — General Pass Percentage — Regular (Govt.) — Intermediate Part I &amp; II Combined (First Annual) 2025</t>
  </si>
  <si>
    <t xml:space="preserve">Source: BISE Bahawalpur Result Gazette, Intermediate Part I &amp; II Combined (First Annual) 2025 (supplied PDF). Pass % as published.</t>
  </si>
  <si>
    <t xml:space="preserve">BISE Bahawalpur — General Pass Percentage — Regular (Affiliated) — Intermediate Part I &amp; II Combined (First Annual) 2025</t>
  </si>
  <si>
    <t xml:space="preserve">BISE Bahawalpur — General Pass Percentage — Total (Regular) — Intermediate Part I &amp; II Combined (First Annual) 2025</t>
  </si>
  <si>
    <t xml:space="preserve">BISE Bahawalpur — General Pass Percentage — Private — Intermediate Part I &amp; II Combined (First Annual) 2025</t>
  </si>
  <si>
    <t xml:space="preserve">BISE Bahawalpur — General Pass Percentage — Grand Total (Regular + Private) — Intermediate Part I &amp; II Combined (First Annual) 2025</t>
  </si>
  <si>
    <t xml:space="preserve">BISE Bahawalpur — Subject Wise Pass Percentage — Intermediate Part I &amp; II Combined (First Annual) 2025</t>
  </si>
  <si>
    <t xml:space="preserve">Source: BISE Bahawalpur Result Gazette, Intermediate Part I &amp; II Combined (First Annual) 2025 (supplied PDF). Pass % as published. Only the first 45 subject entries (Arabic-I to Library Science-II) were on the supplied page; remaining subjects are not included yet.</t>
  </si>
  <si>
    <t xml:space="preserve">History of Islam-I</t>
  </si>
  <si>
    <t xml:space="preserve">History of Islamic Hind-I</t>
  </si>
  <si>
    <t xml:space="preserve">History of Islamic Hind-II</t>
  </si>
  <si>
    <t xml:space="preserve">History of Islam-II (Abbasi of Baghdad)</t>
  </si>
  <si>
    <t xml:space="preserve">History of Islam-II (Muslims in Spain)</t>
  </si>
  <si>
    <t xml:space="preserve">History of Modern World-I</t>
  </si>
  <si>
    <t xml:space="preserve">History of Modern World-II</t>
  </si>
  <si>
    <t xml:space="preserve">History of Pakistan-I</t>
  </si>
  <si>
    <t xml:space="preserve">History of Pakistan-II</t>
  </si>
  <si>
    <t xml:space="preserve">Islamiyat (Compulsory)</t>
  </si>
  <si>
    <t xml:space="preserve">BOARD OF INTERMEDIATE AND SECONDARY EDUCATION BAHAWALPUR — Result at a Glance, Intermediate Part I &amp; II Combined (First Annual) 2026</t>
  </si>
  <si>
    <t xml:space="preserve">Item E in the gazette is labelled "Pass Percentage of candidates who appeared" (Regular 66.01 / Private 36.09 / Overall 59.92). Applied 61,668 − absent &amp; cancelled 1,076 = appeared 60,592.</t>
  </si>
  <si>
    <t xml:space="preserve">BISE Bahawalpur — General Pass Percentage — Regular (Govt.) — Intermediate Part I &amp; II Combined (First Annual) 2026</t>
  </si>
  <si>
    <t xml:space="preserve">Source: BISE Bahawalpur Result Gazette, Intermediate Part I &amp; II Combined (First Annual) 2026 (supplied PDF). Pass % as published.</t>
  </si>
  <si>
    <t xml:space="preserve">BISE Bahawalpur — General Pass Percentage — Regular (Affiliated) — Intermediate Part I &amp; II Combined (First Annual) 2026</t>
  </si>
  <si>
    <t xml:space="preserve">BISE Bahawalpur — General Pass Percentage — Total (Regular) — Intermediate Part I &amp; II Combined (First Annual) 2026</t>
  </si>
  <si>
    <t xml:space="preserve">BISE Bahawalpur — General Pass Percentage — Private — Intermediate Part I &amp; II Combined (First Annual) 2026</t>
  </si>
  <si>
    <t xml:space="preserve">BISE Bahawalpur — General Pass Percentage — Grand Total (Regular + Private) — Intermediate Part I &amp; II Combined (First Annual) 2026</t>
  </si>
  <si>
    <t xml:space="preserve">BISE Bahawalpur — Subject Wise Pass Percentage — Intermediate Part I &amp; II Combined (First Annual) 2026</t>
  </si>
  <si>
    <t xml:space="preserve">Source: BISE Bahawalpur Result Gazette, Intermediate Part I &amp; II Combined (First Annual) 2026 (supplied PDF). Pass % as published. All 76 subject entries.</t>
  </si>
  <si>
    <t xml:space="preserve">Business Stat</t>
  </si>
  <si>
    <t xml:space="preserve">Computer Science-I (Old Course)</t>
  </si>
  <si>
    <t xml:space="preserve">Ethics For Non Muslims-I</t>
  </si>
  <si>
    <t xml:space="preserve">Ethics For Non Muslims-II</t>
  </si>
  <si>
    <t xml:space="preserve">History Of Islam (Abbasi Of Baghdad)-II</t>
  </si>
  <si>
    <t xml:space="preserve">History Of Islam (Muslims In Spain)-II</t>
  </si>
  <si>
    <t xml:space="preserve">Islamiyat (Compulsory) (New Course)</t>
  </si>
  <si>
    <t xml:space="preserve">Religious Education (Compulsory)</t>
  </si>
  <si>
    <t xml:space="preserve">Tarjuma-Tul-Quran-Ul-Majeed-I</t>
  </si>
  <si>
    <t xml:space="preserve">Tarjuma-Tul-Quran-Ul-Majeed-II</t>
  </si>
  <si>
    <t xml:space="preserve">Urdu-I (Old Course)</t>
  </si>
  <si>
    <t xml:space="preserve">BOARD OF INTERMEDIATE AND SECONDARY EDUCATION, BANNU</t>
  </si>
  <si>
    <t xml:space="preserve">HSSC (11th &amp; 12th) Annual-I Examination 2025 and 2026 — Result at a Glance. Part-II (2nd Year) is the final Class 12th result; Part-I (1st Year) candidates are promoted. Pass % calculated as Passed ÷ Appeared (gazette prints whole numbers: 2025 = 98, 86, 92; 2026 = 83, 82, no grand total printed).</t>
  </si>
  <si>
    <t xml:space="preserve">Part</t>
  </si>
  <si>
    <t xml:space="preserve">Not Passed</t>
  </si>
  <si>
    <t xml:space="preserve">Part-I (1st Year, promoted)</t>
  </si>
  <si>
    <t xml:space="preserve">Part-II (2nd Year, final)</t>
  </si>
  <si>
    <t xml:space="preserve">Grand Total (Part-I + Part-II)</t>
  </si>
  <si>
    <t xml:space="preserve">Part-I (1st Year)</t>
  </si>
  <si>
    <t xml:space="preserve">Group-Wise Result — HSSC Annual-I 2025–2026 (1st Year and 2nd Year)</t>
  </si>
  <si>
    <t xml:space="preserve">Source: BISE Bannu, HSSC (11th &amp; 12th) Annual-I Examination 2025 — Result at a Glance (gazette pp. v-vi). Pass % as published (whole numbers). Gazette inconsistencies kept as published: 2nd Year group Appeared adds to 18,056 vs printed Sub Total 18,099 (difference 43; Passed adds correctly to 15,484); 1st Year group Appeared adds to 16,853 vs printed Sub Total 16,859 (difference 6; Passed adds correctly to 16,604). Grand Total (34,958 / 32,088) = 1st Year + 2nd Year Sub Totals. 2026: gazette Result at a Glance (HSSC Part-I &amp; Part-II Annual-I 2026); Pass % as published (whole numbers). Group Appeared and Passed add exactly to the printed Part-I (17,857 / 14,845) and Part-II (17,771 / 14,484) totals; the 2026 gazette prints no combined grand total, so 35,628 / 29,329 is the sum of the two. 2026 splits Pre-Computer and General Science (2025 combined them). Part-I Result Status not stated in the 2026 gazette.</t>
  </si>
  <si>
    <t xml:space="preserve">Row Type</t>
  </si>
  <si>
    <t xml:space="preserve">Pass % (published)</t>
  </si>
  <si>
    <t xml:space="preserve">Pass % (calculated)</t>
  </si>
  <si>
    <t xml:space="preserve">Result Status</t>
  </si>
  <si>
    <t xml:space="preserve">Part-II (2nd Year)</t>
  </si>
  <si>
    <t xml:space="preserve">Detail</t>
  </si>
  <si>
    <t xml:space="preserve">General Science/Pre Computer</t>
  </si>
  <si>
    <t xml:space="preserve">Sub Total</t>
  </si>
  <si>
    <t xml:space="preserve">Promoted</t>
  </si>
  <si>
    <t xml:space="preserve">Part-I + Part-II</t>
  </si>
  <si>
    <t xml:space="preserve">G. Total</t>
  </si>
  <si>
    <t xml:space="preserve">Pre Computer</t>
  </si>
  <si>
    <t xml:space="preserve">Category-Wise Result with Grades — HSSC Annual-I 2026 (Part-I and Part-II)</t>
  </si>
  <si>
    <t xml:space="preserve">Source: BISE Bannu, HSSC (Part-I &amp; Part-II) Annual-I Examination 2026 — Result at a Glance. Pass % as published (whole numbers). Part-I grade columns are printed as zeros in the gazette (not reported) and are left blank. Gazette inconsistency kept as published: in Part-II the grade counts (A1–E) of the Private categories exceed the printed Passed figure (e.g. Pre-Medical Private (Boys) Passed 102 vs grades 738; Humanities Private (Boys) 790 vs 822), and Humanities Regular (Boys) grades add to 1,088 vs Passed 1,087; Regular rows otherwise tie exactly. Sub Totals and the Part-II G. Total are the printed values.</t>
  </si>
  <si>
    <t xml:space="preserve">Regular (Boys)</t>
  </si>
  <si>
    <t xml:space="preserve">Regular (Girls)</t>
  </si>
  <si>
    <t xml:space="preserve">Private (Boys)</t>
  </si>
  <si>
    <t xml:space="preserve">Private (Girls)</t>
  </si>
  <si>
    <t xml:space="preserve">All groups</t>
  </si>
  <si>
    <t xml:space="preserve">BOARD OF INTERMEDIATE AND SECONDARY EDUCATION, DERA GHAZI KHAN</t>
  </si>
  <si>
    <t xml:space="preserve">Intermediate (Part-II &amp; Combined) 1st Annual Examination — Result at a Glance — 2024, 2025 and 2026 (2025 gazette dated 18-09-2025; 2026 gazette dated 23-09-2026).</t>
  </si>
  <si>
    <t xml:space="preserve">Applied</t>
  </si>
  <si>
    <t xml:space="preserve">Failed</t>
  </si>
  <si>
    <t xml:space="preserve">Gender-Wise Pass Percentage (2024-2026)</t>
  </si>
  <si>
    <t xml:space="preserve">Source: BISE Dera Ghazi Khan Result Gazette, Intermediate (Part-II &amp; Combined) 1st Annual Examination 2024 (dated 04-09-2024). Pass % as published. 2025: Source: BISE Dera Ghazi Khan Result Gazette, Intermediate (Part-II &amp; Combined) 1st Annual Examination 2025 (dated 18-09-2025). Pass % as published. 2026: Source: BISE Dera Ghazi Khan Result Gazette, Intermediate (Part-II &amp; Combined) 1st Annual Examination 2026 (dated 23-09-2026). Pass % as published.</t>
  </si>
  <si>
    <t xml:space="preserve">Group-Wise Pass Percentage — Regular &amp; Private — by Gender (2024-2026)</t>
  </si>
  <si>
    <t xml:space="preserve">Group-wise Pass Percentage of Male &amp; Female — Regular + Private Combined (2024-2026)</t>
  </si>
  <si>
    <t xml:space="preserve">Source: BISE Dera Ghazi Khan Result Gazette, Intermediate (Part-II &amp; Combined) 1st Annual Examination 2024 (dated 04-09-2024). Pass % as published. "Humanities and Other Groups" includes Commerce. 2025: Source: BISE Dera Ghazi Khan Result Gazette, Intermediate (Part-II &amp; Combined) 1st Annual Examination 2025 (dated 18-09-2025). Pass % as published. 2026: Source: BISE Dera Ghazi Khan Result Gazette, Intermediate (Part-II &amp; Combined) 1st Annual Examination 2026 (dated 23-09-2026). Pass % as published. The 2026 gazette lists Commerce separately; "Humanities And Other Groups" 2026 = Humanities + Commerce with Pass % calculated (Male 53.74, Female 80.35).</t>
  </si>
  <si>
    <t xml:space="preserve">Male Pass %</t>
  </si>
  <si>
    <t xml:space="preserve">Female Pass %</t>
  </si>
  <si>
    <t xml:space="preserve">Humanities And Other Groups</t>
  </si>
  <si>
    <t xml:space="preserve">District-Wise Pass Percentage (2024-2026)</t>
  </si>
  <si>
    <t xml:space="preserve">Source: BISE Dera Ghazi Khan Result Gazette, Intermediate (Part-II &amp; Combined) 1st Annual Examination 2024 (dated 04-09-2024). Pass % as published. District order as per gazette (highest to lowest pass %). 2025: Source: BISE Dera Ghazi Khan Result Gazette, Intermediate (Part-II &amp; Combined) 1st Annual Examination 2025 (dated 18-09-2025). Pass % as published. Taunsa Sharif appears as a new district in 2025. 2026: Source: BISE Dera Ghazi Khan Result Gazette, Intermediate (Part-II &amp; Combined) 1st Annual Examination 2026 (dated 23-09-2026). Pass % as published. District order as per 2026 gazette.</t>
  </si>
  <si>
    <t xml:space="preserve">Kot Addu</t>
  </si>
  <si>
    <t xml:space="preserve">Muzaffargarh</t>
  </si>
  <si>
    <t xml:space="preserve">Layyah</t>
  </si>
  <si>
    <t xml:space="preserve">Rajanpur</t>
  </si>
  <si>
    <t xml:space="preserve">Dera Ghazi Khan</t>
  </si>
  <si>
    <t xml:space="preserve">Taunsa Sharif</t>
  </si>
  <si>
    <t xml:space="preserve">District-Wise Category-Wise Pass Percentage — 2026</t>
  </si>
  <si>
    <t xml:space="preserve">2026: Source: BISE Dera Ghazi Khan Result Gazette, Intermediate (Part-II &amp; Combined) 1st Annual Examination 2026 (dated 23-09-2026). Pass % as published. Categories as published: Govt. Institute, Private Institute, Private Candidate.</t>
  </si>
  <si>
    <t xml:space="preserve">Govt. Institute</t>
  </si>
  <si>
    <t xml:space="preserve">Private Institute</t>
  </si>
  <si>
    <t xml:space="preserve">Private Candidate</t>
  </si>
  <si>
    <t xml:space="preserve">Pass Percentage — Historical Trend (as published in the gazette)</t>
  </si>
  <si>
    <t xml:space="preserve">Source: "Pass Percentage of Previous Four Years" table in the 2024 gazette (1st Annual of each year), plus 2024 itself. 2025 added from the 2025 gazette (its previous-four-years table repeats 2021-2024 unchanged: 98.79, 82.37, 66.83, 70.45). 2026 added from the 2026 gazette (73.14, headline pass percentage). Note: the 2026 gazette's previous-four-years table shows 2022 as 83.37 (2024 and 2025 gazettes showed 82.37); 2023-2025 unchanged (66.83, 70.45, 74.86). The 82.37 above is kept as published in the earlier gazettes.</t>
  </si>
  <si>
    <t xml:space="preserve">Source Gazette</t>
  </si>
  <si>
    <t xml:space="preserve">2024 gazette</t>
  </si>
  <si>
    <t xml:space="preserve">2025 gazette</t>
  </si>
  <si>
    <t xml:space="preserve">2026 gazette</t>
  </si>
  <si>
    <t xml:space="preserve">Subject-Wise Pass Percentage by Group — 1st Annual 2023 vs 2024</t>
  </si>
  <si>
    <t xml:space="preserve">Source: BISE Dera Ghazi Khan Result Gazette, Intermediate (Part-II &amp; Combined) 1st Annual Examination 2024 (dated 04-09-2024). Pass % as published. 2023 columns are labelled "Applied" in the gazette; 2024 columns are "Appeared". Subject spellings kept as published (e.g. "Acounting", "Civis").</t>
  </si>
  <si>
    <t xml:space="preserve">2023 Applied</t>
  </si>
  <si>
    <t xml:space="preserve">2023 Passed</t>
  </si>
  <si>
    <t xml:space="preserve">2023 Pass %</t>
  </si>
  <si>
    <t xml:space="preserve">2024 Appeared</t>
  </si>
  <si>
    <t xml:space="preserve">2024 Passed</t>
  </si>
  <si>
    <t xml:space="preserve">2024 Pass %</t>
  </si>
  <si>
    <t xml:space="preserve">Urdu</t>
  </si>
  <si>
    <t xml:space="preserve">Business Mathematics &amp; Statistics</t>
  </si>
  <si>
    <t xml:space="preserve">English (Elective)</t>
  </si>
  <si>
    <t xml:space="preserve">Fine Art</t>
  </si>
  <si>
    <t xml:space="preserve">Outlines Of Home Economics</t>
  </si>
  <si>
    <t xml:space="preserve">History Of Islam</t>
  </si>
  <si>
    <t xml:space="preserve">History Of Islamic Hind</t>
  </si>
  <si>
    <t xml:space="preserve">History Of Jadeed Dunya</t>
  </si>
  <si>
    <t xml:space="preserve">History Of Pakistan</t>
  </si>
  <si>
    <t xml:space="preserve">Islamic Studies</t>
  </si>
  <si>
    <t xml:space="preserve">Civis For Non_Muslim</t>
  </si>
  <si>
    <t xml:space="preserve">Principles Of Acounting</t>
  </si>
  <si>
    <t xml:space="preserve">Principles Of Commerce &amp; Banking</t>
  </si>
  <si>
    <t xml:space="preserve">Principles Of Economics &amp; Commercial Geography</t>
  </si>
  <si>
    <t xml:space="preserve">Persian</t>
  </si>
  <si>
    <t xml:space="preserve">Philosophy</t>
  </si>
  <si>
    <t xml:space="preserve">Punjabi</t>
  </si>
  <si>
    <t xml:space="preserve">Sociology</t>
  </si>
  <si>
    <t xml:space="preserve">Saraiki</t>
  </si>
  <si>
    <t xml:space="preserve">Urdu (Advanced)</t>
  </si>
  <si>
    <t xml:space="preserve">Subject-Wise Pass Percentage by Group — 1st Annual 2024 vs 2025</t>
  </si>
  <si>
    <t xml:space="preserve">Source: BISE Dera Ghazi Khan Result Gazette, Intermediate (Part-II &amp; Combined) 1st Annual Examination 2025 (dated 18-09-2025). Pass % as published. 2024 columns are labelled "Applied" in the gazette; 2025 columns are "Appeared". Subject spellings kept as published (e.g. "Acounting", "Civis"). Subjects with zero entries in both years are kept as published.</t>
  </si>
  <si>
    <t xml:space="preserve">2024 Applied</t>
  </si>
  <si>
    <t xml:space="preserve">2025 Appeared</t>
  </si>
  <si>
    <t xml:space="preserve">2025 Passed</t>
  </si>
  <si>
    <t xml:space="preserve">2025 Pass %</t>
  </si>
  <si>
    <t xml:space="preserve">Translation Of Holy Quran</t>
  </si>
  <si>
    <t xml:space="preserve">Subject-Wise Pass Percentage by Group — 1st Annual 2026</t>
  </si>
  <si>
    <t xml:space="preserve">2026: Source: BISE Dera Ghazi Khan Result Gazette, Intermediate (Part-II &amp; Combined) 1st Annual Examination 2026 (dated 23-09-2026). Pass % as published. 2026 gazette shows 2026 only (no prior-year columns). Subject names as published (title-cased); group Commerce is listed separately in 2026. Abbr = board abbreviation.</t>
  </si>
  <si>
    <t xml:space="preserve">Abbr</t>
  </si>
  <si>
    <t xml:space="preserve">2026 Appeared</t>
  </si>
  <si>
    <t xml:space="preserve">2026 Passed</t>
  </si>
  <si>
    <t xml:space="preserve">2026 Pass %</t>
  </si>
  <si>
    <t xml:space="preserve">BIO</t>
  </si>
  <si>
    <t xml:space="preserve">CH</t>
  </si>
  <si>
    <t xml:space="preserve">ENG</t>
  </si>
  <si>
    <t xml:space="preserve">ETH</t>
  </si>
  <si>
    <t xml:space="preserve">IE</t>
  </si>
  <si>
    <t xml:space="preserve">PHY</t>
  </si>
  <si>
    <t xml:space="preserve">PS</t>
  </si>
  <si>
    <t xml:space="preserve">THQ</t>
  </si>
  <si>
    <t xml:space="preserve">UR</t>
  </si>
  <si>
    <t xml:space="preserve">MATHS</t>
  </si>
  <si>
    <t xml:space="preserve">CST</t>
  </si>
  <si>
    <t xml:space="preserve">ECO</t>
  </si>
  <si>
    <t xml:space="preserve">STAT</t>
  </si>
  <si>
    <t xml:space="preserve">AR</t>
  </si>
  <si>
    <t xml:space="preserve">CIV</t>
  </si>
  <si>
    <t xml:space="preserve">EDU</t>
  </si>
  <si>
    <t xml:space="preserve">ENGE</t>
  </si>
  <si>
    <t xml:space="preserve">FA</t>
  </si>
  <si>
    <t xml:space="preserve">GEO</t>
  </si>
  <si>
    <t xml:space="preserve">HECO</t>
  </si>
  <si>
    <t xml:space="preserve">HIS</t>
  </si>
  <si>
    <t xml:space="preserve">HOP</t>
  </si>
  <si>
    <t xml:space="preserve">HPED</t>
  </si>
  <si>
    <t xml:space="preserve">IST</t>
  </si>
  <si>
    <t xml:space="preserve">LBS</t>
  </si>
  <si>
    <t xml:space="preserve">PER</t>
  </si>
  <si>
    <t xml:space="preserve">PHIL</t>
  </si>
  <si>
    <t xml:space="preserve">PSY</t>
  </si>
  <si>
    <t xml:space="preserve">PUN</t>
  </si>
  <si>
    <t xml:space="preserve">SOC</t>
  </si>
  <si>
    <t xml:space="preserve">SRK</t>
  </si>
  <si>
    <t xml:space="preserve">UAD</t>
  </si>
  <si>
    <t xml:space="preserve">BMS</t>
  </si>
  <si>
    <t xml:space="preserve">PACC</t>
  </si>
  <si>
    <t xml:space="preserve">Principles Of Accounting</t>
  </si>
  <si>
    <t xml:space="preserve">PCB</t>
  </si>
  <si>
    <t xml:space="preserve">Fail</t>
  </si>
  <si>
    <t xml:space="preserve">Pass_Pct</t>
  </si>
  <si>
    <t xml:space="preserve">Fail_Pct</t>
  </si>
  <si>
    <t xml:space="preserve">Candidate_Type</t>
  </si>
  <si>
    <t xml:space="preserve">Row_Type</t>
  </si>
  <si>
    <t xml:space="preserve">Chiniot</t>
  </si>
  <si>
    <t xml:space="preserve">District Wise Total</t>
  </si>
  <si>
    <t xml:space="preserve">District Total</t>
  </si>
  <si>
    <t xml:space="preserve">Jhang</t>
  </si>
  <si>
    <t xml:space="preserve">Toba Tek Singh</t>
  </si>
  <si>
    <t xml:space="preserve">All Districts</t>
  </si>
  <si>
    <t xml:space="preserve">Over All Regular Candidates Total</t>
  </si>
  <si>
    <t xml:space="preserve">School_Type</t>
  </si>
  <si>
    <t xml:space="preserve">Government</t>
  </si>
  <si>
    <t xml:space="preserve">Homeopathic</t>
  </si>
  <si>
    <t xml:space="preserve">Shahdat-ul-Sanvia Khasa</t>
  </si>
  <si>
    <t xml:space="preserve">Over All Private Candidates Total</t>
  </si>
  <si>
    <t xml:space="preserve">Subject_Name</t>
  </si>
  <si>
    <t xml:space="preserve">Enroll</t>
  </si>
  <si>
    <t xml:space="preserve">Appear</t>
  </si>
  <si>
    <t xml:space="preserve">Part - 2</t>
  </si>
  <si>
    <t xml:space="preserve">ARB</t>
  </si>
  <si>
    <t xml:space="preserve">BAN</t>
  </si>
  <si>
    <t xml:space="preserve">CHM</t>
  </si>
  <si>
    <t xml:space="preserve">CMG</t>
  </si>
  <si>
    <t xml:space="preserve">CSC</t>
  </si>
  <si>
    <t xml:space="preserve">English Elective</t>
  </si>
  <si>
    <t xml:space="preserve">ENE</t>
  </si>
  <si>
    <t xml:space="preserve">Fine Arts</t>
  </si>
  <si>
    <t xml:space="preserve">FAR</t>
  </si>
  <si>
    <t xml:space="preserve">HPE</t>
  </si>
  <si>
    <t xml:space="preserve">History Of Islami Hind.</t>
  </si>
  <si>
    <t xml:space="preserve">HIH</t>
  </si>
  <si>
    <t xml:space="preserve">HPK</t>
  </si>
  <si>
    <t xml:space="preserve">MTH</t>
  </si>
  <si>
    <t xml:space="preserve">Outlines Of Home-Economics</t>
  </si>
  <si>
    <t xml:space="preserve">OHE</t>
  </si>
  <si>
    <t xml:space="preserve">PST</t>
  </si>
  <si>
    <t xml:space="preserve">PKC</t>
  </si>
  <si>
    <t xml:space="preserve">PHL</t>
  </si>
  <si>
    <t xml:space="preserve">PAC</t>
  </si>
  <si>
    <t xml:space="preserve">STT</t>
  </si>
  <si>
    <t xml:space="preserve">Statistics(Commerce Group)</t>
  </si>
  <si>
    <t xml:space="preserve">BST</t>
  </si>
  <si>
    <t xml:space="preserve">Translation Of The Holy Quran</t>
  </si>
  <si>
    <t xml:space="preserve">URD</t>
  </si>
  <si>
    <t xml:space="preserve">Urdu Advance</t>
  </si>
  <si>
    <t xml:space="preserve">Part - 1</t>
  </si>
  <si>
    <t xml:space="preserve">BMA</t>
  </si>
  <si>
    <t xml:space="preserve">IED</t>
  </si>
  <si>
    <t xml:space="preserve">PCO</t>
  </si>
  <si>
    <t xml:space="preserve">PEC</t>
  </si>
  <si>
    <t xml:space="preserve">Religious Education</t>
  </si>
  <si>
    <t xml:space="preserve">RLE</t>
  </si>
  <si>
    <t xml:space="preserve">History Of Modern World</t>
  </si>
  <si>
    <t xml:space="preserve">HMW</t>
  </si>
  <si>
    <t xml:space="preserve">Islamic History &amp; Culture</t>
  </si>
  <si>
    <t xml:space="preserve">IHC</t>
  </si>
  <si>
    <t xml:space="preserve">ISD</t>
  </si>
  <si>
    <t xml:space="preserve">Applied Art</t>
  </si>
  <si>
    <t xml:space="preserve">APA</t>
  </si>
  <si>
    <t xml:space="preserve">Child Development &amp; Family Life</t>
  </si>
  <si>
    <t xml:space="preserve">CDF</t>
  </si>
  <si>
    <t xml:space="preserve">Food &amp; Nutrition</t>
  </si>
  <si>
    <t xml:space="preserve">FNN</t>
  </si>
  <si>
    <t xml:space="preserve">BISE Gujranwala — HSSC First Annual Part-II: Year-over-Year Summary (2024-2026)</t>
  </si>
  <si>
    <t xml:space="preserve">2024 and 2025 gazettes supplied; 2026 not yet. Appeared/Passed are the sum of all groups (Regular + Private). Pass % is calculated; the gazette gives no overall figure or applied count.</t>
  </si>
  <si>
    <t xml:space="preserve">Pre-Medical Group — Category-wise Results — HSSC First Annual Part-II 2024</t>
  </si>
  <si>
    <t xml:space="preserve">Source: BISE Gujranwala, HSSC First Annual Part-II Examination 2024 gazette. Pass % as published. Gazette inconsistency kept as published: A+ to E do not add up to Pass for Regular Male (Pass 5,780 vs grades 5,729); Regular Female (Pass 21,947 vs grades 21,784); Sub Total (Regular) (Pass 27,727 vs grades 27,513); Grand Total (Pass 31,347 vs grades 31,133).</t>
  </si>
  <si>
    <t xml:space="preserve">Sub Total (Regular)</t>
  </si>
  <si>
    <t xml:space="preserve">Sub Total (Private)</t>
  </si>
  <si>
    <t xml:space="preserve">Pre-Engineering Group — Category-wise Results — HSSC First Annual Part-II 2024</t>
  </si>
  <si>
    <t xml:space="preserve">Source: BISE Gujranwala, HSSC First Annual Part-II Examination 2024 gazette. Pass % as published. Gazette inconsistency kept as published: A+ to E do not add up to Pass for Regular Male (Pass 3,115 vs grades 3,089); Regular Female (Pass 3,238 vs grades 3,220); Sub Total (Regular) (Pass 6,353 vs grades 6,309); Grand Total (Pass 7,032 vs grades 6,988).</t>
  </si>
  <si>
    <t xml:space="preserve">Humanities Group — Category-wise Results — HSSC First Annual Part-II 2024</t>
  </si>
  <si>
    <t xml:space="preserve">Source: BISE Gujranwala, HSSC First Annual Part-II Examination 2024 gazette. Pass % as published. Gazette inconsistency kept as published: A+ to E do not add up to Pass for Regular Male (Pass 2,817 vs grades 2,784); Regular Female (Pass 13,746 vs grades 13,642); Sub Total (Regular) (Pass 16,563 vs grades 16,426); Private Male (Pass 1,884 vs grades 1,868); Private Female (Pass 6,848 vs grades 6,804); Sub Total (Private) (Pass 8,732 vs grades 8,672); Grand Total (Pass 25,295 vs grades 25,098).</t>
  </si>
  <si>
    <t xml:space="preserve">General Science Group — Category-wise Results — HSSC First Annual Part-II 2024</t>
  </si>
  <si>
    <t xml:space="preserve">Source: BISE Gujranwala, HSSC First Annual Part-II Examination 2024 gazette. Pass % as published. Gazette inconsistency kept as published: A+ to E do not add up to Pass for Regular Male (Pass 7,052 vs grades 6,998); Regular Female (Pass 10,205 vs grades 10,132); Sub Total (Regular) (Pass 17,257 vs grades 17,130); Grand Total (Pass 18,845 vs grades 18,718).</t>
  </si>
  <si>
    <t xml:space="preserve">Commerce Group — Category-wise Results — HSSC First Annual Part-II 2024</t>
  </si>
  <si>
    <t xml:space="preserve">Source: BISE Gujranwala, HSSC First Annual Part-II Examination 2024 gazette. Pass % as published. Gazette inconsistency kept as published: A+ to E do not add up to Pass for Regular Male (Pass 2,001 vs grades 1,987); Regular Female (Pass 3,294 vs grades 3,270); Sub Total (Regular) (Pass 5,295 vs grades 5,257); Private Male (Pass 547 vs grades 545); Private Female (Pass 638 vs grades 632); Sub Total (Private) (Pass 1,185 vs grades 1,177); Grand Total (Pass 6,480 vs grades 6,434).</t>
  </si>
  <si>
    <t xml:space="preserve">Home Economics Group — Category-wise Results — HSSC First Annual Part-II 2024</t>
  </si>
  <si>
    <t xml:space="preserve">Source: BISE Gujranwala, HSSC First Annual Part-II Examination 2024 gazette. Pass % as published.</t>
  </si>
  <si>
    <t xml:space="preserve">District-Wise Statistical Data — HSSC First Annual Part-II 2024</t>
  </si>
  <si>
    <t xml:space="preserve">Source: BISE Gujranwala, HSSC First Annual Part-II Examination 2024 gazette. Pass % as published. Total Pass % is calculated (Pass ÷ Appeared).</t>
  </si>
  <si>
    <t xml:space="preserve">Private Female Appeared</t>
  </si>
  <si>
    <t xml:space="preserve">Private Female Pass</t>
  </si>
  <si>
    <t xml:space="preserve">Private Male Appeared</t>
  </si>
  <si>
    <t xml:space="preserve">Private Male Pass</t>
  </si>
  <si>
    <t xml:space="preserve">Regular Female Appeared</t>
  </si>
  <si>
    <t xml:space="preserve">Regular Female Pass</t>
  </si>
  <si>
    <t xml:space="preserve">Regular Male Appeared</t>
  </si>
  <si>
    <t xml:space="preserve">Regular Male Pass</t>
  </si>
  <si>
    <t xml:space="preserve">Total Pass</t>
  </si>
  <si>
    <t xml:space="preserve">Total Pass %</t>
  </si>
  <si>
    <t xml:space="preserve">Gujrat</t>
  </si>
  <si>
    <t xml:space="preserve">Hafizabad</t>
  </si>
  <si>
    <t xml:space="preserve">Mandi Baha-ud-Din</t>
  </si>
  <si>
    <t xml:space="preserve">Narowal</t>
  </si>
  <si>
    <t xml:space="preserve">Sialkot</t>
  </si>
  <si>
    <t xml:space="preserve">Subject Wise Pass Percentage — Part-II — HSSC First Annual 2024</t>
  </si>
  <si>
    <t xml:space="preserve">Source: BISE Gujranwala, HSSC First Annual Part-II Examination 2024 gazette. Pass % as published. Subject spellings kept as published (e.g. "Modren").</t>
  </si>
  <si>
    <t xml:space="preserve">Child Development And Family Living</t>
  </si>
  <si>
    <t xml:space="preserve">Computer Studies</t>
  </si>
  <si>
    <t xml:space="preserve">History Of Indo-Pak</t>
  </si>
  <si>
    <t xml:space="preserve">History Of Modren World</t>
  </si>
  <si>
    <t xml:space="preserve">Islamic Studies (Elective)</t>
  </si>
  <si>
    <t xml:space="preserve">Subject Wise Pass Percentage — Part-I Composite — HSSC First Annual 2024</t>
  </si>
  <si>
    <t xml:space="preserve">Business Math</t>
  </si>
  <si>
    <t xml:space="preserve">Chemistry / HE</t>
  </si>
  <si>
    <t xml:space="preserve">Civics For Non Muslim</t>
  </si>
  <si>
    <t xml:space="preserve">Islamic Education (Compulsory)</t>
  </si>
  <si>
    <t xml:space="preserve">Pre-Medical Group — Category-wise Results — HSSC First Annual Part-II 2025</t>
  </si>
  <si>
    <t xml:space="preserve">Source: BISE Gujranwala, HSSC First Annual Part-II Examination 2025 gazette. Pass % as published. Gazette inconsistency kept as published: A+ to E do not add up to Pass for Regular Male (Pass 3,663 vs grades 3,647); Regular Female (Pass 17,179 vs grades 17,039); Sub Total (Regular) (Pass 20,842 vs grades 20,686); Private Male (Pass 768 vs grades 750); Private Female (Pass 2,441 vs grades 2,412); Sub Total (Private) (Pass 3,209 vs grades 3,162); Grand Total (Pass 24,051 vs grades 23,848).</t>
  </si>
  <si>
    <t xml:space="preserve">Pre-Engineering Group — Category-wise Results — HSSC First Annual Part-II 2025</t>
  </si>
  <si>
    <t xml:space="preserve">Source: BISE Gujranwala, HSSC First Annual Part-II Examination 2025 gazette. Pass % as published. Gazette inconsistency kept as published: A+ to E do not add up to Pass for Regular Male (Pass 2,191 vs grades 2,184); Regular Female (Pass 2,397 vs grades 2,383); Sub Total (Regular) (Pass 4,588 vs grades 4,567); Private Male (Pass 226 vs grades 225); Private Female (Pass 135 vs grades 133); Sub Total (Private) (Pass 361 vs grades 358); Grand Total (Pass 4,949 vs grades 4,925).</t>
  </si>
  <si>
    <t xml:space="preserve">Humanities Group — Category-wise Results — HSSC First Annual Part-II 2025</t>
  </si>
  <si>
    <t xml:space="preserve">Source: BISE Gujranwala, HSSC First Annual Part-II Examination 2025 gazette. Pass % as published. Gazette inconsistency kept as published: A+ to E do not add up to Pass for Regular Male (Pass 2,982 vs grades 2,970); Regular Female (Pass 14,743 vs grades 14,615); Sub Total (Regular) (Pass 17,725 vs grades 17,585); Private Male (Pass 1,875 vs grades 1,861); Private Female (Pass 6,545 vs grades 6,493); Sub Total (Private) (Pass 8,420 vs grades 8,354); Grand Total (Pass 26,145 vs grades 25,939).</t>
  </si>
  <si>
    <t xml:space="preserve">General Science Group — Category-wise Results — HSSC First Annual Part-II 2025</t>
  </si>
  <si>
    <t xml:space="preserve">Source: BISE Gujranwala, HSSC First Annual Part-II Examination 2025 gazette. Pass % as published. Gazette inconsistency kept as published: A+ to E do not add up to Pass for Regular Male (Pass 8,518 vs grades 8,459); Regular Female (Pass 14,300 vs grades 14,172); Sub Total (Regular) (Pass 22,818 vs grades 22,631); Private Male (Pass 876 vs grades 874); Private Female (Pass 640 vs grades 636); Sub Total (Private) (Pass 1,516 vs grades 1,510); Grand Total (Pass 24,334 vs grades 24,141).</t>
  </si>
  <si>
    <t xml:space="preserve">Commerce Group — Category-wise Results — HSSC First Annual Part-II 2025</t>
  </si>
  <si>
    <t xml:space="preserve">Source: BISE Gujranwala, HSSC First Annual Part-II Examination 2025 gazette. Pass % as published. Gazette inconsistency kept as published: A+ to E do not add up to Pass for Regular Male (Pass 1,829 vs grades 1,818); Regular Female (Pass 3,312 vs grades 3,281); Sub Total (Regular) (Pass 5,141 vs grades 5,099); Private Male (Pass 496 vs grades 494); Private Female (Pass 548 vs grades 543); Sub Total (Private) (Pass 1,044 vs grades 1,037); Grand Total (Pass 6,185 vs grades 6,136).</t>
  </si>
  <si>
    <t xml:space="preserve">Home Economics Group — Category-wise Results — HSSC First Annual Part-II 2025</t>
  </si>
  <si>
    <t xml:space="preserve">Source: BISE Gujranwala, HSSC First Annual Part-II Examination 2025 gazette. Pass % as published. Gazette inconsistency kept as published: A+ to E do not add up to Pass for Regular Female (Pass 32 vs grades 31); Sub Total (Regular) (Pass 32 vs grades 31); Grand Total (Pass 32 vs grades 31).</t>
  </si>
  <si>
    <t xml:space="preserve">District-Wise Statistical Data — HSSC First Annual Part-II 2025</t>
  </si>
  <si>
    <t xml:space="preserve">Source: BISE Gujranwala, HSSC First Annual Part-II Examination 2025 gazette. Pass % as published. Total Pass % is calculated (Pass ÷ Appeared).</t>
  </si>
  <si>
    <t xml:space="preserve">Subject Wise Pass Percentage — Part-II — HSSC First Annual 2025</t>
  </si>
  <si>
    <t xml:space="preserve">Source: BISE Gujranwala, HSSC First Annual Part-II Examination 2025 gazette. Pass % as published. Subject spellings kept as published (e.g. "Modren").</t>
  </si>
  <si>
    <t xml:space="preserve">Subject Wise Pass Percentage — Part-I Composite — HSSC First Annual 2025</t>
  </si>
  <si>
    <t xml:space="preserve">Source: BISE Gujranwala, HSSC First Annual Part-II Examination 2025 gazette. Pass % as published.</t>
  </si>
  <si>
    <t xml:space="preserve">BISE Lahore — Intermediate Part I &amp; II (First Annual): Year-over-Year Summary (2024-2026)</t>
  </si>
  <si>
    <t xml:space="preserve">2024, 2025 and 2026 gazettes supplied. Pass % as published. 2026: the gazette General Pass Percentage (192,950 applied / 189,373 appeared / 123,060 passed / 64.98%) includes Additional-subject candidates (503 applied, 431 appeared, 223 passed) that are not in the gender/group rows.</t>
  </si>
  <si>
    <t xml:space="preserve">BISE Lahore — Result Gazette Notice, Intermediate Part I &amp; II (First Annual) 2024</t>
  </si>
  <si>
    <t xml:space="preserve">Source: Result Gazette page (1), key points condensed.</t>
  </si>
  <si>
    <t xml:space="preserve">Examination commenced</t>
  </si>
  <si>
    <t xml:space="preserve">19 April 2024</t>
  </si>
  <si>
    <t xml:space="preserve">Theory papers concluded</t>
  </si>
  <si>
    <t xml:space="preserve">25 May 2024</t>
  </si>
  <si>
    <t xml:space="preserve">Practical examination concluded</t>
  </si>
  <si>
    <t xml:space="preserve">06 July 2024</t>
  </si>
  <si>
    <t xml:space="preserve">Result announced</t>
  </si>
  <si>
    <t xml:space="preserve">04 September 2024</t>
  </si>
  <si>
    <t xml:space="preserve">Controller of Examinations</t>
  </si>
  <si>
    <t xml:space="preserve">Muhammad Zahid Mian</t>
  </si>
  <si>
    <t xml:space="preserve">Marks display</t>
  </si>
  <si>
    <t xml:space="preserve">Marks of successful candidates out of 1100 (old course) and 1200 (new course) shown against Roll Nos. on www.biselahore.com</t>
  </si>
  <si>
    <t xml:space="preserve">Re-checking</t>
  </si>
  <si>
    <t xml:space="preserve">Apply online within 15 days after declaration of the result</t>
  </si>
  <si>
    <t xml:space="preserve">Improvement</t>
  </si>
  <si>
    <t xml:space="preserve">Four (4) examination opportunities within four years of passing SSC and Intermediate; must be availed before appearing in any higher examination</t>
  </si>
  <si>
    <t xml:space="preserve">Failed candidates</t>
  </si>
  <si>
    <t xml:space="preserve">May deposit admission form and fee for Intermediate Part I &amp; II (Second Annual) 2024 per Board schedule</t>
  </si>
  <si>
    <t xml:space="preserve">Gazette status</t>
  </si>
  <si>
    <t xml:space="preserve">Issued as a notice only; errors and omissions excepted</t>
  </si>
  <si>
    <t xml:space="preserve">Statistical Data Regarding the Result — Intermediate Part I &amp; II (First Annual) 2024</t>
  </si>
  <si>
    <t xml:space="preserve">Source: BISE Lahore Result Gazette, Intermediate Part I &amp; II (First Annual) Examination 2024. Pass % as published. Grade % columns are each grade's share of Passed. "Humanities &amp; Others" is the board's group name.</t>
  </si>
  <si>
    <t xml:space="preserve">A+ Passed</t>
  </si>
  <si>
    <t xml:space="preserve">A+ %</t>
  </si>
  <si>
    <t xml:space="preserve">A Passed</t>
  </si>
  <si>
    <t xml:space="preserve">A %</t>
  </si>
  <si>
    <t xml:space="preserve">B Passed</t>
  </si>
  <si>
    <t xml:space="preserve">B %</t>
  </si>
  <si>
    <t xml:space="preserve">C Passed</t>
  </si>
  <si>
    <t xml:space="preserve">C %</t>
  </si>
  <si>
    <t xml:space="preserve">D Passed</t>
  </si>
  <si>
    <t xml:space="preserve">D %</t>
  </si>
  <si>
    <t xml:space="preserve">E Passed</t>
  </si>
  <si>
    <t xml:space="preserve">E %</t>
  </si>
  <si>
    <t xml:space="preserve">Addl. Appeared</t>
  </si>
  <si>
    <t xml:space="preserve">Addl. Passed</t>
  </si>
  <si>
    <t xml:space="preserve">Boys</t>
  </si>
  <si>
    <t xml:space="preserve">Reg (Govt. Inst.)</t>
  </si>
  <si>
    <t xml:space="preserve">Reg (Pvt. Inst.)</t>
  </si>
  <si>
    <t xml:space="preserve">Sub-Total</t>
  </si>
  <si>
    <t xml:space="preserve">Girls</t>
  </si>
  <si>
    <t xml:space="preserve">Group Total</t>
  </si>
  <si>
    <t xml:space="preserve">Humanities &amp; Others</t>
  </si>
  <si>
    <t xml:space="preserve">All Groups (Gender Wise)</t>
  </si>
  <si>
    <t xml:space="preserve">Subject Wise / Group Wise Pass Percentage — Intermediate Part I &amp; II (First Annual) 2024</t>
  </si>
  <si>
    <t xml:space="preserve">Source: BISE Lahore Result Gazette, Intermediate Part I &amp; II (First Annual) Examination 2024. Pass % as published. Group heading "General Science" is misspelled "Geenral Science" in the gazette; corrected here.</t>
  </si>
  <si>
    <t xml:space="preserve">Sr.#</t>
  </si>
  <si>
    <t xml:space="preserve">Subject (Theory / Practical)</t>
  </si>
  <si>
    <t xml:space="preserve">Overall Appeared</t>
  </si>
  <si>
    <t xml:space="preserve">Overall Passed</t>
  </si>
  <si>
    <t xml:space="preserve">Translation of the Holy Quran</t>
  </si>
  <si>
    <t xml:space="preserve">Civics for Non Muslim</t>
  </si>
  <si>
    <t xml:space="preserve">Physics (Theory)</t>
  </si>
  <si>
    <t xml:space="preserve">Physics (Practical)</t>
  </si>
  <si>
    <t xml:space="preserve">Chemistry (Theory)</t>
  </si>
  <si>
    <t xml:space="preserve">Chemistry (Practical)</t>
  </si>
  <si>
    <t xml:space="preserve">Biology (Theory)</t>
  </si>
  <si>
    <t xml:space="preserve">Biology (Practical)</t>
  </si>
  <si>
    <t xml:space="preserve">Ethics for Non Muslims</t>
  </si>
  <si>
    <t xml:space="preserve">Computer Science (Theory)</t>
  </si>
  <si>
    <t xml:space="preserve">Computer Science (Practical)</t>
  </si>
  <si>
    <t xml:space="preserve">Statistics (Theory)</t>
  </si>
  <si>
    <t xml:space="preserve">Statistics (Practical)</t>
  </si>
  <si>
    <t xml:space="preserve">Principles of Economics &amp; Commercial Geography</t>
  </si>
  <si>
    <t xml:space="preserve">Principles of Commerce &amp; Computer Studies (Theory)</t>
  </si>
  <si>
    <t xml:space="preserve">Principles of Commerce &amp; Computer Studies (Practical)</t>
  </si>
  <si>
    <t xml:space="preserve">Principles of Accounting</t>
  </si>
  <si>
    <t xml:space="preserve">Principles of Commerce &amp; Banking</t>
  </si>
  <si>
    <t xml:space="preserve">History of Muslim India</t>
  </si>
  <si>
    <t xml:space="preserve">Outlines of Home Economics (Theory)</t>
  </si>
  <si>
    <t xml:space="preserve">Outlines of Home Economics (Practical)</t>
  </si>
  <si>
    <t xml:space="preserve">Music (Theory)</t>
  </si>
  <si>
    <t xml:space="preserve">Music (Practical)</t>
  </si>
  <si>
    <t xml:space="preserve">History of Islam</t>
  </si>
  <si>
    <t xml:space="preserve">Library Science (Theory)</t>
  </si>
  <si>
    <t xml:space="preserve">Library Science (Practical)</t>
  </si>
  <si>
    <t xml:space="preserve">Geography (Theory)</t>
  </si>
  <si>
    <t xml:space="preserve">Geography (Practical)</t>
  </si>
  <si>
    <t xml:space="preserve">History of Modern World</t>
  </si>
  <si>
    <t xml:space="preserve">Fine Art (Theory)</t>
  </si>
  <si>
    <t xml:space="preserve">Fine Art (Practical)</t>
  </si>
  <si>
    <t xml:space="preserve">Psychology (Theory)</t>
  </si>
  <si>
    <t xml:space="preserve">Psychology (Practical)</t>
  </si>
  <si>
    <t xml:space="preserve">Food and Nutrition (Theory)</t>
  </si>
  <si>
    <t xml:space="preserve">Food and Nutrition (Practical)</t>
  </si>
  <si>
    <t xml:space="preserve">Child Development and Family Life (Theory)</t>
  </si>
  <si>
    <t xml:space="preserve">Child Development and Family Life (Practical)</t>
  </si>
  <si>
    <t xml:space="preserve">Applied Art (Theory)</t>
  </si>
  <si>
    <t xml:space="preserve">Applied Art (Practical)</t>
  </si>
  <si>
    <t xml:space="preserve">Health &amp; Physical Education (Theory)</t>
  </si>
  <si>
    <t xml:space="preserve">Health &amp; Physical Education (Practical)</t>
  </si>
  <si>
    <t xml:space="preserve">Military Science</t>
  </si>
  <si>
    <t xml:space="preserve">Geology (Theory)</t>
  </si>
  <si>
    <t xml:space="preserve">Geology (Practical)</t>
  </si>
  <si>
    <t xml:space="preserve">French (Theory)</t>
  </si>
  <si>
    <t xml:space="preserve">French (Practical)</t>
  </si>
  <si>
    <t xml:space="preserve">History of Pakistan</t>
  </si>
  <si>
    <t xml:space="preserve">Nursing (Theory)</t>
  </si>
  <si>
    <t xml:space="preserve">Nursing (Practical)</t>
  </si>
  <si>
    <t xml:space="preserve">Basic Medical Sciences (Theory)</t>
  </si>
  <si>
    <t xml:space="preserve">Basic Medical Sciences (Practical)</t>
  </si>
  <si>
    <t xml:space="preserve">Microbiology (Theory)</t>
  </si>
  <si>
    <t xml:space="preserve">Microbiology (Practical)</t>
  </si>
  <si>
    <t xml:space="preserve">Applied Science (Theory)</t>
  </si>
  <si>
    <t xml:space="preserve">Applied Science (Practical)</t>
  </si>
  <si>
    <t xml:space="preserve">Dental Hygiene (Theory)</t>
  </si>
  <si>
    <t xml:space="preserve">Dental Hygiene (Practical)</t>
  </si>
  <si>
    <t xml:space="preserve">Hematology &amp; Blood Banking (Theory)</t>
  </si>
  <si>
    <t xml:space="preserve">Hematology &amp; Blood Banking (Practical)</t>
  </si>
  <si>
    <t xml:space="preserve">Clinical Pathology &amp; Serology (Theory)</t>
  </si>
  <si>
    <t xml:space="preserve">Clinical Pathology &amp; Serology (Practical)</t>
  </si>
  <si>
    <t xml:space="preserve">BISE Lahore — Result Gazette Notice, Intermediate Part I &amp; II (First Annual) 2025</t>
  </si>
  <si>
    <t xml:space="preserve">29 April 2025</t>
  </si>
  <si>
    <t xml:space="preserve">13 June 2025</t>
  </si>
  <si>
    <t xml:space="preserve">30 July 2025</t>
  </si>
  <si>
    <t xml:space="preserve">18 September 2025</t>
  </si>
  <si>
    <t xml:space="preserve">Toseef-ur-Rehman</t>
  </si>
  <si>
    <t xml:space="preserve">May deposit admission form and fee for Intermediate Part I &amp; II (Second Annual) 2025 per Board schedule</t>
  </si>
  <si>
    <t xml:space="preserve">Statistical Data Regarding the Result — Intermediate Part I &amp; II (First Annual) 2025</t>
  </si>
  <si>
    <t xml:space="preserve">Source: BISE Lahore Result Gazette, Intermediate Part I &amp; II (First Annual) Examination 2025. Pass % as published. Grade % columns are each grade's share of Passed. "Humanities &amp; Others" is the board's group name. 2025 figures taken from the 2025 columns of the gazette table (which also repeats the 2024 figures for comparison; the 2024 columns match the 2024 sheet exactly). In every row A+ to E passed add up to Passed.</t>
  </si>
  <si>
    <t xml:space="preserve">Subject Wise / Group Wise Pass Percentage — Intermediate Part I &amp; II (First Annual) 2025</t>
  </si>
  <si>
    <t xml:space="preserve">Source: BISE Lahore Result Gazette, Intermediate Part I &amp; II (First Annual) Examination 2025 (subject-wise tables). Pass % as published. The supplied 2025 gazette contains the General Science, Commerce and Humanities &amp; Others tables only; the Pre Medical and Pre Engineering subject tables were not in the supplied pages and are not included. Subject names kept as published.</t>
  </si>
  <si>
    <t xml:space="preserve">Outlines of Home-Economics (Theory)</t>
  </si>
  <si>
    <t xml:space="preserve">Outlines of Home-Economics (Practical)</t>
  </si>
  <si>
    <t xml:space="preserve">Urdu/Advance</t>
  </si>
  <si>
    <t xml:space="preserve">BISE Lahore — Result Gazette Notice, Intermediate Part I &amp; II (First Annual) 2026</t>
  </si>
  <si>
    <t xml:space="preserve">20 May 2026</t>
  </si>
  <si>
    <t xml:space="preserve">08 July 2026</t>
  </si>
  <si>
    <t xml:space="preserve">19 August 2026</t>
  </si>
  <si>
    <t xml:space="preserve">23 September 2026</t>
  </si>
  <si>
    <t xml:space="preserve">May deposit admission form and fee for Intermediate Part I &amp; II (Second Annual) 2026 per Board schedule</t>
  </si>
  <si>
    <t xml:space="preserve">General pass percentage</t>
  </si>
  <si>
    <t xml:space="preserve">192,950 applied; 189,373 appeared; 123,060 passed; 64.98% (includes Additional-subject candidates)</t>
  </si>
  <si>
    <t xml:space="preserve">Statistical Data Regarding the Result — Intermediate Part I &amp; II (First Annual) 2026</t>
  </si>
  <si>
    <t xml:space="preserve">Source: BISE Lahore Result Gazette, Intermediate Part I &amp; II (First Annual) Examination 2026. Pass % as published. Grade % columns are each grade's share of Passed. "Humanities &amp; Others" is the board's group name. 2026 figures taken from the 2026 columns of the gazette table (which also repeats the 2025 figures for comparison; not duplicated here — see the 2025 sheet). Group order as in the 2026 gazette. In every row A+ to E passed add up to Passed, except the Grand Total row: its Applied / Appeared / Passed (192,950 / 189,373 / 123,060; 64.98%) are 503 / 431 / 223 higher than Boys Total + Girls Total (192,447 / 188,942 / 122,837) and than the sum of the group totals; the difference equals the Additional-subject candidates (431 appeared, 223 passed), and the grade columns of the Grand Total (A+ to E) add to 122,837 only. Published figures kept. In 2025 the Grand Total equalled Boys + Girls.</t>
  </si>
  <si>
    <t xml:space="preserve">Subject Wise / Group Wise Pass Percentage — Intermediate Part I &amp; II (First Annual) 2026</t>
  </si>
  <si>
    <t xml:space="preserve">Source: BISE Lahore Result Gazette, Intermediate Part I &amp; II (First Annual) Examination 2026 (subject-wise tables, pages 11-15). Pass % as published. All five group tables are included (Pre Medical, Pre Engineering, General Science, Commerce, Humanities &amp; Others). Subject names kept as published (e.g. "Urdu/Advance"); two long Commerce subject names that wrap over two lines in the gazette are joined. Regular + Private = Overall in every row.</t>
  </si>
  <si>
    <t xml:space="preserve">Commercial Practice</t>
  </si>
  <si>
    <t xml:space="preserve">District-Wise Pass Percentage — Intermediate Part I &amp; II (First Annual) 2026</t>
  </si>
  <si>
    <t xml:space="preserve">Source: BISE Lahore Result Gazette, Intermediate Part I &amp; II (First Annual) Examination 2026 (district-wise pass percentage, pages 6-10). Pass % as published. Districts: Kasur, Sheikhupura, Lahore, Nankana Sahib and Daanish Schools. The 2024 and 2025 gazettes supplied did not include this table. Daanish Schools print "-" for no candidates (Commerce, Humanities &amp; Others) — stored as 0. District Total Appeared / Passed add to the board figures for Boys + Girls (189,373 appeared, 123,060 passed).</t>
  </si>
  <si>
    <t xml:space="preserve">Kasur</t>
  </si>
  <si>
    <t xml:space="preserve">GENDER WISE</t>
  </si>
  <si>
    <t xml:space="preserve">TOTAL</t>
  </si>
  <si>
    <t xml:space="preserve">Sheikhupura</t>
  </si>
  <si>
    <t xml:space="preserve">Nankana Sahib</t>
  </si>
  <si>
    <t xml:space="preserve">Daanish Schools</t>
  </si>
  <si>
    <t xml:space="preserve">Board of Intermediate &amp; Secondary Education Mardan</t>
  </si>
  <si>
    <t xml:space="preserve">HSSC (Annual-I) Result at a Glance, Part-II — 2024, 2025 and 2026 (Class 12th, Overall). Totals are the sum of the five group sheets; the gazette shows no grade breakdown.</t>
  </si>
  <si>
    <t xml:space="preserve">BISE Mardan — HSSC (Annual-I) — Pre-Medical Group — Class 12th</t>
  </si>
  <si>
    <t xml:space="preserve">Source: BISE Mardan, HSSC (Annual-I) Examination 2024 — Result at a Glance, Part-II. Pass % = Passed ÷ Appeared. 2025: same source, HSSC (Annual-I) Examination 2025 Result at a Glance, Part-II (gazette pass % matches the calculated figures). 2026: same source, HSSC (Annual-I) Examination-2026 Result at a Glance, Part-II (gazette pass % matches the calculated figures).</t>
  </si>
  <si>
    <t xml:space="preserve">Regular (Female)</t>
  </si>
  <si>
    <t xml:space="preserve">Regular (Male)</t>
  </si>
  <si>
    <t xml:space="preserve">Private (Female)</t>
  </si>
  <si>
    <t xml:space="preserve">Private (Male)</t>
  </si>
  <si>
    <t xml:space="preserve">BISE Mardan — HSSC (Annual-I) — Pre-Engineering Group — Class 12th</t>
  </si>
  <si>
    <t xml:space="preserve">BISE Mardan — HSSC (Annual-I) — General Science Group — Class 12th</t>
  </si>
  <si>
    <t xml:space="preserve">BISE Mardan — HSSC (Annual-I) — Humanities Group — Class 12th</t>
  </si>
  <si>
    <t xml:space="preserve">BISE Mardan — HSSC (Annual-I) — Home Economics Group — Class 12th</t>
  </si>
  <si>
    <t xml:space="preserve">Source: BISE Mardan, HSSC (Annual-I) Examination 2024 — Result at a Glance, Part-II. Pass % = Passed ÷ Appeared. Published Pass % for Private (Female) is printed as 0.00 although 2 of 2 passed; the calculated 100% is used. 2025: same source, HSSC (Annual-I) Examination 2025 Result at a Glance, Part-II (gazette pass % matches the calculated figures). 2026: same source, HSSC (Annual-I) Examination-2026 Result at a Glance, Part-II (gazette pass % matches the calculated figures).</t>
  </si>
  <si>
    <t xml:space="preserve">BISE PESHAWAR — HSSC ANNUAL-I (12th) — SUMMARY (2024-2026)</t>
  </si>
  <si>
    <t xml:space="preserve">Source: BISE Peshawar, HSSC Annual-I Examination 2024 — Result at a Glance. 2024 and 2025 gazettes supplied (2025 has Part-II only). Part-II is the final (second-year) result. Part-I Pass % as published (promotion-based); Part-II Pass % calculated. 2026: gazette Result at a Glance, HSSC Annual-I 2026 (Part-I and Part-II; source www.taleem360.com copy). Part-I 99.10% is the published Pass/Promoted % ((Passed + Promoted) ÷ Total Students); Part-II Pass % calculated (gazette prints 52.60).</t>
  </si>
  <si>
    <t xml:space="preserve">Total Students</t>
  </si>
  <si>
    <t xml:space="preserve">Part-I</t>
  </si>
  <si>
    <t xml:space="preserve">Part-II</t>
  </si>
  <si>
    <t xml:space="preserve">BISE Peshawar — HSSC Annual-I — Group-wise Distribution — Part-I (Class 12th)</t>
  </si>
  <si>
    <t xml:space="preserve">Source: BISE Peshawar, HSSC Annual-I Examination 2024 — Result at a Glance, Part-I. Pass % as published (the gazette's Part-I Pass % is not Passed ÷ Total Students; it appears to exclude promoted candidates). Gazette inconsistency kept as published: in some rows A1-E do not add up to Passed, and Total differs from Passed + Promoted + Absent by a few units (the category totals still equal the sum of their groups). 2026: source HSSC Annual-I Examination 2026, Result at a Glance Part-I. Pass % is the published Pass/Promoted % ((Passed + Promoted) ÷ Total Students). In every 2026 row A1–E add to Passed and Total = Passed + Promoted + Absent; category totals add to the published overall table.</t>
  </si>
  <si>
    <t xml:space="preserve">REGULAR (FEMALE)</t>
  </si>
  <si>
    <t xml:space="preserve">General / Computer Science</t>
  </si>
  <si>
    <t xml:space="preserve">REGULAR (MALE)</t>
  </si>
  <si>
    <t xml:space="preserve">Darse-E-Nizami</t>
  </si>
  <si>
    <t xml:space="preserve">PRIVATE (FEMALE)</t>
  </si>
  <si>
    <t xml:space="preserve">PRIVATE (MALE)</t>
  </si>
  <si>
    <t xml:space="preserve">BISE Peshawar — HSSC Annual-I — Group-wise Distribution — Part-II (Class 12th)</t>
  </si>
  <si>
    <t xml:space="preserve">Source: BISE Peshawar, HSSC Annual-I Examination 2024 — Result at a Glance, Part-II. Pass % = Passed ÷ Total Students (the gazette prints it rounded to 1 decimal). Gazette inconsistency kept as published: in some rows A1-E do not add up to Passed, and Total differs from Passed + Fail + Absent by a few units (the category totals still equal the sum of their groups). 2025: source HSSC Annual-I Examination 2025 Result at a Glance (Part-II only; no Part-I result in the 2025 gazette); Total = Passed + Fail + Absent holds in every 2025 row, and category totals equal the sum of their groups. 2026: source HSSC Annual-I Examination 2026, Result at a Glance Part-II. Total = Passed + Fail + Absent and A1–E add to Passed in every 2026 row; groups add to the published overall table. New 2026 rows: Darse-E-Nizami (Private Male, 2 candidates). Pass % calculated (gazette prints it to 2 decimals).</t>
  </si>
  <si>
    <t xml:space="preserve">Theology</t>
  </si>
  <si>
    <t xml:space="preserve">Medical Laboratory</t>
  </si>
  <si>
    <t xml:space="preserve">BISE Peshawar — HSSC Annual-I — Gender-wise / Category-wise Result — Part-I (Class 12th)</t>
  </si>
  <si>
    <t xml:space="preserve">Source: BISE Peshawar, HSSC Annual-I Examination 2024 — Result at a Glance, Part-I — Overall by category. Pass % as published. Gazette inconsistency kept as published: Grand Total grades add to 50,226 vs Passed 50,207, and Total 62,886 vs Passed + Promoted + Absent 62,867. 2026: source HSSC Annual-I Examination 2026, Overall Part-I. Pass % is the published Pass/Promoted %. Grand Total and grades tie exactly to the category rows.</t>
  </si>
  <si>
    <t xml:space="preserve">GRAND TOTAL</t>
  </si>
  <si>
    <t xml:space="preserve">BISE Peshawar — HSSC Annual-I — Gender-wise / Category-wise Result — Part-II (Class 12th)</t>
  </si>
  <si>
    <t xml:space="preserve">Source: BISE Peshawar, HSSC Annual-I Examination 2024 — Result at a Glance, Part-II — Overall by category. Pass % = Passed ÷ Total Students (gazette prints integers: 97, 92, 86, 79, 92). Gazette inconsistency kept as published: Grand Total grades add to 56,147 vs Passed 56,117, and Total 61,217 vs Passed + Fail + Absent 61,187. 2025 (Part-II only): gazette prints Pass % as integers (88, 64, 80, 64, 72); Absent candidates: Regular Female 85, Regular Male 201, Private Female 72, Private Male 225, Grand Total 583 (Total = Passed + Fail + Absent). 2026: source HSSC Annual-I Examination 2026, Overall Part-II (Grand Total 66,735 / 35,103, 52.60% as published = calculated). Total = Passed + Fail + Absent; A1–E add to Passed; Grand Total ties to the category rows. Absent counts: 104, 336, 73, 241 (754 total).</t>
  </si>
  <si>
    <t xml:space="preserve">BISE Peshawar — HSSC Annual-I — Subject-wise Pass Percentage (Part-II) — Class 12th</t>
  </si>
  <si>
    <t xml:space="preserve">Source: BISE Peshawar, HSSC Annual-I Examination 2024 — Result at a Glance, subject-wise page (HSSC Part-II). Pass % as published; subject names kept as published. 2025 subject list has 40 subjects (Hematology/Blood Banking, Micro Biology and Clinical Pathology &amp; Serology appear only in 2024). 2026: Part-II subject-wise pass percentage, Annual-I 2026 gazette (40 subjects, as published; names title-cased). Part-I (first-year) subject results for 2026 are on sheet 'Pes-Subject-wise Part-I 2026'.</t>
  </si>
  <si>
    <t xml:space="preserve">Child Development</t>
  </si>
  <si>
    <t xml:space="preserve">Al Hadith With Usool E Hadith</t>
  </si>
  <si>
    <t xml:space="preserve">Mutala E Quran Hakeem</t>
  </si>
  <si>
    <t xml:space="preserve">Ethics (For Other Religion Students)</t>
  </si>
  <si>
    <t xml:space="preserve">Al Adab Al Arabi</t>
  </si>
  <si>
    <t xml:space="preserve">General History</t>
  </si>
  <si>
    <t xml:space="preserve">Statistics Paper</t>
  </si>
  <si>
    <t xml:space="preserve">Health And Phy. Education</t>
  </si>
  <si>
    <t xml:space="preserve">Home Management</t>
  </si>
  <si>
    <t xml:space="preserve">General Maths</t>
  </si>
  <si>
    <t xml:space="preserve">English(Adv)</t>
  </si>
  <si>
    <t xml:space="preserve">Urdu(Adv)</t>
  </si>
  <si>
    <t xml:space="preserve">Hematology / Blood Banking</t>
  </si>
  <si>
    <t xml:space="preserve">Micro Biology</t>
  </si>
  <si>
    <t xml:space="preserve">Clinical Pathology &amp; Serology (MLT)</t>
  </si>
  <si>
    <t xml:space="preserve">Clothing &amp;Amp; Related Arts</t>
  </si>
  <si>
    <t xml:space="preserve">BISE Peshawar — HSSC Annual-I 2026 — Subject-wise Pass Percentage (Part-I, first year) — for reference</t>
  </si>
  <si>
    <t xml:space="preserve">Source: BISE Peshawar, HSSC Annual-I Examination 2026 — subject-wise pass percentage (HSSC Part-I). Pass % as published; subject names kept as published (title-cased). Part-I is the first-year (promoted) result, shown for reference; the Master Summary uses Part-II.</t>
  </si>
  <si>
    <t xml:space="preserve">Enrolled</t>
  </si>
  <si>
    <t xml:space="preserve">Cancelled</t>
  </si>
  <si>
    <t xml:space="preserve">Male_Appeared</t>
  </si>
  <si>
    <t xml:space="preserve">Male_Passed</t>
  </si>
  <si>
    <t xml:space="preserve">Male_Pass_Pct</t>
  </si>
  <si>
    <t xml:space="preserve">Female_Appeared</t>
  </si>
  <si>
    <t xml:space="preserve">Female_Passed</t>
  </si>
  <si>
    <t xml:space="preserve">Female_Pass_Pct</t>
  </si>
  <si>
    <t xml:space="preserve">Candidates</t>
  </si>
  <si>
    <t xml:space="preserve">Science General</t>
  </si>
  <si>
    <t xml:space="preserve">Institute_Type</t>
  </si>
  <si>
    <t xml:space="preserve">Regular (Government Institutes)</t>
  </si>
  <si>
    <t xml:space="preserve">Regular (Affiliated Institutes)</t>
  </si>
  <si>
    <t xml:space="preserve">Private Candidates</t>
  </si>
  <si>
    <t xml:space="preserve">Regular_Appeared</t>
  </si>
  <si>
    <t xml:space="preserve">Regular_Passed</t>
  </si>
  <si>
    <t xml:space="preserve">Regular_Pass_Pct</t>
  </si>
  <si>
    <t xml:space="preserve">Private_Appeared</t>
  </si>
  <si>
    <t xml:space="preserve">Private_Passed</t>
  </si>
  <si>
    <t xml:space="preserve">Private_Pass_Pct</t>
  </si>
  <si>
    <t xml:space="preserve">Total_Appeared</t>
  </si>
  <si>
    <t xml:space="preserve">Total_Passed</t>
  </si>
  <si>
    <t xml:space="preserve">Total_Pass_Pct</t>
  </si>
  <si>
    <t xml:space="preserve">Attock</t>
  </si>
  <si>
    <t xml:space="preserve">Chakwal</t>
  </si>
  <si>
    <t xml:space="preserve">Jehlum</t>
  </si>
  <si>
    <t xml:space="preserve">Talagang</t>
  </si>
  <si>
    <t xml:space="preserve">Murree</t>
  </si>
  <si>
    <t xml:space="preserve">Total (calculated)</t>
  </si>
  <si>
    <t xml:space="preserve">Source_Page</t>
  </si>
  <si>
    <t xml:space="preserve">UFM_ETC</t>
  </si>
  <si>
    <t xml:space="preserve">Misc_Cases</t>
  </si>
  <si>
    <t xml:space="preserve">Private page</t>
  </si>
  <si>
    <t xml:space="preserve">All Candidates</t>
  </si>
  <si>
    <t xml:space="preserve">All</t>
  </si>
  <si>
    <t xml:space="preserve">Total Private Candidates</t>
  </si>
  <si>
    <t xml:space="preserve">Regular page</t>
  </si>
  <si>
    <t xml:space="preserve">Total Regular Candidates</t>
  </si>
  <si>
    <t xml:space="preserve">S_No</t>
  </si>
  <si>
    <t xml:space="preserve">Part-1</t>
  </si>
  <si>
    <t xml:space="preserve">Ikhlaqiat (For Non-Muslims)</t>
  </si>
  <si>
    <t xml:space="preserve">Tarjama Tul Quran Ul Majeed</t>
  </si>
  <si>
    <t xml:space="preserve">History</t>
  </si>
  <si>
    <t xml:space="preserve">Islamic Studies (Hum. Group)</t>
  </si>
  <si>
    <t xml:space="preserve">Health And Physical Education</t>
  </si>
  <si>
    <t xml:space="preserve">Ethics (For Non-Muslims)</t>
  </si>
  <si>
    <t xml:space="preserve">Princip. Of Eco. &amp; Comm. Geography</t>
  </si>
  <si>
    <t xml:space="preserve">Princip. Of Commerce &amp; Banking/CSD</t>
  </si>
  <si>
    <t xml:space="preserve">Business Math And Statistics</t>
  </si>
  <si>
    <t xml:space="preserve">Part-2</t>
  </si>
  <si>
    <t xml:space="preserve">Source</t>
  </si>
  <si>
    <t xml:space="preserve">BISE Rawalpindi Result Gazette, HSSC 1st Annual Examination 2024 (dated 4 September 2024). Percentages as published.</t>
  </si>
  <si>
    <t xml:space="preserve">Private groups</t>
  </si>
  <si>
    <t xml:space="preserve">The five listed private groups cover 17,034 of the 17,091 private candidates appeared (5,740 of 5,795 passed). The gazette does not show the remaining 57 candidates (55 passed) by group.</t>
  </si>
  <si>
    <t xml:space="preserve">District table</t>
  </si>
  <si>
    <t xml:space="preserve">District Regular + Private rows add to 63,291 appeared and 35,917 passed; the board total is 35,922 passed.</t>
  </si>
  <si>
    <t xml:space="preserve">Grades</t>
  </si>
  <si>
    <t xml:space="preserve">A+ to E add to 35,917 against 35,922 passed overall; some group rows differ by 1-4 (e.g. Humanities Private: passed 2,912, grades 2,908).</t>
  </si>
  <si>
    <t xml:space="preserve">Female Commerce Total</t>
  </si>
  <si>
    <t xml:space="preserve">Gazette prints D = 113 and grades add to 659 vs 679 passed. Regular 83 + Private 50 = 133, so 113 is a misprint. Kept as published.</t>
  </si>
  <si>
    <t xml:space="preserve">Institute-wise table</t>
  </si>
  <si>
    <t xml:space="preserve">Grand Total Pass % is printed as 56.75 there; the summary page prints 56.76 (35,922 / 63,291).</t>
  </si>
  <si>
    <t xml:space="preserve">Salient Features sheet</t>
  </si>
  <si>
    <t xml:space="preserve">Enrolled = Cancelled + Appeared + Absent, and Appeared = Passed + Failed + Misc. Cases, hold in every row.</t>
  </si>
  <si>
    <t xml:space="preserve">Subject pages</t>
  </si>
  <si>
    <t xml:space="preserve">Part-1 (36 rows), Part-2 (36 rows) and Overall (40 rows); spellings kept as published.</t>
  </si>
  <si>
    <t xml:space="preserve">Source (2025)</t>
  </si>
  <si>
    <t xml:space="preserve">BISE Rawalpindi Result Gazette, HSSC 1st Annual Examination 2025 (dated 18 September 2025). Percentages as published. The Salient Features pages (private / regular) and the three subject-wise pages are images in the supplied PDF and were read from the page images; every subject Pass % recalculates to the printed figure and Enrolled = Cancelled + Appeared + Absent holds in every Salient Features row.</t>
  </si>
  <si>
    <t xml:space="preserve">Overview (2025)</t>
  </si>
  <si>
    <t xml:space="preserve">Enrolled 59,784 = Cancelled 31 + Absent 813 + Appeared 58,940. Grades A+ to E add to 31,894 against 31,898 passed. The gazette also reports 33 UFM/ETC cases (column UFM_ETC on the Salient Features sheet).</t>
  </si>
  <si>
    <t xml:space="preserve">Rounded percentages (2025)</t>
  </si>
  <si>
    <t xml:space="preserve">The 2025 gazette prints many percentages rounded to a whole number or one decimal (e.g. Pre-Medical Regular Total 79, Commerce Overall Total 53, most Institute-wise Total rows and all District-wise Regular/Private/Overall figures). They are stored as published; calculated Passed ÷ Appeared differs by up to 0.34 points (District-wise, e.g. Chakwal Private printed 34 vs 33.66 calculated).</t>
  </si>
  <si>
    <t xml:space="preserve">Pass % differs from calculated (2025)</t>
  </si>
  <si>
    <t xml:space="preserve">Regular Commerce Male prints 52.14 (calculated 52.09) and Regular Commerce Total 63.94 (63.90); Overall Pre-Medical Male 58.8 (58.85); Overall Science General Male 40.7 (40.74) and Female 60.6 (60.64); Overall Commerce Male 40.70 (40.66). Institute-wise: Male Sub-Total prints 39.9 (39.87), Female Private 39.9 (39.83). Kept as published.</t>
  </si>
  <si>
    <t xml:space="preserve">Grades (2025)</t>
  </si>
  <si>
    <t xml:space="preserve">A+ to E do not add up to Passed in some rows (differences of 1-4): Private Humanities (grades 2,707 vs 2,710 passed), Private Pre-Medical (996 vs 997), Male Private Humanities (615 vs 618), Male Private Pre-Medical (231 vs 232) and the totals built from them. Humanities Total (all candidates) prints C = 2,387 although Regular 2,556 + Private 831 = 3,387 (and Male 467 + Female 2,920 = 3,387), so 2,387 is a misprint; kept as published.</t>
  </si>
  <si>
    <t xml:space="preserve">Salient Features sheet (2025)</t>
  </si>
  <si>
    <t xml:space="preserve">Enrolled = Cancelled + Appeared + Absent and Appeared = Passed + Failed + Misc. Cases + UFM/ETC hold in every row. Grades add to Passed except in the rows listed under Grades (2025).</t>
  </si>
  <si>
    <t xml:space="preserve">District table (2025)</t>
  </si>
  <si>
    <t xml:space="preserve">District Regular + Private rows add exactly to the board totals: 58,940 appeared and 31,898 passed.</t>
  </si>
  <si>
    <t xml:space="preserve">Subject pages (2025)</t>
  </si>
  <si>
    <t xml:space="preserve">Part-1 (34 rows), Part-2 (36 rows) and Overall (40 rows); spellings follow the 2024 sheet. The Part-2 page is headed "2nd Annual, 2025" in the gazette (taken to be a typo for 1st Annual). Compared with 2024, Part-1 has no Ikhlaqiat / Civics For Non Muslim rows and adds Library Science.</t>
  </si>
  <si>
    <t xml:space="preserve">Source (2026)</t>
  </si>
  <si>
    <t xml:space="preserve">BISE Rawalpindi Result Gazette, HSSC 1st Annual Examination 2026 (dated 23 September 2026). Percentages as published. Pages supplied: Summary &amp; Glimpses of Result, Pass Percentage (Private / Regular / Overall), Statistical Data (Overall / Male / Female grades), Institute-wise statistics and District-wise performance.</t>
  </si>
  <si>
    <t xml:space="preserve">Not in 2026 gazette pages supplied</t>
  </si>
  <si>
    <t xml:space="preserve">The Salient Features pages (Private / Regular) and the three subject-wise pass-percentage pages (Part-1, Part-2, Overall) were not among the supplied pages (only the subject abbreviation list was), so the RWP Salient Features and RWP Subject Wise Pass % sheets have no 2026 rows yet.</t>
  </si>
  <si>
    <t xml:space="preserve">Overview (2026)</t>
  </si>
  <si>
    <t xml:space="preserve">Enrolled 62,233 = Cancelled 29 + Absent 795 + Appeared 61,409. Male 21,821 appeared / 10,152 passed (46.52%); Female 39,588 / 26,744 (summary page prints 67.56; the institute-wise table prints 67.55 - 26,744 / 39,588 = 67.55). Overall grades A-1 to E as printed (2,671 / 5,577 / 10,176 / 12,288 / 5,815 / 365) add to 36,892 against 36,896 passed.</t>
  </si>
  <si>
    <t xml:space="preserve">Commerce Total passed misprint (2026)</t>
  </si>
  <si>
    <t xml:space="preserve">On the Overall grade page (Statistical Data - Overall Candidates), Commerce Group TOTAL prints Passed = 3,950; Regular 1,131 + Private 366 = 1,497, which is what the Pass Percentage Overall page prints (1,497). 3,950 is kept as published on RWP Grades by Category and the Commerce Total grades (66 / 149 / 334 / 477 / 394 / 77) add to 1,497. The Male and Female pages are correct (775 + 722 = 1,497).</t>
  </si>
  <si>
    <t xml:space="preserve">Grades (2026)</t>
  </si>
  <si>
    <t xml:space="preserve">A-1 to E do not add up to Passed in Private Humanities: All 3,630 vs 3,634 (Male 990 vs 992, Female 2,640 vs 2,642) and the Humanities Total built from it (11,589 vs 11,593; Male 1,988 vs 1,990; Female 9,601 vs 9,603). All other rows tie. The summed group Total grade rows differ from the printed overall grade line on the summary page (A-1 2,670 vs 2,671; B 10,162 vs 10,176; C 12,266 vs 12,288; D 5,814 vs 5,815).</t>
  </si>
  <si>
    <t xml:space="preserve">Rounded / recalculated (2026)</t>
  </si>
  <si>
    <t xml:space="preserve">Group, gender, institute and district Pass % values recalculate to the printed figures to 2 decimals in every row.</t>
  </si>
  <si>
    <t xml:space="preserve">District table (2026)</t>
  </si>
  <si>
    <t xml:space="preserve">District Regular + Private rows add exactly to the board totals: 61,409 appeared and 36,896 passed. Regular 45,327 / 30,645; Private 16,082 / 6,251 (matching the institute-wise table).</t>
  </si>
  <si>
    <t xml:space="preserve">Institute-wise (2026)</t>
  </si>
  <si>
    <t xml:space="preserve">Male Private Candidates passed printed 2,151 (30.14% = 2,151 / 7,135); Male Sub-Total 10,152 = 1,606 + 6,395 + 2,151.</t>
  </si>
  <si>
    <t xml:space="preserve">HSSC (Class 12th, Part-II) Result At a Glance — Sahiwal Board (2024–2026)</t>
  </si>
  <si>
    <t xml:space="preserve">Board of Intermediate and Secondary Education, Sahiwal — HSSC Part-II First Annual 2024 and 2025. Both gazettes supplied. 2025 source: Result of First Annual Examination for HSSC (Part-II) 2025, page 13 (Pass % as published). 2026 source: Result of First Annual Examination for HSSC (Part-II) 2026, page 13 (Pass % as published).</t>
  </si>
  <si>
    <t xml:space="preserve">Total Applied</t>
  </si>
  <si>
    <t xml:space="preserve">Pass Percentage by Category, Group &amp; Gender (2024–2026) — HSSC Part-II</t>
  </si>
  <si>
    <t xml:space="preserve">Source: BISE Sahiwal, Result of First Annual Examination for HSSC (Part-II) 2024 — gazette pages 13-18. Pass % as published. Private Humanities male label printed as "MALEs" in the gazette. 2025: Source: BISE Sahiwal, Result of First Annual Examination for HSSC (Part-II) 2025 — gazette pages 13-14. Pass % as published; the "MALEs" label for Private Humanities is printed again in the 2025 gazette. 2026: Source: BISE Sahiwal, Result of First Annual Examination for HSSC (Part-II) 2026 — gazette pages 13-15. Pass % as published. All rows tie (Regular + Private = Overall, Male + Female = Total, groups add to the printed TOTAL, and Pass % recalculates to 2 decimals). Home Economics and Medical Technology appear in all three tables as printed (zero rows kept).</t>
  </si>
  <si>
    <t xml:space="preserve">REGULAR</t>
  </si>
  <si>
    <t xml:space="preserve">PRE-MEDICAL</t>
  </si>
  <si>
    <t xml:space="preserve">PRE-ENGINEERING</t>
  </si>
  <si>
    <t xml:space="preserve">HUMANITIES</t>
  </si>
  <si>
    <t xml:space="preserve">GENERAL SCIENCE</t>
  </si>
  <si>
    <t xml:space="preserve">COMMERCE</t>
  </si>
  <si>
    <t xml:space="preserve">HOME ECONOMICS</t>
  </si>
  <si>
    <t xml:space="preserve">PRIVATE</t>
  </si>
  <si>
    <t xml:space="preserve">MEDICAL TECHNOLOGY</t>
  </si>
  <si>
    <t xml:space="preserve">OVERALL</t>
  </si>
  <si>
    <t xml:space="preserve">Groupwise Pass Percentage by Subject (2024–2026) — HSSC Part-II</t>
  </si>
  <si>
    <t xml:space="preserve">Source: BISE Sahiwal, Result of First Annual Examination for HSSC (Part-II) 2024 — gazette pages 15-16. Pass % as published; excluding Result Later cases. Gazette inconsistency kept as published: Total Appeared = Regular + Private everywhere, but Total Pass is not Regular + Private Pass in 53 rows (in Pre-Engineering, General Science, Commerce and Humanities the printed Total Pass is higher than the sum; Pre-Medical rows are consistent; Total Pass % matches the printed Total Pass). The 'SWL Subjectwise Pass %' sheet is internally consistent (Regular + Private = Overall) and should be preferred for overall subject figures. Pre-Engineering Islamic Education Total prints 94 passed / 100.00% although 4 + 88 = 92. 2025: Source: BISE Sahiwal, Result of First Annual Examination for HSSC (Part-II) 2025 — gazette pages 15-16. Pass % as published; excluding Result Later cases. Gazette inconsistencies kept as published (2025): Total Appeared = Regular + Private in every row, but Total Pass is not Regular + Private Pass in 54 of 81 rows (Humanities, Commerce, General Science, Pre-Engineering and Medical Technology; the printed Total Pass is always higher than the sum; Pre-Medical rows are consistent; Total Pass % matches the printed Total Pass). Private Pass % is printed as 0.00 although 6 of 7 passed (Pre-Medical Ethics), 1 of 1 passed (General Science Ethics) and 1 of 1 passed (Humanities Outlines Of Home Economics). Medical Technology English prints Total Pass 3 although no candidate passed in the Regular or Private columns. The 'SWL Subjectwise Pass %' sheet is internally consistent and should be preferred for overall subject figures. 2026: Source: BISE Sahiwal, Result of First Annual Examination for HSSC (Part-II) 2026 — gazette pages 16-19. Pass % as published; excluding Result Later cases. Subject names title-cased as published (practical papers are listed separately in 2026, e.g. 'Biology (Practical)'). Unlike 2024/2025, Total Pass equals Regular + Private Pass in every 2026 row. Gazette anomalies kept as published (2026): Humanities Private pass exceeds appeared for Geography (4 / 5 = 125%), Library Science (1 / 3 = 300%; Total 508 / 509 = 100.2%) and Religious Education (9 / 11 = 122.22%); Commerce Religious Education prints Private 0 appeared / 1 passed. Commerce lists 'Business Math' twice with identical figures (first and last row; the repeat is probably Business Statistics, whose figures the gazette does not show separately). Medical Technology has Private candidates only.</t>
  </si>
  <si>
    <t xml:space="preserve">Reg. Appeared</t>
  </si>
  <si>
    <t xml:space="preserve">Reg. Pass</t>
  </si>
  <si>
    <t xml:space="preserve">Reg. Pass %</t>
  </si>
  <si>
    <t xml:space="preserve">Pvt. Appeared</t>
  </si>
  <si>
    <t xml:space="preserve">Pvt. Pass</t>
  </si>
  <si>
    <t xml:space="preserve">Pvt. Pass %</t>
  </si>
  <si>
    <t xml:space="preserve">Trans. Of The Holy Quran</t>
  </si>
  <si>
    <t xml:space="preserve">Fine Arts (Practical)</t>
  </si>
  <si>
    <t xml:space="preserve">Outlines Of Home Economics (Practical)</t>
  </si>
  <si>
    <t xml:space="preserve">Principles Of Commerce (Practical)</t>
  </si>
  <si>
    <t xml:space="preserve">Subjectwise Pass Percentage — All Groups Combined (2024–2026) — HSSC Part-II</t>
  </si>
  <si>
    <t xml:space="preserve">Source: BISE Sahiwal, Result of First Annual Examination for HSSC (Part-II) 2024 — gazette pages 13-18. Pass % as published. Excluding Result Later cases. "Overall" columns here add up consistently (Regular + Private); subject names kept as published. 2025: Source: BISE Sahiwal, Result of First Annual Examination for HSSC (Part-II) 2025 — gazette page 17 (subject-wise statement, excluding Result Later cases). Pass % as published; Regular + Private = Overall in every 2025 row. Private Pass % for Outlines Of Home Economics is printed as 0.00 although 1 of 1 passed. 2026: Source: BISE Sahiwal, Result of First Annual Examination for HSSC (Part-II) 2026 — gazette page 20 (overall subject-wise statement, 52 subjects). Pass % as published; Regular + Private = Overall in every row and every row equals the sum of the group tables. Same anomalies as the group tables: Geography Private 4 / 5 (125%), Library Science Private 1 / 3 (300%; Overall 508 / 509 = 100.2%), Religious Education Private 12 / 14 (116.67%). 2026 names differ from 2025 in places: 'Islamic Studies' (2025: 'Islamic Studies (Elective)'); practical papers are separate rows; no Banking, Business Statistics, Commercial Geography or Pakistani Culture rows.</t>
  </si>
  <si>
    <t xml:space="preserve">Overall Pass</t>
  </si>
  <si>
    <t xml:space="preserve">District, Gender &amp; Category-wise Pass Percentage (2024–2026) — HSSC Part-II</t>
  </si>
  <si>
    <t xml:space="preserve">Source: BISE Sahiwal, Result of First Annual Examination for HSSC (Part-II) 2024 — gazette pages 13-18. Pass % as published. Districts: Okara, Sahiwal, Pakpattan. Grand totals 19,630 / 16,073 / 9,816 appeared; 11,206 / 8,683 / 5,288 passed (pass % 57.09 / 54.02 / 53.87). 2025: Source: BISE Sahiwal, Result of First Annual Examination for HSSC (Part-II) 2025 — gazette page 18. Pass % (last column) is the published Total pass % for the row. 2025 grand totals 17,683 / 16,056 / 9,502 appeared; 10,575 / 9,228 / 5,675 passed (pass % 59.80 / 57.47 / 59.72) for Okara / Sahiwal / Pakpattan. 2026: Source: BISE Sahiwal, Result of First Annual Examination for HSSC (Part-II) 2026 — gazette page 21. Pass % (last column) is the published Total pass % for the row. 2026 grand totals 19,038 / 17,109 / 10,101 appeared; 12,402 / 10,074 / 6,392 passed (pass % 65.14 / 58.88 / 63.28) for Okara / Sahiwal / Pakpattan; board total 46,248 / 28,868 (62.42%). Boys/girls figures add to the totals in every row.</t>
  </si>
  <si>
    <t xml:space="preserve">Institute Type</t>
  </si>
  <si>
    <t xml:space="preserve">Boys Appeared</t>
  </si>
  <si>
    <t xml:space="preserve">Boys Pass</t>
  </si>
  <si>
    <t xml:space="preserve">Girls Appeared</t>
  </si>
  <si>
    <t xml:space="preserve">Girls Pass</t>
  </si>
  <si>
    <t xml:space="preserve">OKARA</t>
  </si>
  <si>
    <t xml:space="preserve">Pvt. Institute</t>
  </si>
  <si>
    <t xml:space="preserve">SAHIWAL</t>
  </si>
  <si>
    <t xml:space="preserve">PAKPATTAN</t>
  </si>
  <si>
    <t xml:space="preserve">BOARD OF INTERMEDIATE AND SECONDARY EDUCATION, SARGODHA</t>
  </si>
  <si>
    <t xml:space="preserve">HSSC Part I &amp; II (Composite) First Annual Examination — Result at a Glance — 2024 and 2025. 2024: also published 1,050 absent candidates and 2,080 un-allotted/cancelled roll numbers. 2025: gazette Result at a Glance (50,982 applied, 50,017 appeared, 34,428 passed, 68.83% published); no absent or cancelled counts on the supplied pages. Unfair-means cases 2025: 15 registered, 10 disqualified, 5 let off. Both gazettes supplied. 2026: gazette Result at a Glance (55,749 applied, 55,034 appeared, 38,076 passed, 69.19% published); 715 absent candidates and 11,750 un-allotted/cancelled roll numbers. Unfair-means cases 2026: 19 registered, 11 disqualified, 8 let off.</t>
  </si>
  <si>
    <t xml:space="preserve">District-Wise Pass Percentage by Category (2024–2026) — HSSC Part-II</t>
  </si>
  <si>
    <t xml:space="preserve">Source: BISE Sargodha, HSSC Part-II (1st Annual) Examination 2024 — Result Gazette (printed 03/09/2024). Pass % = Passed ÷ Appeared (matches the gazette to 2 decimals). 2025: Source: BISE Sargodha, HSSC Part-II (1st Annual) Examination 2025 — Result Gazette (printed 17/09/2025). Pass % = Passed ÷ Appeared (matches the gazette to 2 decimals). As in 2024, the Private category includes the Additional group, so Private/Total here are slightly higher than on the grade-distribution sheet (which excludes Additional). 2026: Source: BISE Sargodha, HSSC Part-II (1st Annual) Examination 2026 — Result Gazette (printed 22/09/2026), district-wise pass percentage (Result at a Glance). Pass % = Passed ÷ Appeared (matches the gazette to 2 decimals). As in 2024 and 2025, the Private category includes the Additional group, so Private/Total are slightly higher than on the grade-distribution sheet (which excludes Additional).</t>
  </si>
  <si>
    <t xml:space="preserve">Bhakkar</t>
  </si>
  <si>
    <t xml:space="preserve">Govt</t>
  </si>
  <si>
    <t xml:space="preserve">NonGovt</t>
  </si>
  <si>
    <t xml:space="preserve">Khushab</t>
  </si>
  <si>
    <t xml:space="preserve">Mianwali</t>
  </si>
  <si>
    <t xml:space="preserve">District-Wise Grade Distribution — Excluding "Additional" Category (2024–2026) — HSSC Part-II</t>
  </si>
  <si>
    <t xml:space="preserve">Source: BISE Sargodha, HSSC Part-II (1st Annual) Examination 2024 — Result Gazette (printed 03/09/2024). Pass % = Passed ÷ Appeared (matches the gazette to 2 decimals). 2025: Source: BISE Sargodha, HSSC Part-II (1st Annual) Examination 2025 — Result Gazette (printed 17/09/2025), District Wise Pass Percentage (Excluded Additional). Gazette inconsistency kept as published (2025): Bhakkar Private grades A+ to E add to 989 against 990 passed (the Bhakkar Total and Overall Private/Total rows carry the same difference of 1). F = Appeared − Passed in every row. 2026: Source: BISE Sargodha, HSSC Part-II (1st Annual) Examination 2026 — Result Gazette (printed 22/09/2026), District Wise Pass Percentage (Excluded Additional). Pass % = Passed ÷ Appeared (matches the gazette to 2 decimals). Gazette inconsistency kept as published (2026): Mianwali Private grades A+ to E add to 795 against 794 passed, and F is printed as 1,068 (appeared − grade total) rather than 1,069 (appeared − passed); the Mianwali Total and Overall Private/Total rows carry the same difference of 1 (Overall Total grades 38,028 vs 38,027 passed; F 16,935 vs 16,936). F = Appeared − Passed in every other row.</t>
  </si>
  <si>
    <t xml:space="preserve">F</t>
  </si>
  <si>
    <t xml:space="preserve">Group-Wise Pass Percentage — Regular, Private &amp; Overall (2024–2026) — HSSC Part-II</t>
  </si>
  <si>
    <t xml:space="preserve">Source: BISE Sargodha, HSSC Part-II (1st Annual) Examination 2024 — Result Gazette (printed 03/09/2024). Pass % = Passed ÷ Appeared (matches the gazette to 2 decimals). Built from the district-wise detail (OVERALL page) and checked against the gazette's Regular / Private / Overall group tables. 2025: Source: BISE Sargodha, HSSC Part-II (1st Annual) Examination 2025 — Result Gazette (printed 17/09/2025) — Regular, Private and Overall group tables (Result at a Glance, pages 1-3 of 3). Pass % = Passed ÷ Appeared (matches the gazette to 2 decimals). Diploma Holder has Male and Total rows only; no Islamic Studies group in 2025. 2026: Source: BISE Sargodha, HSSC Part-II (1st Annual) Examination 2026 — Result Gazette (printed 22/09/2026) — Regular, Private and Overall group tables (Result at a Glance, pages 1-3 of 3). Pass % = Passed ÷ Appeared (matches the gazette to 2 decimals). Diploma Holder has Male and Total rows only. Regular + Private = Overall and the district detail adds to these tables in every row.</t>
  </si>
  <si>
    <t xml:space="preserve">Student Type</t>
  </si>
  <si>
    <t xml:space="preserve">Diploma Holder</t>
  </si>
  <si>
    <t xml:space="preserve">Additional</t>
  </si>
  <si>
    <t xml:space="preserve">Shahadat-u-Sanviya Khasa / Languages</t>
  </si>
  <si>
    <t xml:space="preserve">District × Group × Student Type × Gender — HSSC Part-II 1st Annual 2024–2026</t>
  </si>
  <si>
    <t xml:space="preserve">Source: BISE Sargodha, HSSC Part-II (1st Annual) Examination 2024 — Result Gazette (printed 03/09/2024). Pass % = Passed ÷ Appeared (matches the gazette to 2 decimals). Includes Additional, Diploma Holder, Islamic Studies and Shahadat-u-Sanviya Khasa / Languages groups. "Overall" = all districts (the board total). 2025: Source: BISE Sargodha, HSSC Part-II (1st Annual) Examination 2025 — Result Gazette (printed 17/09/2025) — district pages 1-5 (Bhakkar, Khushab, Mianwali, Sargodha, Overall). Each district's rows add to the published district total (8,785 / 7,367 / 8,643 / 25,222 / 50,017 appeared). No Islamic Studies group in 2025. 2026: Source: BISE Sargodha, HSSC Part-II (1st Annual) Examination 2026 — Result Gazette (printed 22/09/2026) — district pages 1-5 (Bhakkar, Khushab, Mianwali, Sargodha, Overall). Each district's rows add to the published district total (9,531 / 8,685 / 9,455 / 27,363 / 55,034 appeared; 6,188 / 5,936 / 6,211 / 19,741 / 38,076 passed), and the four districts add to Overall in every row. Bhakkar prints a Diploma Holder (Private Male) row with 0 appeared (group pass % printed as NaN); kept as published. Languages group is spelled 'Shahadat U Sanviya Khasa / Languages' in the gazette.</t>
  </si>
  <si>
    <t xml:space="preserve">BISE SAIDU SHARIF, SWAT — HSSC ANNUAL-I GRAND TOTAL SUMMARY (2024–2026)</t>
  </si>
  <si>
    <t xml:space="preserve">The 2024 gazette reports both Class 11th and Class 12th; Class 12th is used for the Master Summary. The 2025 gazette supplied reports Class 12th only (Grand Total 32,152 appeared, 26,384 passed, 82.06% as published). Fail = Appeared − Passed. 2026: gazette Result at a Glance, Class 11th (31,611 appeared, 19,772 passed, 62.55%) and Class 12th (32,531 appeared, 21,183 passed, 65.12%); Pass % as published; Class 12th is used for the Master Summary.</t>
  </si>
  <si>
    <t xml:space="preserve">Exam Class</t>
  </si>
  <si>
    <t xml:space="preserve">Fail (approx)</t>
  </si>
  <si>
    <t xml:space="preserve">11th</t>
  </si>
  <si>
    <t xml:space="preserve">12th</t>
  </si>
  <si>
    <t xml:space="preserve">BOARD OF INTERMEDIATE &amp; SECONDARY EDUCATION, SAIDU SHARIF, SWAT — GROUP-WISE DISTRIBUTION — HSSC ANNUAL-I 2024–2026</t>
  </si>
  <si>
    <t xml:space="preserve">Source: BISE Saidu Sharif, Swat — HSSC (Annual-I) Examination 2024, Result at a Glance (Class 11th and Class 12th) and subject-wise result. Pass % as published. Groups: Pre-Medical, Pre-Engineering, Computer Science, Humanities (gazette does not list Private categories where none appeared). Gazette inconsistencies kept as published (checked against the page images): in 13 Class 12th rows the grades A-I to E differ from Passed by a few units (e.g. Pre-Medical Regular Boys: passed 12,529, grades add to 12,526), and the Computer Science Class 12th sub-total prints grade A as 147 although its rows add to 157 (the grand total uses 147). Class 11th rows are consistent. 2025: Source: BISE Saidu Sharif, Swat — HSSC (Annual-I) Examination 2025, Result at a Glance Class 12th (gazette pages VI-VII). Class 12th only. Pass % as published; grades A-I to E add to Passed in every 2025 row and the groups add to the Grand Total. Pre-Engineering Sub Total grade B is printed as "00" in the gazette; its four rows and the Grand Total (7,540) both give 300, which is what is stored here. 2026: Source: BISE Saidu Sharif, Swat — HSSC (Annual-I) Examination 2026, Result at a Glance Class 11th (gazette p. VI) and Class 12th (pp. VII-VIII). Pass % as published (some printed to 1 decimal, some to 2). Grade A-I = A1. Categories add to each Sub Total and the groups add to the Grand Total in every column (Class 11th 31,611 / 19,772; Class 12th 32,531 / 21,183). Class 11th grades add to Passed in every row. Gazette inconsistency kept as published (Class 12th): grades A-I to E do not add to Passed for Pre-Medical Private (Boys) (1,205 passed vs grades 1,198), Pre-Medical Sub Total (17,385 vs 17,378), Pre-Engineering Private (Boys) (149 vs 84), Pre-Engineering Private (Girls) (10 vs 1), Pre-Engineering Sub Total (813 vs 739), Humanities Private (Boys) (432 vs 431), Humanities Sub Total (1,871 vs 1,870) and the Grand Total (21,183 vs 21,101); the printed grade totals are the sum of their category rows. Class 12th has Private categories in Pre-Medical, Pre-Engineering and Computer Science (Class 11th has Private only in Humanities).</t>
  </si>
  <si>
    <t xml:space="preserve">A-I</t>
  </si>
  <si>
    <t xml:space="preserve">All Groups</t>
  </si>
  <si>
    <t xml:space="preserve">BOARD OF INTERMEDIATE &amp; SECONDARY EDUCATION, SAIDU SHARIF, SWAT — SUBJECT-WISE PASS % — HSSC ANNUAL-I 2024–2026</t>
  </si>
  <si>
    <t xml:space="preserve">Source: BISE Saidu Sharif, Swat — HSSC (Annual-I) Examination 2024, Result at a Glance (Class 11th and Class 12th) and subject-wise result. Pass % as published. Subjects ending -I are Class 11th, -II are Class 12th; subjects printed without a suffix (Botany, Zoology, Pakistan Study, Islamic Education) are not split by class. Pass % is printed as a whole number. Gazette prints "Computer Science-II" twice (2,459 and 1,655 appeared); kept as published. 2025: Source: BISE Saidu Sharif, Swat — HSSC (Annual-I) Examination 2025, subject-wise result (pages XIII-XV), in gazette order. The 2025 gazette is headed Class 12th; the Class column again follows the paper suffix (-I / -II), not a separate class result. Islamic Education and Pakistan Studies are not split by paper. Gazette oddities kept as published (2025): "Economics-I" is printed twice (1,310 / 1,253 and 1,127 / 1,115; the second is taken to be Economics-II and labelled 12th); "Botany / Zoology-I" is printed in place of Zoology-I; no Zoology-II, Botany-II, Chemistry/Physics practical or Computer Science-II duplicate rows appear. Pass % is printed as a whole number. 2026: Source: BISE Saidu Sharif, Swat — HSSC (Annual-I) Examination 2026, subject-wise result (pages XIV-XVI), in gazette order (58 paper rows). Class follows the paper suffix (-I = 11th, -II = 12th); Islamic Education and Pakistan Studies are printed as single papers and are labelled as not split, as in 2024/2025. Unlike 2024/2025, the 2026 Pass % is printed to two decimals. Subject names normalised to the existing style (e.g. "Pashto-I", "Health and Physical Education-I"). Botany and Zoology are not listed separately in 2026 (Biology-I / Biology-II appear instead).</t>
  </si>
  <si>
    <t xml:space="preserve">Class</t>
  </si>
  <si>
    <t xml:space="preserve">Archaeology-I</t>
  </si>
  <si>
    <t xml:space="preserve">Archaeology-II</t>
  </si>
  <si>
    <t xml:space="preserve">Botany</t>
  </si>
  <si>
    <t xml:space="preserve">11th &amp; 12th (not split)</t>
  </si>
  <si>
    <t xml:space="preserve">Computer Science -II</t>
  </si>
  <si>
    <t xml:space="preserve">English Advance-I</t>
  </si>
  <si>
    <t xml:space="preserve">English Advance-II</t>
  </si>
  <si>
    <t xml:space="preserve">Ethics-I</t>
  </si>
  <si>
    <t xml:space="preserve">Ethics-II</t>
  </si>
  <si>
    <t xml:space="preserve">General Maths-I</t>
  </si>
  <si>
    <t xml:space="preserve">General Maths-II</t>
  </si>
  <si>
    <t xml:space="preserve">Home Economics-I</t>
  </si>
  <si>
    <t xml:space="preserve">Home Economics-II</t>
  </si>
  <si>
    <t xml:space="preserve">HPE-I</t>
  </si>
  <si>
    <t xml:space="preserve">HPE-II</t>
  </si>
  <si>
    <t xml:space="preserve">Islamic History-I</t>
  </si>
  <si>
    <t xml:space="preserve">Islamic History-II</t>
  </si>
  <si>
    <t xml:space="preserve">Maths-I</t>
  </si>
  <si>
    <t xml:space="preserve">Maths-II</t>
  </si>
  <si>
    <t xml:space="preserve">Mutalia Quran-I</t>
  </si>
  <si>
    <t xml:space="preserve">Mutalia Quran-II</t>
  </si>
  <si>
    <t xml:space="preserve">Pashtu-I</t>
  </si>
  <si>
    <t xml:space="preserve">Pashtu-II</t>
  </si>
  <si>
    <t xml:space="preserve">Pakistan Study</t>
  </si>
  <si>
    <t xml:space="preserve">Zoology</t>
  </si>
  <si>
    <t xml:space="preserve">General Math-I</t>
  </si>
  <si>
    <t xml:space="preserve">General Math-II</t>
  </si>
  <si>
    <t xml:space="preserve">Health and Physical Education-I</t>
  </si>
  <si>
    <t xml:space="preserve">Health and Physical Education-II</t>
  </si>
  <si>
    <t xml:space="preserve">Mutaliae-Quran-e-Hakeem-I</t>
  </si>
  <si>
    <t xml:space="preserve">Mutaliae-Quran-e-Hakeem-II</t>
  </si>
  <si>
    <t xml:space="preserve">Pashto-I</t>
  </si>
  <si>
    <t xml:space="preserve">Pashto-II</t>
  </si>
  <si>
    <t xml:space="preserve">Botany-I</t>
  </si>
  <si>
    <t xml:space="preserve">Botany / Zoology-I</t>
  </si>
  <si>
    <t xml:space="preserve">Area</t>
  </si>
  <si>
    <t xml:space="preserve">GPA</t>
  </si>
  <si>
    <t xml:space="preserve">All Areas</t>
  </si>
  <si>
    <t xml:space="preserve">Federal Area</t>
  </si>
  <si>
    <t xml:space="preserve">Punjab</t>
  </si>
  <si>
    <t xml:space="preserve">Sindh</t>
  </si>
  <si>
    <t xml:space="preserve">Khyber-Pukhtunkhwa</t>
  </si>
  <si>
    <t xml:space="preserve">Balochistan</t>
  </si>
  <si>
    <t xml:space="preserve">Gilgit-Baltistan</t>
  </si>
  <si>
    <t xml:space="preserve">Overseas</t>
  </si>
  <si>
    <t xml:space="preserve">A.J.K.</t>
  </si>
  <si>
    <t xml:space="preserve">RL</t>
  </si>
  <si>
    <t xml:space="preserve">UFM</t>
  </si>
  <si>
    <t xml:space="preserve">Legacy_Grades_1to8</t>
  </si>
  <si>
    <t xml:space="preserve">Pre-Med.</t>
  </si>
  <si>
    <t xml:space="preserve">Pre-Engg.</t>
  </si>
  <si>
    <t xml:space="preserve">Sc. General</t>
  </si>
  <si>
    <t xml:space="preserve">Pre-Home Eco.</t>
  </si>
  <si>
    <t xml:space="preserve">ALL</t>
  </si>
  <si>
    <t xml:space="preserve">Candidate Total</t>
  </si>
  <si>
    <t xml:space="preserve">FBISE HSSC-II Annual 2024 (Federal Board) - notes</t>
  </si>
  <si>
    <t xml:space="preserve">Source: FBISE gazette. Values transcribed as published; Grand Total rows are the area totals of Regular + Ex/Private candidates.</t>
  </si>
  <si>
    <t xml:space="preserve">UFM = Unfair Means cases (column RW in the SSC sheets). RL = Result Late/withheld.</t>
  </si>
  <si>
    <t xml:space="preserve">Published Grand Total Pass % (ALL AREAS 82.58) is Pass / (Appeared - RL); Pass / Appeared gives 81.39. Master Summary uses the calculated 81.39; FBISE Summary keeps the published figure.</t>
  </si>
  <si>
    <t xml:space="preserve">Legacy_Grades_1to8 = Pass minus sum of A1..E (candidates graded under the old scheme); computed by formula.</t>
  </si>
  <si>
    <t xml:space="preserve">Enrolled 90,518; Absent 1,257 (ALL AREAS).</t>
  </si>
  <si>
    <t xml:space="preserve">FBISE HSSC-II 1st Annual 2025 (Federal Board) - notes</t>
  </si>
  <si>
    <t xml:space="preserve">Source: FBISE Result Gazette HSSC-II 1st Annual Examination 2025, Salient Features of Result (9 panels: All Areas, Federal Area, Punjab, Sindh, KP, Balochistan, GB, Overseas, A.J.K.). Values transcribed as published; Grand Total rows = Regular + Ex/Private.</t>
  </si>
  <si>
    <t xml:space="preserve">Published 2025 All Areas Grand Total Pass % (83.19) is Pass / (Appeared - RL) = 79,881 / (96,521 - 497); Pass / Appeared gives 82.76. Master Summary uses the calculated 82.76; FBISE Summary keeps the published figure.</t>
  </si>
  <si>
    <t xml:space="preserve">Enrolled 97,925; Absent 1,404 (ALL AREAS, 2025). Checks run on every area: Male + Female = Group Total, Group Totals = Candidate Total, Regular + Private = Grand Total, Appeared = Pass + Fail + UFM.</t>
  </si>
  <si>
    <t xml:space="preserve">FBISE HSSC-II 1st Annual 2026 (Federal Board) - notes</t>
  </si>
  <si>
    <t xml:space="preserve">Source: FBISE Result Gazette HSSC-II 1st Annual Examination 2026, Salient Features of Result (9 panels: All Areas, Federal Area, Punjab, Sindh, KP, Balochistan, GB, Overseas, A.J.K.; gazette pages 3-11). Values transcribed as published; Grand Total rows = Regular + Ex/Private.</t>
  </si>
  <si>
    <t xml:space="preserve">Published 2026 All Areas Grand Total Pass % (85.95) is Pass / (Appeared - RL) = 87,364 / (103,178 - 1,534); Pass / Appeared gives 84.67. Master Summary uses the calculated 84.67; FBISE Summary keeps the published figure.</t>
  </si>
  <si>
    <t xml:space="preserve">Enrolled 104,838; Absent 1,660 (ALL AREAS, 2026). Checks run on every area: Male + Female = Group Total, Group Totals = Candidate Total, Regular + Private = Grand Total, and the eight areas add exactly to All Areas.</t>
  </si>
  <si>
    <t xml:space="preserve">The gazette column headed "RW" is stored in the UFM column (same position as 2024/2025). 2026 values are large in Regular Humanities (317 overall, 308 of them in Punjab), so RW should not be read as a small unfair-means count.</t>
  </si>
  <si>
    <t xml:space="preserve">Gazette inconsistencies kept as published (2026): Appeared differs from Pass + Fail + RW by 1-3 in a few rows (e.g. All Areas Regular 85,571 vs 85,568; All Areas Grand Total 103,178 vs 103,175; Gilgit-Baltistan and Overseas also); Private Humanities grades A1..E add to less than Pass in every area (e.g. All Areas 2,791 vs 3,101), which is what the Legacy_Grades_1to8 column shows.</t>
  </si>
  <si>
    <t xml:space="preserve">BOARD OF INTERMEDIATE AND SECONDARY EDUCATION, KOHAT</t>
  </si>
  <si>
    <t xml:space="preserve">HSSC (11th &amp; 12th) Annual-I Examinations 2025 and 2026 — Result at a Glance. 2025 and 2026 gazettes supplied. Part-II (2nd Year) is the final Class 12th result; Part-I (1st Year) results are reported separately (pass rates are low, unlike boards that promote Part-I candidates). Pass % calculated as Passed ÷ Appeared; the published Grant Total is 43.62 (calculated 43.63). 2026: Part-I 22,728 appeared / 6,138 passed (27.01%), Part-II 31,496 / 9,724 (30.87%), Grant Total 54,224 / 15,862 (29.25% as published; matches calculated).</t>
  </si>
  <si>
    <t xml:space="preserve">Group-Wise Result with Grade Distribution — HSSC Annual-I 2025–2026 (Part-I and Part-II)</t>
  </si>
  <si>
    <t xml:space="preserve">Source: BISE Kohat, HSSC (Annual-I) Exam 2025, Result at a Glance. Pass % as published (Part-I gazette shows pass counts only; grades are published for Part-II only). Gazette inconsistency kept as published: Part-II group Appeared totals add to 29,495 vs the printed Total (Part-II) of 29,496 (difference 1; Passed adds correctly to 16,808). Grand Total Pass % printed as 43.62 (43.63 calculated). 2026: Source: BISE Kohat, HSSC (Annual-I) Exam 2026, Result at a Glance (Part-I and Part-II). Pass % as published (two decimals). Part-I grades are not published (shown as "-" in the gazette) and are left blank. Gazette inconsistencies kept as published: in Part-II the Pre-Medical category Appeared adds to 18,445 vs printed Total 18,446 (difference 1) and General / Computer Science adds to 7,052 vs printed Total 7,053 (difference 1); Passed and grades add correctly in every row, and the printed group totals add exactly to the Part-II total (31,496) and Part-I total (22,728). 2026 has no Home Economics group in Part-I; Part-II Home Economics has Girls only (no Boys).</t>
  </si>
  <si>
    <t xml:space="preserve">A-1</t>
  </si>
  <si>
    <t xml:space="preserve">Total (Part-II)</t>
  </si>
  <si>
    <t xml:space="preserve">Total (Part-I)</t>
  </si>
  <si>
    <t xml:space="preserve">Subject-Wise Pass Percentage — HSSC (Annual-I) 2025–2026 — Part-I and Part-II</t>
  </si>
  <si>
    <t xml:space="preserve">Source: BISE Kohat, HSSC (Annual-I) Exam 2025 gazette. Pass % as published (whole numbers; calculated shown alongside). Subject names kept as published. 2026: Source: BISE Kohat, HSSC (Annual-I) Exam 2026 subject-wise pass percentage (Part-I and Part-II pages). Pass % as published (whole numbers). Subject names as published (title-cased); "Sociology-II" is title-cased as "Sociology-Ii", as in 2025.</t>
  </si>
  <si>
    <t xml:space="preserve">Mutaliae Quran-e-Hakeem</t>
  </si>
  <si>
    <t xml:space="preserve">English Advance</t>
  </si>
  <si>
    <t xml:space="preserve">Maths General (Arts)</t>
  </si>
  <si>
    <t xml:space="preserve">Outline Of Home Economics</t>
  </si>
  <si>
    <t xml:space="preserve">Child Dev/Home Management</t>
  </si>
  <si>
    <t xml:space="preserve">Sociology-Ii</t>
  </si>
  <si>
    <t xml:space="preserve">Food &amp; Nutrition-I</t>
  </si>
  <si>
    <t xml:space="preserve">Urdu (Easy)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</si>
</sst>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0%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HSSC Class 12th (Annual-I) — Pass % by Board and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'Master Summary'!B50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Summary'!$A$51:$A$65</c:f>
              <c:strCache>
                <c:ptCount val="15"/>
                <c:pt idx="0">
                  <c:v>Abbottabad</c:v>
                </c:pt>
                <c:pt idx="1">
                  <c:v>Bahawalpur</c:v>
                </c:pt>
                <c:pt idx="2">
                  <c:v>Bannu</c:v>
                </c:pt>
                <c:pt idx="3">
                  <c:v>D.G. Khan</c:v>
                </c:pt>
                <c:pt idx="4">
                  <c:v>Faisalabad</c:v>
                </c:pt>
                <c:pt idx="5">
                  <c:v>FBISE</c:v>
                </c:pt>
                <c:pt idx="6">
                  <c:v>Gujranwala</c:v>
                </c:pt>
                <c:pt idx="7">
                  <c:v>Kohat</c:v>
                </c:pt>
                <c:pt idx="8">
                  <c:v>Lahore</c:v>
                </c:pt>
                <c:pt idx="9">
                  <c:v>Mardan</c:v>
                </c:pt>
                <c:pt idx="10">
                  <c:v>Peshawar</c:v>
                </c:pt>
                <c:pt idx="11">
                  <c:v>Rawalpindi</c:v>
                </c:pt>
                <c:pt idx="12">
                  <c:v>Sahiwal</c:v>
                </c:pt>
                <c:pt idx="13">
                  <c:v>Sargodha</c:v>
                </c:pt>
                <c:pt idx="14">
                  <c:v>Swat</c:v>
                </c:pt>
              </c:strCache>
            </c:strRef>
          </c:cat>
          <c:val>
            <c:numRef>
              <c:f>'Master Summary'!$B$51:$B$65</c:f>
              <c:numCache>
                <c:formatCode>0.00</c:formatCode>
                <c:ptCount val="15"/>
                <c:pt idx="0">
                  <c:v>85.68</c:v>
                </c:pt>
                <c:pt idx="1">
                  <c:v>60.16</c:v>
                </c:pt>
                <c:pt idx="3">
                  <c:v>70.45</c:v>
                </c:pt>
                <c:pt idx="4">
                  <c:v>71.81</c:v>
                </c:pt>
                <c:pt idx="5">
                  <c:v>81.39</c:v>
                </c:pt>
                <c:pt idx="6">
                  <c:v>62.32</c:v>
                </c:pt>
                <c:pt idx="8">
                  <c:v>60.45</c:v>
                </c:pt>
                <c:pt idx="9">
                  <c:v>93.54</c:v>
                </c:pt>
                <c:pt idx="10">
                  <c:v>91.67</c:v>
                </c:pt>
                <c:pt idx="11">
                  <c:v>56.76</c:v>
                </c:pt>
                <c:pt idx="12">
                  <c:v>55.31</c:v>
                </c:pt>
                <c:pt idx="13">
                  <c:v>67.97</c:v>
                </c:pt>
                <c:pt idx="14">
                  <c:v>89.93</c:v>
                </c:pt>
              </c:numCache>
            </c:numRef>
          </c:val>
        </c:ser>
        <c:ser>
          <c:idx val="1"/>
          <c:order val="1"/>
          <c:tx>
            <c:strRef>
              <c:f>'Master Summary'!C50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Summary'!$A$51:$A$65</c:f>
              <c:strCache>
                <c:ptCount val="15"/>
                <c:pt idx="0">
                  <c:v>Abbottabad</c:v>
                </c:pt>
                <c:pt idx="1">
                  <c:v>Bahawalpur</c:v>
                </c:pt>
                <c:pt idx="2">
                  <c:v>Bannu</c:v>
                </c:pt>
                <c:pt idx="3">
                  <c:v>D.G. Khan</c:v>
                </c:pt>
                <c:pt idx="4">
                  <c:v>Faisalabad</c:v>
                </c:pt>
                <c:pt idx="5">
                  <c:v>FBISE</c:v>
                </c:pt>
                <c:pt idx="6">
                  <c:v>Gujranwala</c:v>
                </c:pt>
                <c:pt idx="7">
                  <c:v>Kohat</c:v>
                </c:pt>
                <c:pt idx="8">
                  <c:v>Lahore</c:v>
                </c:pt>
                <c:pt idx="9">
                  <c:v>Mardan</c:v>
                </c:pt>
                <c:pt idx="10">
                  <c:v>Peshawar</c:v>
                </c:pt>
                <c:pt idx="11">
                  <c:v>Rawalpindi</c:v>
                </c:pt>
                <c:pt idx="12">
                  <c:v>Sahiwal</c:v>
                </c:pt>
                <c:pt idx="13">
                  <c:v>Sargodha</c:v>
                </c:pt>
                <c:pt idx="14">
                  <c:v>Swat</c:v>
                </c:pt>
              </c:strCache>
            </c:strRef>
          </c:cat>
          <c:val>
            <c:numRef>
              <c:f>'Master Summary'!$C$51:$C$65</c:f>
              <c:numCache>
                <c:formatCode>0.00</c:formatCode>
                <c:ptCount val="15"/>
                <c:pt idx="0">
                  <c:v>86.29</c:v>
                </c:pt>
                <c:pt idx="1">
                  <c:v>63.53</c:v>
                </c:pt>
                <c:pt idx="2">
                  <c:v>85.55</c:v>
                </c:pt>
                <c:pt idx="3">
                  <c:v>74.86</c:v>
                </c:pt>
                <c:pt idx="4">
                  <c:v>73.71</c:v>
                </c:pt>
                <c:pt idx="5">
                  <c:v>82.76</c:v>
                </c:pt>
                <c:pt idx="6">
                  <c:v>63.1</c:v>
                </c:pt>
                <c:pt idx="7">
                  <c:v>56.98</c:v>
                </c:pt>
                <c:pt idx="8">
                  <c:v>60.86</c:v>
                </c:pt>
                <c:pt idx="9">
                  <c:v>84.48</c:v>
                </c:pt>
                <c:pt idx="10">
                  <c:v>72.05</c:v>
                </c:pt>
                <c:pt idx="11">
                  <c:v>54.12</c:v>
                </c:pt>
                <c:pt idx="12">
                  <c:v>58.92</c:v>
                </c:pt>
                <c:pt idx="13">
                  <c:v>68.83</c:v>
                </c:pt>
                <c:pt idx="14">
                  <c:v>82.06</c:v>
                </c:pt>
              </c:numCache>
            </c:numRef>
          </c:val>
        </c:ser>
        <c:ser>
          <c:idx val="2"/>
          <c:order val="2"/>
          <c:tx>
            <c:strRef>
              <c:f>'Master Summary'!D50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Summary'!$A$51:$A$65</c:f>
              <c:strCache>
                <c:ptCount val="15"/>
                <c:pt idx="0">
                  <c:v>Abbottabad</c:v>
                </c:pt>
                <c:pt idx="1">
                  <c:v>Bahawalpur</c:v>
                </c:pt>
                <c:pt idx="2">
                  <c:v>Bannu</c:v>
                </c:pt>
                <c:pt idx="3">
                  <c:v>D.G. Khan</c:v>
                </c:pt>
                <c:pt idx="4">
                  <c:v>Faisalabad</c:v>
                </c:pt>
                <c:pt idx="5">
                  <c:v>FBISE</c:v>
                </c:pt>
                <c:pt idx="6">
                  <c:v>Gujranwala</c:v>
                </c:pt>
                <c:pt idx="7">
                  <c:v>Kohat</c:v>
                </c:pt>
                <c:pt idx="8">
                  <c:v>Lahore</c:v>
                </c:pt>
                <c:pt idx="9">
                  <c:v>Mardan</c:v>
                </c:pt>
                <c:pt idx="10">
                  <c:v>Peshawar</c:v>
                </c:pt>
                <c:pt idx="11">
                  <c:v>Rawalpindi</c:v>
                </c:pt>
                <c:pt idx="12">
                  <c:v>Sahiwal</c:v>
                </c:pt>
                <c:pt idx="13">
                  <c:v>Sargodha</c:v>
                </c:pt>
                <c:pt idx="14">
                  <c:v>Swat</c:v>
                </c:pt>
              </c:strCache>
            </c:strRef>
          </c:cat>
          <c:val>
            <c:numRef>
              <c:f>'Master Summary'!$D$51:$D$65</c:f>
              <c:numCache>
                <c:formatCode>0.00</c:formatCode>
                <c:ptCount val="15"/>
                <c:pt idx="0">
                  <c:v>78.28</c:v>
                </c:pt>
                <c:pt idx="1">
                  <c:v>59.92</c:v>
                </c:pt>
                <c:pt idx="2">
                  <c:v>81.5</c:v>
                </c:pt>
                <c:pt idx="3">
                  <c:v>73.14</c:v>
                </c:pt>
                <c:pt idx="4">
                  <c:v>71.13</c:v>
                </c:pt>
                <c:pt idx="5">
                  <c:v>84.67</c:v>
                </c:pt>
                <c:pt idx="7">
                  <c:v>30.87</c:v>
                </c:pt>
                <c:pt idx="8">
                  <c:v>64.98</c:v>
                </c:pt>
                <c:pt idx="9">
                  <c:v>79.55</c:v>
                </c:pt>
                <c:pt idx="10">
                  <c:v>52.6</c:v>
                </c:pt>
                <c:pt idx="11">
                  <c:v>60.08</c:v>
                </c:pt>
                <c:pt idx="12">
                  <c:v>62.42</c:v>
                </c:pt>
                <c:pt idx="13">
                  <c:v>69.19</c:v>
                </c:pt>
                <c:pt idx="14">
                  <c:v>65.12</c:v>
                </c:pt>
              </c:numCache>
            </c:numRef>
          </c:val>
        </c:ser>
        <c:gapWidth val="150"/>
        <c:overlap val="0"/>
        <c:axId val="56147947"/>
        <c:axId val="15106551"/>
      </c:barChart>
      <c:catAx>
        <c:axId val="561479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06551"/>
        <c:crosses val="autoZero"/>
        <c:auto val="1"/>
        <c:lblAlgn val="ctr"/>
        <c:lblOffset val="100"/>
        <c:noMultiLvlLbl val="0"/>
      </c:catAx>
      <c:valAx>
        <c:axId val="15106551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479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47</xdr:row>
      <xdr:rowOff>160920</xdr:rowOff>
    </xdr:from>
    <xdr:to>
      <xdr:col>9</xdr:col>
      <xdr:colOff>312840</xdr:colOff>
      <xdr:row>65</xdr:row>
      <xdr:rowOff>151560</xdr:rowOff>
    </xdr:to>
    <xdr:graphicFrame>
      <xdr:nvGraphicFramePr>
        <xdr:cNvPr id="0" name="Chart 1"/>
        <xdr:cNvGraphicFramePr/>
      </xdr:nvGraphicFramePr>
      <xdr:xfrm>
        <a:off x="4229280" y="11087280"/>
        <a:ext cx="93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95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true" outlineLevel="0" collapsed="false">
      <c r="A5" s="4" t="s">
        <v>9</v>
      </c>
      <c r="B5" s="5" t="n">
        <v>2024</v>
      </c>
      <c r="C5" s="6" t="n">
        <f aca="false">'Abb-Overall Summary'!B5</f>
        <v>39267</v>
      </c>
      <c r="D5" s="6" t="n">
        <f aca="false">'Abb-Overall Summary'!C5</f>
        <v>33644</v>
      </c>
      <c r="E5" s="7" t="n">
        <f aca="false">ROUND(D5/C5*100,2)</f>
        <v>85.68</v>
      </c>
      <c r="F5" s="8" t="s">
        <v>10</v>
      </c>
      <c r="G5" s="7" t="n">
        <v>86.55</v>
      </c>
    </row>
    <row r="6" customFormat="false" ht="15" hidden="false" customHeight="true" outlineLevel="0" collapsed="false">
      <c r="A6" s="4" t="s">
        <v>9</v>
      </c>
      <c r="B6" s="5" t="n">
        <v>2025</v>
      </c>
      <c r="C6" s="6" t="n">
        <f aca="false">'Abb-Overall Summary'!B6</f>
        <v>42357</v>
      </c>
      <c r="D6" s="6" t="n">
        <f aca="false">'Abb-Overall Summary'!C6</f>
        <v>36550</v>
      </c>
      <c r="E6" s="7" t="n">
        <f aca="false">ROUND(D6/C6*100,2)</f>
        <v>86.29</v>
      </c>
      <c r="F6" s="8" t="s">
        <v>11</v>
      </c>
      <c r="G6" s="7" t="n">
        <v>87.15</v>
      </c>
    </row>
    <row r="7" customFormat="false" ht="15" hidden="false" customHeight="true" outlineLevel="0" collapsed="false">
      <c r="A7" s="4" t="s">
        <v>9</v>
      </c>
      <c r="B7" s="5" t="n">
        <v>2026</v>
      </c>
      <c r="C7" s="6" t="n">
        <f aca="false">'Abb-Overall Summary'!B7</f>
        <v>45757</v>
      </c>
      <c r="D7" s="6" t="n">
        <f aca="false">'Abb-Overall Summary'!C7</f>
        <v>35818</v>
      </c>
      <c r="E7" s="7" t="n">
        <f aca="false">ROUND(D7/C7*100,2)</f>
        <v>78.28</v>
      </c>
      <c r="F7" s="8" t="s">
        <v>12</v>
      </c>
      <c r="G7" s="7" t="n">
        <v>79.11</v>
      </c>
    </row>
    <row r="8" customFormat="false" ht="15" hidden="false" customHeight="true" outlineLevel="0" collapsed="false">
      <c r="A8" s="4" t="s">
        <v>13</v>
      </c>
      <c r="B8" s="5" t="n">
        <v>2024</v>
      </c>
      <c r="C8" s="6" t="n">
        <f aca="false">'BWP Year-over-Year Summary'!H5</f>
        <v>57660</v>
      </c>
      <c r="D8" s="6" t="n">
        <f aca="false">'BWP Year-over-Year Summary'!I5</f>
        <v>34689</v>
      </c>
      <c r="E8" s="7" t="n">
        <f aca="false">ROUND(D8/C8*100,2)</f>
        <v>60.16</v>
      </c>
      <c r="F8" s="8" t="s">
        <v>14</v>
      </c>
      <c r="G8" s="7" t="n">
        <v>60.16</v>
      </c>
    </row>
    <row r="9" customFormat="false" ht="15" hidden="false" customHeight="true" outlineLevel="0" collapsed="false">
      <c r="A9" s="4" t="s">
        <v>13</v>
      </c>
      <c r="B9" s="5" t="n">
        <v>2025</v>
      </c>
      <c r="C9" s="6" t="n">
        <f aca="false">'BWP Year-over-Year Summary'!H6</f>
        <v>55727</v>
      </c>
      <c r="D9" s="6" t="n">
        <f aca="false">'BWP Year-over-Year Summary'!I6</f>
        <v>35404</v>
      </c>
      <c r="E9" s="7" t="n">
        <f aca="false">ROUND(D9/C9*100,2)</f>
        <v>63.53</v>
      </c>
      <c r="F9" s="8" t="s">
        <v>15</v>
      </c>
      <c r="G9" s="7" t="n">
        <v>63.53</v>
      </c>
    </row>
    <row r="10" customFormat="false" ht="15" hidden="false" customHeight="true" outlineLevel="0" collapsed="false">
      <c r="A10" s="4" t="s">
        <v>13</v>
      </c>
      <c r="B10" s="5" t="n">
        <v>2026</v>
      </c>
      <c r="C10" s="6" t="n">
        <f aca="false">'BWP Year-over-Year Summary'!H7</f>
        <v>60592</v>
      </c>
      <c r="D10" s="6" t="n">
        <f aca="false">'BWP Year-over-Year Summary'!I7</f>
        <v>36304</v>
      </c>
      <c r="E10" s="7" t="n">
        <f aca="false">ROUND(D10/C10*100,2)</f>
        <v>59.92</v>
      </c>
      <c r="F10" s="8" t="s">
        <v>16</v>
      </c>
      <c r="G10" s="7" t="n">
        <v>59.92</v>
      </c>
    </row>
    <row r="11" customFormat="false" ht="30" hidden="false" customHeight="true" outlineLevel="0" collapsed="false">
      <c r="A11" s="4" t="s">
        <v>17</v>
      </c>
      <c r="B11" s="5" t="n">
        <v>2025</v>
      </c>
      <c r="C11" s="6" t="n">
        <f aca="false">'BNU Overall Summary'!C6</f>
        <v>18099</v>
      </c>
      <c r="D11" s="6" t="n">
        <f aca="false">'BNU Overall Summary'!D6</f>
        <v>15484</v>
      </c>
      <c r="E11" s="7" t="n">
        <f aca="false">ROUND(D11/C11*100,2)</f>
        <v>85.55</v>
      </c>
      <c r="F11" s="8" t="s">
        <v>18</v>
      </c>
      <c r="G11" s="7" t="n">
        <v>86</v>
      </c>
    </row>
    <row r="12" customFormat="false" ht="30" hidden="false" customHeight="true" outlineLevel="0" collapsed="false">
      <c r="A12" s="4" t="s">
        <v>17</v>
      </c>
      <c r="B12" s="5" t="n">
        <v>2026</v>
      </c>
      <c r="C12" s="6" t="n">
        <f aca="false">'BNU Overall Summary'!C9</f>
        <v>17771</v>
      </c>
      <c r="D12" s="6" t="n">
        <f aca="false">'BNU Overall Summary'!D9</f>
        <v>14484</v>
      </c>
      <c r="E12" s="7" t="n">
        <f aca="false">ROUND(D12/C12*100,2)</f>
        <v>81.5</v>
      </c>
      <c r="F12" s="8" t="s">
        <v>19</v>
      </c>
      <c r="G12" s="7" t="n">
        <v>82</v>
      </c>
    </row>
    <row r="13" customFormat="false" ht="15" hidden="false" customHeight="true" outlineLevel="0" collapsed="false">
      <c r="A13" s="4" t="s">
        <v>20</v>
      </c>
      <c r="B13" s="5" t="n">
        <v>2024</v>
      </c>
      <c r="C13" s="6" t="n">
        <f aca="false">'DGK-Overall Summary'!C5</f>
        <v>60102</v>
      </c>
      <c r="D13" s="6" t="n">
        <f aca="false">'DGK-Overall Summary'!D5</f>
        <v>42341</v>
      </c>
      <c r="E13" s="7" t="n">
        <f aca="false">ROUND(D13/C13*100,2)</f>
        <v>70.45</v>
      </c>
      <c r="F13" s="8" t="s">
        <v>21</v>
      </c>
      <c r="G13" s="7" t="n">
        <v>70.45</v>
      </c>
    </row>
    <row r="14" customFormat="false" ht="15" hidden="false" customHeight="true" outlineLevel="0" collapsed="false">
      <c r="A14" s="4" t="s">
        <v>20</v>
      </c>
      <c r="B14" s="5" t="n">
        <v>2025</v>
      </c>
      <c r="C14" s="6" t="n">
        <f aca="false">'DGK-Overall Summary'!C6</f>
        <v>56083</v>
      </c>
      <c r="D14" s="6" t="n">
        <f aca="false">'DGK-Overall Summary'!D6</f>
        <v>41985</v>
      </c>
      <c r="E14" s="7" t="n">
        <f aca="false">ROUND(D14/C14*100,2)</f>
        <v>74.86</v>
      </c>
      <c r="F14" s="8" t="s">
        <v>22</v>
      </c>
      <c r="G14" s="7" t="n">
        <v>74.86</v>
      </c>
    </row>
    <row r="15" customFormat="false" ht="15" hidden="false" customHeight="true" outlineLevel="0" collapsed="false">
      <c r="A15" s="4" t="s">
        <v>20</v>
      </c>
      <c r="B15" s="5" t="n">
        <v>2026</v>
      </c>
      <c r="C15" s="6" t="n">
        <f aca="false">'DGK-Overall Summary'!C7</f>
        <v>59243</v>
      </c>
      <c r="D15" s="6" t="n">
        <f aca="false">'DGK-Overall Summary'!D7</f>
        <v>43332</v>
      </c>
      <c r="E15" s="7" t="n">
        <f aca="false">ROUND(D15/C15*100,2)</f>
        <v>73.14</v>
      </c>
      <c r="F15" s="8" t="s">
        <v>23</v>
      </c>
      <c r="G15" s="7" t="n">
        <v>73.14</v>
      </c>
    </row>
    <row r="16" customFormat="false" ht="15" hidden="false" customHeight="true" outlineLevel="0" collapsed="false">
      <c r="A16" s="4" t="s">
        <v>24</v>
      </c>
      <c r="B16" s="5" t="n">
        <v>2024</v>
      </c>
      <c r="C16" s="6" t="n">
        <f aca="false">'FSD Overall Summary'!C4</f>
        <v>103269</v>
      </c>
      <c r="D16" s="6" t="n">
        <f aca="false">'FSD Overall Summary'!D4</f>
        <v>74154</v>
      </c>
      <c r="E16" s="7" t="n">
        <f aca="false">ROUND(D16/C16*100,2)</f>
        <v>71.81</v>
      </c>
      <c r="F16" s="8" t="s">
        <v>25</v>
      </c>
      <c r="G16" s="7"/>
    </row>
    <row r="17" customFormat="false" ht="15" hidden="false" customHeight="true" outlineLevel="0" collapsed="false">
      <c r="A17" s="4" t="s">
        <v>24</v>
      </c>
      <c r="B17" s="5" t="n">
        <v>2025</v>
      </c>
      <c r="C17" s="6" t="n">
        <f aca="false">'FSD Overall Summary'!C7</f>
        <v>104009</v>
      </c>
      <c r="D17" s="6" t="n">
        <f aca="false">'FSD Overall Summary'!D7</f>
        <v>76661</v>
      </c>
      <c r="E17" s="7" t="n">
        <f aca="false">ROUND(D17/C17*100,2)</f>
        <v>73.71</v>
      </c>
      <c r="F17" s="8" t="s">
        <v>26</v>
      </c>
      <c r="G17" s="7" t="n">
        <v>73.71</v>
      </c>
    </row>
    <row r="18" customFormat="false" ht="15" hidden="false" customHeight="true" outlineLevel="0" collapsed="false">
      <c r="A18" s="4" t="s">
        <v>24</v>
      </c>
      <c r="B18" s="5" t="n">
        <v>2026</v>
      </c>
      <c r="C18" s="6" t="n">
        <f aca="false">'FSD Overall Summary'!C10</f>
        <v>109244</v>
      </c>
      <c r="D18" s="6" t="n">
        <f aca="false">'FSD Overall Summary'!D10</f>
        <v>77708</v>
      </c>
      <c r="E18" s="7" t="n">
        <f aca="false">ROUND(D18/C18*100,2)</f>
        <v>71.13</v>
      </c>
      <c r="F18" s="8" t="s">
        <v>27</v>
      </c>
      <c r="G18" s="7" t="n">
        <v>71.13</v>
      </c>
    </row>
    <row r="19" customFormat="false" ht="15" hidden="false" customHeight="true" outlineLevel="0" collapsed="false">
      <c r="A19" s="4" t="s">
        <v>28</v>
      </c>
      <c r="B19" s="5" t="n">
        <v>2024</v>
      </c>
      <c r="C19" s="6" t="n">
        <f aca="false">'FBISE Summary'!E2</f>
        <v>89261</v>
      </c>
      <c r="D19" s="6" t="n">
        <f aca="false">'FBISE Summary'!G2</f>
        <v>72653</v>
      </c>
      <c r="E19" s="7" t="n">
        <f aca="false">ROUND(D19/C19*100,2)</f>
        <v>81.39</v>
      </c>
      <c r="F19" s="8" t="s">
        <v>29</v>
      </c>
      <c r="G19" s="7" t="n">
        <v>82.58</v>
      </c>
    </row>
    <row r="20" customFormat="false" ht="15" hidden="false" customHeight="true" outlineLevel="0" collapsed="false">
      <c r="A20" s="4" t="s">
        <v>28</v>
      </c>
      <c r="B20" s="5" t="n">
        <v>2025</v>
      </c>
      <c r="C20" s="6" t="n">
        <f aca="false">'FBISE Summary'!E11</f>
        <v>96521</v>
      </c>
      <c r="D20" s="6" t="n">
        <f aca="false">'FBISE Summary'!G11</f>
        <v>79881</v>
      </c>
      <c r="E20" s="7" t="n">
        <f aca="false">ROUND(D20/C20*100,2)</f>
        <v>82.76</v>
      </c>
      <c r="F20" s="8" t="s">
        <v>30</v>
      </c>
      <c r="G20" s="7" t="n">
        <v>83.19</v>
      </c>
    </row>
    <row r="21" customFormat="false" ht="15" hidden="false" customHeight="true" outlineLevel="0" collapsed="false">
      <c r="A21" s="4" t="s">
        <v>28</v>
      </c>
      <c r="B21" s="5" t="n">
        <v>2026</v>
      </c>
      <c r="C21" s="6" t="n">
        <f aca="false">'FBISE Summary'!E20</f>
        <v>103178</v>
      </c>
      <c r="D21" s="6" t="n">
        <f aca="false">'FBISE Summary'!G20</f>
        <v>87364</v>
      </c>
      <c r="E21" s="7" t="n">
        <f aca="false">ROUND(D21/C21*100,2)</f>
        <v>84.67</v>
      </c>
      <c r="F21" s="8" t="s">
        <v>31</v>
      </c>
      <c r="G21" s="7" t="n">
        <v>85.95</v>
      </c>
    </row>
    <row r="22" customFormat="false" ht="15" hidden="false" customHeight="true" outlineLevel="0" collapsed="false">
      <c r="A22" s="4" t="s">
        <v>32</v>
      </c>
      <c r="B22" s="5" t="n">
        <v>2024</v>
      </c>
      <c r="C22" s="6" t="n">
        <f aca="false">'GRW Year-over-Year Summary'!B5</f>
        <v>142834</v>
      </c>
      <c r="D22" s="6" t="n">
        <f aca="false">'GRW Year-over-Year Summary'!C5</f>
        <v>89019</v>
      </c>
      <c r="E22" s="7" t="n">
        <f aca="false">ROUND(D22/C22*100,2)</f>
        <v>62.32</v>
      </c>
      <c r="F22" s="8" t="s">
        <v>33</v>
      </c>
      <c r="G22" s="7"/>
    </row>
    <row r="23" customFormat="false" ht="15" hidden="false" customHeight="true" outlineLevel="0" collapsed="false">
      <c r="A23" s="4" t="s">
        <v>32</v>
      </c>
      <c r="B23" s="5" t="n">
        <v>2025</v>
      </c>
      <c r="C23" s="6" t="n">
        <f aca="false">'GRW Year-over-Year Summary'!B6</f>
        <v>135810</v>
      </c>
      <c r="D23" s="6" t="n">
        <f aca="false">'GRW Year-over-Year Summary'!C6</f>
        <v>85696</v>
      </c>
      <c r="E23" s="7" t="n">
        <f aca="false">ROUND(D23/C23*100,2)</f>
        <v>63.1</v>
      </c>
      <c r="F23" s="8" t="s">
        <v>33</v>
      </c>
      <c r="G23" s="7"/>
    </row>
    <row r="24" customFormat="false" ht="30" hidden="false" customHeight="true" outlineLevel="0" collapsed="false">
      <c r="A24" s="4" t="s">
        <v>34</v>
      </c>
      <c r="B24" s="5" t="n">
        <v>2025</v>
      </c>
      <c r="C24" s="6" t="n">
        <f aca="false">'KOH Overall Summary'!C6</f>
        <v>29496</v>
      </c>
      <c r="D24" s="6" t="n">
        <f aca="false">'KOH Overall Summary'!D6</f>
        <v>16808</v>
      </c>
      <c r="E24" s="7" t="n">
        <f aca="false">ROUND(D24/C24*100,2)</f>
        <v>56.98</v>
      </c>
      <c r="F24" s="8" t="s">
        <v>35</v>
      </c>
      <c r="G24" s="7" t="n">
        <v>56.98</v>
      </c>
    </row>
    <row r="25" customFormat="false" ht="30" hidden="false" customHeight="true" outlineLevel="0" collapsed="false">
      <c r="A25" s="4" t="s">
        <v>34</v>
      </c>
      <c r="B25" s="5" t="n">
        <v>2026</v>
      </c>
      <c r="C25" s="6" t="n">
        <f aca="false">'KOH Overall Summary'!C9</f>
        <v>31496</v>
      </c>
      <c r="D25" s="6" t="n">
        <f aca="false">'KOH Overall Summary'!D9</f>
        <v>9724</v>
      </c>
      <c r="E25" s="7" t="n">
        <f aca="false">ROUND(D25/C25*100,2)</f>
        <v>30.87</v>
      </c>
      <c r="F25" s="8" t="s">
        <v>36</v>
      </c>
      <c r="G25" s="7" t="n">
        <v>30.87</v>
      </c>
    </row>
    <row r="26" customFormat="false" ht="15" hidden="false" customHeight="true" outlineLevel="0" collapsed="false">
      <c r="A26" s="4" t="s">
        <v>37</v>
      </c>
      <c r="B26" s="5" t="n">
        <v>2024</v>
      </c>
      <c r="C26" s="6" t="n">
        <f aca="false">'LHR Year-over-Year Summary'!C5</f>
        <v>190218</v>
      </c>
      <c r="D26" s="6" t="n">
        <f aca="false">'LHR Year-over-Year Summary'!D5</f>
        <v>114985</v>
      </c>
      <c r="E26" s="7" t="n">
        <f aca="false">ROUND(D26/C26*100,2)</f>
        <v>60.45</v>
      </c>
      <c r="F26" s="8" t="s">
        <v>38</v>
      </c>
      <c r="G26" s="7" t="n">
        <v>60.45</v>
      </c>
    </row>
    <row r="27" customFormat="false" ht="15" hidden="false" customHeight="true" outlineLevel="0" collapsed="false">
      <c r="A27" s="4" t="s">
        <v>37</v>
      </c>
      <c r="B27" s="5" t="n">
        <v>2025</v>
      </c>
      <c r="C27" s="6" t="n">
        <f aca="false">'LHR Year-over-Year Summary'!C6</f>
        <v>180329</v>
      </c>
      <c r="D27" s="6" t="n">
        <f aca="false">'LHR Year-over-Year Summary'!D6</f>
        <v>109741</v>
      </c>
      <c r="E27" s="7" t="n">
        <f aca="false">ROUND(D27/C27*100,2)</f>
        <v>60.86</v>
      </c>
      <c r="F27" s="8" t="s">
        <v>39</v>
      </c>
      <c r="G27" s="7" t="n">
        <v>60.86</v>
      </c>
    </row>
    <row r="28" customFormat="false" ht="30" hidden="false" customHeight="true" outlineLevel="0" collapsed="false">
      <c r="A28" s="4" t="s">
        <v>37</v>
      </c>
      <c r="B28" s="5" t="n">
        <v>2026</v>
      </c>
      <c r="C28" s="6" t="n">
        <f aca="false">'LHR Year-over-Year Summary'!C7</f>
        <v>189373</v>
      </c>
      <c r="D28" s="6" t="n">
        <f aca="false">'LHR Year-over-Year Summary'!D7</f>
        <v>123060</v>
      </c>
      <c r="E28" s="7" t="n">
        <f aca="false">ROUND(D28/C28*100,2)</f>
        <v>64.98</v>
      </c>
      <c r="F28" s="8" t="s">
        <v>40</v>
      </c>
      <c r="G28" s="7" t="n">
        <v>64.98</v>
      </c>
    </row>
    <row r="29" customFormat="false" ht="15" hidden="false" customHeight="true" outlineLevel="0" collapsed="false">
      <c r="A29" s="4" t="s">
        <v>41</v>
      </c>
      <c r="B29" s="5" t="n">
        <v>2024</v>
      </c>
      <c r="C29" s="6" t="n">
        <f aca="false">'Mar-Overview'!B5</f>
        <v>42873</v>
      </c>
      <c r="D29" s="6" t="n">
        <f aca="false">'Mar-Overview'!C5</f>
        <v>40105</v>
      </c>
      <c r="E29" s="7" t="n">
        <f aca="false">ROUND(D29/C29*100,2)</f>
        <v>93.54</v>
      </c>
      <c r="F29" s="8" t="s">
        <v>42</v>
      </c>
      <c r="G29" s="7" t="n">
        <v>93.54</v>
      </c>
    </row>
    <row r="30" customFormat="false" ht="15" hidden="false" customHeight="true" outlineLevel="0" collapsed="false">
      <c r="A30" s="4" t="s">
        <v>41</v>
      </c>
      <c r="B30" s="5" t="n">
        <v>2025</v>
      </c>
      <c r="C30" s="6" t="n">
        <f aca="false">'Mar-Overview'!B6</f>
        <v>45778</v>
      </c>
      <c r="D30" s="6" t="n">
        <f aca="false">'Mar-Overview'!C6</f>
        <v>38674</v>
      </c>
      <c r="E30" s="7" t="n">
        <f aca="false">ROUND(D30/C30*100,2)</f>
        <v>84.48</v>
      </c>
      <c r="F30" s="8" t="s">
        <v>42</v>
      </c>
      <c r="G30" s="7" t="n">
        <v>84.48</v>
      </c>
    </row>
    <row r="31" customFormat="false" ht="15" hidden="false" customHeight="true" outlineLevel="0" collapsed="false">
      <c r="A31" s="4" t="s">
        <v>41</v>
      </c>
      <c r="B31" s="5" t="n">
        <v>2026</v>
      </c>
      <c r="C31" s="6" t="n">
        <f aca="false">'Mar-Overview'!B7</f>
        <v>49250</v>
      </c>
      <c r="D31" s="6" t="n">
        <f aca="false">'Mar-Overview'!C7</f>
        <v>39178</v>
      </c>
      <c r="E31" s="7" t="n">
        <f aca="false">ROUND(D31/C31*100,2)</f>
        <v>79.55</v>
      </c>
      <c r="F31" s="8" t="s">
        <v>42</v>
      </c>
      <c r="G31" s="7" t="n">
        <v>79.55</v>
      </c>
    </row>
    <row r="32" customFormat="false" ht="30" hidden="false" customHeight="true" outlineLevel="0" collapsed="false">
      <c r="A32" s="4" t="s">
        <v>43</v>
      </c>
      <c r="B32" s="5" t="n">
        <v>2024</v>
      </c>
      <c r="C32" s="6" t="n">
        <f aca="false">'Pes-Summary (2024-2026)'!C6</f>
        <v>61217</v>
      </c>
      <c r="D32" s="6" t="n">
        <f aca="false">'Pes-Summary (2024-2026)'!D6</f>
        <v>56117</v>
      </c>
      <c r="E32" s="7" t="n">
        <f aca="false">ROUND(D32/C32*100,2)</f>
        <v>91.67</v>
      </c>
      <c r="F32" s="8" t="s">
        <v>44</v>
      </c>
      <c r="G32" s="7" t="n">
        <v>92</v>
      </c>
    </row>
    <row r="33" customFormat="false" ht="30" hidden="false" customHeight="true" outlineLevel="0" collapsed="false">
      <c r="A33" s="4" t="s">
        <v>43</v>
      </c>
      <c r="B33" s="5" t="n">
        <v>2025</v>
      </c>
      <c r="C33" s="6" t="n">
        <f aca="false">'Pes-Summary (2024-2026)'!C7</f>
        <v>62322</v>
      </c>
      <c r="D33" s="6" t="n">
        <f aca="false">'Pes-Summary (2024-2026)'!D7</f>
        <v>44902</v>
      </c>
      <c r="E33" s="7" t="n">
        <f aca="false">ROUND(D33/C33*100,2)</f>
        <v>72.05</v>
      </c>
      <c r="F33" s="8" t="s">
        <v>45</v>
      </c>
      <c r="G33" s="7" t="n">
        <v>72</v>
      </c>
    </row>
    <row r="34" customFormat="false" ht="30" hidden="false" customHeight="true" outlineLevel="0" collapsed="false">
      <c r="A34" s="4" t="s">
        <v>43</v>
      </c>
      <c r="B34" s="5" t="n">
        <v>2026</v>
      </c>
      <c r="C34" s="6" t="n">
        <f aca="false">'Pes-Summary (2024-2026)'!C9</f>
        <v>66735</v>
      </c>
      <c r="D34" s="6" t="n">
        <f aca="false">'Pes-Summary (2024-2026)'!D9</f>
        <v>35103</v>
      </c>
      <c r="E34" s="7" t="n">
        <f aca="false">ROUND(D34/C34*100,2)</f>
        <v>52.6</v>
      </c>
      <c r="F34" s="8" t="s">
        <v>46</v>
      </c>
      <c r="G34" s="7" t="n">
        <v>52.6</v>
      </c>
    </row>
    <row r="35" customFormat="false" ht="15" hidden="false" customHeight="true" outlineLevel="0" collapsed="false">
      <c r="A35" s="4" t="s">
        <v>47</v>
      </c>
      <c r="B35" s="5" t="n">
        <v>2024</v>
      </c>
      <c r="C35" s="6" t="n">
        <f aca="false">'RWP Overview Summary'!E2</f>
        <v>63291</v>
      </c>
      <c r="D35" s="6" t="n">
        <f aca="false">'RWP Overview Summary'!F2</f>
        <v>35922</v>
      </c>
      <c r="E35" s="7" t="n">
        <f aca="false">ROUND(D35/C35*100,2)</f>
        <v>56.76</v>
      </c>
      <c r="F35" s="8" t="s">
        <v>48</v>
      </c>
      <c r="G35" s="7" t="n">
        <v>56.76</v>
      </c>
    </row>
    <row r="36" customFormat="false" ht="15" hidden="false" customHeight="true" outlineLevel="0" collapsed="false">
      <c r="A36" s="4" t="s">
        <v>47</v>
      </c>
      <c r="B36" s="5" t="n">
        <v>2025</v>
      </c>
      <c r="C36" s="6" t="n">
        <f aca="false">'RWP Overview Summary'!E3</f>
        <v>58940</v>
      </c>
      <c r="D36" s="6" t="n">
        <f aca="false">'RWP Overview Summary'!F3</f>
        <v>31898</v>
      </c>
      <c r="E36" s="7" t="n">
        <f aca="false">ROUND(D36/C36*100,2)</f>
        <v>54.12</v>
      </c>
      <c r="F36" s="8" t="s">
        <v>49</v>
      </c>
      <c r="G36" s="7" t="n">
        <v>54.12</v>
      </c>
    </row>
    <row r="37" customFormat="false" ht="15" hidden="false" customHeight="true" outlineLevel="0" collapsed="false">
      <c r="A37" s="4" t="s">
        <v>47</v>
      </c>
      <c r="B37" s="5" t="n">
        <v>2026</v>
      </c>
      <c r="C37" s="6" t="n">
        <f aca="false">'RWP Overview Summary'!E4</f>
        <v>61409</v>
      </c>
      <c r="D37" s="6" t="n">
        <f aca="false">'RWP Overview Summary'!F4</f>
        <v>36896</v>
      </c>
      <c r="E37" s="7" t="n">
        <f aca="false">ROUND(D37/C37*100,2)</f>
        <v>60.08</v>
      </c>
      <c r="F37" s="8" t="s">
        <v>50</v>
      </c>
      <c r="G37" s="7" t="n">
        <v>60.08</v>
      </c>
    </row>
    <row r="38" customFormat="false" ht="15" hidden="false" customHeight="true" outlineLevel="0" collapsed="false">
      <c r="A38" s="4" t="s">
        <v>51</v>
      </c>
      <c r="B38" s="5" t="n">
        <v>2024</v>
      </c>
      <c r="C38" s="6" t="n">
        <f aca="false">'SWL Result At a Glance'!C5</f>
        <v>45519</v>
      </c>
      <c r="D38" s="6" t="n">
        <f aca="false">'SWL Result At a Glance'!D5</f>
        <v>25177</v>
      </c>
      <c r="E38" s="7" t="n">
        <f aca="false">ROUND(D38/C38*100,2)</f>
        <v>55.31</v>
      </c>
      <c r="F38" s="8" t="s">
        <v>52</v>
      </c>
      <c r="G38" s="7" t="n">
        <v>55.31</v>
      </c>
    </row>
    <row r="39" customFormat="false" ht="15" hidden="false" customHeight="true" outlineLevel="0" collapsed="false">
      <c r="A39" s="4" t="s">
        <v>51</v>
      </c>
      <c r="B39" s="5" t="n">
        <v>2025</v>
      </c>
      <c r="C39" s="6" t="n">
        <f aca="false">'SWL Result At a Glance'!C6</f>
        <v>43241</v>
      </c>
      <c r="D39" s="6" t="n">
        <f aca="false">'SWL Result At a Glance'!D6</f>
        <v>25478</v>
      </c>
      <c r="E39" s="7" t="n">
        <f aca="false">ROUND(D39/C39*100,2)</f>
        <v>58.92</v>
      </c>
      <c r="F39" s="8" t="s">
        <v>53</v>
      </c>
      <c r="G39" s="7" t="n">
        <v>58.92</v>
      </c>
    </row>
    <row r="40" customFormat="false" ht="15" hidden="false" customHeight="true" outlineLevel="0" collapsed="false">
      <c r="A40" s="4" t="s">
        <v>51</v>
      </c>
      <c r="B40" s="5" t="n">
        <v>2026</v>
      </c>
      <c r="C40" s="6" t="n">
        <f aca="false">'SWL Result At a Glance'!C7</f>
        <v>46248</v>
      </c>
      <c r="D40" s="6" t="n">
        <f aca="false">'SWL Result At a Glance'!D7</f>
        <v>28868</v>
      </c>
      <c r="E40" s="7" t="n">
        <f aca="false">ROUND(D40/C40*100,2)</f>
        <v>62.42</v>
      </c>
      <c r="F40" s="8" t="s">
        <v>54</v>
      </c>
      <c r="G40" s="7" t="n">
        <v>62.42</v>
      </c>
    </row>
    <row r="41" customFormat="false" ht="15" hidden="false" customHeight="true" outlineLevel="0" collapsed="false">
      <c r="A41" s="4" t="s">
        <v>55</v>
      </c>
      <c r="B41" s="5" t="n">
        <v>2024</v>
      </c>
      <c r="C41" s="6" t="n">
        <f aca="false">'Sar-Overall Summary'!C5</f>
        <v>52457</v>
      </c>
      <c r="D41" s="6" t="n">
        <f aca="false">'Sar-Overall Summary'!D5</f>
        <v>35656</v>
      </c>
      <c r="E41" s="7" t="n">
        <f aca="false">ROUND(D41/C41*100,2)</f>
        <v>67.97</v>
      </c>
      <c r="F41" s="8" t="s">
        <v>56</v>
      </c>
      <c r="G41" s="7" t="n">
        <v>67.97</v>
      </c>
    </row>
    <row r="42" customFormat="false" ht="15" hidden="false" customHeight="true" outlineLevel="0" collapsed="false">
      <c r="A42" s="4" t="s">
        <v>55</v>
      </c>
      <c r="B42" s="5" t="n">
        <v>2025</v>
      </c>
      <c r="C42" s="6" t="n">
        <f aca="false">'Sar-Overall Summary'!C6</f>
        <v>50017</v>
      </c>
      <c r="D42" s="6" t="n">
        <f aca="false">'Sar-Overall Summary'!D6</f>
        <v>34428</v>
      </c>
      <c r="E42" s="7" t="n">
        <f aca="false">ROUND(D42/C42*100,2)</f>
        <v>68.83</v>
      </c>
      <c r="F42" s="8" t="s">
        <v>57</v>
      </c>
      <c r="G42" s="7" t="n">
        <v>68.83</v>
      </c>
    </row>
    <row r="43" customFormat="false" ht="15" hidden="false" customHeight="true" outlineLevel="0" collapsed="false">
      <c r="A43" s="4" t="s">
        <v>55</v>
      </c>
      <c r="B43" s="5" t="n">
        <v>2026</v>
      </c>
      <c r="C43" s="6" t="n">
        <f aca="false">'Sar-Overall Summary'!C7</f>
        <v>55034</v>
      </c>
      <c r="D43" s="6" t="n">
        <f aca="false">'Sar-Overall Summary'!D7</f>
        <v>38076</v>
      </c>
      <c r="E43" s="7" t="n">
        <f aca="false">ROUND(D43/C43*100,2)</f>
        <v>69.19</v>
      </c>
      <c r="F43" s="8" t="s">
        <v>58</v>
      </c>
      <c r="G43" s="7" t="n">
        <v>69.19</v>
      </c>
    </row>
    <row r="44" customFormat="false" ht="15" hidden="false" customHeight="true" outlineLevel="0" collapsed="false">
      <c r="A44" s="4" t="s">
        <v>59</v>
      </c>
      <c r="B44" s="5" t="n">
        <v>2024</v>
      </c>
      <c r="C44" s="6" t="n">
        <f aca="false">'Swat-Summary'!C6</f>
        <v>33977</v>
      </c>
      <c r="D44" s="6" t="n">
        <f aca="false">'Swat-Summary'!D6</f>
        <v>30555</v>
      </c>
      <c r="E44" s="7" t="n">
        <f aca="false">ROUND(D44/C44*100,2)</f>
        <v>89.93</v>
      </c>
      <c r="F44" s="8" t="s">
        <v>60</v>
      </c>
      <c r="G44" s="7" t="n">
        <v>89.93</v>
      </c>
    </row>
    <row r="45" customFormat="false" ht="15" hidden="false" customHeight="true" outlineLevel="0" collapsed="false">
      <c r="A45" s="4" t="s">
        <v>59</v>
      </c>
      <c r="B45" s="5" t="n">
        <v>2025</v>
      </c>
      <c r="C45" s="6" t="n">
        <f aca="false">'Swat-Summary'!C7</f>
        <v>32152</v>
      </c>
      <c r="D45" s="6" t="n">
        <f aca="false">'Swat-Summary'!D7</f>
        <v>26384</v>
      </c>
      <c r="E45" s="7" t="n">
        <f aca="false">ROUND(D45/C45*100,2)</f>
        <v>82.06</v>
      </c>
      <c r="F45" s="8" t="s">
        <v>61</v>
      </c>
      <c r="G45" s="7" t="n">
        <v>82.06</v>
      </c>
    </row>
    <row r="46" customFormat="false" ht="15" hidden="false" customHeight="true" outlineLevel="0" collapsed="false">
      <c r="A46" s="4" t="s">
        <v>59</v>
      </c>
      <c r="B46" s="5" t="n">
        <v>2026</v>
      </c>
      <c r="C46" s="6" t="n">
        <f aca="false">'Swat-Summary'!C9</f>
        <v>32531</v>
      </c>
      <c r="D46" s="6" t="n">
        <f aca="false">'Swat-Summary'!D9</f>
        <v>21183</v>
      </c>
      <c r="E46" s="7" t="n">
        <f aca="false">ROUND(D46/C46*100,2)</f>
        <v>65.12</v>
      </c>
      <c r="F46" s="8" t="s">
        <v>62</v>
      </c>
      <c r="G46" s="7" t="n">
        <v>65.12</v>
      </c>
    </row>
    <row r="49" customFormat="false" ht="15" hidden="false" customHeight="false" outlineLevel="0" collapsed="false">
      <c r="A49" s="9" t="s">
        <v>63</v>
      </c>
    </row>
    <row r="50" customFormat="false" ht="15" hidden="false" customHeight="false" outlineLevel="0" collapsed="false">
      <c r="A50" s="10" t="s">
        <v>2</v>
      </c>
      <c r="B50" s="10" t="n">
        <v>2024</v>
      </c>
      <c r="C50" s="10" t="n">
        <v>2025</v>
      </c>
      <c r="D50" s="10" t="n">
        <v>2026</v>
      </c>
    </row>
    <row r="51" customFormat="false" ht="15" hidden="false" customHeight="false" outlineLevel="0" collapsed="false">
      <c r="A51" s="11" t="s">
        <v>9</v>
      </c>
      <c r="B51" s="12" t="n">
        <f aca="false">IF(COUNTIFS($A$5:$A$46,$A51,$B$5:$B$46,B$50)=0,"",SUMIFS($E$5:$E$46,$A$5:$A$46,$A51,$B$5:$B$46,B$50))</f>
        <v>85.68</v>
      </c>
      <c r="C51" s="12" t="n">
        <f aca="false">IF(COUNTIFS($A$5:$A$46,$A51,$B$5:$B$46,C$50)=0,"",SUMIFS($E$5:$E$46,$A$5:$A$46,$A51,$B$5:$B$46,C$50))</f>
        <v>86.29</v>
      </c>
      <c r="D51" s="12" t="n">
        <f aca="false">IF(COUNTIFS($A$5:$A$46,$A51,$B$5:$B$46,D$50)=0,"",SUMIFS($E$5:$E$46,$A$5:$A$46,$A51,$B$5:$B$46,D$50))</f>
        <v>78.28</v>
      </c>
    </row>
    <row r="52" customFormat="false" ht="15" hidden="false" customHeight="false" outlineLevel="0" collapsed="false">
      <c r="A52" s="11" t="s">
        <v>13</v>
      </c>
      <c r="B52" s="12" t="n">
        <f aca="false">IF(COUNTIFS($A$5:$A$46,$A52,$B$5:$B$46,B$50)=0,"",SUMIFS($E$5:$E$46,$A$5:$A$46,$A52,$B$5:$B$46,B$50))</f>
        <v>60.16</v>
      </c>
      <c r="C52" s="12" t="n">
        <f aca="false">IF(COUNTIFS($A$5:$A$46,$A52,$B$5:$B$46,C$50)=0,"",SUMIFS($E$5:$E$46,$A$5:$A$46,$A52,$B$5:$B$46,C$50))</f>
        <v>63.53</v>
      </c>
      <c r="D52" s="12" t="n">
        <f aca="false">IF(COUNTIFS($A$5:$A$46,$A52,$B$5:$B$46,D$50)=0,"",SUMIFS($E$5:$E$46,$A$5:$A$46,$A52,$B$5:$B$46,D$50))</f>
        <v>59.92</v>
      </c>
    </row>
    <row r="53" customFormat="false" ht="15" hidden="false" customHeight="false" outlineLevel="0" collapsed="false">
      <c r="A53" s="11" t="s">
        <v>17</v>
      </c>
      <c r="B53" s="12" t="str">
        <f aca="false">IF(COUNTIFS($A$5:$A$46,$A53,$B$5:$B$46,B$50)=0,"",SUMIFS($E$5:$E$46,$A$5:$A$46,$A53,$B$5:$B$46,B$50))</f>
        <v/>
      </c>
      <c r="C53" s="12" t="n">
        <f aca="false">IF(COUNTIFS($A$5:$A$46,$A53,$B$5:$B$46,C$50)=0,"",SUMIFS($E$5:$E$46,$A$5:$A$46,$A53,$B$5:$B$46,C$50))</f>
        <v>85.55</v>
      </c>
      <c r="D53" s="12" t="n">
        <f aca="false">IF(COUNTIFS($A$5:$A$46,$A53,$B$5:$B$46,D$50)=0,"",SUMIFS($E$5:$E$46,$A$5:$A$46,$A53,$B$5:$B$46,D$50))</f>
        <v>81.5</v>
      </c>
    </row>
    <row r="54" customFormat="false" ht="15" hidden="false" customHeight="false" outlineLevel="0" collapsed="false">
      <c r="A54" s="11" t="s">
        <v>20</v>
      </c>
      <c r="B54" s="12" t="n">
        <f aca="false">IF(COUNTIFS($A$5:$A$46,$A54,$B$5:$B$46,B$50)=0,"",SUMIFS($E$5:$E$46,$A$5:$A$46,$A54,$B$5:$B$46,B$50))</f>
        <v>70.45</v>
      </c>
      <c r="C54" s="12" t="n">
        <f aca="false">IF(COUNTIFS($A$5:$A$46,$A54,$B$5:$B$46,C$50)=0,"",SUMIFS($E$5:$E$46,$A$5:$A$46,$A54,$B$5:$B$46,C$50))</f>
        <v>74.86</v>
      </c>
      <c r="D54" s="12" t="n">
        <f aca="false">IF(COUNTIFS($A$5:$A$46,$A54,$B$5:$B$46,D$50)=0,"",SUMIFS($E$5:$E$46,$A$5:$A$46,$A54,$B$5:$B$46,D$50))</f>
        <v>73.14</v>
      </c>
    </row>
    <row r="55" customFormat="false" ht="15" hidden="false" customHeight="false" outlineLevel="0" collapsed="false">
      <c r="A55" s="11" t="s">
        <v>24</v>
      </c>
      <c r="B55" s="12" t="n">
        <f aca="false">IF(COUNTIFS($A$5:$A$46,$A55,$B$5:$B$46,B$50)=0,"",SUMIFS($E$5:$E$46,$A$5:$A$46,$A55,$B$5:$B$46,B$50))</f>
        <v>71.81</v>
      </c>
      <c r="C55" s="12" t="n">
        <f aca="false">IF(COUNTIFS($A$5:$A$46,$A55,$B$5:$B$46,C$50)=0,"",SUMIFS($E$5:$E$46,$A$5:$A$46,$A55,$B$5:$B$46,C$50))</f>
        <v>73.71</v>
      </c>
      <c r="D55" s="12" t="n">
        <f aca="false">IF(COUNTIFS($A$5:$A$46,$A55,$B$5:$B$46,D$50)=0,"",SUMIFS($E$5:$E$46,$A$5:$A$46,$A55,$B$5:$B$46,D$50))</f>
        <v>71.13</v>
      </c>
    </row>
    <row r="56" customFormat="false" ht="15" hidden="false" customHeight="false" outlineLevel="0" collapsed="false">
      <c r="A56" s="11" t="s">
        <v>28</v>
      </c>
      <c r="B56" s="12" t="n">
        <f aca="false">IF(COUNTIFS($A$5:$A$46,$A56,$B$5:$B$46,B$50)=0,"",SUMIFS($E$5:$E$46,$A$5:$A$46,$A56,$B$5:$B$46,B$50))</f>
        <v>81.39</v>
      </c>
      <c r="C56" s="12" t="n">
        <f aca="false">IF(COUNTIFS($A$5:$A$46,$A56,$B$5:$B$46,C$50)=0,"",SUMIFS($E$5:$E$46,$A$5:$A$46,$A56,$B$5:$B$46,C$50))</f>
        <v>82.76</v>
      </c>
      <c r="D56" s="12" t="n">
        <f aca="false">IF(COUNTIFS($A$5:$A$46,$A56,$B$5:$B$46,D$50)=0,"",SUMIFS($E$5:$E$46,$A$5:$A$46,$A56,$B$5:$B$46,D$50))</f>
        <v>84.67</v>
      </c>
    </row>
    <row r="57" customFormat="false" ht="15" hidden="false" customHeight="false" outlineLevel="0" collapsed="false">
      <c r="A57" s="11" t="s">
        <v>32</v>
      </c>
      <c r="B57" s="12" t="n">
        <f aca="false">IF(COUNTIFS($A$5:$A$46,$A57,$B$5:$B$46,B$50)=0,"",SUMIFS($E$5:$E$46,$A$5:$A$46,$A57,$B$5:$B$46,B$50))</f>
        <v>62.32</v>
      </c>
      <c r="C57" s="12" t="n">
        <f aca="false">IF(COUNTIFS($A$5:$A$46,$A57,$B$5:$B$46,C$50)=0,"",SUMIFS($E$5:$E$46,$A$5:$A$46,$A57,$B$5:$B$46,C$50))</f>
        <v>63.1</v>
      </c>
      <c r="D57" s="12" t="str">
        <f aca="false">IF(COUNTIFS($A$5:$A$46,$A57,$B$5:$B$46,D$50)=0,"",SUMIFS($E$5:$E$46,$A$5:$A$46,$A57,$B$5:$B$46,D$50))</f>
        <v/>
      </c>
    </row>
    <row r="58" customFormat="false" ht="15" hidden="false" customHeight="false" outlineLevel="0" collapsed="false">
      <c r="A58" s="11" t="s">
        <v>34</v>
      </c>
      <c r="B58" s="12" t="str">
        <f aca="false">IF(COUNTIFS($A$5:$A$46,$A58,$B$5:$B$46,B$50)=0,"",SUMIFS($E$5:$E$46,$A$5:$A$46,$A58,$B$5:$B$46,B$50))</f>
        <v/>
      </c>
      <c r="C58" s="12" t="n">
        <f aca="false">IF(COUNTIFS($A$5:$A$46,$A58,$B$5:$B$46,C$50)=0,"",SUMIFS($E$5:$E$46,$A$5:$A$46,$A58,$B$5:$B$46,C$50))</f>
        <v>56.98</v>
      </c>
      <c r="D58" s="12" t="n">
        <f aca="false">IF(COUNTIFS($A$5:$A$46,$A58,$B$5:$B$46,D$50)=0,"",SUMIFS($E$5:$E$46,$A$5:$A$46,$A58,$B$5:$B$46,D$50))</f>
        <v>30.87</v>
      </c>
    </row>
    <row r="59" customFormat="false" ht="15" hidden="false" customHeight="false" outlineLevel="0" collapsed="false">
      <c r="A59" s="11" t="s">
        <v>37</v>
      </c>
      <c r="B59" s="12" t="n">
        <f aca="false">IF(COUNTIFS($A$5:$A$46,$A59,$B$5:$B$46,B$50)=0,"",SUMIFS($E$5:$E$46,$A$5:$A$46,$A59,$B$5:$B$46,B$50))</f>
        <v>60.45</v>
      </c>
      <c r="C59" s="12" t="n">
        <f aca="false">IF(COUNTIFS($A$5:$A$46,$A59,$B$5:$B$46,C$50)=0,"",SUMIFS($E$5:$E$46,$A$5:$A$46,$A59,$B$5:$B$46,C$50))</f>
        <v>60.86</v>
      </c>
      <c r="D59" s="12" t="n">
        <f aca="false">IF(COUNTIFS($A$5:$A$46,$A59,$B$5:$B$46,D$50)=0,"",SUMIFS($E$5:$E$46,$A$5:$A$46,$A59,$B$5:$B$46,D$50))</f>
        <v>64.98</v>
      </c>
    </row>
    <row r="60" customFormat="false" ht="15" hidden="false" customHeight="false" outlineLevel="0" collapsed="false">
      <c r="A60" s="11" t="s">
        <v>41</v>
      </c>
      <c r="B60" s="12" t="n">
        <f aca="false">IF(COUNTIFS($A$5:$A$46,$A60,$B$5:$B$46,B$50)=0,"",SUMIFS($E$5:$E$46,$A$5:$A$46,$A60,$B$5:$B$46,B$50))</f>
        <v>93.54</v>
      </c>
      <c r="C60" s="12" t="n">
        <f aca="false">IF(COUNTIFS($A$5:$A$46,$A60,$B$5:$B$46,C$50)=0,"",SUMIFS($E$5:$E$46,$A$5:$A$46,$A60,$B$5:$B$46,C$50))</f>
        <v>84.48</v>
      </c>
      <c r="D60" s="12" t="n">
        <f aca="false">IF(COUNTIFS($A$5:$A$46,$A60,$B$5:$B$46,D$50)=0,"",SUMIFS($E$5:$E$46,$A$5:$A$46,$A60,$B$5:$B$46,D$50))</f>
        <v>79.55</v>
      </c>
    </row>
    <row r="61" customFormat="false" ht="15" hidden="false" customHeight="false" outlineLevel="0" collapsed="false">
      <c r="A61" s="11" t="s">
        <v>43</v>
      </c>
      <c r="B61" s="12" t="n">
        <f aca="false">IF(COUNTIFS($A$5:$A$46,$A61,$B$5:$B$46,B$50)=0,"",SUMIFS($E$5:$E$46,$A$5:$A$46,$A61,$B$5:$B$46,B$50))</f>
        <v>91.67</v>
      </c>
      <c r="C61" s="12" t="n">
        <f aca="false">IF(COUNTIFS($A$5:$A$46,$A61,$B$5:$B$46,C$50)=0,"",SUMIFS($E$5:$E$46,$A$5:$A$46,$A61,$B$5:$B$46,C$50))</f>
        <v>72.05</v>
      </c>
      <c r="D61" s="12" t="n">
        <f aca="false">IF(COUNTIFS($A$5:$A$46,$A61,$B$5:$B$46,D$50)=0,"",SUMIFS($E$5:$E$46,$A$5:$A$46,$A61,$B$5:$B$46,D$50))</f>
        <v>52.6</v>
      </c>
    </row>
    <row r="62" customFormat="false" ht="15" hidden="false" customHeight="false" outlineLevel="0" collapsed="false">
      <c r="A62" s="11" t="s">
        <v>47</v>
      </c>
      <c r="B62" s="12" t="n">
        <f aca="false">IF(COUNTIFS($A$5:$A$46,$A62,$B$5:$B$46,B$50)=0,"",SUMIFS($E$5:$E$46,$A$5:$A$46,$A62,$B$5:$B$46,B$50))</f>
        <v>56.76</v>
      </c>
      <c r="C62" s="12" t="n">
        <f aca="false">IF(COUNTIFS($A$5:$A$46,$A62,$B$5:$B$46,C$50)=0,"",SUMIFS($E$5:$E$46,$A$5:$A$46,$A62,$B$5:$B$46,C$50))</f>
        <v>54.12</v>
      </c>
      <c r="D62" s="12" t="n">
        <f aca="false">IF(COUNTIFS($A$5:$A$46,$A62,$B$5:$B$46,D$50)=0,"",SUMIFS($E$5:$E$46,$A$5:$A$46,$A62,$B$5:$B$46,D$50))</f>
        <v>60.08</v>
      </c>
    </row>
    <row r="63" customFormat="false" ht="15" hidden="false" customHeight="false" outlineLevel="0" collapsed="false">
      <c r="A63" s="11" t="s">
        <v>51</v>
      </c>
      <c r="B63" s="12" t="n">
        <f aca="false">IF(COUNTIFS($A$5:$A$46,$A63,$B$5:$B$46,B$50)=0,"",SUMIFS($E$5:$E$46,$A$5:$A$46,$A63,$B$5:$B$46,B$50))</f>
        <v>55.31</v>
      </c>
      <c r="C63" s="12" t="n">
        <f aca="false">IF(COUNTIFS($A$5:$A$46,$A63,$B$5:$B$46,C$50)=0,"",SUMIFS($E$5:$E$46,$A$5:$A$46,$A63,$B$5:$B$46,C$50))</f>
        <v>58.92</v>
      </c>
      <c r="D63" s="12" t="n">
        <f aca="false">IF(COUNTIFS($A$5:$A$46,$A63,$B$5:$B$46,D$50)=0,"",SUMIFS($E$5:$E$46,$A$5:$A$46,$A63,$B$5:$B$46,D$50))</f>
        <v>62.42</v>
      </c>
    </row>
    <row r="64" customFormat="false" ht="15" hidden="false" customHeight="false" outlineLevel="0" collapsed="false">
      <c r="A64" s="11" t="s">
        <v>55</v>
      </c>
      <c r="B64" s="12" t="n">
        <f aca="false">IF(COUNTIFS($A$5:$A$46,$A64,$B$5:$B$46,B$50)=0,"",SUMIFS($E$5:$E$46,$A$5:$A$46,$A64,$B$5:$B$46,B$50))</f>
        <v>67.97</v>
      </c>
      <c r="C64" s="12" t="n">
        <f aca="false">IF(COUNTIFS($A$5:$A$46,$A64,$B$5:$B$46,C$50)=0,"",SUMIFS($E$5:$E$46,$A$5:$A$46,$A64,$B$5:$B$46,C$50))</f>
        <v>68.83</v>
      </c>
      <c r="D64" s="12" t="n">
        <f aca="false">IF(COUNTIFS($A$5:$A$46,$A64,$B$5:$B$46,D$50)=0,"",SUMIFS($E$5:$E$46,$A$5:$A$46,$A64,$B$5:$B$46,D$50))</f>
        <v>69.19</v>
      </c>
    </row>
    <row r="65" customFormat="false" ht="15" hidden="false" customHeight="false" outlineLevel="0" collapsed="false">
      <c r="A65" s="11" t="s">
        <v>59</v>
      </c>
      <c r="B65" s="12" t="n">
        <f aca="false">IF(COUNTIFS($A$5:$A$46,$A65,$B$5:$B$46,B$50)=0,"",SUMIFS($E$5:$E$46,$A$5:$A$46,$A65,$B$5:$B$46,B$50))</f>
        <v>89.93</v>
      </c>
      <c r="C65" s="12" t="n">
        <f aca="false">IF(COUNTIFS($A$5:$A$46,$A65,$B$5:$B$46,C$50)=0,"",SUMIFS($E$5:$E$46,$A$5:$A$46,$A65,$B$5:$B$46,C$50))</f>
        <v>82.06</v>
      </c>
      <c r="D65" s="12" t="n">
        <f aca="false">IF(COUNTIFS($A$5:$A$46,$A65,$B$5:$B$46,D$50)=0,"",SUMIFS($E$5:$E$46,$A$5:$A$46,$A65,$B$5:$B$46,D$50))</f>
        <v>65.12</v>
      </c>
    </row>
    <row r="72" customFormat="false" ht="15" hidden="false" customHeight="false" outlineLevel="0" collapsed="false">
      <c r="A72" s="9" t="s">
        <v>64</v>
      </c>
    </row>
    <row r="73" customFormat="false" ht="15" hidden="false" customHeight="false" outlineLevel="0" collapsed="false">
      <c r="A73" s="11" t="s">
        <v>65</v>
      </c>
    </row>
    <row r="74" customFormat="false" ht="15" hidden="false" customHeight="false" outlineLevel="0" collapsed="false">
      <c r="A74" s="11" t="s">
        <v>66</v>
      </c>
    </row>
    <row r="75" customFormat="false" ht="15" hidden="false" customHeight="false" outlineLevel="0" collapsed="false">
      <c r="A75" s="11" t="s">
        <v>67</v>
      </c>
    </row>
    <row r="76" customFormat="false" ht="15" hidden="false" customHeight="false" outlineLevel="0" collapsed="false">
      <c r="A76" s="11" t="s">
        <v>68</v>
      </c>
    </row>
    <row r="77" customFormat="false" ht="15" hidden="false" customHeight="false" outlineLevel="0" collapsed="false">
      <c r="A77" s="11" t="s">
        <v>69</v>
      </c>
    </row>
    <row r="78" customFormat="false" ht="15" hidden="false" customHeight="false" outlineLevel="0" collapsed="false">
      <c r="A78" s="11" t="s">
        <v>70</v>
      </c>
    </row>
    <row r="79" customFormat="false" ht="15" hidden="false" customHeight="false" outlineLevel="0" collapsed="false">
      <c r="A79" s="11" t="s">
        <v>71</v>
      </c>
    </row>
    <row r="80" customFormat="false" ht="15" hidden="false" customHeight="false" outlineLevel="0" collapsed="false">
      <c r="A80" s="11" t="s">
        <v>72</v>
      </c>
    </row>
    <row r="82" customFormat="false" ht="15" hidden="false" customHeight="false" outlineLevel="0" collapsed="false">
      <c r="A82" s="9" t="s">
        <v>73</v>
      </c>
    </row>
    <row r="83" customFormat="false" ht="15" hidden="false" customHeight="false" outlineLevel="0" collapsed="false">
      <c r="A83" s="11" t="s">
        <v>74</v>
      </c>
      <c r="B83" s="11" t="s">
        <v>75</v>
      </c>
    </row>
    <row r="84" customFormat="false" ht="15" hidden="false" customHeight="false" outlineLevel="0" collapsed="false">
      <c r="A84" s="11" t="s">
        <v>76</v>
      </c>
      <c r="B84" s="11" t="s">
        <v>77</v>
      </c>
    </row>
    <row r="85" customFormat="false" ht="15" hidden="false" customHeight="false" outlineLevel="0" collapsed="false">
      <c r="A85" s="11" t="s">
        <v>78</v>
      </c>
      <c r="B85" s="11" t="s">
        <v>79</v>
      </c>
    </row>
    <row r="86" customFormat="false" ht="15" hidden="false" customHeight="false" outlineLevel="0" collapsed="false">
      <c r="A86" s="11" t="s">
        <v>80</v>
      </c>
      <c r="B86" s="11" t="s">
        <v>81</v>
      </c>
    </row>
    <row r="87" customFormat="false" ht="15" hidden="false" customHeight="false" outlineLevel="0" collapsed="false">
      <c r="A87" s="11" t="s">
        <v>82</v>
      </c>
      <c r="B87" s="11" t="s">
        <v>83</v>
      </c>
    </row>
    <row r="88" customFormat="false" ht="15" hidden="false" customHeight="false" outlineLevel="0" collapsed="false">
      <c r="A88" s="11" t="s">
        <v>84</v>
      </c>
      <c r="B88" s="11" t="s">
        <v>85</v>
      </c>
    </row>
    <row r="89" customFormat="false" ht="15" hidden="false" customHeight="false" outlineLevel="0" collapsed="false">
      <c r="A89" s="11" t="s">
        <v>86</v>
      </c>
      <c r="B89" s="11" t="s">
        <v>87</v>
      </c>
    </row>
    <row r="90" customFormat="false" ht="15" hidden="false" customHeight="false" outlineLevel="0" collapsed="false">
      <c r="A90" s="11" t="s">
        <v>88</v>
      </c>
      <c r="B90" s="11" t="s">
        <v>89</v>
      </c>
    </row>
    <row r="91" customFormat="false" ht="15" hidden="false" customHeight="false" outlineLevel="0" collapsed="false">
      <c r="A91" s="11" t="s">
        <v>90</v>
      </c>
      <c r="B91" s="11" t="s">
        <v>91</v>
      </c>
    </row>
    <row r="92" customFormat="false" ht="15" hidden="false" customHeight="false" outlineLevel="0" collapsed="false">
      <c r="A92" s="11" t="s">
        <v>92</v>
      </c>
      <c r="B92" s="11" t="s">
        <v>93</v>
      </c>
    </row>
    <row r="93" customFormat="false" ht="15" hidden="false" customHeight="false" outlineLevel="0" collapsed="false">
      <c r="A93" s="11" t="s">
        <v>94</v>
      </c>
      <c r="B93" s="11" t="s">
        <v>95</v>
      </c>
    </row>
    <row r="94" customFormat="false" ht="15" hidden="false" customHeight="false" outlineLevel="0" collapsed="false">
      <c r="A94" s="11" t="s">
        <v>96</v>
      </c>
      <c r="B94" s="11" t="s">
        <v>97</v>
      </c>
    </row>
    <row r="95" customFormat="false" ht="15" hidden="false" customHeight="false" outlineLevel="0" collapsed="false">
      <c r="A95" s="11" t="s">
        <v>98</v>
      </c>
      <c r="B95" s="11" t="s">
        <v>99</v>
      </c>
    </row>
    <row r="96" customFormat="false" ht="15" hidden="false" customHeight="false" outlineLevel="0" collapsed="false">
      <c r="A96" s="11" t="s">
        <v>100</v>
      </c>
      <c r="B96" s="11" t="s">
        <v>101</v>
      </c>
    </row>
    <row r="97" customFormat="false" ht="15" hidden="false" customHeight="false" outlineLevel="0" collapsed="false">
      <c r="A97" s="11" t="s">
        <v>102</v>
      </c>
      <c r="B97" s="11" t="s">
        <v>103</v>
      </c>
    </row>
    <row r="98" customFormat="false" ht="15" hidden="false" customHeight="false" outlineLevel="0" collapsed="false">
      <c r="A98" s="11" t="s">
        <v>104</v>
      </c>
      <c r="B98" s="11" t="s">
        <v>105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3" width="16"/>
  </cols>
  <sheetData>
    <row r="1" customFormat="false" ht="15" hidden="false" customHeight="true" outlineLevel="0" collapsed="false">
      <c r="A1" s="13" t="s">
        <v>106</v>
      </c>
    </row>
    <row r="2" customFormat="false" ht="15" hidden="false" customHeight="true" outlineLevel="0" collapsed="false">
      <c r="A2" s="13" t="s">
        <v>107</v>
      </c>
    </row>
    <row r="4" customFormat="false" ht="15" hidden="false" customHeight="true" outlineLevel="0" collapsed="false">
      <c r="A4" s="13" t="s">
        <v>3</v>
      </c>
      <c r="B4" s="13" t="s">
        <v>4</v>
      </c>
      <c r="C4" s="13" t="s">
        <v>5</v>
      </c>
      <c r="D4" s="13" t="s">
        <v>108</v>
      </c>
      <c r="E4" s="13" t="s">
        <v>6</v>
      </c>
      <c r="F4" s="13" t="s">
        <v>109</v>
      </c>
    </row>
    <row r="5" customFormat="false" ht="15" hidden="false" customHeight="true" outlineLevel="0" collapsed="false">
      <c r="A5" s="13" t="n">
        <v>2024</v>
      </c>
      <c r="B5" s="14" t="n">
        <v>39267</v>
      </c>
      <c r="C5" s="14" t="n">
        <v>33644</v>
      </c>
      <c r="D5" s="14" t="n">
        <f aca="false">B5-C5</f>
        <v>5623</v>
      </c>
      <c r="E5" s="15" t="n">
        <v>0.8655</v>
      </c>
      <c r="F5" s="14" t="n">
        <v>396</v>
      </c>
    </row>
    <row r="6" customFormat="false" ht="15" hidden="false" customHeight="true" outlineLevel="0" collapsed="false">
      <c r="A6" s="13" t="n">
        <v>2025</v>
      </c>
      <c r="B6" s="14" t="n">
        <v>42357</v>
      </c>
      <c r="C6" s="14" t="n">
        <v>36550</v>
      </c>
      <c r="D6" s="14" t="n">
        <f aca="false">B6-C6</f>
        <v>5807</v>
      </c>
      <c r="E6" s="15" t="n">
        <v>0.8715</v>
      </c>
      <c r="F6" s="14" t="n">
        <v>416</v>
      </c>
    </row>
    <row r="7" customFormat="false" ht="15" hidden="false" customHeight="true" outlineLevel="0" collapsed="false">
      <c r="A7" s="13" t="n">
        <v>2026</v>
      </c>
      <c r="B7" s="14" t="n">
        <v>45757</v>
      </c>
      <c r="C7" s="14" t="n">
        <v>35818</v>
      </c>
      <c r="D7" s="14" t="n">
        <f aca="false">B7-C7</f>
        <v>9939</v>
      </c>
      <c r="E7" s="15" t="n">
        <v>0.7911</v>
      </c>
      <c r="F7" s="14" t="n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3" width="16"/>
    <col collapsed="false" customWidth="true" hidden="false" outlineLevel="0" max="4" min="4" style="13" width="28"/>
    <col collapsed="false" customWidth="true" hidden="false" outlineLevel="0" max="15" min="5" style="13" width="16"/>
  </cols>
  <sheetData>
    <row r="1" customFormat="false" ht="15" hidden="false" customHeight="true" outlineLevel="0" collapsed="false">
      <c r="A1" s="13" t="s">
        <v>110</v>
      </c>
    </row>
    <row r="2" customFormat="false" ht="15" hidden="false" customHeight="true" outlineLevel="0" collapsed="false">
      <c r="A2" s="13" t="s">
        <v>111</v>
      </c>
    </row>
    <row r="4" customFormat="false" ht="15" hidden="false" customHeight="true" outlineLevel="0" collapsed="false">
      <c r="A4" s="13" t="s">
        <v>3</v>
      </c>
      <c r="B4" s="13" t="s">
        <v>112</v>
      </c>
      <c r="C4" s="13" t="s">
        <v>113</v>
      </c>
      <c r="D4" s="13" t="s">
        <v>114</v>
      </c>
      <c r="E4" s="13" t="s">
        <v>4</v>
      </c>
      <c r="F4" s="13" t="s">
        <v>5</v>
      </c>
      <c r="G4" s="13" t="s">
        <v>108</v>
      </c>
      <c r="H4" s="13" t="s">
        <v>6</v>
      </c>
      <c r="I4" s="13" t="s">
        <v>115</v>
      </c>
      <c r="J4" s="13" t="s">
        <v>116</v>
      </c>
      <c r="K4" s="13" t="s">
        <v>117</v>
      </c>
      <c r="L4" s="13" t="s">
        <v>118</v>
      </c>
      <c r="M4" s="13" t="s">
        <v>119</v>
      </c>
      <c r="N4" s="13" t="s">
        <v>120</v>
      </c>
      <c r="O4" s="13" t="s">
        <v>109</v>
      </c>
    </row>
    <row r="5" customFormat="false" ht="15" hidden="false" customHeight="true" outlineLevel="0" collapsed="false">
      <c r="A5" s="13" t="n">
        <v>2024</v>
      </c>
      <c r="B5" s="13" t="s">
        <v>121</v>
      </c>
      <c r="C5" s="13" t="s">
        <v>122</v>
      </c>
      <c r="D5" s="13" t="s">
        <v>123</v>
      </c>
      <c r="E5" s="14" t="n">
        <v>6980</v>
      </c>
      <c r="F5" s="14" t="n">
        <v>6254</v>
      </c>
      <c r="G5" s="14" t="n">
        <f aca="false">E5-F5</f>
        <v>726</v>
      </c>
      <c r="H5" s="15" t="n">
        <v>0.8992</v>
      </c>
      <c r="I5" s="14" t="n">
        <v>1211</v>
      </c>
      <c r="J5" s="14" t="n">
        <v>1788</v>
      </c>
      <c r="K5" s="14" t="n">
        <v>2207</v>
      </c>
      <c r="L5" s="14" t="n">
        <v>997</v>
      </c>
      <c r="M5" s="14" t="n">
        <v>51</v>
      </c>
      <c r="N5" s="14" t="n">
        <v>0</v>
      </c>
      <c r="O5" s="14" t="n">
        <v>25</v>
      </c>
    </row>
    <row r="6" customFormat="false" ht="15" hidden="false" customHeight="true" outlineLevel="0" collapsed="false">
      <c r="A6" s="13" t="n">
        <v>2024</v>
      </c>
      <c r="B6" s="13" t="s">
        <v>121</v>
      </c>
      <c r="C6" s="13" t="s">
        <v>124</v>
      </c>
      <c r="D6" s="13" t="s">
        <v>123</v>
      </c>
      <c r="E6" s="14" t="n">
        <v>9376</v>
      </c>
      <c r="F6" s="14" t="n">
        <v>8338</v>
      </c>
      <c r="G6" s="14" t="n">
        <f aca="false">E6-F6</f>
        <v>1038</v>
      </c>
      <c r="H6" s="15" t="n">
        <v>0.9007</v>
      </c>
      <c r="I6" s="14" t="n">
        <v>1011</v>
      </c>
      <c r="J6" s="14" t="n">
        <v>2024</v>
      </c>
      <c r="K6" s="14" t="n">
        <v>2516</v>
      </c>
      <c r="L6" s="14" t="n">
        <v>2221</v>
      </c>
      <c r="M6" s="14" t="n">
        <v>565</v>
      </c>
      <c r="N6" s="14" t="n">
        <v>1</v>
      </c>
      <c r="O6" s="14" t="n">
        <v>119</v>
      </c>
    </row>
    <row r="7" customFormat="false" ht="15" hidden="false" customHeight="true" outlineLevel="0" collapsed="false">
      <c r="A7" s="13" t="n">
        <v>2024</v>
      </c>
      <c r="B7" s="13" t="s">
        <v>125</v>
      </c>
      <c r="C7" s="13" t="s">
        <v>122</v>
      </c>
      <c r="D7" s="13" t="s">
        <v>123</v>
      </c>
      <c r="E7" s="14" t="n">
        <v>785</v>
      </c>
      <c r="F7" s="14" t="n">
        <v>587</v>
      </c>
      <c r="G7" s="14" t="n">
        <f aca="false">E7-F7</f>
        <v>198</v>
      </c>
      <c r="H7" s="15" t="n">
        <v>0.7673</v>
      </c>
      <c r="I7" s="14" t="n">
        <v>252</v>
      </c>
      <c r="J7" s="14" t="n">
        <v>82</v>
      </c>
      <c r="K7" s="14" t="n">
        <v>80</v>
      </c>
      <c r="L7" s="14" t="n">
        <v>126</v>
      </c>
      <c r="M7" s="14" t="n">
        <v>46</v>
      </c>
      <c r="N7" s="14" t="n">
        <v>1</v>
      </c>
      <c r="O7" s="14" t="n">
        <v>20</v>
      </c>
    </row>
    <row r="8" customFormat="false" ht="15" hidden="false" customHeight="true" outlineLevel="0" collapsed="false">
      <c r="A8" s="13" t="n">
        <v>2024</v>
      </c>
      <c r="B8" s="13" t="s">
        <v>125</v>
      </c>
      <c r="C8" s="13" t="s">
        <v>124</v>
      </c>
      <c r="D8" s="13" t="s">
        <v>123</v>
      </c>
      <c r="E8" s="14" t="n">
        <v>1058</v>
      </c>
      <c r="F8" s="14" t="n">
        <v>807</v>
      </c>
      <c r="G8" s="14" t="n">
        <f aca="false">E8-F8</f>
        <v>251</v>
      </c>
      <c r="H8" s="15" t="n">
        <v>0.7889</v>
      </c>
      <c r="I8" s="14" t="n">
        <v>272</v>
      </c>
      <c r="J8" s="14" t="n">
        <v>112</v>
      </c>
      <c r="K8" s="14" t="n">
        <v>125</v>
      </c>
      <c r="L8" s="14" t="n">
        <v>171</v>
      </c>
      <c r="M8" s="14" t="n">
        <v>122</v>
      </c>
      <c r="N8" s="14" t="n">
        <v>5</v>
      </c>
      <c r="O8" s="14" t="n">
        <v>35</v>
      </c>
    </row>
    <row r="9" customFormat="false" ht="15" hidden="false" customHeight="true" outlineLevel="0" collapsed="false">
      <c r="A9" s="13" t="n">
        <v>2024</v>
      </c>
      <c r="B9" s="13" t="s">
        <v>121</v>
      </c>
      <c r="C9" s="13" t="s">
        <v>122</v>
      </c>
      <c r="D9" s="13" t="s">
        <v>126</v>
      </c>
      <c r="E9" s="14" t="n">
        <v>720</v>
      </c>
      <c r="F9" s="14" t="n">
        <v>590</v>
      </c>
      <c r="G9" s="14" t="n">
        <f aca="false">E9-F9</f>
        <v>130</v>
      </c>
      <c r="H9" s="15" t="n">
        <v>0.8229</v>
      </c>
      <c r="I9" s="14" t="n">
        <v>137</v>
      </c>
      <c r="J9" s="14" t="n">
        <v>163</v>
      </c>
      <c r="K9" s="14" t="n">
        <v>164</v>
      </c>
      <c r="L9" s="14" t="n">
        <v>113</v>
      </c>
      <c r="M9" s="14" t="n">
        <v>13</v>
      </c>
      <c r="N9" s="14" t="n">
        <v>0</v>
      </c>
      <c r="O9" s="14" t="n">
        <v>3</v>
      </c>
    </row>
    <row r="10" customFormat="false" ht="15" hidden="false" customHeight="true" outlineLevel="0" collapsed="false">
      <c r="A10" s="13" t="n">
        <v>2024</v>
      </c>
      <c r="B10" s="13" t="s">
        <v>121</v>
      </c>
      <c r="C10" s="13" t="s">
        <v>124</v>
      </c>
      <c r="D10" s="13" t="s">
        <v>126</v>
      </c>
      <c r="E10" s="14" t="n">
        <v>2852</v>
      </c>
      <c r="F10" s="14" t="n">
        <v>2489</v>
      </c>
      <c r="G10" s="14" t="n">
        <f aca="false">E10-F10</f>
        <v>363</v>
      </c>
      <c r="H10" s="15" t="n">
        <v>0.8786</v>
      </c>
      <c r="I10" s="14" t="n">
        <v>219</v>
      </c>
      <c r="J10" s="14" t="n">
        <v>563</v>
      </c>
      <c r="K10" s="14" t="n">
        <v>604</v>
      </c>
      <c r="L10" s="14" t="n">
        <v>798</v>
      </c>
      <c r="M10" s="14" t="n">
        <v>304</v>
      </c>
      <c r="N10" s="14" t="n">
        <v>1</v>
      </c>
      <c r="O10" s="14" t="n">
        <v>19</v>
      </c>
    </row>
    <row r="11" customFormat="false" ht="15" hidden="false" customHeight="true" outlineLevel="0" collapsed="false">
      <c r="A11" s="13" t="n">
        <v>2024</v>
      </c>
      <c r="B11" s="13" t="s">
        <v>125</v>
      </c>
      <c r="C11" s="13" t="s">
        <v>122</v>
      </c>
      <c r="D11" s="13" t="s">
        <v>126</v>
      </c>
      <c r="E11" s="14" t="n">
        <v>62</v>
      </c>
      <c r="F11" s="14" t="n">
        <v>42</v>
      </c>
      <c r="G11" s="14" t="n">
        <f aca="false">E11-F11</f>
        <v>20</v>
      </c>
      <c r="H11" s="15" t="n">
        <v>0.6885</v>
      </c>
      <c r="I11" s="14" t="n">
        <v>0</v>
      </c>
      <c r="J11" s="14" t="n">
        <v>3</v>
      </c>
      <c r="K11" s="14" t="n">
        <v>4</v>
      </c>
      <c r="L11" s="14" t="n">
        <v>24</v>
      </c>
      <c r="M11" s="14" t="n">
        <v>10</v>
      </c>
      <c r="N11" s="14" t="n">
        <v>1</v>
      </c>
      <c r="O11" s="14" t="n">
        <v>1</v>
      </c>
    </row>
    <row r="12" customFormat="false" ht="15" hidden="false" customHeight="true" outlineLevel="0" collapsed="false">
      <c r="A12" s="13" t="n">
        <v>2024</v>
      </c>
      <c r="B12" s="13" t="s">
        <v>125</v>
      </c>
      <c r="C12" s="13" t="s">
        <v>124</v>
      </c>
      <c r="D12" s="13" t="s">
        <v>126</v>
      </c>
      <c r="E12" s="14" t="n">
        <v>251</v>
      </c>
      <c r="F12" s="14" t="n">
        <v>177</v>
      </c>
      <c r="G12" s="14" t="n">
        <f aca="false">E12-F12</f>
        <v>74</v>
      </c>
      <c r="H12" s="15" t="n">
        <v>0.7284</v>
      </c>
      <c r="I12" s="14" t="n">
        <v>4</v>
      </c>
      <c r="J12" s="14" t="n">
        <v>10</v>
      </c>
      <c r="K12" s="14" t="n">
        <v>30</v>
      </c>
      <c r="L12" s="14" t="n">
        <v>59</v>
      </c>
      <c r="M12" s="14" t="n">
        <v>66</v>
      </c>
      <c r="N12" s="14" t="n">
        <v>8</v>
      </c>
      <c r="O12" s="14" t="n">
        <v>8</v>
      </c>
    </row>
    <row r="13" customFormat="false" ht="15" hidden="false" customHeight="true" outlineLevel="0" collapsed="false">
      <c r="A13" s="13" t="n">
        <v>2024</v>
      </c>
      <c r="B13" s="13" t="s">
        <v>121</v>
      </c>
      <c r="C13" s="13" t="s">
        <v>122</v>
      </c>
      <c r="D13" s="13" t="s">
        <v>127</v>
      </c>
      <c r="E13" s="14" t="n">
        <v>1396</v>
      </c>
      <c r="F13" s="14" t="n">
        <v>1219</v>
      </c>
      <c r="G13" s="14" t="n">
        <f aca="false">E13-F13</f>
        <v>177</v>
      </c>
      <c r="H13" s="15" t="n">
        <v>0.8751</v>
      </c>
      <c r="I13" s="14" t="n">
        <v>123</v>
      </c>
      <c r="J13" s="14" t="n">
        <v>330</v>
      </c>
      <c r="K13" s="14" t="n">
        <v>441</v>
      </c>
      <c r="L13" s="14" t="n">
        <v>293</v>
      </c>
      <c r="M13" s="14" t="n">
        <v>32</v>
      </c>
      <c r="N13" s="14" t="n">
        <v>0</v>
      </c>
      <c r="O13" s="14" t="n">
        <v>3</v>
      </c>
    </row>
    <row r="14" customFormat="false" ht="15" hidden="false" customHeight="true" outlineLevel="0" collapsed="false">
      <c r="A14" s="13" t="n">
        <v>2024</v>
      </c>
      <c r="B14" s="13" t="s">
        <v>121</v>
      </c>
      <c r="C14" s="13" t="s">
        <v>124</v>
      </c>
      <c r="D14" s="13" t="s">
        <v>127</v>
      </c>
      <c r="E14" s="14" t="n">
        <v>3686</v>
      </c>
      <c r="F14" s="14" t="n">
        <v>3318</v>
      </c>
      <c r="G14" s="14" t="n">
        <f aca="false">E14-F14</f>
        <v>368</v>
      </c>
      <c r="H14" s="15" t="n">
        <v>0.908</v>
      </c>
      <c r="I14" s="14" t="n">
        <v>86</v>
      </c>
      <c r="J14" s="14" t="n">
        <v>559</v>
      </c>
      <c r="K14" s="14" t="n">
        <v>1052</v>
      </c>
      <c r="L14" s="14" t="n">
        <v>1228</v>
      </c>
      <c r="M14" s="14" t="n">
        <v>393</v>
      </c>
      <c r="N14" s="14" t="n">
        <v>0</v>
      </c>
      <c r="O14" s="14" t="n">
        <v>32</v>
      </c>
    </row>
    <row r="15" customFormat="false" ht="15" hidden="false" customHeight="true" outlineLevel="0" collapsed="false">
      <c r="A15" s="13" t="n">
        <v>2024</v>
      </c>
      <c r="B15" s="13" t="s">
        <v>125</v>
      </c>
      <c r="C15" s="13" t="s">
        <v>122</v>
      </c>
      <c r="D15" s="13" t="s">
        <v>127</v>
      </c>
      <c r="E15" s="14" t="n">
        <v>97</v>
      </c>
      <c r="F15" s="14" t="n">
        <v>59</v>
      </c>
      <c r="G15" s="14" t="n">
        <f aca="false">E15-F15</f>
        <v>38</v>
      </c>
      <c r="H15" s="15" t="n">
        <v>0.6082</v>
      </c>
      <c r="I15" s="14" t="n">
        <v>0</v>
      </c>
      <c r="J15" s="14" t="n">
        <v>4</v>
      </c>
      <c r="K15" s="14" t="n">
        <v>9</v>
      </c>
      <c r="L15" s="14" t="n">
        <v>22</v>
      </c>
      <c r="M15" s="14" t="n">
        <v>22</v>
      </c>
      <c r="N15" s="14" t="n">
        <v>2</v>
      </c>
      <c r="O15" s="14" t="n">
        <v>0</v>
      </c>
    </row>
    <row r="16" customFormat="false" ht="15" hidden="false" customHeight="true" outlineLevel="0" collapsed="false">
      <c r="A16" s="13" t="n">
        <v>2024</v>
      </c>
      <c r="B16" s="13" t="s">
        <v>125</v>
      </c>
      <c r="C16" s="13" t="s">
        <v>124</v>
      </c>
      <c r="D16" s="13" t="s">
        <v>127</v>
      </c>
      <c r="E16" s="14" t="n">
        <v>171</v>
      </c>
      <c r="F16" s="14" t="n">
        <v>127</v>
      </c>
      <c r="G16" s="14" t="n">
        <f aca="false">E16-F16</f>
        <v>44</v>
      </c>
      <c r="H16" s="15" t="n">
        <v>0.7697</v>
      </c>
      <c r="I16" s="14" t="n">
        <v>1</v>
      </c>
      <c r="J16" s="14" t="n">
        <v>8</v>
      </c>
      <c r="K16" s="14" t="n">
        <v>27</v>
      </c>
      <c r="L16" s="14" t="n">
        <v>36</v>
      </c>
      <c r="M16" s="14" t="n">
        <v>50</v>
      </c>
      <c r="N16" s="14" t="n">
        <v>5</v>
      </c>
      <c r="O16" s="14" t="n">
        <v>6</v>
      </c>
    </row>
    <row r="17" customFormat="false" ht="15" hidden="false" customHeight="true" outlineLevel="0" collapsed="false">
      <c r="A17" s="13" t="n">
        <v>2024</v>
      </c>
      <c r="B17" s="13" t="s">
        <v>121</v>
      </c>
      <c r="C17" s="13" t="s">
        <v>122</v>
      </c>
      <c r="D17" s="13" t="s">
        <v>128</v>
      </c>
      <c r="E17" s="14" t="n">
        <v>3694</v>
      </c>
      <c r="F17" s="14" t="n">
        <v>3305</v>
      </c>
      <c r="G17" s="14" t="n">
        <f aca="false">E17-F17</f>
        <v>389</v>
      </c>
      <c r="H17" s="15" t="n">
        <v>0.8979</v>
      </c>
      <c r="I17" s="14" t="n">
        <v>42</v>
      </c>
      <c r="J17" s="14" t="n">
        <v>547</v>
      </c>
      <c r="K17" s="14" t="n">
        <v>1503</v>
      </c>
      <c r="L17" s="14" t="n">
        <v>1063</v>
      </c>
      <c r="M17" s="14" t="n">
        <v>150</v>
      </c>
      <c r="N17" s="14" t="n">
        <v>0</v>
      </c>
      <c r="O17" s="14" t="n">
        <v>13</v>
      </c>
    </row>
    <row r="18" customFormat="false" ht="15" hidden="false" customHeight="true" outlineLevel="0" collapsed="false">
      <c r="A18" s="13" t="n">
        <v>2024</v>
      </c>
      <c r="B18" s="13" t="s">
        <v>121</v>
      </c>
      <c r="C18" s="13" t="s">
        <v>124</v>
      </c>
      <c r="D18" s="13" t="s">
        <v>128</v>
      </c>
      <c r="E18" s="14" t="n">
        <v>2217</v>
      </c>
      <c r="F18" s="14" t="n">
        <v>1929</v>
      </c>
      <c r="G18" s="14" t="n">
        <f aca="false">E18-F18</f>
        <v>288</v>
      </c>
      <c r="H18" s="15" t="n">
        <v>0.876</v>
      </c>
      <c r="I18" s="14" t="n">
        <v>2</v>
      </c>
      <c r="J18" s="14" t="n">
        <v>37</v>
      </c>
      <c r="K18" s="14" t="n">
        <v>307</v>
      </c>
      <c r="L18" s="14" t="n">
        <v>914</v>
      </c>
      <c r="M18" s="14" t="n">
        <v>663</v>
      </c>
      <c r="N18" s="14" t="n">
        <v>6</v>
      </c>
      <c r="O18" s="14" t="n">
        <v>15</v>
      </c>
    </row>
    <row r="19" customFormat="false" ht="15" hidden="false" customHeight="true" outlineLevel="0" collapsed="false">
      <c r="A19" s="13" t="n">
        <v>2024</v>
      </c>
      <c r="B19" s="13" t="s">
        <v>125</v>
      </c>
      <c r="C19" s="13" t="s">
        <v>122</v>
      </c>
      <c r="D19" s="13" t="s">
        <v>128</v>
      </c>
      <c r="E19" s="14" t="n">
        <v>2549</v>
      </c>
      <c r="F19" s="14" t="n">
        <v>1762</v>
      </c>
      <c r="G19" s="14" t="n">
        <f aca="false">E19-F19</f>
        <v>787</v>
      </c>
      <c r="H19" s="15" t="n">
        <v>0.6992</v>
      </c>
      <c r="I19" s="14" t="n">
        <v>3</v>
      </c>
      <c r="J19" s="14" t="n">
        <v>72</v>
      </c>
      <c r="K19" s="14" t="n">
        <v>400</v>
      </c>
      <c r="L19" s="14" t="n">
        <v>875</v>
      </c>
      <c r="M19" s="14" t="n">
        <v>390</v>
      </c>
      <c r="N19" s="14" t="n">
        <v>22</v>
      </c>
      <c r="O19" s="14" t="n">
        <v>29</v>
      </c>
    </row>
    <row r="20" customFormat="false" ht="15" hidden="false" customHeight="true" outlineLevel="0" collapsed="false">
      <c r="A20" s="13" t="n">
        <v>2024</v>
      </c>
      <c r="B20" s="13" t="s">
        <v>125</v>
      </c>
      <c r="C20" s="13" t="s">
        <v>124</v>
      </c>
      <c r="D20" s="13" t="s">
        <v>128</v>
      </c>
      <c r="E20" s="14" t="n">
        <v>2930</v>
      </c>
      <c r="F20" s="14" t="n">
        <v>2308</v>
      </c>
      <c r="G20" s="14" t="n">
        <f aca="false">E20-F20</f>
        <v>622</v>
      </c>
      <c r="H20" s="15" t="n">
        <v>0.8008</v>
      </c>
      <c r="I20" s="14" t="n">
        <v>1</v>
      </c>
      <c r="J20" s="14" t="n">
        <v>51</v>
      </c>
      <c r="K20" s="14" t="n">
        <v>373</v>
      </c>
      <c r="L20" s="14" t="n">
        <v>886</v>
      </c>
      <c r="M20" s="14" t="n">
        <v>916</v>
      </c>
      <c r="N20" s="14" t="n">
        <v>81</v>
      </c>
      <c r="O20" s="14" t="n">
        <v>48</v>
      </c>
    </row>
    <row r="21" customFormat="false" ht="15" hidden="false" customHeight="true" outlineLevel="0" collapsed="false">
      <c r="A21" s="13" t="n">
        <v>2024</v>
      </c>
      <c r="B21" s="13" t="s">
        <v>125</v>
      </c>
      <c r="C21" s="13" t="s">
        <v>124</v>
      </c>
      <c r="D21" s="13" t="s">
        <v>129</v>
      </c>
      <c r="E21" s="14" t="n">
        <v>2</v>
      </c>
      <c r="F21" s="14" t="n">
        <v>2</v>
      </c>
      <c r="G21" s="14" t="n">
        <f aca="false">E21-F21</f>
        <v>0</v>
      </c>
      <c r="H21" s="15" t="n">
        <v>1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2</v>
      </c>
      <c r="N21" s="14" t="n">
        <v>0</v>
      </c>
      <c r="O21" s="14" t="n">
        <v>0</v>
      </c>
    </row>
    <row r="22" customFormat="false" ht="15" hidden="false" customHeight="true" outlineLevel="0" collapsed="false">
      <c r="A22" s="13" t="n">
        <v>2024</v>
      </c>
      <c r="B22" s="13" t="s">
        <v>121</v>
      </c>
      <c r="C22" s="13" t="s">
        <v>122</v>
      </c>
      <c r="D22" s="13" t="s">
        <v>130</v>
      </c>
      <c r="E22" s="14" t="n">
        <v>6</v>
      </c>
      <c r="F22" s="14" t="n">
        <v>5</v>
      </c>
      <c r="G22" s="14" t="n">
        <f aca="false">E22-F22</f>
        <v>1</v>
      </c>
      <c r="H22" s="15" t="n">
        <v>0.8333</v>
      </c>
      <c r="I22" s="14" t="n">
        <v>0</v>
      </c>
      <c r="J22" s="14" t="n">
        <v>3</v>
      </c>
      <c r="K22" s="14" t="n">
        <v>1</v>
      </c>
      <c r="L22" s="14" t="n">
        <v>1</v>
      </c>
      <c r="M22" s="14" t="n">
        <v>0</v>
      </c>
      <c r="N22" s="14" t="n">
        <v>0</v>
      </c>
      <c r="O22" s="14" t="n">
        <v>0</v>
      </c>
    </row>
    <row r="23" customFormat="false" ht="15" hidden="false" customHeight="true" outlineLevel="0" collapsed="false">
      <c r="A23" s="13" t="n">
        <v>2024</v>
      </c>
      <c r="B23" s="13" t="s">
        <v>125</v>
      </c>
      <c r="C23" s="13" t="s">
        <v>122</v>
      </c>
      <c r="D23" s="13" t="s">
        <v>130</v>
      </c>
      <c r="E23" s="14" t="n">
        <v>2</v>
      </c>
      <c r="F23" s="14" t="n">
        <v>2</v>
      </c>
      <c r="G23" s="14" t="n">
        <f aca="false">E23-F23</f>
        <v>0</v>
      </c>
      <c r="H23" s="15" t="n">
        <v>1</v>
      </c>
      <c r="I23" s="14" t="n">
        <v>0</v>
      </c>
      <c r="J23" s="14" t="n">
        <v>0</v>
      </c>
      <c r="K23" s="14" t="n">
        <v>0</v>
      </c>
      <c r="L23" s="14" t="n">
        <v>1</v>
      </c>
      <c r="M23" s="14" t="n">
        <v>1</v>
      </c>
      <c r="N23" s="14" t="n">
        <v>0</v>
      </c>
      <c r="O23" s="14" t="n">
        <v>0</v>
      </c>
    </row>
    <row r="24" customFormat="false" ht="15" hidden="false" customHeight="true" outlineLevel="0" collapsed="false">
      <c r="A24" s="13" t="n">
        <v>2025</v>
      </c>
      <c r="B24" s="13" t="s">
        <v>121</v>
      </c>
      <c r="C24" s="13" t="s">
        <v>122</v>
      </c>
      <c r="D24" s="13" t="s">
        <v>123</v>
      </c>
      <c r="E24" s="14" t="n">
        <v>7623</v>
      </c>
      <c r="F24" s="14" t="n">
        <v>7072</v>
      </c>
      <c r="G24" s="14" t="n">
        <f aca="false">E24-F24</f>
        <v>551</v>
      </c>
      <c r="H24" s="15" t="n">
        <v>0.9304</v>
      </c>
      <c r="I24" s="14" t="n">
        <v>1804</v>
      </c>
      <c r="J24" s="14" t="n">
        <v>2075</v>
      </c>
      <c r="K24" s="14" t="n">
        <v>2197</v>
      </c>
      <c r="L24" s="14" t="n">
        <v>941</v>
      </c>
      <c r="M24" s="14" t="n">
        <v>55</v>
      </c>
      <c r="N24" s="14" t="n">
        <v>0</v>
      </c>
      <c r="O24" s="14" t="n">
        <v>22</v>
      </c>
    </row>
    <row r="25" customFormat="false" ht="15" hidden="false" customHeight="true" outlineLevel="0" collapsed="false">
      <c r="A25" s="13" t="n">
        <v>2025</v>
      </c>
      <c r="B25" s="13" t="s">
        <v>121</v>
      </c>
      <c r="C25" s="13" t="s">
        <v>124</v>
      </c>
      <c r="D25" s="13" t="s">
        <v>123</v>
      </c>
      <c r="E25" s="14" t="n">
        <v>9193</v>
      </c>
      <c r="F25" s="14" t="n">
        <v>8383</v>
      </c>
      <c r="G25" s="14" t="n">
        <f aca="false">E25-F25</f>
        <v>810</v>
      </c>
      <c r="H25" s="15" t="n">
        <v>0.9234</v>
      </c>
      <c r="I25" s="14" t="n">
        <v>1528</v>
      </c>
      <c r="J25" s="14" t="n">
        <v>2288</v>
      </c>
      <c r="K25" s="14" t="n">
        <v>2420</v>
      </c>
      <c r="L25" s="14" t="n">
        <v>1710</v>
      </c>
      <c r="M25" s="14" t="n">
        <v>436</v>
      </c>
      <c r="N25" s="14" t="n">
        <v>1</v>
      </c>
      <c r="O25" s="14" t="n">
        <v>115</v>
      </c>
    </row>
    <row r="26" customFormat="false" ht="15" hidden="false" customHeight="true" outlineLevel="0" collapsed="false">
      <c r="A26" s="13" t="n">
        <v>2025</v>
      </c>
      <c r="B26" s="13" t="s">
        <v>125</v>
      </c>
      <c r="C26" s="13" t="s">
        <v>122</v>
      </c>
      <c r="D26" s="13" t="s">
        <v>123</v>
      </c>
      <c r="E26" s="14" t="n">
        <v>620</v>
      </c>
      <c r="F26" s="14" t="n">
        <v>478</v>
      </c>
      <c r="G26" s="14" t="n">
        <f aca="false">E26-F26</f>
        <v>142</v>
      </c>
      <c r="H26" s="15" t="n">
        <v>0.7967</v>
      </c>
      <c r="I26" s="14" t="n">
        <v>240</v>
      </c>
      <c r="J26" s="14" t="n">
        <v>67</v>
      </c>
      <c r="K26" s="14" t="n">
        <v>58</v>
      </c>
      <c r="L26" s="14" t="n">
        <v>86</v>
      </c>
      <c r="M26" s="14" t="n">
        <v>27</v>
      </c>
      <c r="N26" s="14" t="n">
        <v>0</v>
      </c>
      <c r="O26" s="14" t="n">
        <v>20</v>
      </c>
    </row>
    <row r="27" customFormat="false" ht="15" hidden="false" customHeight="true" outlineLevel="0" collapsed="false">
      <c r="A27" s="13" t="n">
        <v>2025</v>
      </c>
      <c r="B27" s="13" t="s">
        <v>125</v>
      </c>
      <c r="C27" s="13" t="s">
        <v>124</v>
      </c>
      <c r="D27" s="13" t="s">
        <v>123</v>
      </c>
      <c r="E27" s="14" t="n">
        <v>693</v>
      </c>
      <c r="F27" s="14" t="n">
        <v>543</v>
      </c>
      <c r="G27" s="14" t="n">
        <f aca="false">E27-F27</f>
        <v>150</v>
      </c>
      <c r="H27" s="15" t="n">
        <v>0.8303</v>
      </c>
      <c r="I27" s="14" t="n">
        <v>224</v>
      </c>
      <c r="J27" s="14" t="n">
        <v>60</v>
      </c>
      <c r="K27" s="14" t="n">
        <v>95</v>
      </c>
      <c r="L27" s="14" t="n">
        <v>90</v>
      </c>
      <c r="M27" s="14" t="n">
        <v>73</v>
      </c>
      <c r="N27" s="14" t="n">
        <v>1</v>
      </c>
      <c r="O27" s="14" t="n">
        <v>39</v>
      </c>
    </row>
    <row r="28" customFormat="false" ht="15" hidden="false" customHeight="true" outlineLevel="0" collapsed="false">
      <c r="A28" s="13" t="n">
        <v>2025</v>
      </c>
      <c r="B28" s="13" t="s">
        <v>121</v>
      </c>
      <c r="C28" s="13" t="s">
        <v>122</v>
      </c>
      <c r="D28" s="13" t="s">
        <v>126</v>
      </c>
      <c r="E28" s="14" t="n">
        <v>618</v>
      </c>
      <c r="F28" s="14" t="n">
        <v>518</v>
      </c>
      <c r="G28" s="14" t="n">
        <f aca="false">E28-F28</f>
        <v>100</v>
      </c>
      <c r="H28" s="15" t="n">
        <v>0.8382</v>
      </c>
      <c r="I28" s="14" t="n">
        <v>137</v>
      </c>
      <c r="J28" s="14" t="n">
        <v>143</v>
      </c>
      <c r="K28" s="14" t="n">
        <v>150</v>
      </c>
      <c r="L28" s="14" t="n">
        <v>75</v>
      </c>
      <c r="M28" s="14" t="n">
        <v>13</v>
      </c>
      <c r="N28" s="14" t="n">
        <v>0</v>
      </c>
      <c r="O28" s="14" t="n">
        <v>0</v>
      </c>
    </row>
    <row r="29" customFormat="false" ht="15" hidden="false" customHeight="true" outlineLevel="0" collapsed="false">
      <c r="A29" s="13" t="n">
        <v>2025</v>
      </c>
      <c r="B29" s="13" t="s">
        <v>121</v>
      </c>
      <c r="C29" s="13" t="s">
        <v>124</v>
      </c>
      <c r="D29" s="13" t="s">
        <v>126</v>
      </c>
      <c r="E29" s="14" t="n">
        <v>2419</v>
      </c>
      <c r="F29" s="14" t="n">
        <v>2103</v>
      </c>
      <c r="G29" s="14" t="n">
        <f aca="false">E29-F29</f>
        <v>316</v>
      </c>
      <c r="H29" s="15" t="n">
        <v>0.8719</v>
      </c>
      <c r="I29" s="14" t="n">
        <v>329</v>
      </c>
      <c r="J29" s="14" t="n">
        <v>463</v>
      </c>
      <c r="K29" s="14" t="n">
        <v>535</v>
      </c>
      <c r="L29" s="14" t="n">
        <v>551</v>
      </c>
      <c r="M29" s="14" t="n">
        <v>223</v>
      </c>
      <c r="N29" s="14" t="n">
        <v>2</v>
      </c>
      <c r="O29" s="14" t="n">
        <v>7</v>
      </c>
    </row>
    <row r="30" customFormat="false" ht="15" hidden="false" customHeight="true" outlineLevel="0" collapsed="false">
      <c r="A30" s="13" t="n">
        <v>2025</v>
      </c>
      <c r="B30" s="13" t="s">
        <v>125</v>
      </c>
      <c r="C30" s="13" t="s">
        <v>122</v>
      </c>
      <c r="D30" s="13" t="s">
        <v>126</v>
      </c>
      <c r="E30" s="14" t="n">
        <v>45</v>
      </c>
      <c r="F30" s="14" t="n">
        <v>24</v>
      </c>
      <c r="G30" s="14" t="n">
        <f aca="false">E30-F30</f>
        <v>21</v>
      </c>
      <c r="H30" s="15" t="n">
        <v>0.5455</v>
      </c>
      <c r="I30" s="14" t="n">
        <v>1</v>
      </c>
      <c r="J30" s="14" t="n">
        <v>2</v>
      </c>
      <c r="K30" s="14" t="n">
        <v>4</v>
      </c>
      <c r="L30" s="14" t="n">
        <v>12</v>
      </c>
      <c r="M30" s="14" t="n">
        <v>5</v>
      </c>
      <c r="N30" s="14" t="n">
        <v>0</v>
      </c>
      <c r="O30" s="14" t="n">
        <v>1</v>
      </c>
    </row>
    <row r="31" customFormat="false" ht="15" hidden="false" customHeight="true" outlineLevel="0" collapsed="false">
      <c r="A31" s="13" t="n">
        <v>2025</v>
      </c>
      <c r="B31" s="13" t="s">
        <v>125</v>
      </c>
      <c r="C31" s="13" t="s">
        <v>124</v>
      </c>
      <c r="D31" s="13" t="s">
        <v>126</v>
      </c>
      <c r="E31" s="14" t="n">
        <v>195</v>
      </c>
      <c r="F31" s="14" t="n">
        <v>133</v>
      </c>
      <c r="G31" s="14" t="n">
        <f aca="false">E31-F31</f>
        <v>62</v>
      </c>
      <c r="H31" s="15" t="n">
        <v>0.7</v>
      </c>
      <c r="I31" s="14" t="n">
        <v>6</v>
      </c>
      <c r="J31" s="14" t="n">
        <v>11</v>
      </c>
      <c r="K31" s="14" t="n">
        <v>24</v>
      </c>
      <c r="L31" s="14" t="n">
        <v>33</v>
      </c>
      <c r="M31" s="14" t="n">
        <v>54</v>
      </c>
      <c r="N31" s="14" t="n">
        <v>5</v>
      </c>
      <c r="O31" s="14" t="n">
        <v>5</v>
      </c>
    </row>
    <row r="32" customFormat="false" ht="15" hidden="false" customHeight="true" outlineLevel="0" collapsed="false">
      <c r="A32" s="13" t="n">
        <v>2025</v>
      </c>
      <c r="B32" s="13" t="s">
        <v>121</v>
      </c>
      <c r="C32" s="13" t="s">
        <v>122</v>
      </c>
      <c r="D32" s="13" t="s">
        <v>127</v>
      </c>
      <c r="E32" s="14" t="n">
        <v>2010</v>
      </c>
      <c r="F32" s="14" t="n">
        <v>1700</v>
      </c>
      <c r="G32" s="14" t="n">
        <f aca="false">E32-F32</f>
        <v>310</v>
      </c>
      <c r="H32" s="15" t="n">
        <v>0.8475</v>
      </c>
      <c r="I32" s="14" t="n">
        <v>271</v>
      </c>
      <c r="J32" s="14" t="n">
        <v>498</v>
      </c>
      <c r="K32" s="14" t="n">
        <v>565</v>
      </c>
      <c r="L32" s="14" t="n">
        <v>335</v>
      </c>
      <c r="M32" s="14" t="n">
        <v>31</v>
      </c>
      <c r="N32" s="14" t="n">
        <v>0</v>
      </c>
      <c r="O32" s="14" t="n">
        <v>4</v>
      </c>
    </row>
    <row r="33" customFormat="false" ht="15" hidden="false" customHeight="true" outlineLevel="0" collapsed="false">
      <c r="A33" s="13" t="n">
        <v>2025</v>
      </c>
      <c r="B33" s="13" t="s">
        <v>121</v>
      </c>
      <c r="C33" s="13" t="s">
        <v>124</v>
      </c>
      <c r="D33" s="13" t="s">
        <v>127</v>
      </c>
      <c r="E33" s="14" t="n">
        <v>5212</v>
      </c>
      <c r="F33" s="14" t="n">
        <v>4654</v>
      </c>
      <c r="G33" s="14" t="n">
        <f aca="false">E33-F33</f>
        <v>558</v>
      </c>
      <c r="H33" s="15" t="n">
        <v>0.8986</v>
      </c>
      <c r="I33" s="14" t="n">
        <v>333</v>
      </c>
      <c r="J33" s="14" t="n">
        <v>1053</v>
      </c>
      <c r="K33" s="14" t="n">
        <v>1560</v>
      </c>
      <c r="L33" s="14" t="n">
        <v>1328</v>
      </c>
      <c r="M33" s="14" t="n">
        <v>379</v>
      </c>
      <c r="N33" s="14" t="n">
        <v>1</v>
      </c>
      <c r="O33" s="14" t="n">
        <v>33</v>
      </c>
    </row>
    <row r="34" customFormat="false" ht="15" hidden="false" customHeight="true" outlineLevel="0" collapsed="false">
      <c r="A34" s="13" t="n">
        <v>2025</v>
      </c>
      <c r="B34" s="13" t="s">
        <v>125</v>
      </c>
      <c r="C34" s="13" t="s">
        <v>122</v>
      </c>
      <c r="D34" s="13" t="s">
        <v>127</v>
      </c>
      <c r="E34" s="14" t="n">
        <v>89</v>
      </c>
      <c r="F34" s="14" t="n">
        <v>46</v>
      </c>
      <c r="G34" s="14" t="n">
        <f aca="false">E34-F34</f>
        <v>43</v>
      </c>
      <c r="H34" s="15" t="n">
        <v>0.5227</v>
      </c>
      <c r="I34" s="14" t="n">
        <v>0</v>
      </c>
      <c r="J34" s="14" t="n">
        <v>2</v>
      </c>
      <c r="K34" s="14" t="n">
        <v>16</v>
      </c>
      <c r="L34" s="14" t="n">
        <v>19</v>
      </c>
      <c r="M34" s="14" t="n">
        <v>9</v>
      </c>
      <c r="N34" s="14" t="n">
        <v>0</v>
      </c>
      <c r="O34" s="14" t="n">
        <v>1</v>
      </c>
    </row>
    <row r="35" customFormat="false" ht="15" hidden="false" customHeight="true" outlineLevel="0" collapsed="false">
      <c r="A35" s="13" t="n">
        <v>2025</v>
      </c>
      <c r="B35" s="13" t="s">
        <v>125</v>
      </c>
      <c r="C35" s="13" t="s">
        <v>124</v>
      </c>
      <c r="D35" s="13" t="s">
        <v>127</v>
      </c>
      <c r="E35" s="14" t="n">
        <v>177</v>
      </c>
      <c r="F35" s="14" t="n">
        <v>129</v>
      </c>
      <c r="G35" s="14" t="n">
        <f aca="false">E35-F35</f>
        <v>48</v>
      </c>
      <c r="H35" s="15" t="n">
        <v>0.7588</v>
      </c>
      <c r="I35" s="14" t="n">
        <v>1</v>
      </c>
      <c r="J35" s="14" t="n">
        <v>8</v>
      </c>
      <c r="K35" s="14" t="n">
        <v>22</v>
      </c>
      <c r="L35" s="14" t="n">
        <v>46</v>
      </c>
      <c r="M35" s="14" t="n">
        <v>49</v>
      </c>
      <c r="N35" s="14" t="n">
        <v>3</v>
      </c>
      <c r="O35" s="14" t="n">
        <v>7</v>
      </c>
    </row>
    <row r="36" customFormat="false" ht="15" hidden="false" customHeight="true" outlineLevel="0" collapsed="false">
      <c r="A36" s="13" t="n">
        <v>2025</v>
      </c>
      <c r="B36" s="13" t="s">
        <v>121</v>
      </c>
      <c r="C36" s="13" t="s">
        <v>122</v>
      </c>
      <c r="D36" s="13" t="s">
        <v>128</v>
      </c>
      <c r="E36" s="14" t="n">
        <v>5270</v>
      </c>
      <c r="F36" s="14" t="n">
        <v>4753</v>
      </c>
      <c r="G36" s="14" t="n">
        <f aca="false">E36-F36</f>
        <v>517</v>
      </c>
      <c r="H36" s="15" t="n">
        <v>0.9069</v>
      </c>
      <c r="I36" s="14" t="n">
        <v>55</v>
      </c>
      <c r="J36" s="14" t="n">
        <v>743</v>
      </c>
      <c r="K36" s="14" t="n">
        <v>1964</v>
      </c>
      <c r="L36" s="14" t="n">
        <v>1642</v>
      </c>
      <c r="M36" s="14" t="n">
        <v>347</v>
      </c>
      <c r="N36" s="14" t="n">
        <v>2</v>
      </c>
      <c r="O36" s="14" t="n">
        <v>29</v>
      </c>
    </row>
    <row r="37" customFormat="false" ht="15" hidden="false" customHeight="true" outlineLevel="0" collapsed="false">
      <c r="A37" s="13" t="n">
        <v>2025</v>
      </c>
      <c r="B37" s="13" t="s">
        <v>121</v>
      </c>
      <c r="C37" s="13" t="s">
        <v>124</v>
      </c>
      <c r="D37" s="13" t="s">
        <v>128</v>
      </c>
      <c r="E37" s="14" t="n">
        <v>2454</v>
      </c>
      <c r="F37" s="14" t="n">
        <v>2052</v>
      </c>
      <c r="G37" s="14" t="n">
        <f aca="false">E37-F37</f>
        <v>402</v>
      </c>
      <c r="H37" s="15" t="n">
        <v>0.84</v>
      </c>
      <c r="I37" s="14" t="n">
        <v>0</v>
      </c>
      <c r="J37" s="14" t="n">
        <v>55</v>
      </c>
      <c r="K37" s="14" t="n">
        <v>383</v>
      </c>
      <c r="L37" s="14" t="n">
        <v>879</v>
      </c>
      <c r="M37" s="14" t="n">
        <v>700</v>
      </c>
      <c r="N37" s="14" t="n">
        <v>35</v>
      </c>
      <c r="O37" s="14" t="n">
        <v>11</v>
      </c>
    </row>
    <row r="38" customFormat="false" ht="15" hidden="false" customHeight="true" outlineLevel="0" collapsed="false">
      <c r="A38" s="13" t="n">
        <v>2025</v>
      </c>
      <c r="B38" s="13" t="s">
        <v>125</v>
      </c>
      <c r="C38" s="13" t="s">
        <v>122</v>
      </c>
      <c r="D38" s="13" t="s">
        <v>128</v>
      </c>
      <c r="E38" s="14" t="n">
        <v>2533</v>
      </c>
      <c r="F38" s="14" t="n">
        <v>1747</v>
      </c>
      <c r="G38" s="14" t="n">
        <f aca="false">E38-F38</f>
        <v>786</v>
      </c>
      <c r="H38" s="15" t="n">
        <v>0.6963</v>
      </c>
      <c r="I38" s="14" t="n">
        <v>5</v>
      </c>
      <c r="J38" s="14" t="n">
        <v>109</v>
      </c>
      <c r="K38" s="14" t="n">
        <v>447</v>
      </c>
      <c r="L38" s="14" t="n">
        <v>767</v>
      </c>
      <c r="M38" s="14" t="n">
        <v>411</v>
      </c>
      <c r="N38" s="14" t="n">
        <v>8</v>
      </c>
      <c r="O38" s="14" t="n">
        <v>24</v>
      </c>
    </row>
    <row r="39" customFormat="false" ht="15" hidden="false" customHeight="true" outlineLevel="0" collapsed="false">
      <c r="A39" s="13" t="n">
        <v>2025</v>
      </c>
      <c r="B39" s="13" t="s">
        <v>125</v>
      </c>
      <c r="C39" s="13" t="s">
        <v>124</v>
      </c>
      <c r="D39" s="13" t="s">
        <v>128</v>
      </c>
      <c r="E39" s="14" t="n">
        <v>2888</v>
      </c>
      <c r="F39" s="14" t="n">
        <v>1971</v>
      </c>
      <c r="G39" s="14" t="n">
        <f aca="false">E39-F39</f>
        <v>917</v>
      </c>
      <c r="H39" s="15" t="n">
        <v>0.7029</v>
      </c>
      <c r="I39" s="14" t="n">
        <v>0</v>
      </c>
      <c r="J39" s="14" t="n">
        <v>59</v>
      </c>
      <c r="K39" s="14" t="n">
        <v>316</v>
      </c>
      <c r="L39" s="14" t="n">
        <v>659</v>
      </c>
      <c r="M39" s="14" t="n">
        <v>865</v>
      </c>
      <c r="N39" s="14" t="n">
        <v>72</v>
      </c>
      <c r="O39" s="14" t="n">
        <v>84</v>
      </c>
    </row>
    <row r="40" customFormat="false" ht="15" hidden="false" customHeight="true" outlineLevel="0" collapsed="false">
      <c r="A40" s="13" t="n">
        <v>2025</v>
      </c>
      <c r="B40" s="13" t="s">
        <v>121</v>
      </c>
      <c r="C40" s="13" t="s">
        <v>122</v>
      </c>
      <c r="D40" s="13" t="s">
        <v>130</v>
      </c>
      <c r="E40" s="14" t="n">
        <v>13</v>
      </c>
      <c r="F40" s="14" t="n">
        <v>7</v>
      </c>
      <c r="G40" s="14" t="n">
        <f aca="false">E40-F40</f>
        <v>6</v>
      </c>
      <c r="H40" s="15" t="n">
        <v>0.5385</v>
      </c>
      <c r="I40" s="14" t="n">
        <v>0</v>
      </c>
      <c r="J40" s="14" t="n">
        <v>0</v>
      </c>
      <c r="K40" s="14" t="n">
        <v>3</v>
      </c>
      <c r="L40" s="14" t="n">
        <v>4</v>
      </c>
      <c r="M40" s="14" t="n">
        <v>0</v>
      </c>
      <c r="N40" s="14" t="n">
        <v>0</v>
      </c>
      <c r="O40" s="14" t="n">
        <v>0</v>
      </c>
    </row>
    <row r="41" customFormat="false" ht="15" hidden="false" customHeight="true" outlineLevel="0" collapsed="false">
      <c r="A41" s="13" t="n">
        <v>2026</v>
      </c>
      <c r="B41" s="13" t="s">
        <v>121</v>
      </c>
      <c r="C41" s="13" t="s">
        <v>122</v>
      </c>
      <c r="D41" s="13" t="s">
        <v>123</v>
      </c>
      <c r="E41" s="14" t="n">
        <v>8501</v>
      </c>
      <c r="F41" s="14" t="n">
        <v>7693</v>
      </c>
      <c r="G41" s="14" t="n">
        <f aca="false">E41-F41</f>
        <v>808</v>
      </c>
      <c r="H41" s="15" t="n">
        <v>0.9085</v>
      </c>
      <c r="I41" s="14" t="n">
        <v>1835</v>
      </c>
      <c r="J41" s="14" t="n">
        <v>2437</v>
      </c>
      <c r="K41" s="14" t="n">
        <v>2703</v>
      </c>
      <c r="L41" s="14" t="n">
        <v>709</v>
      </c>
      <c r="M41" s="14" t="n">
        <v>9</v>
      </c>
      <c r="N41" s="14" t="n">
        <v>0</v>
      </c>
      <c r="O41" s="14" t="n">
        <v>33</v>
      </c>
    </row>
    <row r="42" customFormat="false" ht="15" hidden="false" customHeight="true" outlineLevel="0" collapsed="false">
      <c r="A42" s="13" t="n">
        <v>2026</v>
      </c>
      <c r="B42" s="13" t="s">
        <v>121</v>
      </c>
      <c r="C42" s="13" t="s">
        <v>124</v>
      </c>
      <c r="D42" s="13" t="s">
        <v>123</v>
      </c>
      <c r="E42" s="14" t="n">
        <v>9938</v>
      </c>
      <c r="F42" s="14" t="n">
        <v>7824</v>
      </c>
      <c r="G42" s="14" t="n">
        <f aca="false">E42-F42</f>
        <v>2114</v>
      </c>
      <c r="H42" s="15" t="n">
        <v>0.798</v>
      </c>
      <c r="I42" s="14" t="n">
        <v>1903</v>
      </c>
      <c r="J42" s="14" t="n">
        <v>2283</v>
      </c>
      <c r="K42" s="14" t="n">
        <v>2103</v>
      </c>
      <c r="L42" s="14" t="n">
        <v>1408</v>
      </c>
      <c r="M42" s="14" t="n">
        <v>127</v>
      </c>
      <c r="N42" s="14" t="n">
        <v>0</v>
      </c>
      <c r="O42" s="14" t="n">
        <v>134</v>
      </c>
    </row>
    <row r="43" customFormat="false" ht="15" hidden="false" customHeight="true" outlineLevel="0" collapsed="false">
      <c r="A43" s="13" t="n">
        <v>2026</v>
      </c>
      <c r="B43" s="13" t="s">
        <v>125</v>
      </c>
      <c r="C43" s="13" t="s">
        <v>122</v>
      </c>
      <c r="D43" s="13" t="s">
        <v>123</v>
      </c>
      <c r="E43" s="14" t="n">
        <v>583</v>
      </c>
      <c r="F43" s="14" t="n">
        <v>448</v>
      </c>
      <c r="G43" s="14" t="n">
        <f aca="false">E43-F43</f>
        <v>135</v>
      </c>
      <c r="H43" s="15" t="n">
        <v>0.7943</v>
      </c>
      <c r="I43" s="14" t="n">
        <v>281</v>
      </c>
      <c r="J43" s="14" t="n">
        <v>50</v>
      </c>
      <c r="K43" s="14" t="n">
        <v>44</v>
      </c>
      <c r="L43" s="14" t="n">
        <v>53</v>
      </c>
      <c r="M43" s="14" t="n">
        <v>20</v>
      </c>
      <c r="N43" s="14" t="n">
        <v>0</v>
      </c>
      <c r="O43" s="14" t="n">
        <v>19</v>
      </c>
    </row>
    <row r="44" customFormat="false" ht="15" hidden="false" customHeight="true" outlineLevel="0" collapsed="false">
      <c r="A44" s="13" t="n">
        <v>2026</v>
      </c>
      <c r="B44" s="13" t="s">
        <v>125</v>
      </c>
      <c r="C44" s="13" t="s">
        <v>124</v>
      </c>
      <c r="D44" s="13" t="s">
        <v>123</v>
      </c>
      <c r="E44" s="14" t="n">
        <v>565</v>
      </c>
      <c r="F44" s="14" t="n">
        <v>438</v>
      </c>
      <c r="G44" s="14" t="n">
        <f aca="false">E44-F44</f>
        <v>127</v>
      </c>
      <c r="H44" s="15" t="n">
        <v>0.8007</v>
      </c>
      <c r="I44" s="14" t="n">
        <v>252</v>
      </c>
      <c r="J44" s="14" t="n">
        <v>38</v>
      </c>
      <c r="K44" s="14" t="n">
        <v>45</v>
      </c>
      <c r="L44" s="14" t="n">
        <v>61</v>
      </c>
      <c r="M44" s="14" t="n">
        <v>42</v>
      </c>
      <c r="N44" s="14" t="n">
        <v>0</v>
      </c>
      <c r="O44" s="14" t="n">
        <v>18</v>
      </c>
    </row>
    <row r="45" customFormat="false" ht="15" hidden="false" customHeight="true" outlineLevel="0" collapsed="false">
      <c r="A45" s="13" t="n">
        <v>2026</v>
      </c>
      <c r="B45" s="13" t="s">
        <v>121</v>
      </c>
      <c r="C45" s="13" t="s">
        <v>122</v>
      </c>
      <c r="D45" s="13" t="s">
        <v>126</v>
      </c>
      <c r="E45" s="14" t="n">
        <v>595</v>
      </c>
      <c r="F45" s="14" t="n">
        <v>370</v>
      </c>
      <c r="G45" s="14" t="n">
        <f aca="false">E45-F45</f>
        <v>225</v>
      </c>
      <c r="H45" s="15" t="n">
        <v>0.6218</v>
      </c>
      <c r="I45" s="14" t="n">
        <v>98</v>
      </c>
      <c r="J45" s="14" t="n">
        <v>119</v>
      </c>
      <c r="K45" s="14" t="n">
        <v>101</v>
      </c>
      <c r="L45" s="14" t="n">
        <v>51</v>
      </c>
      <c r="M45" s="14" t="n">
        <v>1</v>
      </c>
      <c r="N45" s="14" t="n">
        <v>0</v>
      </c>
      <c r="O45" s="14" t="n">
        <v>0</v>
      </c>
    </row>
    <row r="46" customFormat="false" ht="15" hidden="false" customHeight="true" outlineLevel="0" collapsed="false">
      <c r="A46" s="13" t="n">
        <v>2026</v>
      </c>
      <c r="B46" s="13" t="s">
        <v>121</v>
      </c>
      <c r="C46" s="13" t="s">
        <v>124</v>
      </c>
      <c r="D46" s="13" t="s">
        <v>126</v>
      </c>
      <c r="E46" s="14" t="n">
        <v>2520</v>
      </c>
      <c r="F46" s="14" t="n">
        <v>1850</v>
      </c>
      <c r="G46" s="14" t="n">
        <f aca="false">E46-F46</f>
        <v>670</v>
      </c>
      <c r="H46" s="15" t="n">
        <v>0.7397</v>
      </c>
      <c r="I46" s="14" t="n">
        <v>228</v>
      </c>
      <c r="J46" s="14" t="n">
        <v>420</v>
      </c>
      <c r="K46" s="14" t="n">
        <v>664</v>
      </c>
      <c r="L46" s="14" t="n">
        <v>472</v>
      </c>
      <c r="M46" s="14" t="n">
        <v>65</v>
      </c>
      <c r="N46" s="14" t="n">
        <v>1</v>
      </c>
      <c r="O46" s="14" t="n">
        <v>19</v>
      </c>
    </row>
    <row r="47" customFormat="false" ht="15" hidden="false" customHeight="true" outlineLevel="0" collapsed="false">
      <c r="A47" s="13" t="n">
        <v>2026</v>
      </c>
      <c r="B47" s="13" t="s">
        <v>125</v>
      </c>
      <c r="C47" s="13" t="s">
        <v>122</v>
      </c>
      <c r="D47" s="13" t="s">
        <v>126</v>
      </c>
      <c r="E47" s="14" t="n">
        <v>43</v>
      </c>
      <c r="F47" s="14" t="n">
        <v>18</v>
      </c>
      <c r="G47" s="14" t="n">
        <f aca="false">E47-F47</f>
        <v>25</v>
      </c>
      <c r="H47" s="15" t="n">
        <v>0.4286</v>
      </c>
      <c r="I47" s="14" t="n">
        <v>1</v>
      </c>
      <c r="J47" s="14" t="n">
        <v>2</v>
      </c>
      <c r="K47" s="14" t="n">
        <v>2</v>
      </c>
      <c r="L47" s="14" t="n">
        <v>11</v>
      </c>
      <c r="M47" s="14" t="n">
        <v>2</v>
      </c>
      <c r="N47" s="14" t="n">
        <v>0</v>
      </c>
      <c r="O47" s="14" t="n">
        <v>1</v>
      </c>
    </row>
    <row r="48" customFormat="false" ht="15" hidden="false" customHeight="true" outlineLevel="0" collapsed="false">
      <c r="A48" s="13" t="n">
        <v>2026</v>
      </c>
      <c r="B48" s="13" t="s">
        <v>125</v>
      </c>
      <c r="C48" s="13" t="s">
        <v>124</v>
      </c>
      <c r="D48" s="13" t="s">
        <v>126</v>
      </c>
      <c r="E48" s="14" t="n">
        <v>114</v>
      </c>
      <c r="F48" s="14" t="n">
        <v>78</v>
      </c>
      <c r="G48" s="14" t="n">
        <f aca="false">E48-F48</f>
        <v>36</v>
      </c>
      <c r="H48" s="15" t="n">
        <v>0.6964</v>
      </c>
      <c r="I48" s="14" t="n">
        <v>2</v>
      </c>
      <c r="J48" s="14" t="n">
        <v>2</v>
      </c>
      <c r="K48" s="14" t="n">
        <v>15</v>
      </c>
      <c r="L48" s="14" t="n">
        <v>22</v>
      </c>
      <c r="M48" s="14" t="n">
        <v>37</v>
      </c>
      <c r="N48" s="14" t="n">
        <v>0</v>
      </c>
      <c r="O48" s="14" t="n">
        <v>2</v>
      </c>
    </row>
    <row r="49" customFormat="false" ht="15" hidden="false" customHeight="true" outlineLevel="0" collapsed="false">
      <c r="A49" s="13" t="n">
        <v>2026</v>
      </c>
      <c r="B49" s="13" t="s">
        <v>121</v>
      </c>
      <c r="C49" s="13" t="s">
        <v>122</v>
      </c>
      <c r="D49" s="13" t="s">
        <v>127</v>
      </c>
      <c r="E49" s="14" t="n">
        <v>2609</v>
      </c>
      <c r="F49" s="14" t="n">
        <v>1648</v>
      </c>
      <c r="G49" s="14" t="n">
        <f aca="false">E49-F49</f>
        <v>961</v>
      </c>
      <c r="H49" s="15" t="n">
        <v>0.6336</v>
      </c>
      <c r="I49" s="14" t="n">
        <v>263</v>
      </c>
      <c r="J49" s="14" t="n">
        <v>627</v>
      </c>
      <c r="K49" s="14" t="n">
        <v>599</v>
      </c>
      <c r="L49" s="14" t="n">
        <v>158</v>
      </c>
      <c r="M49" s="14" t="n">
        <v>1</v>
      </c>
      <c r="N49" s="14" t="n">
        <v>0</v>
      </c>
      <c r="O49" s="14" t="n">
        <v>8</v>
      </c>
    </row>
    <row r="50" customFormat="false" ht="15" hidden="false" customHeight="true" outlineLevel="0" collapsed="false">
      <c r="A50" s="13" t="n">
        <v>2026</v>
      </c>
      <c r="B50" s="13" t="s">
        <v>121</v>
      </c>
      <c r="C50" s="13" t="s">
        <v>124</v>
      </c>
      <c r="D50" s="13" t="s">
        <v>127</v>
      </c>
      <c r="E50" s="14" t="n">
        <v>6488</v>
      </c>
      <c r="F50" s="14" t="n">
        <v>4671</v>
      </c>
      <c r="G50" s="14" t="n">
        <f aca="false">E50-F50</f>
        <v>1817</v>
      </c>
      <c r="H50" s="15" t="n">
        <v>0.7258</v>
      </c>
      <c r="I50" s="14" t="n">
        <v>420</v>
      </c>
      <c r="J50" s="14" t="n">
        <v>1162</v>
      </c>
      <c r="K50" s="14" t="n">
        <v>1818</v>
      </c>
      <c r="L50" s="14" t="n">
        <v>1118</v>
      </c>
      <c r="M50" s="14" t="n">
        <v>153</v>
      </c>
      <c r="N50" s="14" t="n">
        <v>0</v>
      </c>
      <c r="O50" s="14" t="n">
        <v>52</v>
      </c>
    </row>
    <row r="51" customFormat="false" ht="15" hidden="false" customHeight="true" outlineLevel="0" collapsed="false">
      <c r="A51" s="13" t="n">
        <v>2026</v>
      </c>
      <c r="B51" s="13" t="s">
        <v>125</v>
      </c>
      <c r="C51" s="13" t="s">
        <v>122</v>
      </c>
      <c r="D51" s="13" t="s">
        <v>127</v>
      </c>
      <c r="E51" s="14" t="n">
        <v>128</v>
      </c>
      <c r="F51" s="14" t="n">
        <v>46</v>
      </c>
      <c r="G51" s="14" t="n">
        <f aca="false">E51-F51</f>
        <v>82</v>
      </c>
      <c r="H51" s="15" t="n">
        <v>0.368</v>
      </c>
      <c r="I51" s="14" t="n">
        <v>0</v>
      </c>
      <c r="J51" s="14" t="n">
        <v>2</v>
      </c>
      <c r="K51" s="14" t="n">
        <v>12</v>
      </c>
      <c r="L51" s="14" t="n">
        <v>22</v>
      </c>
      <c r="M51" s="14" t="n">
        <v>10</v>
      </c>
      <c r="N51" s="14" t="n">
        <v>0</v>
      </c>
      <c r="O51" s="14" t="n">
        <v>3</v>
      </c>
    </row>
    <row r="52" customFormat="false" ht="15" hidden="false" customHeight="true" outlineLevel="0" collapsed="false">
      <c r="A52" s="13" t="n">
        <v>2026</v>
      </c>
      <c r="B52" s="13" t="s">
        <v>125</v>
      </c>
      <c r="C52" s="13" t="s">
        <v>124</v>
      </c>
      <c r="D52" s="13" t="s">
        <v>127</v>
      </c>
      <c r="E52" s="14" t="n">
        <v>186</v>
      </c>
      <c r="F52" s="14" t="n">
        <v>104</v>
      </c>
      <c r="G52" s="14" t="n">
        <f aca="false">E52-F52</f>
        <v>82</v>
      </c>
      <c r="H52" s="15" t="n">
        <v>0.5943</v>
      </c>
      <c r="I52" s="14" t="n">
        <v>2</v>
      </c>
      <c r="J52" s="14" t="n">
        <v>6</v>
      </c>
      <c r="K52" s="14" t="n">
        <v>24</v>
      </c>
      <c r="L52" s="14" t="n">
        <v>42</v>
      </c>
      <c r="M52" s="14" t="n">
        <v>30</v>
      </c>
      <c r="N52" s="14" t="n">
        <v>0</v>
      </c>
      <c r="O52" s="14" t="n">
        <v>11</v>
      </c>
    </row>
    <row r="53" customFormat="false" ht="15" hidden="false" customHeight="true" outlineLevel="0" collapsed="false">
      <c r="A53" s="13" t="n">
        <v>2026</v>
      </c>
      <c r="B53" s="13" t="s">
        <v>121</v>
      </c>
      <c r="C53" s="13" t="s">
        <v>122</v>
      </c>
      <c r="D53" s="13" t="s">
        <v>128</v>
      </c>
      <c r="E53" s="14" t="n">
        <v>5681</v>
      </c>
      <c r="F53" s="14" t="n">
        <v>5253</v>
      </c>
      <c r="G53" s="14" t="n">
        <f aca="false">E53-F53</f>
        <v>428</v>
      </c>
      <c r="H53" s="15" t="n">
        <v>0.9276</v>
      </c>
      <c r="I53" s="14" t="n">
        <v>121</v>
      </c>
      <c r="J53" s="14" t="n">
        <v>887</v>
      </c>
      <c r="K53" s="14" t="n">
        <v>2260</v>
      </c>
      <c r="L53" s="14" t="n">
        <v>1733</v>
      </c>
      <c r="M53" s="14" t="n">
        <v>251</v>
      </c>
      <c r="N53" s="14" t="n">
        <v>1</v>
      </c>
      <c r="O53" s="14" t="n">
        <v>18</v>
      </c>
    </row>
    <row r="54" customFormat="false" ht="15" hidden="false" customHeight="true" outlineLevel="0" collapsed="false">
      <c r="A54" s="13" t="n">
        <v>2026</v>
      </c>
      <c r="B54" s="13" t="s">
        <v>121</v>
      </c>
      <c r="C54" s="13" t="s">
        <v>124</v>
      </c>
      <c r="D54" s="13" t="s">
        <v>128</v>
      </c>
      <c r="E54" s="14" t="n">
        <v>2547</v>
      </c>
      <c r="F54" s="14" t="n">
        <v>1564</v>
      </c>
      <c r="G54" s="14" t="n">
        <f aca="false">E54-F54</f>
        <v>983</v>
      </c>
      <c r="H54" s="15" t="n">
        <v>0.6214</v>
      </c>
      <c r="I54" s="14" t="n">
        <v>2</v>
      </c>
      <c r="J54" s="14" t="n">
        <v>25</v>
      </c>
      <c r="K54" s="14" t="n">
        <v>262</v>
      </c>
      <c r="L54" s="14" t="n">
        <v>716</v>
      </c>
      <c r="M54" s="14" t="n">
        <v>550</v>
      </c>
      <c r="N54" s="14" t="n">
        <v>9</v>
      </c>
      <c r="O54" s="14" t="n">
        <v>30</v>
      </c>
    </row>
    <row r="55" customFormat="false" ht="15" hidden="false" customHeight="true" outlineLevel="0" collapsed="false">
      <c r="A55" s="13" t="n">
        <v>2026</v>
      </c>
      <c r="B55" s="13" t="s">
        <v>125</v>
      </c>
      <c r="C55" s="13" t="s">
        <v>122</v>
      </c>
      <c r="D55" s="13" t="s">
        <v>128</v>
      </c>
      <c r="E55" s="14" t="n">
        <v>2608</v>
      </c>
      <c r="F55" s="14" t="n">
        <v>2148</v>
      </c>
      <c r="G55" s="14" t="n">
        <f aca="false">E55-F55</f>
        <v>460</v>
      </c>
      <c r="H55" s="15" t="n">
        <v>0.8345</v>
      </c>
      <c r="I55" s="14" t="n">
        <v>4</v>
      </c>
      <c r="J55" s="14" t="n">
        <v>134</v>
      </c>
      <c r="K55" s="14" t="n">
        <v>594</v>
      </c>
      <c r="L55" s="14" t="n">
        <v>1023</v>
      </c>
      <c r="M55" s="14" t="n">
        <v>386</v>
      </c>
      <c r="N55" s="14" t="n">
        <v>7</v>
      </c>
      <c r="O55" s="14" t="n">
        <v>34</v>
      </c>
    </row>
    <row r="56" customFormat="false" ht="15" hidden="false" customHeight="true" outlineLevel="0" collapsed="false">
      <c r="A56" s="13" t="n">
        <v>2026</v>
      </c>
      <c r="B56" s="13" t="s">
        <v>125</v>
      </c>
      <c r="C56" s="13" t="s">
        <v>124</v>
      </c>
      <c r="D56" s="13" t="s">
        <v>128</v>
      </c>
      <c r="E56" s="14" t="n">
        <v>2630</v>
      </c>
      <c r="F56" s="14" t="n">
        <v>1646</v>
      </c>
      <c r="G56" s="14" t="n">
        <f aca="false">E56-F56</f>
        <v>984</v>
      </c>
      <c r="H56" s="15" t="n">
        <v>0.6501</v>
      </c>
      <c r="I56" s="14" t="n">
        <v>2</v>
      </c>
      <c r="J56" s="14" t="n">
        <v>61</v>
      </c>
      <c r="K56" s="14" t="n">
        <v>262</v>
      </c>
      <c r="L56" s="14" t="n">
        <v>589</v>
      </c>
      <c r="M56" s="14" t="n">
        <v>694</v>
      </c>
      <c r="N56" s="14" t="n">
        <v>38</v>
      </c>
      <c r="O56" s="14" t="n">
        <v>98</v>
      </c>
    </row>
    <row r="57" customFormat="false" ht="15" hidden="false" customHeight="true" outlineLevel="0" collapsed="false">
      <c r="A57" s="13" t="n">
        <v>2026</v>
      </c>
      <c r="B57" s="13" t="s">
        <v>121</v>
      </c>
      <c r="C57" s="13" t="s">
        <v>122</v>
      </c>
      <c r="D57" s="13" t="s">
        <v>130</v>
      </c>
      <c r="E57" s="14" t="n">
        <v>17</v>
      </c>
      <c r="F57" s="14" t="n">
        <v>15</v>
      </c>
      <c r="G57" s="14" t="n">
        <f aca="false">E57-F57</f>
        <v>2</v>
      </c>
      <c r="H57" s="15" t="n">
        <v>0.8824</v>
      </c>
      <c r="I57" s="14" t="n">
        <v>0</v>
      </c>
      <c r="J57" s="14" t="n">
        <v>2</v>
      </c>
      <c r="K57" s="14" t="n">
        <v>7</v>
      </c>
      <c r="L57" s="14" t="n">
        <v>5</v>
      </c>
      <c r="M57" s="14" t="n">
        <v>1</v>
      </c>
      <c r="N57" s="14" t="n">
        <v>0</v>
      </c>
      <c r="O57" s="14" t="n">
        <v>0</v>
      </c>
    </row>
    <row r="58" customFormat="false" ht="15" hidden="false" customHeight="true" outlineLevel="0" collapsed="false">
      <c r="A58" s="13" t="n">
        <v>2026</v>
      </c>
      <c r="B58" s="13" t="s">
        <v>125</v>
      </c>
      <c r="C58" s="13" t="s">
        <v>122</v>
      </c>
      <c r="D58" s="13" t="s">
        <v>130</v>
      </c>
      <c r="E58" s="14" t="n">
        <v>4</v>
      </c>
      <c r="F58" s="14" t="n">
        <v>4</v>
      </c>
      <c r="G58" s="14" t="n">
        <f aca="false">E58-F58</f>
        <v>0</v>
      </c>
      <c r="H58" s="15" t="n">
        <v>1</v>
      </c>
      <c r="I58" s="14" t="n">
        <v>0</v>
      </c>
      <c r="J58" s="14" t="n">
        <v>0</v>
      </c>
      <c r="K58" s="14" t="n">
        <v>0</v>
      </c>
      <c r="L58" s="14" t="n">
        <v>3</v>
      </c>
      <c r="M58" s="14" t="n">
        <v>1</v>
      </c>
      <c r="N58" s="14" t="n">
        <v>0</v>
      </c>
      <c r="O58" s="1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3" width="16"/>
  </cols>
  <sheetData>
    <row r="1" customFormat="false" ht="15" hidden="false" customHeight="true" outlineLevel="0" collapsed="false">
      <c r="A1" s="13" t="s">
        <v>131</v>
      </c>
    </row>
    <row r="2" customFormat="false" ht="15" hidden="false" customHeight="true" outlineLevel="0" collapsed="false">
      <c r="A2" s="13" t="s">
        <v>132</v>
      </c>
    </row>
    <row r="4" customFormat="false" ht="15" hidden="false" customHeight="true" outlineLevel="0" collapsed="false">
      <c r="A4" s="13" t="s">
        <v>3</v>
      </c>
      <c r="B4" s="13" t="s">
        <v>112</v>
      </c>
      <c r="C4" s="13" t="s">
        <v>4</v>
      </c>
      <c r="D4" s="13" t="s">
        <v>5</v>
      </c>
      <c r="E4" s="13" t="s">
        <v>108</v>
      </c>
      <c r="F4" s="13" t="s">
        <v>6</v>
      </c>
      <c r="G4" s="13" t="s">
        <v>109</v>
      </c>
    </row>
    <row r="5" customFormat="false" ht="15" hidden="false" customHeight="true" outlineLevel="0" collapsed="false">
      <c r="A5" s="13" t="n">
        <v>2024</v>
      </c>
      <c r="B5" s="13" t="s">
        <v>133</v>
      </c>
      <c r="C5" s="14" t="n">
        <v>12796</v>
      </c>
      <c r="D5" s="14" t="n">
        <v>11373</v>
      </c>
      <c r="E5" s="14" t="n">
        <f aca="false">C5-D5</f>
        <v>1423</v>
      </c>
      <c r="F5" s="15" t="n">
        <v>0.8919</v>
      </c>
      <c r="G5" s="14" t="n">
        <v>44</v>
      </c>
    </row>
    <row r="6" customFormat="false" ht="15" hidden="false" customHeight="true" outlineLevel="0" collapsed="false">
      <c r="A6" s="13" t="n">
        <v>2024</v>
      </c>
      <c r="B6" s="13" t="s">
        <v>134</v>
      </c>
      <c r="C6" s="14" t="n">
        <v>18131</v>
      </c>
      <c r="D6" s="14" t="n">
        <v>16074</v>
      </c>
      <c r="E6" s="14" t="n">
        <f aca="false">C6-D6</f>
        <v>2057</v>
      </c>
      <c r="F6" s="15" t="n">
        <v>0.8957</v>
      </c>
      <c r="G6" s="14" t="n">
        <v>185</v>
      </c>
    </row>
    <row r="7" customFormat="false" ht="15" hidden="false" customHeight="true" outlineLevel="0" collapsed="false">
      <c r="A7" s="13" t="n">
        <v>2024</v>
      </c>
      <c r="B7" s="13" t="s">
        <v>135</v>
      </c>
      <c r="C7" s="14" t="n">
        <v>3605</v>
      </c>
      <c r="D7" s="14" t="n">
        <v>2523</v>
      </c>
      <c r="E7" s="14" t="n">
        <f aca="false">C7-D7</f>
        <v>1082</v>
      </c>
      <c r="F7" s="15" t="n">
        <v>0.7105</v>
      </c>
      <c r="G7" s="14" t="n">
        <v>54</v>
      </c>
    </row>
    <row r="8" customFormat="false" ht="15" hidden="false" customHeight="true" outlineLevel="0" collapsed="false">
      <c r="A8" s="13" t="n">
        <v>2024</v>
      </c>
      <c r="B8" s="13" t="s">
        <v>136</v>
      </c>
      <c r="C8" s="14" t="n">
        <v>4735</v>
      </c>
      <c r="D8" s="14" t="n">
        <v>3674</v>
      </c>
      <c r="E8" s="14" t="n">
        <f aca="false">C8-D8</f>
        <v>1061</v>
      </c>
      <c r="F8" s="15" t="n">
        <v>0.7949</v>
      </c>
      <c r="G8" s="14" t="n">
        <v>113</v>
      </c>
    </row>
    <row r="9" customFormat="false" ht="15" hidden="false" customHeight="true" outlineLevel="0" collapsed="false">
      <c r="A9" s="13" t="n">
        <v>2024</v>
      </c>
      <c r="B9" s="13" t="s">
        <v>137</v>
      </c>
      <c r="C9" s="14" t="n">
        <v>39267</v>
      </c>
      <c r="D9" s="14" t="n">
        <v>33644</v>
      </c>
      <c r="E9" s="14" t="n">
        <f aca="false">C9-D9</f>
        <v>5623</v>
      </c>
      <c r="F9" s="15" t="n">
        <v>0.8655</v>
      </c>
      <c r="G9" s="14" t="n">
        <v>396</v>
      </c>
    </row>
    <row r="10" customFormat="false" ht="15" hidden="false" customHeight="true" outlineLevel="0" collapsed="false">
      <c r="A10" s="13" t="n">
        <v>2025</v>
      </c>
      <c r="B10" s="13" t="s">
        <v>133</v>
      </c>
      <c r="C10" s="14" t="n">
        <v>15534</v>
      </c>
      <c r="D10" s="14" t="n">
        <v>14050</v>
      </c>
      <c r="E10" s="14" t="n">
        <f aca="false">C10-D10</f>
        <v>1484</v>
      </c>
      <c r="F10" s="15" t="n">
        <v>0.9078</v>
      </c>
      <c r="G10" s="14" t="n">
        <v>57</v>
      </c>
    </row>
    <row r="11" customFormat="false" ht="15" hidden="false" customHeight="true" outlineLevel="0" collapsed="false">
      <c r="A11" s="13" t="n">
        <v>2025</v>
      </c>
      <c r="B11" s="13" t="s">
        <v>134</v>
      </c>
      <c r="C11" s="14" t="n">
        <v>19278</v>
      </c>
      <c r="D11" s="14" t="n">
        <v>17192</v>
      </c>
      <c r="E11" s="14" t="n">
        <f aca="false">C11-D11</f>
        <v>2086</v>
      </c>
      <c r="F11" s="15" t="n">
        <v>0.8994</v>
      </c>
      <c r="G11" s="14" t="n">
        <v>164</v>
      </c>
    </row>
    <row r="12" customFormat="false" ht="15" hidden="false" customHeight="true" outlineLevel="0" collapsed="false">
      <c r="A12" s="13" t="n">
        <v>2025</v>
      </c>
      <c r="B12" s="13" t="s">
        <v>135</v>
      </c>
      <c r="C12" s="14" t="n">
        <v>3381</v>
      </c>
      <c r="D12" s="14" t="n">
        <v>2362</v>
      </c>
      <c r="E12" s="14" t="n">
        <f aca="false">C12-D12</f>
        <v>1019</v>
      </c>
      <c r="F12" s="15" t="n">
        <v>0.7087</v>
      </c>
      <c r="G12" s="14" t="n">
        <v>48</v>
      </c>
    </row>
    <row r="13" customFormat="false" ht="15" hidden="false" customHeight="true" outlineLevel="0" collapsed="false">
      <c r="A13" s="13" t="n">
        <v>2025</v>
      </c>
      <c r="B13" s="13" t="s">
        <v>136</v>
      </c>
      <c r="C13" s="14" t="n">
        <v>4164</v>
      </c>
      <c r="D13" s="14" t="n">
        <v>2946</v>
      </c>
      <c r="E13" s="14" t="n">
        <f aca="false">C13-D13</f>
        <v>1218</v>
      </c>
      <c r="F13" s="15" t="n">
        <v>0.7334</v>
      </c>
      <c r="G13" s="14" t="n">
        <v>147</v>
      </c>
    </row>
    <row r="14" customFormat="false" ht="15" hidden="false" customHeight="true" outlineLevel="0" collapsed="false">
      <c r="A14" s="13" t="n">
        <v>2025</v>
      </c>
      <c r="B14" s="13" t="s">
        <v>137</v>
      </c>
      <c r="C14" s="14" t="n">
        <v>42357</v>
      </c>
      <c r="D14" s="14" t="n">
        <v>36550</v>
      </c>
      <c r="E14" s="14" t="n">
        <f aca="false">C14-D14</f>
        <v>5807</v>
      </c>
      <c r="F14" s="15" t="n">
        <v>0.8715</v>
      </c>
      <c r="G14" s="14" t="n">
        <v>416</v>
      </c>
    </row>
    <row r="15" customFormat="false" ht="15" hidden="false" customHeight="true" outlineLevel="0" collapsed="false">
      <c r="A15" s="13" t="n">
        <v>2026</v>
      </c>
      <c r="B15" s="13" t="s">
        <v>133</v>
      </c>
      <c r="C15" s="14" t="n">
        <v>17403</v>
      </c>
      <c r="D15" s="14" t="n">
        <v>14979</v>
      </c>
      <c r="E15" s="14" t="n">
        <f aca="false">C15-D15</f>
        <v>2424</v>
      </c>
      <c r="F15" s="15" t="n">
        <v>0.8636</v>
      </c>
      <c r="G15" s="14" t="n">
        <v>59</v>
      </c>
    </row>
    <row r="16" customFormat="false" ht="15" hidden="false" customHeight="true" outlineLevel="0" collapsed="false">
      <c r="A16" s="13" t="n">
        <v>2026</v>
      </c>
      <c r="B16" s="13" t="s">
        <v>134</v>
      </c>
      <c r="C16" s="14" t="n">
        <v>21493</v>
      </c>
      <c r="D16" s="14" t="n">
        <v>15909</v>
      </c>
      <c r="E16" s="14" t="n">
        <f aca="false">C16-D16</f>
        <v>5584</v>
      </c>
      <c r="F16" s="15" t="n">
        <v>0.7484</v>
      </c>
      <c r="G16" s="14" t="n">
        <v>235</v>
      </c>
    </row>
    <row r="17" customFormat="false" ht="15" hidden="false" customHeight="true" outlineLevel="0" collapsed="false">
      <c r="A17" s="13" t="n">
        <v>2026</v>
      </c>
      <c r="B17" s="13" t="s">
        <v>135</v>
      </c>
      <c r="C17" s="14" t="n">
        <v>3366</v>
      </c>
      <c r="D17" s="14" t="n">
        <v>2664</v>
      </c>
      <c r="E17" s="14" t="n">
        <f aca="false">C17-D17</f>
        <v>702</v>
      </c>
      <c r="F17" s="15" t="n">
        <v>0.8051</v>
      </c>
      <c r="G17" s="14" t="n">
        <v>57</v>
      </c>
    </row>
    <row r="18" customFormat="false" ht="15" hidden="false" customHeight="true" outlineLevel="0" collapsed="false">
      <c r="A18" s="13" t="n">
        <v>2026</v>
      </c>
      <c r="B18" s="13" t="s">
        <v>136</v>
      </c>
      <c r="C18" s="14" t="n">
        <v>3495</v>
      </c>
      <c r="D18" s="14" t="n">
        <v>2266</v>
      </c>
      <c r="E18" s="14" t="n">
        <f aca="false">C18-D18</f>
        <v>1229</v>
      </c>
      <c r="F18" s="15" t="n">
        <v>0.6732</v>
      </c>
      <c r="G18" s="14" t="n">
        <v>129</v>
      </c>
    </row>
    <row r="19" customFormat="false" ht="15" hidden="false" customHeight="true" outlineLevel="0" collapsed="false">
      <c r="A19" s="13" t="n">
        <v>2026</v>
      </c>
      <c r="B19" s="13" t="s">
        <v>137</v>
      </c>
      <c r="C19" s="14" t="n">
        <v>45757</v>
      </c>
      <c r="D19" s="14" t="n">
        <v>35818</v>
      </c>
      <c r="E19" s="14" t="n">
        <f aca="false">C19-D19</f>
        <v>9939</v>
      </c>
      <c r="F19" s="15" t="n">
        <v>0.7911</v>
      </c>
      <c r="G19" s="14" t="n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3" width="16"/>
  </cols>
  <sheetData>
    <row r="1" customFormat="false" ht="15" hidden="false" customHeight="true" outlineLevel="0" collapsed="false">
      <c r="A1" s="13" t="s">
        <v>138</v>
      </c>
    </row>
    <row r="2" customFormat="false" ht="15" hidden="false" customHeight="true" outlineLevel="0" collapsed="false">
      <c r="A2" s="13" t="s">
        <v>132</v>
      </c>
    </row>
    <row r="4" customFormat="false" ht="15" hidden="false" customHeight="true" outlineLevel="0" collapsed="false">
      <c r="A4" s="13" t="s">
        <v>3</v>
      </c>
      <c r="B4" s="13" t="s">
        <v>112</v>
      </c>
      <c r="C4" s="13" t="s">
        <v>4</v>
      </c>
      <c r="D4" s="13" t="s">
        <v>5</v>
      </c>
      <c r="E4" s="13" t="s">
        <v>108</v>
      </c>
      <c r="F4" s="13" t="s">
        <v>6</v>
      </c>
      <c r="G4" s="13" t="s">
        <v>109</v>
      </c>
    </row>
    <row r="5" customFormat="false" ht="15" hidden="false" customHeight="true" outlineLevel="0" collapsed="false">
      <c r="A5" s="13" t="n">
        <v>2024</v>
      </c>
      <c r="B5" s="13" t="s">
        <v>135</v>
      </c>
      <c r="C5" s="14" t="n">
        <v>110</v>
      </c>
      <c r="D5" s="14" t="n">
        <v>71</v>
      </c>
      <c r="E5" s="14" t="n">
        <f aca="false">C5-D5</f>
        <v>39</v>
      </c>
      <c r="F5" s="15" t="n">
        <v>0.6698</v>
      </c>
      <c r="G5" s="14" t="n">
        <v>4</v>
      </c>
    </row>
    <row r="6" customFormat="false" ht="15" hidden="false" customHeight="true" outlineLevel="0" collapsed="false">
      <c r="A6" s="13" t="n">
        <v>2024</v>
      </c>
      <c r="B6" s="13" t="s">
        <v>136</v>
      </c>
      <c r="C6" s="14" t="n">
        <v>323</v>
      </c>
      <c r="D6" s="14" t="n">
        <v>253</v>
      </c>
      <c r="E6" s="14" t="n">
        <f aca="false">C6-D6</f>
        <v>70</v>
      </c>
      <c r="F6" s="15" t="n">
        <v>0.8241</v>
      </c>
      <c r="G6" s="14" t="n">
        <v>16</v>
      </c>
    </row>
    <row r="7" customFormat="false" ht="15" hidden="false" customHeight="true" outlineLevel="0" collapsed="false">
      <c r="A7" s="13" t="n">
        <v>2025</v>
      </c>
      <c r="B7" s="13" t="s">
        <v>135</v>
      </c>
      <c r="C7" s="14" t="n">
        <v>94</v>
      </c>
      <c r="D7" s="14" t="n">
        <v>67</v>
      </c>
      <c r="E7" s="14" t="n">
        <f aca="false">C7-D7</f>
        <v>27</v>
      </c>
      <c r="F7" s="15" t="n">
        <v>0.7283</v>
      </c>
      <c r="G7" s="14" t="n">
        <v>2</v>
      </c>
    </row>
    <row r="8" customFormat="false" ht="15" hidden="false" customHeight="true" outlineLevel="0" collapsed="false">
      <c r="A8" s="13" t="n">
        <v>2025</v>
      </c>
      <c r="B8" s="13" t="s">
        <v>136</v>
      </c>
      <c r="C8" s="14" t="n">
        <v>211</v>
      </c>
      <c r="D8" s="14" t="n">
        <v>170</v>
      </c>
      <c r="E8" s="14" t="n">
        <f aca="false">C8-D8</f>
        <v>41</v>
      </c>
      <c r="F8" s="15" t="n">
        <v>0.8543</v>
      </c>
      <c r="G8" s="14" t="n">
        <v>12</v>
      </c>
    </row>
    <row r="9" customFormat="false" ht="15" hidden="false" customHeight="true" outlineLevel="0" collapsed="false">
      <c r="A9" s="13" t="n">
        <v>2026</v>
      </c>
      <c r="B9" s="13" t="s">
        <v>135</v>
      </c>
      <c r="C9" s="14" t="n">
        <v>83</v>
      </c>
      <c r="D9" s="14" t="n">
        <v>71</v>
      </c>
      <c r="E9" s="14" t="n">
        <f aca="false">C9-D9</f>
        <v>12</v>
      </c>
      <c r="F9" s="15" t="n">
        <v>0.8659</v>
      </c>
      <c r="G9" s="14" t="n">
        <v>1</v>
      </c>
    </row>
    <row r="10" customFormat="false" ht="15" hidden="false" customHeight="true" outlineLevel="0" collapsed="false">
      <c r="A10" s="13" t="n">
        <v>2026</v>
      </c>
      <c r="B10" s="13" t="s">
        <v>136</v>
      </c>
      <c r="C10" s="14" t="n">
        <v>165</v>
      </c>
      <c r="D10" s="14" t="n">
        <v>121</v>
      </c>
      <c r="E10" s="14" t="n">
        <f aca="false">C10-D10</f>
        <v>44</v>
      </c>
      <c r="F10" s="15" t="n">
        <v>0.7658</v>
      </c>
      <c r="G10" s="14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6"/>
    <col collapsed="false" customWidth="true" hidden="false" outlineLevel="0" max="2" min="2" style="13" width="32"/>
    <col collapsed="false" customWidth="true" hidden="false" outlineLevel="0" max="5" min="3" style="13" width="16"/>
  </cols>
  <sheetData>
    <row r="1" customFormat="false" ht="15" hidden="false" customHeight="true" outlineLevel="0" collapsed="false">
      <c r="A1" s="13" t="s">
        <v>139</v>
      </c>
    </row>
    <row r="2" customFormat="false" ht="15" hidden="false" customHeight="true" outlineLevel="0" collapsed="false">
      <c r="A2" s="13" t="s">
        <v>140</v>
      </c>
    </row>
    <row r="4" customFormat="false" ht="15" hidden="false" customHeight="true" outlineLevel="0" collapsed="false">
      <c r="A4" s="13" t="s">
        <v>3</v>
      </c>
      <c r="B4" s="13" t="s">
        <v>141</v>
      </c>
      <c r="C4" s="13" t="s">
        <v>4</v>
      </c>
      <c r="D4" s="13" t="s">
        <v>5</v>
      </c>
      <c r="E4" s="13" t="s">
        <v>6</v>
      </c>
    </row>
    <row r="5" customFormat="false" ht="15" hidden="false" customHeight="true" outlineLevel="0" collapsed="false">
      <c r="A5" s="13" t="n">
        <v>2024</v>
      </c>
      <c r="B5" s="13" t="s">
        <v>142</v>
      </c>
      <c r="C5" s="14" t="n">
        <v>36796</v>
      </c>
      <c r="D5" s="14" t="n">
        <v>35053</v>
      </c>
      <c r="E5" s="15" t="n">
        <v>0.9526</v>
      </c>
    </row>
    <row r="6" customFormat="false" ht="15" hidden="false" customHeight="true" outlineLevel="0" collapsed="false">
      <c r="A6" s="13" t="n">
        <v>2024</v>
      </c>
      <c r="B6" s="13" t="s">
        <v>143</v>
      </c>
      <c r="C6" s="14" t="n">
        <v>3</v>
      </c>
      <c r="D6" s="14" t="n">
        <v>3</v>
      </c>
      <c r="E6" s="15" t="n">
        <v>1</v>
      </c>
    </row>
    <row r="7" customFormat="false" ht="15" hidden="false" customHeight="true" outlineLevel="0" collapsed="false">
      <c r="A7" s="13" t="n">
        <v>2024</v>
      </c>
      <c r="B7" s="13" t="s">
        <v>144</v>
      </c>
      <c r="C7" s="14" t="n">
        <v>36442</v>
      </c>
      <c r="D7" s="14" t="n">
        <v>35376</v>
      </c>
      <c r="E7" s="15" t="n">
        <v>0.9707</v>
      </c>
    </row>
    <row r="8" customFormat="false" ht="15" hidden="false" customHeight="true" outlineLevel="0" collapsed="false">
      <c r="A8" s="13" t="n">
        <v>2024</v>
      </c>
      <c r="B8" s="13" t="s">
        <v>145</v>
      </c>
      <c r="C8" s="14" t="n">
        <v>7</v>
      </c>
      <c r="D8" s="14" t="n">
        <v>7</v>
      </c>
      <c r="E8" s="15" t="n">
        <v>1</v>
      </c>
    </row>
    <row r="9" customFormat="false" ht="15" hidden="false" customHeight="true" outlineLevel="0" collapsed="false">
      <c r="A9" s="13" t="n">
        <v>2024</v>
      </c>
      <c r="B9" s="13" t="s">
        <v>146</v>
      </c>
      <c r="C9" s="14" t="n">
        <v>7</v>
      </c>
      <c r="D9" s="14" t="n">
        <v>7</v>
      </c>
      <c r="E9" s="15" t="n">
        <v>1</v>
      </c>
    </row>
    <row r="10" customFormat="false" ht="15" hidden="false" customHeight="true" outlineLevel="0" collapsed="false">
      <c r="A10" s="13" t="n">
        <v>2024</v>
      </c>
      <c r="B10" s="13" t="s">
        <v>147</v>
      </c>
      <c r="C10" s="14" t="n">
        <v>7</v>
      </c>
      <c r="D10" s="14" t="n">
        <v>7</v>
      </c>
      <c r="E10" s="15" t="n">
        <v>1</v>
      </c>
    </row>
    <row r="11" customFormat="false" ht="15" hidden="false" customHeight="true" outlineLevel="0" collapsed="false">
      <c r="A11" s="13" t="n">
        <v>2024</v>
      </c>
      <c r="B11" s="13" t="s">
        <v>148</v>
      </c>
      <c r="C11" s="14" t="n">
        <v>7</v>
      </c>
      <c r="D11" s="14" t="n">
        <v>7</v>
      </c>
      <c r="E11" s="15" t="n">
        <v>1</v>
      </c>
    </row>
    <row r="12" customFormat="false" ht="15" hidden="false" customHeight="true" outlineLevel="0" collapsed="false">
      <c r="A12" s="13" t="n">
        <v>2024</v>
      </c>
      <c r="B12" s="13" t="s">
        <v>149</v>
      </c>
      <c r="C12" s="14" t="n">
        <v>36399</v>
      </c>
      <c r="D12" s="14" t="n">
        <v>35852</v>
      </c>
      <c r="E12" s="15" t="n">
        <v>0.985</v>
      </c>
    </row>
    <row r="13" customFormat="false" ht="15" hidden="false" customHeight="true" outlineLevel="0" collapsed="false">
      <c r="A13" s="13" t="n">
        <v>2024</v>
      </c>
      <c r="B13" s="13" t="s">
        <v>150</v>
      </c>
      <c r="C13" s="14" t="n">
        <v>684</v>
      </c>
      <c r="D13" s="14" t="n">
        <v>634</v>
      </c>
      <c r="E13" s="15" t="n">
        <v>0.9269</v>
      </c>
    </row>
    <row r="14" customFormat="false" ht="15" hidden="false" customHeight="true" outlineLevel="0" collapsed="false">
      <c r="A14" s="13" t="n">
        <v>2024</v>
      </c>
      <c r="B14" s="13" t="s">
        <v>151</v>
      </c>
      <c r="C14" s="14" t="n">
        <v>6537</v>
      </c>
      <c r="D14" s="14" t="n">
        <v>6319</v>
      </c>
      <c r="E14" s="15" t="n">
        <v>0.9667</v>
      </c>
    </row>
    <row r="15" customFormat="false" ht="15" hidden="false" customHeight="true" outlineLevel="0" collapsed="false">
      <c r="A15" s="13" t="n">
        <v>2024</v>
      </c>
      <c r="B15" s="13" t="s">
        <v>152</v>
      </c>
      <c r="C15" s="14" t="n">
        <v>1755</v>
      </c>
      <c r="D15" s="14" t="n">
        <v>1693</v>
      </c>
      <c r="E15" s="15" t="n">
        <v>0.9647</v>
      </c>
    </row>
    <row r="16" customFormat="false" ht="15" hidden="false" customHeight="true" outlineLevel="0" collapsed="false">
      <c r="A16" s="13" t="n">
        <v>2024</v>
      </c>
      <c r="B16" s="13" t="s">
        <v>153</v>
      </c>
      <c r="C16" s="14" t="n">
        <v>374</v>
      </c>
      <c r="D16" s="14" t="n">
        <v>370</v>
      </c>
      <c r="E16" s="15" t="n">
        <v>0.9893</v>
      </c>
    </row>
    <row r="17" customFormat="false" ht="15" hidden="false" customHeight="true" outlineLevel="0" collapsed="false">
      <c r="A17" s="13" t="n">
        <v>2024</v>
      </c>
      <c r="B17" s="13" t="s">
        <v>154</v>
      </c>
      <c r="C17" s="14" t="n">
        <v>8541</v>
      </c>
      <c r="D17" s="14" t="n">
        <v>8288</v>
      </c>
      <c r="E17" s="15" t="n">
        <v>0.9704</v>
      </c>
    </row>
    <row r="18" customFormat="false" ht="15" hidden="false" customHeight="true" outlineLevel="0" collapsed="false">
      <c r="A18" s="13" t="n">
        <v>2024</v>
      </c>
      <c r="B18" s="13" t="s">
        <v>155</v>
      </c>
      <c r="C18" s="14" t="n">
        <v>898</v>
      </c>
      <c r="D18" s="14" t="n">
        <v>868</v>
      </c>
      <c r="E18" s="15" t="n">
        <v>0.9666</v>
      </c>
    </row>
    <row r="19" customFormat="false" ht="15" hidden="false" customHeight="true" outlineLevel="0" collapsed="false">
      <c r="A19" s="13" t="n">
        <v>2024</v>
      </c>
      <c r="B19" s="13" t="s">
        <v>156</v>
      </c>
      <c r="C19" s="14" t="n">
        <v>8447</v>
      </c>
      <c r="D19" s="14" t="n">
        <v>7847</v>
      </c>
      <c r="E19" s="15" t="n">
        <v>0.929</v>
      </c>
    </row>
    <row r="20" customFormat="false" ht="15" hidden="false" customHeight="true" outlineLevel="0" collapsed="false">
      <c r="A20" s="13" t="n">
        <v>2024</v>
      </c>
      <c r="B20" s="13" t="s">
        <v>130</v>
      </c>
      <c r="C20" s="14" t="n">
        <v>228</v>
      </c>
      <c r="D20" s="14" t="n">
        <v>227</v>
      </c>
      <c r="E20" s="15" t="n">
        <v>0.9956</v>
      </c>
    </row>
    <row r="21" customFormat="false" ht="15" hidden="false" customHeight="true" outlineLevel="0" collapsed="false">
      <c r="A21" s="13" t="n">
        <v>2024</v>
      </c>
      <c r="B21" s="13" t="s">
        <v>157</v>
      </c>
      <c r="C21" s="14" t="n">
        <v>9123</v>
      </c>
      <c r="D21" s="14" t="n">
        <v>8931</v>
      </c>
      <c r="E21" s="15" t="n">
        <v>0.979</v>
      </c>
    </row>
    <row r="22" customFormat="false" ht="15" hidden="false" customHeight="true" outlineLevel="0" collapsed="false">
      <c r="A22" s="13" t="n">
        <v>2024</v>
      </c>
      <c r="B22" s="13" t="s">
        <v>158</v>
      </c>
      <c r="C22" s="14" t="n">
        <v>3316</v>
      </c>
      <c r="D22" s="14" t="n">
        <v>3269</v>
      </c>
      <c r="E22" s="15" t="n">
        <v>0.9858</v>
      </c>
    </row>
    <row r="23" customFormat="false" ht="15" hidden="false" customHeight="true" outlineLevel="0" collapsed="false">
      <c r="A23" s="13" t="n">
        <v>2024</v>
      </c>
      <c r="B23" s="13" t="s">
        <v>159</v>
      </c>
      <c r="C23" s="14" t="n">
        <v>310</v>
      </c>
      <c r="D23" s="14" t="n">
        <v>308</v>
      </c>
      <c r="E23" s="15" t="n">
        <v>0.9935</v>
      </c>
    </row>
    <row r="24" customFormat="false" ht="15" hidden="false" customHeight="true" outlineLevel="0" collapsed="false">
      <c r="A24" s="13" t="n">
        <v>2024</v>
      </c>
      <c r="B24" s="13" t="s">
        <v>160</v>
      </c>
      <c r="C24" s="14" t="n">
        <v>477</v>
      </c>
      <c r="D24" s="14" t="n">
        <v>435</v>
      </c>
      <c r="E24" s="15" t="n">
        <v>0.9119</v>
      </c>
    </row>
    <row r="25" customFormat="false" ht="15" hidden="false" customHeight="true" outlineLevel="0" collapsed="false">
      <c r="A25" s="13" t="n">
        <v>2024</v>
      </c>
      <c r="B25" s="13" t="s">
        <v>161</v>
      </c>
      <c r="C25" s="14" t="n">
        <v>344</v>
      </c>
      <c r="D25" s="14" t="n">
        <v>337</v>
      </c>
      <c r="E25" s="15" t="n">
        <v>0.9797</v>
      </c>
    </row>
    <row r="26" customFormat="false" ht="15" hidden="false" customHeight="true" outlineLevel="0" collapsed="false">
      <c r="A26" s="13" t="n">
        <v>2024</v>
      </c>
      <c r="B26" s="13" t="s">
        <v>162</v>
      </c>
      <c r="C26" s="14" t="n">
        <v>489</v>
      </c>
      <c r="D26" s="14" t="n">
        <v>473</v>
      </c>
      <c r="E26" s="15" t="n">
        <v>0.9673</v>
      </c>
    </row>
    <row r="27" customFormat="false" ht="15" hidden="false" customHeight="true" outlineLevel="0" collapsed="false">
      <c r="A27" s="13" t="n">
        <v>2024</v>
      </c>
      <c r="B27" s="13" t="s">
        <v>163</v>
      </c>
      <c r="C27" s="14" t="n">
        <v>151</v>
      </c>
      <c r="D27" s="14" t="n">
        <v>142</v>
      </c>
      <c r="E27" s="15" t="n">
        <v>0.9404</v>
      </c>
    </row>
    <row r="28" customFormat="false" ht="15" hidden="false" customHeight="true" outlineLevel="0" collapsed="false">
      <c r="A28" s="13" t="n">
        <v>2024</v>
      </c>
      <c r="B28" s="13" t="s">
        <v>164</v>
      </c>
      <c r="C28" s="14" t="n">
        <v>12</v>
      </c>
      <c r="D28" s="14" t="n">
        <v>8</v>
      </c>
      <c r="E28" s="15" t="n">
        <v>0.6667</v>
      </c>
    </row>
    <row r="29" customFormat="false" ht="15" hidden="false" customHeight="true" outlineLevel="0" collapsed="false">
      <c r="A29" s="13" t="n">
        <v>2024</v>
      </c>
      <c r="B29" s="13" t="s">
        <v>165</v>
      </c>
      <c r="C29" s="14" t="n">
        <v>24990</v>
      </c>
      <c r="D29" s="14" t="n">
        <v>23871</v>
      </c>
      <c r="E29" s="15" t="n">
        <v>0.9552</v>
      </c>
    </row>
    <row r="30" customFormat="false" ht="15" hidden="false" customHeight="true" outlineLevel="0" collapsed="false">
      <c r="A30" s="13" t="n">
        <v>2024</v>
      </c>
      <c r="B30" s="13" t="s">
        <v>166</v>
      </c>
      <c r="C30" s="14" t="n">
        <v>20996</v>
      </c>
      <c r="D30" s="14" t="n">
        <v>19393</v>
      </c>
      <c r="E30" s="15" t="n">
        <v>0.9237</v>
      </c>
    </row>
    <row r="31" customFormat="false" ht="15" hidden="false" customHeight="true" outlineLevel="0" collapsed="false">
      <c r="A31" s="13" t="n">
        <v>2024</v>
      </c>
      <c r="B31" s="13" t="s">
        <v>167</v>
      </c>
      <c r="C31" s="14" t="n">
        <v>17069</v>
      </c>
      <c r="D31" s="14" t="n">
        <v>16855</v>
      </c>
      <c r="E31" s="15" t="n">
        <v>0.9875</v>
      </c>
    </row>
    <row r="32" customFormat="false" ht="15" hidden="false" customHeight="true" outlineLevel="0" collapsed="false">
      <c r="A32" s="13" t="n">
        <v>2024</v>
      </c>
      <c r="B32" s="13" t="s">
        <v>168</v>
      </c>
      <c r="C32" s="14" t="n">
        <v>144</v>
      </c>
      <c r="D32" s="14" t="n">
        <v>139</v>
      </c>
      <c r="E32" s="15" t="n">
        <v>0.9653</v>
      </c>
    </row>
    <row r="33" customFormat="false" ht="15" hidden="false" customHeight="true" outlineLevel="0" collapsed="false">
      <c r="A33" s="13" t="n">
        <v>2024</v>
      </c>
      <c r="B33" s="13" t="s">
        <v>169</v>
      </c>
      <c r="C33" s="14" t="n">
        <v>35498</v>
      </c>
      <c r="D33" s="14" t="n">
        <v>35101</v>
      </c>
      <c r="E33" s="15" t="n">
        <v>0.9888</v>
      </c>
    </row>
    <row r="34" customFormat="false" ht="15" hidden="false" customHeight="true" outlineLevel="0" collapsed="false">
      <c r="A34" s="13" t="n">
        <v>2024</v>
      </c>
      <c r="B34" s="13" t="s">
        <v>170</v>
      </c>
      <c r="C34" s="14" t="n">
        <v>4965</v>
      </c>
      <c r="D34" s="14" t="n">
        <v>4880</v>
      </c>
      <c r="E34" s="15" t="n">
        <v>0.9829</v>
      </c>
    </row>
    <row r="35" customFormat="false" ht="15" hidden="false" customHeight="true" outlineLevel="0" collapsed="false">
      <c r="A35" s="13" t="n">
        <v>2024</v>
      </c>
      <c r="B35" s="13" t="s">
        <v>171</v>
      </c>
      <c r="C35" s="14" t="n">
        <v>808</v>
      </c>
      <c r="D35" s="14" t="n">
        <v>777</v>
      </c>
      <c r="E35" s="15" t="n">
        <v>0.9616</v>
      </c>
    </row>
    <row r="36" customFormat="false" ht="15" hidden="false" customHeight="true" outlineLevel="0" collapsed="false">
      <c r="A36" s="13" t="n">
        <v>2024</v>
      </c>
      <c r="B36" s="13" t="s">
        <v>172</v>
      </c>
      <c r="C36" s="14" t="n">
        <v>1</v>
      </c>
      <c r="D36" s="14" t="n">
        <v>1</v>
      </c>
      <c r="E36" s="15" t="n">
        <v>1</v>
      </c>
    </row>
    <row r="37" customFormat="false" ht="15" hidden="false" customHeight="true" outlineLevel="0" collapsed="false">
      <c r="A37" s="13" t="n">
        <v>2025</v>
      </c>
      <c r="B37" s="13" t="s">
        <v>142</v>
      </c>
      <c r="C37" s="14" t="n">
        <v>40592</v>
      </c>
      <c r="D37" s="14" t="n">
        <v>38878</v>
      </c>
      <c r="E37" s="15" t="n">
        <v>0.9578</v>
      </c>
    </row>
    <row r="38" customFormat="false" ht="15" hidden="false" customHeight="true" outlineLevel="0" collapsed="false">
      <c r="A38" s="13" t="n">
        <v>2025</v>
      </c>
      <c r="B38" s="13" t="s">
        <v>143</v>
      </c>
      <c r="C38" s="14" t="n">
        <v>16</v>
      </c>
      <c r="D38" s="14" t="n">
        <v>16</v>
      </c>
      <c r="E38" s="15" t="n">
        <v>1</v>
      </c>
    </row>
    <row r="39" customFormat="false" ht="15" hidden="false" customHeight="true" outlineLevel="0" collapsed="false">
      <c r="A39" s="13" t="n">
        <v>2025</v>
      </c>
      <c r="B39" s="13" t="s">
        <v>144</v>
      </c>
      <c r="C39" s="14" t="n">
        <v>40409</v>
      </c>
      <c r="D39" s="14" t="n">
        <v>39634</v>
      </c>
      <c r="E39" s="15" t="n">
        <v>0.9808</v>
      </c>
    </row>
    <row r="40" customFormat="false" ht="15" hidden="false" customHeight="true" outlineLevel="0" collapsed="false">
      <c r="A40" s="13" t="n">
        <v>2025</v>
      </c>
      <c r="B40" s="13" t="s">
        <v>145</v>
      </c>
      <c r="C40" s="14" t="n">
        <v>5</v>
      </c>
      <c r="D40" s="14" t="n">
        <v>5</v>
      </c>
      <c r="E40" s="15" t="n">
        <v>1</v>
      </c>
    </row>
    <row r="41" customFormat="false" ht="15" hidden="false" customHeight="true" outlineLevel="0" collapsed="false">
      <c r="A41" s="13" t="n">
        <v>2025</v>
      </c>
      <c r="B41" s="13" t="s">
        <v>146</v>
      </c>
      <c r="C41" s="14" t="n">
        <v>13</v>
      </c>
      <c r="D41" s="14" t="n">
        <v>13</v>
      </c>
      <c r="E41" s="15" t="n">
        <v>1</v>
      </c>
    </row>
    <row r="42" customFormat="false" ht="15" hidden="false" customHeight="true" outlineLevel="0" collapsed="false">
      <c r="A42" s="13" t="n">
        <v>2025</v>
      </c>
      <c r="B42" s="13" t="s">
        <v>147</v>
      </c>
      <c r="C42" s="14" t="n">
        <v>13</v>
      </c>
      <c r="D42" s="14" t="n">
        <v>13</v>
      </c>
      <c r="E42" s="15" t="n">
        <v>1</v>
      </c>
    </row>
    <row r="43" customFormat="false" ht="15" hidden="false" customHeight="true" outlineLevel="0" collapsed="false">
      <c r="A43" s="13" t="n">
        <v>2025</v>
      </c>
      <c r="B43" s="13" t="s">
        <v>148</v>
      </c>
      <c r="C43" s="14" t="n">
        <v>16</v>
      </c>
      <c r="D43" s="14" t="n">
        <v>14</v>
      </c>
      <c r="E43" s="15" t="n">
        <v>0.875</v>
      </c>
    </row>
    <row r="44" customFormat="false" ht="15" hidden="false" customHeight="true" outlineLevel="0" collapsed="false">
      <c r="A44" s="13" t="n">
        <v>2025</v>
      </c>
      <c r="B44" s="13" t="s">
        <v>149</v>
      </c>
      <c r="C44" s="14" t="n">
        <v>39868</v>
      </c>
      <c r="D44" s="14" t="n">
        <v>39008</v>
      </c>
      <c r="E44" s="15" t="n">
        <v>0.9784</v>
      </c>
    </row>
    <row r="45" customFormat="false" ht="15" hidden="false" customHeight="true" outlineLevel="0" collapsed="false">
      <c r="A45" s="13" t="n">
        <v>2025</v>
      </c>
      <c r="B45" s="13" t="s">
        <v>150</v>
      </c>
      <c r="C45" s="14" t="n">
        <v>582</v>
      </c>
      <c r="D45" s="14" t="n">
        <v>535</v>
      </c>
      <c r="E45" s="15" t="n">
        <v>0.9192</v>
      </c>
    </row>
    <row r="46" customFormat="false" ht="15" hidden="false" customHeight="true" outlineLevel="0" collapsed="false">
      <c r="A46" s="13" t="n">
        <v>2025</v>
      </c>
      <c r="B46" s="13" t="s">
        <v>151</v>
      </c>
      <c r="C46" s="14" t="n">
        <v>7380</v>
      </c>
      <c r="D46" s="14" t="n">
        <v>6936</v>
      </c>
      <c r="E46" s="15" t="n">
        <v>0.9398</v>
      </c>
    </row>
    <row r="47" customFormat="false" ht="15" hidden="false" customHeight="true" outlineLevel="0" collapsed="false">
      <c r="A47" s="13" t="n">
        <v>2025</v>
      </c>
      <c r="B47" s="13" t="s">
        <v>152</v>
      </c>
      <c r="C47" s="14" t="n">
        <v>2163</v>
      </c>
      <c r="D47" s="14" t="n">
        <v>2031</v>
      </c>
      <c r="E47" s="15" t="n">
        <v>0.939</v>
      </c>
    </row>
    <row r="48" customFormat="false" ht="15" hidden="false" customHeight="true" outlineLevel="0" collapsed="false">
      <c r="A48" s="13" t="n">
        <v>2025</v>
      </c>
      <c r="B48" s="13" t="s">
        <v>153</v>
      </c>
      <c r="C48" s="14" t="n">
        <v>485</v>
      </c>
      <c r="D48" s="14" t="n">
        <v>445</v>
      </c>
      <c r="E48" s="15" t="n">
        <v>0.9175</v>
      </c>
    </row>
    <row r="49" customFormat="false" ht="15" hidden="false" customHeight="true" outlineLevel="0" collapsed="false">
      <c r="A49" s="13" t="n">
        <v>2025</v>
      </c>
      <c r="B49" s="13" t="s">
        <v>154</v>
      </c>
      <c r="C49" s="14" t="n">
        <v>9811</v>
      </c>
      <c r="D49" s="14" t="n">
        <v>8897</v>
      </c>
      <c r="E49" s="15" t="n">
        <v>0.9068</v>
      </c>
    </row>
    <row r="50" customFormat="false" ht="15" hidden="false" customHeight="true" outlineLevel="0" collapsed="false">
      <c r="A50" s="13" t="n">
        <v>2025</v>
      </c>
      <c r="B50" s="13" t="s">
        <v>155</v>
      </c>
      <c r="C50" s="14" t="n">
        <v>1131</v>
      </c>
      <c r="D50" s="14" t="n">
        <v>1120</v>
      </c>
      <c r="E50" s="15" t="n">
        <v>0.9903</v>
      </c>
    </row>
    <row r="51" customFormat="false" ht="15" hidden="false" customHeight="true" outlineLevel="0" collapsed="false">
      <c r="A51" s="13" t="n">
        <v>2025</v>
      </c>
      <c r="B51" s="13" t="s">
        <v>156</v>
      </c>
      <c r="C51" s="14" t="n">
        <v>10337</v>
      </c>
      <c r="D51" s="14" t="n">
        <v>9535</v>
      </c>
      <c r="E51" s="15" t="n">
        <v>0.9224</v>
      </c>
    </row>
    <row r="52" customFormat="false" ht="15" hidden="false" customHeight="true" outlineLevel="0" collapsed="false">
      <c r="A52" s="13" t="n">
        <v>2025</v>
      </c>
      <c r="B52" s="13" t="s">
        <v>130</v>
      </c>
      <c r="C52" s="14" t="n">
        <v>328</v>
      </c>
      <c r="D52" s="14" t="n">
        <v>327</v>
      </c>
      <c r="E52" s="15" t="n">
        <v>0.997</v>
      </c>
    </row>
    <row r="53" customFormat="false" ht="15" hidden="false" customHeight="true" outlineLevel="0" collapsed="false">
      <c r="A53" s="13" t="n">
        <v>2025</v>
      </c>
      <c r="B53" s="13" t="s">
        <v>157</v>
      </c>
      <c r="C53" s="14" t="n">
        <v>9847</v>
      </c>
      <c r="D53" s="14" t="n">
        <v>9395</v>
      </c>
      <c r="E53" s="15" t="n">
        <v>0.9541</v>
      </c>
    </row>
    <row r="54" customFormat="false" ht="15" hidden="false" customHeight="true" outlineLevel="0" collapsed="false">
      <c r="A54" s="13" t="n">
        <v>2025</v>
      </c>
      <c r="B54" s="13" t="s">
        <v>158</v>
      </c>
      <c r="C54" s="14" t="n">
        <v>4490</v>
      </c>
      <c r="D54" s="14" t="n">
        <v>4453</v>
      </c>
      <c r="E54" s="15" t="n">
        <v>0.9918</v>
      </c>
    </row>
    <row r="55" customFormat="false" ht="15" hidden="false" customHeight="true" outlineLevel="0" collapsed="false">
      <c r="A55" s="13" t="n">
        <v>2025</v>
      </c>
      <c r="B55" s="13" t="s">
        <v>159</v>
      </c>
      <c r="C55" s="14" t="n">
        <v>643</v>
      </c>
      <c r="D55" s="14" t="n">
        <v>640</v>
      </c>
      <c r="E55" s="15" t="n">
        <v>0.9953</v>
      </c>
    </row>
    <row r="56" customFormat="false" ht="15" hidden="false" customHeight="true" outlineLevel="0" collapsed="false">
      <c r="A56" s="13" t="n">
        <v>2025</v>
      </c>
      <c r="B56" s="13" t="s">
        <v>160</v>
      </c>
      <c r="C56" s="14" t="n">
        <v>94</v>
      </c>
      <c r="D56" s="14" t="n">
        <v>75</v>
      </c>
      <c r="E56" s="15" t="n">
        <v>0.7979</v>
      </c>
    </row>
    <row r="57" customFormat="false" ht="15" hidden="false" customHeight="true" outlineLevel="0" collapsed="false">
      <c r="A57" s="13" t="n">
        <v>2025</v>
      </c>
      <c r="B57" s="13" t="s">
        <v>161</v>
      </c>
      <c r="C57" s="14" t="n">
        <v>519</v>
      </c>
      <c r="D57" s="14" t="n">
        <v>510</v>
      </c>
      <c r="E57" s="15" t="n">
        <v>0.9827</v>
      </c>
    </row>
    <row r="58" customFormat="false" ht="15" hidden="false" customHeight="true" outlineLevel="0" collapsed="false">
      <c r="A58" s="13" t="n">
        <v>2025</v>
      </c>
      <c r="B58" s="13" t="s">
        <v>162</v>
      </c>
      <c r="C58" s="14" t="n">
        <v>436</v>
      </c>
      <c r="D58" s="14" t="n">
        <v>423</v>
      </c>
      <c r="E58" s="15" t="n">
        <v>0.9702</v>
      </c>
    </row>
    <row r="59" customFormat="false" ht="15" hidden="false" customHeight="true" outlineLevel="0" collapsed="false">
      <c r="A59" s="13" t="n">
        <v>2025</v>
      </c>
      <c r="B59" s="13" t="s">
        <v>163</v>
      </c>
      <c r="C59" s="14" t="n">
        <v>121</v>
      </c>
      <c r="D59" s="14" t="n">
        <v>118</v>
      </c>
      <c r="E59" s="15" t="n">
        <v>0.9752</v>
      </c>
    </row>
    <row r="60" customFormat="false" ht="15" hidden="false" customHeight="true" outlineLevel="0" collapsed="false">
      <c r="A60" s="13" t="n">
        <v>2025</v>
      </c>
      <c r="B60" s="13" t="s">
        <v>164</v>
      </c>
      <c r="C60" s="14" t="n">
        <v>6</v>
      </c>
      <c r="D60" s="14" t="n">
        <v>6</v>
      </c>
      <c r="E60" s="15" t="n">
        <v>1</v>
      </c>
    </row>
    <row r="61" customFormat="false" ht="15" hidden="false" customHeight="true" outlineLevel="0" collapsed="false">
      <c r="A61" s="13" t="n">
        <v>2025</v>
      </c>
      <c r="B61" s="13" t="s">
        <v>165</v>
      </c>
      <c r="C61" s="14" t="n">
        <v>26986</v>
      </c>
      <c r="D61" s="14" t="n">
        <v>26079</v>
      </c>
      <c r="E61" s="15" t="n">
        <v>0.9664</v>
      </c>
    </row>
    <row r="62" customFormat="false" ht="15" hidden="false" customHeight="true" outlineLevel="0" collapsed="false">
      <c r="A62" s="13" t="n">
        <v>2025</v>
      </c>
      <c r="B62" s="13" t="s">
        <v>166</v>
      </c>
      <c r="C62" s="14" t="n">
        <v>20604</v>
      </c>
      <c r="D62" s="14" t="n">
        <v>19317</v>
      </c>
      <c r="E62" s="15" t="n">
        <v>0.9375</v>
      </c>
    </row>
    <row r="63" customFormat="false" ht="15" hidden="false" customHeight="true" outlineLevel="0" collapsed="false">
      <c r="A63" s="13" t="n">
        <v>2025</v>
      </c>
      <c r="B63" s="13" t="s">
        <v>167</v>
      </c>
      <c r="C63" s="14" t="n">
        <v>17141</v>
      </c>
      <c r="D63" s="14" t="n">
        <v>16894</v>
      </c>
      <c r="E63" s="15" t="n">
        <v>0.9856</v>
      </c>
    </row>
    <row r="64" customFormat="false" ht="15" hidden="false" customHeight="true" outlineLevel="0" collapsed="false">
      <c r="A64" s="13" t="n">
        <v>2025</v>
      </c>
      <c r="B64" s="13" t="s">
        <v>168</v>
      </c>
      <c r="C64" s="14" t="n">
        <v>191</v>
      </c>
      <c r="D64" s="14" t="n">
        <v>189</v>
      </c>
      <c r="E64" s="15" t="n">
        <v>0.9895</v>
      </c>
    </row>
    <row r="65" customFormat="false" ht="15" hidden="false" customHeight="true" outlineLevel="0" collapsed="false">
      <c r="A65" s="13" t="n">
        <v>2025</v>
      </c>
      <c r="B65" s="13" t="s">
        <v>169</v>
      </c>
      <c r="C65" s="14" t="n">
        <v>39686</v>
      </c>
      <c r="D65" s="14" t="n">
        <v>39161</v>
      </c>
      <c r="E65" s="15" t="n">
        <v>0.9868</v>
      </c>
    </row>
    <row r="66" customFormat="false" ht="15" hidden="false" customHeight="true" outlineLevel="0" collapsed="false">
      <c r="A66" s="13" t="n">
        <v>2025</v>
      </c>
      <c r="B66" s="13" t="s">
        <v>170</v>
      </c>
      <c r="C66" s="14" t="n">
        <v>7157</v>
      </c>
      <c r="D66" s="14" t="n">
        <v>6981</v>
      </c>
      <c r="E66" s="15" t="n">
        <v>0.9754</v>
      </c>
    </row>
    <row r="67" customFormat="false" ht="15" hidden="false" customHeight="true" outlineLevel="0" collapsed="false">
      <c r="A67" s="13" t="n">
        <v>2025</v>
      </c>
      <c r="B67" s="13" t="s">
        <v>171</v>
      </c>
      <c r="C67" s="14" t="n">
        <v>1032</v>
      </c>
      <c r="D67" s="14" t="n">
        <v>974</v>
      </c>
      <c r="E67" s="15" t="n">
        <v>0.9438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3" width="14"/>
  </cols>
  <sheetData>
    <row r="1" customFormat="false" ht="15" hidden="false" customHeight="true" outlineLevel="0" collapsed="false">
      <c r="A1" s="13" t="s">
        <v>173</v>
      </c>
    </row>
    <row r="2" customFormat="false" ht="15" hidden="false" customHeight="true" outlineLevel="0" collapsed="false">
      <c r="A2" s="13" t="s">
        <v>174</v>
      </c>
    </row>
    <row r="4" customFormat="false" ht="15" hidden="false" customHeight="true" outlineLevel="0" collapsed="false">
      <c r="A4" s="13" t="s">
        <v>3</v>
      </c>
      <c r="B4" s="13" t="s">
        <v>175</v>
      </c>
      <c r="C4" s="13" t="s">
        <v>176</v>
      </c>
      <c r="D4" s="13" t="s">
        <v>177</v>
      </c>
      <c r="E4" s="13" t="s">
        <v>178</v>
      </c>
      <c r="F4" s="13" t="s">
        <v>179</v>
      </c>
      <c r="G4" s="13" t="s">
        <v>180</v>
      </c>
      <c r="H4" s="13" t="s">
        <v>181</v>
      </c>
      <c r="I4" s="13" t="s">
        <v>182</v>
      </c>
      <c r="J4" s="13" t="s">
        <v>183</v>
      </c>
    </row>
    <row r="5" customFormat="false" ht="15" hidden="false" customHeight="true" outlineLevel="0" collapsed="false">
      <c r="A5" s="13" t="n">
        <v>2024</v>
      </c>
      <c r="B5" s="14" t="n">
        <v>44022</v>
      </c>
      <c r="C5" s="14" t="n">
        <v>29597</v>
      </c>
      <c r="D5" s="16" t="n">
        <v>67.23</v>
      </c>
      <c r="E5" s="14" t="n">
        <v>13638</v>
      </c>
      <c r="F5" s="14" t="n">
        <v>5092</v>
      </c>
      <c r="G5" s="16" t="n">
        <v>37.34</v>
      </c>
      <c r="H5" s="14" t="n">
        <v>57660</v>
      </c>
      <c r="I5" s="14" t="n">
        <v>34689</v>
      </c>
      <c r="J5" s="16" t="n">
        <v>60.16</v>
      </c>
    </row>
    <row r="6" customFormat="false" ht="15" hidden="false" customHeight="true" outlineLevel="0" collapsed="false">
      <c r="A6" s="13" t="n">
        <v>2025</v>
      </c>
      <c r="B6" s="14" t="n">
        <v>43591</v>
      </c>
      <c r="C6" s="14" t="n">
        <v>30230</v>
      </c>
      <c r="D6" s="16" t="n">
        <v>69.35</v>
      </c>
      <c r="E6" s="14" t="n">
        <v>12136</v>
      </c>
      <c r="F6" s="14" t="n">
        <v>5174</v>
      </c>
      <c r="G6" s="16" t="n">
        <v>42.63</v>
      </c>
      <c r="H6" s="14" t="n">
        <v>55727</v>
      </c>
      <c r="I6" s="14" t="n">
        <v>35404</v>
      </c>
      <c r="J6" s="16" t="n">
        <v>63.53</v>
      </c>
    </row>
    <row r="7" customFormat="false" ht="15" hidden="false" customHeight="true" outlineLevel="0" collapsed="false">
      <c r="A7" s="13" t="n">
        <v>2026</v>
      </c>
      <c r="B7" s="14" t="n">
        <v>48249</v>
      </c>
      <c r="C7" s="14" t="n">
        <v>31850</v>
      </c>
      <c r="D7" s="16" t="n">
        <v>66.01</v>
      </c>
      <c r="E7" s="14" t="n">
        <v>12343</v>
      </c>
      <c r="F7" s="14" t="n">
        <v>4454</v>
      </c>
      <c r="G7" s="16" t="n">
        <v>36.09</v>
      </c>
      <c r="H7" s="14" t="n">
        <v>60592</v>
      </c>
      <c r="I7" s="14" t="n">
        <v>36304</v>
      </c>
      <c r="J7" s="16" t="n">
        <v>59.92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55"/>
    <col collapsed="false" customWidth="true" hidden="false" outlineLevel="0" max="3" min="2" style="13" width="12"/>
  </cols>
  <sheetData>
    <row r="1" customFormat="false" ht="15" hidden="false" customHeight="true" outlineLevel="0" collapsed="false">
      <c r="A1" s="13" t="s">
        <v>184</v>
      </c>
    </row>
    <row r="2" customFormat="false" ht="15" hidden="false" customHeight="true" outlineLevel="0" collapsed="false">
      <c r="A2" s="13" t="s">
        <v>185</v>
      </c>
    </row>
    <row r="4" customFormat="false" ht="15" hidden="false" customHeight="true" outlineLevel="0" collapsed="false">
      <c r="A4" s="13" t="s">
        <v>186</v>
      </c>
      <c r="B4" s="13" t="s">
        <v>187</v>
      </c>
      <c r="C4" s="13" t="s">
        <v>188</v>
      </c>
    </row>
    <row r="5" customFormat="false" ht="15" hidden="false" customHeight="true" outlineLevel="0" collapsed="false">
      <c r="A5" s="13" t="s">
        <v>189</v>
      </c>
      <c r="C5" s="14" t="n">
        <v>58608</v>
      </c>
    </row>
    <row r="6" customFormat="false" ht="15" hidden="false" customHeight="true" outlineLevel="0" collapsed="false">
      <c r="A6" s="13" t="s">
        <v>190</v>
      </c>
      <c r="C6" s="14" t="n">
        <v>948</v>
      </c>
    </row>
    <row r="7" customFormat="false" ht="15" hidden="false" customHeight="true" outlineLevel="0" collapsed="false">
      <c r="A7" s="13" t="s">
        <v>191</v>
      </c>
      <c r="B7" s="13" t="s">
        <v>121</v>
      </c>
      <c r="C7" s="14" t="n">
        <v>44022</v>
      </c>
    </row>
    <row r="8" customFormat="false" ht="15" hidden="false" customHeight="true" outlineLevel="0" collapsed="false">
      <c r="A8" s="13" t="s">
        <v>191</v>
      </c>
      <c r="B8" s="13" t="s">
        <v>125</v>
      </c>
      <c r="C8" s="14" t="n">
        <v>13638</v>
      </c>
    </row>
    <row r="9" customFormat="false" ht="15" hidden="false" customHeight="true" outlineLevel="0" collapsed="false">
      <c r="A9" s="13" t="s">
        <v>191</v>
      </c>
      <c r="B9" s="13" t="s">
        <v>192</v>
      </c>
      <c r="C9" s="14" t="n">
        <v>57660</v>
      </c>
    </row>
    <row r="10" customFormat="false" ht="15" hidden="false" customHeight="true" outlineLevel="0" collapsed="false">
      <c r="A10" s="13" t="s">
        <v>193</v>
      </c>
      <c r="B10" s="13" t="s">
        <v>121</v>
      </c>
      <c r="C10" s="14" t="n">
        <v>29597</v>
      </c>
    </row>
    <row r="11" customFormat="false" ht="15" hidden="false" customHeight="true" outlineLevel="0" collapsed="false">
      <c r="A11" s="13" t="s">
        <v>193</v>
      </c>
      <c r="B11" s="13" t="s">
        <v>125</v>
      </c>
      <c r="C11" s="14" t="n">
        <v>5092</v>
      </c>
    </row>
    <row r="12" customFormat="false" ht="15" hidden="false" customHeight="true" outlineLevel="0" collapsed="false">
      <c r="A12" s="13" t="s">
        <v>193</v>
      </c>
      <c r="B12" s="13" t="s">
        <v>192</v>
      </c>
      <c r="C12" s="14" t="n">
        <v>34689</v>
      </c>
    </row>
    <row r="13" customFormat="false" ht="15" hidden="false" customHeight="true" outlineLevel="0" collapsed="false">
      <c r="A13" s="13" t="s">
        <v>194</v>
      </c>
      <c r="B13" s="13" t="s">
        <v>121</v>
      </c>
      <c r="C13" s="14" t="n">
        <v>67.23</v>
      </c>
    </row>
    <row r="14" customFormat="false" ht="15" hidden="false" customHeight="true" outlineLevel="0" collapsed="false">
      <c r="A14" s="13" t="s">
        <v>194</v>
      </c>
      <c r="B14" s="13" t="s">
        <v>125</v>
      </c>
      <c r="C14" s="14" t="n">
        <v>37.34</v>
      </c>
    </row>
    <row r="15" customFormat="false" ht="15" hidden="false" customHeight="true" outlineLevel="0" collapsed="false">
      <c r="A15" s="13" t="s">
        <v>194</v>
      </c>
      <c r="B15" s="13" t="s">
        <v>195</v>
      </c>
      <c r="C15" s="14" t="n">
        <v>60.16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196</v>
      </c>
    </row>
    <row r="2" customFormat="false" ht="15" hidden="false" customHeight="true" outlineLevel="0" collapsed="false">
      <c r="A2" s="13" t="s">
        <v>197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1430</v>
      </c>
      <c r="D5" s="14" t="n">
        <v>1109</v>
      </c>
      <c r="E5" s="16" t="n">
        <v>77.55</v>
      </c>
      <c r="F5" s="14" t="n">
        <v>209</v>
      </c>
      <c r="G5" s="14" t="n">
        <v>240</v>
      </c>
      <c r="H5" s="14" t="n">
        <v>343</v>
      </c>
      <c r="I5" s="14" t="n">
        <v>283</v>
      </c>
      <c r="J5" s="14" t="n">
        <v>34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3453</v>
      </c>
      <c r="D6" s="14" t="n">
        <v>2821</v>
      </c>
      <c r="E6" s="16" t="n">
        <v>81.7</v>
      </c>
      <c r="F6" s="14" t="n">
        <v>394</v>
      </c>
      <c r="G6" s="14" t="n">
        <v>645</v>
      </c>
      <c r="H6" s="14" t="n">
        <v>1065</v>
      </c>
      <c r="I6" s="14" t="n">
        <v>679</v>
      </c>
      <c r="J6" s="14" t="n">
        <v>38</v>
      </c>
      <c r="K6" s="14" t="n">
        <v>0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4883</v>
      </c>
      <c r="D7" s="14" t="n">
        <v>3930</v>
      </c>
      <c r="E7" s="16" t="n">
        <v>80.48</v>
      </c>
      <c r="F7" s="14" t="n">
        <v>603</v>
      </c>
      <c r="G7" s="14" t="n">
        <v>885</v>
      </c>
      <c r="H7" s="14" t="n">
        <v>1408</v>
      </c>
      <c r="I7" s="14" t="n">
        <v>962</v>
      </c>
      <c r="J7" s="14" t="n">
        <v>72</v>
      </c>
      <c r="K7" s="14" t="n">
        <v>0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471</v>
      </c>
      <c r="D8" s="14" t="n">
        <v>330</v>
      </c>
      <c r="E8" s="16" t="n">
        <v>70.06</v>
      </c>
      <c r="F8" s="14" t="n">
        <v>35</v>
      </c>
      <c r="G8" s="14" t="n">
        <v>62</v>
      </c>
      <c r="H8" s="14" t="n">
        <v>108</v>
      </c>
      <c r="I8" s="14" t="n">
        <v>105</v>
      </c>
      <c r="J8" s="14" t="n">
        <v>20</v>
      </c>
      <c r="K8" s="14" t="n">
        <v>0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356</v>
      </c>
      <c r="D9" s="14" t="n">
        <v>285</v>
      </c>
      <c r="E9" s="16" t="n">
        <v>80.06</v>
      </c>
      <c r="F9" s="14" t="n">
        <v>27</v>
      </c>
      <c r="G9" s="14" t="n">
        <v>57</v>
      </c>
      <c r="H9" s="14" t="n">
        <v>108</v>
      </c>
      <c r="I9" s="14" t="n">
        <v>84</v>
      </c>
      <c r="J9" s="14" t="n">
        <v>9</v>
      </c>
      <c r="K9" s="14" t="n">
        <v>0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827</v>
      </c>
      <c r="D10" s="14" t="n">
        <v>615</v>
      </c>
      <c r="E10" s="16" t="n">
        <v>74.37</v>
      </c>
      <c r="F10" s="14" t="n">
        <v>62</v>
      </c>
      <c r="G10" s="14" t="n">
        <v>119</v>
      </c>
      <c r="H10" s="14" t="n">
        <v>216</v>
      </c>
      <c r="I10" s="14" t="n">
        <v>189</v>
      </c>
      <c r="J10" s="14" t="n">
        <v>29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2262</v>
      </c>
      <c r="D11" s="14" t="n">
        <v>1005</v>
      </c>
      <c r="E11" s="16" t="n">
        <v>44.43</v>
      </c>
      <c r="F11" s="14" t="n">
        <v>24</v>
      </c>
      <c r="G11" s="14" t="n">
        <v>134</v>
      </c>
      <c r="H11" s="14" t="n">
        <v>319</v>
      </c>
      <c r="I11" s="14" t="n">
        <v>433</v>
      </c>
      <c r="J11" s="14" t="n">
        <v>95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2506</v>
      </c>
      <c r="D12" s="14" t="n">
        <v>1493</v>
      </c>
      <c r="E12" s="16" t="n">
        <v>59.58</v>
      </c>
      <c r="F12" s="14" t="n">
        <v>54</v>
      </c>
      <c r="G12" s="14" t="n">
        <v>212</v>
      </c>
      <c r="H12" s="14" t="n">
        <v>566</v>
      </c>
      <c r="I12" s="14" t="n">
        <v>600</v>
      </c>
      <c r="J12" s="14" t="n">
        <v>61</v>
      </c>
      <c r="K12" s="14" t="n">
        <v>0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4768</v>
      </c>
      <c r="D13" s="14" t="n">
        <v>2498</v>
      </c>
      <c r="E13" s="16" t="n">
        <v>52.39</v>
      </c>
      <c r="F13" s="14" t="n">
        <v>78</v>
      </c>
      <c r="G13" s="14" t="n">
        <v>346</v>
      </c>
      <c r="H13" s="14" t="n">
        <v>885</v>
      </c>
      <c r="I13" s="14" t="n">
        <v>1033</v>
      </c>
      <c r="J13" s="14" t="n">
        <v>156</v>
      </c>
      <c r="K13" s="14" t="n">
        <v>0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3924</v>
      </c>
      <c r="D14" s="14" t="n">
        <v>1386</v>
      </c>
      <c r="E14" s="16" t="n">
        <v>35.32</v>
      </c>
      <c r="F14" s="14" t="n">
        <v>23</v>
      </c>
      <c r="G14" s="14" t="n">
        <v>185</v>
      </c>
      <c r="H14" s="14" t="n">
        <v>554</v>
      </c>
      <c r="I14" s="14" t="n">
        <v>510</v>
      </c>
      <c r="J14" s="14" t="n">
        <v>113</v>
      </c>
      <c r="K14" s="14" t="n">
        <v>1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6310</v>
      </c>
      <c r="D15" s="14" t="n">
        <v>3399</v>
      </c>
      <c r="E15" s="16" t="n">
        <v>53.87</v>
      </c>
      <c r="F15" s="14" t="n">
        <v>98</v>
      </c>
      <c r="G15" s="14" t="n">
        <v>677</v>
      </c>
      <c r="H15" s="14" t="n">
        <v>1439</v>
      </c>
      <c r="I15" s="14" t="n">
        <v>1050</v>
      </c>
      <c r="J15" s="14" t="n">
        <v>134</v>
      </c>
      <c r="K15" s="14" t="n">
        <v>1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10234</v>
      </c>
      <c r="D16" s="14" t="n">
        <v>4785</v>
      </c>
      <c r="E16" s="16" t="n">
        <v>46.76</v>
      </c>
      <c r="F16" s="14" t="n">
        <v>121</v>
      </c>
      <c r="G16" s="14" t="n">
        <v>862</v>
      </c>
      <c r="H16" s="14" t="n">
        <v>1993</v>
      </c>
      <c r="I16" s="14" t="n">
        <v>1560</v>
      </c>
      <c r="J16" s="14" t="n">
        <v>247</v>
      </c>
      <c r="K16" s="14" t="n">
        <v>2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47</v>
      </c>
      <c r="D17" s="14" t="n">
        <v>25</v>
      </c>
      <c r="E17" s="16" t="n">
        <v>53.19</v>
      </c>
      <c r="F17" s="14" t="n">
        <v>1</v>
      </c>
      <c r="G17" s="14" t="n">
        <v>1</v>
      </c>
      <c r="H17" s="14" t="n">
        <v>14</v>
      </c>
      <c r="I17" s="14" t="n">
        <v>9</v>
      </c>
      <c r="J17" s="14" t="n">
        <v>0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4</v>
      </c>
      <c r="D18" s="14" t="n">
        <v>3</v>
      </c>
      <c r="E18" s="16" t="n">
        <v>75</v>
      </c>
      <c r="F18" s="14" t="n">
        <v>1</v>
      </c>
      <c r="G18" s="14" t="n">
        <v>0</v>
      </c>
      <c r="H18" s="14" t="n">
        <v>2</v>
      </c>
      <c r="I18" s="14" t="n">
        <v>0</v>
      </c>
      <c r="J18" s="14" t="n">
        <v>0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51</v>
      </c>
      <c r="D19" s="14" t="n">
        <v>28</v>
      </c>
      <c r="E19" s="16" t="n">
        <v>54.9</v>
      </c>
      <c r="F19" s="14" t="n">
        <v>2</v>
      </c>
      <c r="G19" s="14" t="n">
        <v>1</v>
      </c>
      <c r="H19" s="14" t="n">
        <v>16</v>
      </c>
      <c r="I19" s="14" t="n">
        <v>9</v>
      </c>
      <c r="J19" s="14" t="n">
        <v>0</v>
      </c>
      <c r="K19" s="14" t="n">
        <v>0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8134</v>
      </c>
      <c r="D20" s="14" t="n">
        <v>3855</v>
      </c>
      <c r="E20" s="16" t="n">
        <v>47.39</v>
      </c>
      <c r="F20" s="14" t="n">
        <v>292</v>
      </c>
      <c r="G20" s="14" t="n">
        <v>622</v>
      </c>
      <c r="H20" s="14" t="n">
        <v>1338</v>
      </c>
      <c r="I20" s="14" t="n">
        <v>1340</v>
      </c>
      <c r="J20" s="14" t="n">
        <v>262</v>
      </c>
      <c r="K20" s="14" t="n">
        <v>1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12629</v>
      </c>
      <c r="D21" s="14" t="n">
        <v>8001</v>
      </c>
      <c r="E21" s="16" t="n">
        <v>63.35</v>
      </c>
      <c r="F21" s="14" t="n">
        <v>574</v>
      </c>
      <c r="G21" s="14" t="n">
        <v>1591</v>
      </c>
      <c r="H21" s="14" t="n">
        <v>3180</v>
      </c>
      <c r="I21" s="14" t="n">
        <v>2413</v>
      </c>
      <c r="J21" s="14" t="n">
        <v>242</v>
      </c>
      <c r="K21" s="14" t="n">
        <v>1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20763</v>
      </c>
      <c r="D22" s="14" t="n">
        <v>11856</v>
      </c>
      <c r="E22" s="16" t="n">
        <v>57.1</v>
      </c>
      <c r="F22" s="14" t="n">
        <v>866</v>
      </c>
      <c r="G22" s="14" t="n">
        <v>2213</v>
      </c>
      <c r="H22" s="14" t="n">
        <v>4518</v>
      </c>
      <c r="I22" s="14" t="n">
        <v>3753</v>
      </c>
      <c r="J22" s="14" t="n">
        <v>504</v>
      </c>
      <c r="K22" s="1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204</v>
      </c>
    </row>
    <row r="2" customFormat="false" ht="15" hidden="false" customHeight="true" outlineLevel="0" collapsed="false">
      <c r="A2" s="13" t="s">
        <v>197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3678</v>
      </c>
      <c r="D5" s="14" t="n">
        <v>3150</v>
      </c>
      <c r="E5" s="16" t="n">
        <v>85.64</v>
      </c>
      <c r="F5" s="14" t="n">
        <v>842</v>
      </c>
      <c r="G5" s="14" t="n">
        <v>781</v>
      </c>
      <c r="H5" s="14" t="n">
        <v>883</v>
      </c>
      <c r="I5" s="14" t="n">
        <v>593</v>
      </c>
      <c r="J5" s="14" t="n">
        <v>51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7638</v>
      </c>
      <c r="D6" s="14" t="n">
        <v>6904</v>
      </c>
      <c r="E6" s="16" t="n">
        <v>90.39</v>
      </c>
      <c r="F6" s="14" t="n">
        <v>2173</v>
      </c>
      <c r="G6" s="14" t="n">
        <v>2095</v>
      </c>
      <c r="H6" s="14" t="n">
        <v>1747</v>
      </c>
      <c r="I6" s="14" t="n">
        <v>851</v>
      </c>
      <c r="J6" s="14" t="n">
        <v>38</v>
      </c>
      <c r="K6" s="14" t="n">
        <v>0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11316</v>
      </c>
      <c r="D7" s="14" t="n">
        <v>10054</v>
      </c>
      <c r="E7" s="16" t="n">
        <v>88.85</v>
      </c>
      <c r="F7" s="14" t="n">
        <v>3015</v>
      </c>
      <c r="G7" s="14" t="n">
        <v>2876</v>
      </c>
      <c r="H7" s="14" t="n">
        <v>2630</v>
      </c>
      <c r="I7" s="14" t="n">
        <v>1444</v>
      </c>
      <c r="J7" s="14" t="n">
        <v>89</v>
      </c>
      <c r="K7" s="14" t="n">
        <v>0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1181</v>
      </c>
      <c r="D8" s="14" t="n">
        <v>947</v>
      </c>
      <c r="E8" s="16" t="n">
        <v>80.19</v>
      </c>
      <c r="F8" s="14" t="n">
        <v>162</v>
      </c>
      <c r="G8" s="14" t="n">
        <v>238</v>
      </c>
      <c r="H8" s="14" t="n">
        <v>293</v>
      </c>
      <c r="I8" s="14" t="n">
        <v>229</v>
      </c>
      <c r="J8" s="14" t="n">
        <v>25</v>
      </c>
      <c r="K8" s="14" t="n">
        <v>0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681</v>
      </c>
      <c r="D9" s="14" t="n">
        <v>595</v>
      </c>
      <c r="E9" s="16" t="n">
        <v>87.37</v>
      </c>
      <c r="F9" s="14" t="n">
        <v>137</v>
      </c>
      <c r="G9" s="14" t="n">
        <v>192</v>
      </c>
      <c r="H9" s="14" t="n">
        <v>180</v>
      </c>
      <c r="I9" s="14" t="n">
        <v>83</v>
      </c>
      <c r="J9" s="14" t="n">
        <v>3</v>
      </c>
      <c r="K9" s="14" t="n">
        <v>0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1862</v>
      </c>
      <c r="D10" s="14" t="n">
        <v>1542</v>
      </c>
      <c r="E10" s="16" t="n">
        <v>82.81</v>
      </c>
      <c r="F10" s="14" t="n">
        <v>299</v>
      </c>
      <c r="G10" s="14" t="n">
        <v>430</v>
      </c>
      <c r="H10" s="14" t="n">
        <v>473</v>
      </c>
      <c r="I10" s="14" t="n">
        <v>312</v>
      </c>
      <c r="J10" s="14" t="n">
        <v>28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3601</v>
      </c>
      <c r="D11" s="14" t="n">
        <v>2052</v>
      </c>
      <c r="E11" s="16" t="n">
        <v>56.98</v>
      </c>
      <c r="F11" s="14" t="n">
        <v>140</v>
      </c>
      <c r="G11" s="14" t="n">
        <v>382</v>
      </c>
      <c r="H11" s="14" t="n">
        <v>702</v>
      </c>
      <c r="I11" s="14" t="n">
        <v>710</v>
      </c>
      <c r="J11" s="14" t="n">
        <v>118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2544</v>
      </c>
      <c r="D12" s="14" t="n">
        <v>1845</v>
      </c>
      <c r="E12" s="16" t="n">
        <v>72.52</v>
      </c>
      <c r="F12" s="14" t="n">
        <v>176</v>
      </c>
      <c r="G12" s="14" t="n">
        <v>472</v>
      </c>
      <c r="H12" s="14" t="n">
        <v>672</v>
      </c>
      <c r="I12" s="14" t="n">
        <v>480</v>
      </c>
      <c r="J12" s="14" t="n">
        <v>45</v>
      </c>
      <c r="K12" s="14" t="n">
        <v>0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6145</v>
      </c>
      <c r="D13" s="14" t="n">
        <v>3897</v>
      </c>
      <c r="E13" s="16" t="n">
        <v>63.42</v>
      </c>
      <c r="F13" s="14" t="n">
        <v>316</v>
      </c>
      <c r="G13" s="14" t="n">
        <v>854</v>
      </c>
      <c r="H13" s="14" t="n">
        <v>1374</v>
      </c>
      <c r="I13" s="14" t="n">
        <v>1190</v>
      </c>
      <c r="J13" s="14" t="n">
        <v>163</v>
      </c>
      <c r="K13" s="14" t="n">
        <v>0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1809</v>
      </c>
      <c r="D14" s="14" t="n">
        <v>848</v>
      </c>
      <c r="E14" s="16" t="n">
        <v>46.88</v>
      </c>
      <c r="F14" s="14" t="n">
        <v>21</v>
      </c>
      <c r="G14" s="14" t="n">
        <v>85</v>
      </c>
      <c r="H14" s="14" t="n">
        <v>317</v>
      </c>
      <c r="I14" s="14" t="n">
        <v>323</v>
      </c>
      <c r="J14" s="14" t="n">
        <v>102</v>
      </c>
      <c r="K14" s="14" t="n">
        <v>0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1985</v>
      </c>
      <c r="D15" s="14" t="n">
        <v>1301</v>
      </c>
      <c r="E15" s="16" t="n">
        <v>65.54</v>
      </c>
      <c r="F15" s="14" t="n">
        <v>64</v>
      </c>
      <c r="G15" s="14" t="n">
        <v>354</v>
      </c>
      <c r="H15" s="14" t="n">
        <v>545</v>
      </c>
      <c r="I15" s="14" t="n">
        <v>314</v>
      </c>
      <c r="J15" s="14" t="n">
        <v>24</v>
      </c>
      <c r="K15" s="14" t="n">
        <v>0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3794</v>
      </c>
      <c r="D16" s="14" t="n">
        <v>2149</v>
      </c>
      <c r="E16" s="16" t="n">
        <v>56.64</v>
      </c>
      <c r="F16" s="14" t="n">
        <v>85</v>
      </c>
      <c r="G16" s="14" t="n">
        <v>439</v>
      </c>
      <c r="H16" s="14" t="n">
        <v>862</v>
      </c>
      <c r="I16" s="14" t="n">
        <v>637</v>
      </c>
      <c r="J16" s="14" t="n">
        <v>126</v>
      </c>
      <c r="K16" s="14" t="n">
        <v>0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98</v>
      </c>
      <c r="D17" s="14" t="n">
        <v>58</v>
      </c>
      <c r="E17" s="16" t="n">
        <v>59.18</v>
      </c>
      <c r="F17" s="14" t="n">
        <v>5</v>
      </c>
      <c r="G17" s="14" t="n">
        <v>17</v>
      </c>
      <c r="H17" s="14" t="n">
        <v>20</v>
      </c>
      <c r="I17" s="14" t="n">
        <v>13</v>
      </c>
      <c r="J17" s="14" t="n">
        <v>3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44</v>
      </c>
      <c r="D18" s="14" t="n">
        <v>41</v>
      </c>
      <c r="E18" s="16" t="n">
        <v>93.18</v>
      </c>
      <c r="F18" s="14" t="n">
        <v>12</v>
      </c>
      <c r="G18" s="14" t="n">
        <v>13</v>
      </c>
      <c r="H18" s="14" t="n">
        <v>12</v>
      </c>
      <c r="I18" s="14" t="n">
        <v>3</v>
      </c>
      <c r="J18" s="14" t="n">
        <v>1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142</v>
      </c>
      <c r="D19" s="14" t="n">
        <v>99</v>
      </c>
      <c r="E19" s="16" t="n">
        <v>69.72</v>
      </c>
      <c r="F19" s="14" t="n">
        <v>17</v>
      </c>
      <c r="G19" s="14" t="n">
        <v>30</v>
      </c>
      <c r="H19" s="14" t="n">
        <v>32</v>
      </c>
      <c r="I19" s="14" t="n">
        <v>16</v>
      </c>
      <c r="J19" s="14" t="n">
        <v>4</v>
      </c>
      <c r="K19" s="14" t="n">
        <v>0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10367</v>
      </c>
      <c r="D20" s="14" t="n">
        <v>7055</v>
      </c>
      <c r="E20" s="16" t="n">
        <v>68.05</v>
      </c>
      <c r="F20" s="14" t="n">
        <v>1170</v>
      </c>
      <c r="G20" s="14" t="n">
        <v>1503</v>
      </c>
      <c r="H20" s="14" t="n">
        <v>2215</v>
      </c>
      <c r="I20" s="14" t="n">
        <v>1868</v>
      </c>
      <c r="J20" s="14" t="n">
        <v>299</v>
      </c>
      <c r="K20" s="14" t="n">
        <v>0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12892</v>
      </c>
      <c r="D21" s="14" t="n">
        <v>10686</v>
      </c>
      <c r="E21" s="16" t="n">
        <v>82.89</v>
      </c>
      <c r="F21" s="14" t="n">
        <v>2562</v>
      </c>
      <c r="G21" s="14" t="n">
        <v>3126</v>
      </c>
      <c r="H21" s="14" t="n">
        <v>3156</v>
      </c>
      <c r="I21" s="14" t="n">
        <v>1731</v>
      </c>
      <c r="J21" s="14" t="n">
        <v>111</v>
      </c>
      <c r="K21" s="14" t="n">
        <v>0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23259</v>
      </c>
      <c r="D22" s="14" t="n">
        <v>17741</v>
      </c>
      <c r="E22" s="16" t="n">
        <v>76.28</v>
      </c>
      <c r="F22" s="14" t="n">
        <v>3732</v>
      </c>
      <c r="G22" s="14" t="n">
        <v>4629</v>
      </c>
      <c r="H22" s="14" t="n">
        <v>5371</v>
      </c>
      <c r="I22" s="14" t="n">
        <v>3599</v>
      </c>
      <c r="J22" s="14" t="n">
        <v>410</v>
      </c>
      <c r="K22" s="1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205</v>
      </c>
    </row>
    <row r="2" customFormat="false" ht="15" hidden="false" customHeight="true" outlineLevel="0" collapsed="false">
      <c r="A2" s="13" t="s">
        <v>197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5108</v>
      </c>
      <c r="D5" s="14" t="n">
        <v>4259</v>
      </c>
      <c r="E5" s="16" t="n">
        <v>83.38</v>
      </c>
      <c r="F5" s="14" t="n">
        <v>1051</v>
      </c>
      <c r="G5" s="14" t="n">
        <v>1021</v>
      </c>
      <c r="H5" s="14" t="n">
        <v>1226</v>
      </c>
      <c r="I5" s="14" t="n">
        <v>876</v>
      </c>
      <c r="J5" s="14" t="n">
        <v>85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11091</v>
      </c>
      <c r="D6" s="14" t="n">
        <v>9725</v>
      </c>
      <c r="E6" s="16" t="n">
        <v>87.68</v>
      </c>
      <c r="F6" s="14" t="n">
        <v>2567</v>
      </c>
      <c r="G6" s="14" t="n">
        <v>2740</v>
      </c>
      <c r="H6" s="14" t="n">
        <v>2812</v>
      </c>
      <c r="I6" s="14" t="n">
        <v>1530</v>
      </c>
      <c r="J6" s="14" t="n">
        <v>76</v>
      </c>
      <c r="K6" s="14" t="n">
        <v>0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16199</v>
      </c>
      <c r="D7" s="14" t="n">
        <v>13984</v>
      </c>
      <c r="E7" s="16" t="n">
        <v>86.33</v>
      </c>
      <c r="F7" s="14" t="n">
        <v>3618</v>
      </c>
      <c r="G7" s="14" t="n">
        <v>3761</v>
      </c>
      <c r="H7" s="14" t="n">
        <v>4038</v>
      </c>
      <c r="I7" s="14" t="n">
        <v>2406</v>
      </c>
      <c r="J7" s="14" t="n">
        <v>161</v>
      </c>
      <c r="K7" s="14" t="n">
        <v>0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1652</v>
      </c>
      <c r="D8" s="14" t="n">
        <v>1277</v>
      </c>
      <c r="E8" s="16" t="n">
        <v>77.3</v>
      </c>
      <c r="F8" s="14" t="n">
        <v>197</v>
      </c>
      <c r="G8" s="14" t="n">
        <v>300</v>
      </c>
      <c r="H8" s="14" t="n">
        <v>401</v>
      </c>
      <c r="I8" s="14" t="n">
        <v>334</v>
      </c>
      <c r="J8" s="14" t="n">
        <v>45</v>
      </c>
      <c r="K8" s="14" t="n">
        <v>0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1037</v>
      </c>
      <c r="D9" s="14" t="n">
        <v>880</v>
      </c>
      <c r="E9" s="16" t="n">
        <v>84.86</v>
      </c>
      <c r="F9" s="14" t="n">
        <v>164</v>
      </c>
      <c r="G9" s="14" t="n">
        <v>249</v>
      </c>
      <c r="H9" s="14" t="n">
        <v>288</v>
      </c>
      <c r="I9" s="14" t="n">
        <v>167</v>
      </c>
      <c r="J9" s="14" t="n">
        <v>12</v>
      </c>
      <c r="K9" s="14" t="n">
        <v>0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2689</v>
      </c>
      <c r="D10" s="14" t="n">
        <v>2157</v>
      </c>
      <c r="E10" s="16" t="n">
        <v>80.22</v>
      </c>
      <c r="F10" s="14" t="n">
        <v>361</v>
      </c>
      <c r="G10" s="14" t="n">
        <v>549</v>
      </c>
      <c r="H10" s="14" t="n">
        <v>689</v>
      </c>
      <c r="I10" s="14" t="n">
        <v>501</v>
      </c>
      <c r="J10" s="14" t="n">
        <v>57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5863</v>
      </c>
      <c r="D11" s="14" t="n">
        <v>3057</v>
      </c>
      <c r="E11" s="16" t="n">
        <v>52.14</v>
      </c>
      <c r="F11" s="14" t="n">
        <v>164</v>
      </c>
      <c r="G11" s="14" t="n">
        <v>516</v>
      </c>
      <c r="H11" s="14" t="n">
        <v>1021</v>
      </c>
      <c r="I11" s="14" t="n">
        <v>1143</v>
      </c>
      <c r="J11" s="14" t="n">
        <v>213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5050</v>
      </c>
      <c r="D12" s="14" t="n">
        <v>3338</v>
      </c>
      <c r="E12" s="16" t="n">
        <v>66.1</v>
      </c>
      <c r="F12" s="14" t="n">
        <v>230</v>
      </c>
      <c r="G12" s="14" t="n">
        <v>684</v>
      </c>
      <c r="H12" s="14" t="n">
        <v>1238</v>
      </c>
      <c r="I12" s="14" t="n">
        <v>1080</v>
      </c>
      <c r="J12" s="14" t="n">
        <v>106</v>
      </c>
      <c r="K12" s="14" t="n">
        <v>0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10913</v>
      </c>
      <c r="D13" s="14" t="n">
        <v>6395</v>
      </c>
      <c r="E13" s="16" t="n">
        <v>58.6</v>
      </c>
      <c r="F13" s="14" t="n">
        <v>394</v>
      </c>
      <c r="G13" s="14" t="n">
        <v>1200</v>
      </c>
      <c r="H13" s="14" t="n">
        <v>2259</v>
      </c>
      <c r="I13" s="14" t="n">
        <v>2223</v>
      </c>
      <c r="J13" s="14" t="n">
        <v>319</v>
      </c>
      <c r="K13" s="14" t="n">
        <v>0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5733</v>
      </c>
      <c r="D14" s="14" t="n">
        <v>2234</v>
      </c>
      <c r="E14" s="16" t="n">
        <v>38.97</v>
      </c>
      <c r="F14" s="14" t="n">
        <v>44</v>
      </c>
      <c r="G14" s="14" t="n">
        <v>270</v>
      </c>
      <c r="H14" s="14" t="n">
        <v>871</v>
      </c>
      <c r="I14" s="14" t="n">
        <v>833</v>
      </c>
      <c r="J14" s="14" t="n">
        <v>215</v>
      </c>
      <c r="K14" s="14" t="n">
        <v>1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8295</v>
      </c>
      <c r="D15" s="14" t="n">
        <v>4700</v>
      </c>
      <c r="E15" s="16" t="n">
        <v>56.66</v>
      </c>
      <c r="F15" s="14" t="n">
        <v>162</v>
      </c>
      <c r="G15" s="14" t="n">
        <v>1031</v>
      </c>
      <c r="H15" s="14" t="n">
        <v>1984</v>
      </c>
      <c r="I15" s="14" t="n">
        <v>1364</v>
      </c>
      <c r="J15" s="14" t="n">
        <v>158</v>
      </c>
      <c r="K15" s="14" t="n">
        <v>1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14028</v>
      </c>
      <c r="D16" s="14" t="n">
        <v>6934</v>
      </c>
      <c r="E16" s="16" t="n">
        <v>49.43</v>
      </c>
      <c r="F16" s="14" t="n">
        <v>206</v>
      </c>
      <c r="G16" s="14" t="n">
        <v>1301</v>
      </c>
      <c r="H16" s="14" t="n">
        <v>2855</v>
      </c>
      <c r="I16" s="14" t="n">
        <v>2197</v>
      </c>
      <c r="J16" s="14" t="n">
        <v>373</v>
      </c>
      <c r="K16" s="14" t="n">
        <v>2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145</v>
      </c>
      <c r="D17" s="14" t="n">
        <v>83</v>
      </c>
      <c r="E17" s="16" t="n">
        <v>57.24</v>
      </c>
      <c r="F17" s="14" t="n">
        <v>6</v>
      </c>
      <c r="G17" s="14" t="n">
        <v>18</v>
      </c>
      <c r="H17" s="14" t="n">
        <v>34</v>
      </c>
      <c r="I17" s="14" t="n">
        <v>22</v>
      </c>
      <c r="J17" s="14" t="n">
        <v>3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48</v>
      </c>
      <c r="D18" s="14" t="n">
        <v>44</v>
      </c>
      <c r="E18" s="16" t="n">
        <v>91.67</v>
      </c>
      <c r="F18" s="14" t="n">
        <v>13</v>
      </c>
      <c r="G18" s="14" t="n">
        <v>13</v>
      </c>
      <c r="H18" s="14" t="n">
        <v>14</v>
      </c>
      <c r="I18" s="14" t="n">
        <v>3</v>
      </c>
      <c r="J18" s="14" t="n">
        <v>1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193</v>
      </c>
      <c r="D19" s="14" t="n">
        <v>127</v>
      </c>
      <c r="E19" s="16" t="n">
        <v>65.8</v>
      </c>
      <c r="F19" s="14" t="n">
        <v>19</v>
      </c>
      <c r="G19" s="14" t="n">
        <v>31</v>
      </c>
      <c r="H19" s="14" t="n">
        <v>48</v>
      </c>
      <c r="I19" s="14" t="n">
        <v>25</v>
      </c>
      <c r="J19" s="14" t="n">
        <v>4</v>
      </c>
      <c r="K19" s="14" t="n">
        <v>0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18501</v>
      </c>
      <c r="D20" s="14" t="n">
        <v>10910</v>
      </c>
      <c r="E20" s="16" t="n">
        <v>58.97</v>
      </c>
      <c r="F20" s="14" t="n">
        <v>1462</v>
      </c>
      <c r="G20" s="14" t="n">
        <v>2125</v>
      </c>
      <c r="H20" s="14" t="n">
        <v>3553</v>
      </c>
      <c r="I20" s="14" t="n">
        <v>3208</v>
      </c>
      <c r="J20" s="14" t="n">
        <v>561</v>
      </c>
      <c r="K20" s="14" t="n">
        <v>1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25521</v>
      </c>
      <c r="D21" s="14" t="n">
        <v>18687</v>
      </c>
      <c r="E21" s="16" t="n">
        <v>73.22</v>
      </c>
      <c r="F21" s="14" t="n">
        <v>3136</v>
      </c>
      <c r="G21" s="14" t="n">
        <v>4717</v>
      </c>
      <c r="H21" s="14" t="n">
        <v>6336</v>
      </c>
      <c r="I21" s="14" t="n">
        <v>4144</v>
      </c>
      <c r="J21" s="14" t="n">
        <v>353</v>
      </c>
      <c r="K21" s="14" t="n">
        <v>1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44022</v>
      </c>
      <c r="D22" s="14" t="n">
        <v>29597</v>
      </c>
      <c r="E22" s="16" t="n">
        <v>67.23</v>
      </c>
      <c r="F22" s="14" t="n">
        <v>4598</v>
      </c>
      <c r="G22" s="14" t="n">
        <v>6842</v>
      </c>
      <c r="H22" s="14" t="n">
        <v>9889</v>
      </c>
      <c r="I22" s="14" t="n">
        <v>7352</v>
      </c>
      <c r="J22" s="14" t="n">
        <v>914</v>
      </c>
      <c r="K22" s="1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206</v>
      </c>
    </row>
    <row r="2" customFormat="false" ht="15" hidden="false" customHeight="true" outlineLevel="0" collapsed="false">
      <c r="A2" s="13" t="s">
        <v>197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1145</v>
      </c>
      <c r="D5" s="14" t="n">
        <v>629</v>
      </c>
      <c r="E5" s="16" t="n">
        <v>54.93</v>
      </c>
      <c r="F5" s="14" t="n">
        <v>225</v>
      </c>
      <c r="G5" s="14" t="n">
        <v>53</v>
      </c>
      <c r="H5" s="14" t="n">
        <v>52</v>
      </c>
      <c r="I5" s="14" t="n">
        <v>146</v>
      </c>
      <c r="J5" s="14" t="n">
        <v>150</v>
      </c>
      <c r="K5" s="14" t="n">
        <v>3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1688</v>
      </c>
      <c r="D6" s="14" t="n">
        <v>1136</v>
      </c>
      <c r="E6" s="16" t="n">
        <v>67.3</v>
      </c>
      <c r="F6" s="14" t="n">
        <v>540</v>
      </c>
      <c r="G6" s="14" t="n">
        <v>106</v>
      </c>
      <c r="H6" s="14" t="n">
        <v>94</v>
      </c>
      <c r="I6" s="14" t="n">
        <v>245</v>
      </c>
      <c r="J6" s="14" t="n">
        <v>149</v>
      </c>
      <c r="K6" s="14" t="n">
        <v>2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2833</v>
      </c>
      <c r="D7" s="14" t="n">
        <v>1765</v>
      </c>
      <c r="E7" s="16" t="n">
        <v>62.3</v>
      </c>
      <c r="F7" s="14" t="n">
        <v>765</v>
      </c>
      <c r="G7" s="14" t="n">
        <v>159</v>
      </c>
      <c r="H7" s="14" t="n">
        <v>146</v>
      </c>
      <c r="I7" s="14" t="n">
        <v>391</v>
      </c>
      <c r="J7" s="14" t="n">
        <v>299</v>
      </c>
      <c r="K7" s="14" t="n">
        <v>5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444</v>
      </c>
      <c r="D8" s="14" t="n">
        <v>183</v>
      </c>
      <c r="E8" s="16" t="n">
        <v>41.22</v>
      </c>
      <c r="F8" s="14" t="n">
        <v>3</v>
      </c>
      <c r="G8" s="14" t="n">
        <v>12</v>
      </c>
      <c r="H8" s="14" t="n">
        <v>19</v>
      </c>
      <c r="I8" s="14" t="n">
        <v>55</v>
      </c>
      <c r="J8" s="14" t="n">
        <v>90</v>
      </c>
      <c r="K8" s="14" t="n">
        <v>4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147</v>
      </c>
      <c r="D9" s="14" t="n">
        <v>65</v>
      </c>
      <c r="E9" s="16" t="n">
        <v>44.22</v>
      </c>
      <c r="F9" s="14" t="n">
        <v>2</v>
      </c>
      <c r="G9" s="14" t="n">
        <v>6</v>
      </c>
      <c r="H9" s="14" t="n">
        <v>9</v>
      </c>
      <c r="I9" s="14" t="n">
        <v>23</v>
      </c>
      <c r="J9" s="14" t="n">
        <v>23</v>
      </c>
      <c r="K9" s="14" t="n">
        <v>2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591</v>
      </c>
      <c r="D10" s="14" t="n">
        <v>248</v>
      </c>
      <c r="E10" s="16" t="n">
        <v>41.96</v>
      </c>
      <c r="F10" s="14" t="n">
        <v>5</v>
      </c>
      <c r="G10" s="14" t="n">
        <v>18</v>
      </c>
      <c r="H10" s="14" t="n">
        <v>28</v>
      </c>
      <c r="I10" s="14" t="n">
        <v>78</v>
      </c>
      <c r="J10" s="14" t="n">
        <v>113</v>
      </c>
      <c r="K10" s="14" t="n">
        <v>6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1066</v>
      </c>
      <c r="D11" s="14" t="n">
        <v>328</v>
      </c>
      <c r="E11" s="16" t="n">
        <v>30.77</v>
      </c>
      <c r="F11" s="14" t="n">
        <v>0</v>
      </c>
      <c r="G11" s="14" t="n">
        <v>6</v>
      </c>
      <c r="H11" s="14" t="n">
        <v>18</v>
      </c>
      <c r="I11" s="14" t="n">
        <v>96</v>
      </c>
      <c r="J11" s="14" t="n">
        <v>200</v>
      </c>
      <c r="K11" s="14" t="n">
        <v>8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631</v>
      </c>
      <c r="D12" s="14" t="n">
        <v>236</v>
      </c>
      <c r="E12" s="16" t="n">
        <v>37.4</v>
      </c>
      <c r="F12" s="14" t="n">
        <v>1</v>
      </c>
      <c r="G12" s="14" t="n">
        <v>1</v>
      </c>
      <c r="H12" s="14" t="n">
        <v>11</v>
      </c>
      <c r="I12" s="14" t="n">
        <v>92</v>
      </c>
      <c r="J12" s="14" t="n">
        <v>129</v>
      </c>
      <c r="K12" s="14" t="n">
        <v>2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1697</v>
      </c>
      <c r="D13" s="14" t="n">
        <v>564</v>
      </c>
      <c r="E13" s="16" t="n">
        <v>33.24</v>
      </c>
      <c r="F13" s="14" t="n">
        <v>1</v>
      </c>
      <c r="G13" s="14" t="n">
        <v>7</v>
      </c>
      <c r="H13" s="14" t="n">
        <v>29</v>
      </c>
      <c r="I13" s="14" t="n">
        <v>188</v>
      </c>
      <c r="J13" s="14" t="n">
        <v>329</v>
      </c>
      <c r="K13" s="14" t="n">
        <v>10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4733</v>
      </c>
      <c r="D14" s="14" t="n">
        <v>1148</v>
      </c>
      <c r="E14" s="16" t="n">
        <v>24.26</v>
      </c>
      <c r="F14" s="14" t="n">
        <v>17</v>
      </c>
      <c r="G14" s="14" t="n">
        <v>77</v>
      </c>
      <c r="H14" s="14" t="n">
        <v>236</v>
      </c>
      <c r="I14" s="14" t="n">
        <v>468</v>
      </c>
      <c r="J14" s="14" t="n">
        <v>323</v>
      </c>
      <c r="K14" s="14" t="n">
        <v>27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3672</v>
      </c>
      <c r="D15" s="14" t="n">
        <v>1334</v>
      </c>
      <c r="E15" s="16" t="n">
        <v>36.33</v>
      </c>
      <c r="F15" s="14" t="n">
        <v>33</v>
      </c>
      <c r="G15" s="14" t="n">
        <v>163</v>
      </c>
      <c r="H15" s="14" t="n">
        <v>430</v>
      </c>
      <c r="I15" s="14" t="n">
        <v>473</v>
      </c>
      <c r="J15" s="14" t="n">
        <v>219</v>
      </c>
      <c r="K15" s="14" t="n">
        <v>16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8405</v>
      </c>
      <c r="D16" s="14" t="n">
        <v>2482</v>
      </c>
      <c r="E16" s="16" t="n">
        <v>29.53</v>
      </c>
      <c r="F16" s="14" t="n">
        <v>50</v>
      </c>
      <c r="G16" s="14" t="n">
        <v>240</v>
      </c>
      <c r="H16" s="14" t="n">
        <v>666</v>
      </c>
      <c r="I16" s="14" t="n">
        <v>941</v>
      </c>
      <c r="J16" s="14" t="n">
        <v>542</v>
      </c>
      <c r="K16" s="14" t="n">
        <v>43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87</v>
      </c>
      <c r="D17" s="14" t="n">
        <v>20</v>
      </c>
      <c r="E17" s="16" t="n">
        <v>22.99</v>
      </c>
      <c r="F17" s="14" t="n">
        <v>0</v>
      </c>
      <c r="G17" s="14" t="n">
        <v>0</v>
      </c>
      <c r="H17" s="14" t="n">
        <v>4</v>
      </c>
      <c r="I17" s="14" t="n">
        <v>5</v>
      </c>
      <c r="J17" s="14" t="n">
        <v>11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25</v>
      </c>
      <c r="D18" s="14" t="n">
        <v>13</v>
      </c>
      <c r="E18" s="16" t="n">
        <v>52</v>
      </c>
      <c r="F18" s="14" t="n">
        <v>0</v>
      </c>
      <c r="G18" s="14" t="n">
        <v>1</v>
      </c>
      <c r="H18" s="14" t="n">
        <v>5</v>
      </c>
      <c r="I18" s="14" t="n">
        <v>5</v>
      </c>
      <c r="J18" s="14" t="n">
        <v>2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112</v>
      </c>
      <c r="D19" s="14" t="n">
        <v>33</v>
      </c>
      <c r="E19" s="16" t="n">
        <v>29.46</v>
      </c>
      <c r="F19" s="14" t="n">
        <v>0</v>
      </c>
      <c r="G19" s="14" t="n">
        <v>1</v>
      </c>
      <c r="H19" s="14" t="n">
        <v>9</v>
      </c>
      <c r="I19" s="14" t="n">
        <v>10</v>
      </c>
      <c r="J19" s="14" t="n">
        <v>13</v>
      </c>
      <c r="K19" s="14" t="n">
        <v>0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7475</v>
      </c>
      <c r="D20" s="14" t="n">
        <v>2308</v>
      </c>
      <c r="E20" s="16" t="n">
        <v>30.88</v>
      </c>
      <c r="F20" s="14" t="n">
        <v>245</v>
      </c>
      <c r="G20" s="14" t="n">
        <v>148</v>
      </c>
      <c r="H20" s="14" t="n">
        <v>329</v>
      </c>
      <c r="I20" s="14" t="n">
        <v>770</v>
      </c>
      <c r="J20" s="14" t="n">
        <v>774</v>
      </c>
      <c r="K20" s="14" t="n">
        <v>42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6163</v>
      </c>
      <c r="D21" s="14" t="n">
        <v>2784</v>
      </c>
      <c r="E21" s="16" t="n">
        <v>45.17</v>
      </c>
      <c r="F21" s="14" t="n">
        <v>576</v>
      </c>
      <c r="G21" s="14" t="n">
        <v>277</v>
      </c>
      <c r="H21" s="14" t="n">
        <v>549</v>
      </c>
      <c r="I21" s="14" t="n">
        <v>838</v>
      </c>
      <c r="J21" s="14" t="n">
        <v>522</v>
      </c>
      <c r="K21" s="14" t="n">
        <v>22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13638</v>
      </c>
      <c r="D22" s="14" t="n">
        <v>5092</v>
      </c>
      <c r="E22" s="16" t="n">
        <v>37.34</v>
      </c>
      <c r="F22" s="14" t="n">
        <v>821</v>
      </c>
      <c r="G22" s="14" t="n">
        <v>425</v>
      </c>
      <c r="H22" s="14" t="n">
        <v>878</v>
      </c>
      <c r="I22" s="14" t="n">
        <v>1608</v>
      </c>
      <c r="J22" s="14" t="n">
        <v>1296</v>
      </c>
      <c r="K22" s="14" t="n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207</v>
      </c>
    </row>
    <row r="2" customFormat="false" ht="15" hidden="false" customHeight="true" outlineLevel="0" collapsed="false">
      <c r="A2" s="13" t="s">
        <v>197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6253</v>
      </c>
      <c r="D5" s="14" t="n">
        <v>4888</v>
      </c>
      <c r="E5" s="16" t="n">
        <v>78.17</v>
      </c>
      <c r="F5" s="14" t="n">
        <v>1276</v>
      </c>
      <c r="G5" s="14" t="n">
        <v>1074</v>
      </c>
      <c r="H5" s="14" t="n">
        <v>1278</v>
      </c>
      <c r="I5" s="14" t="n">
        <v>1022</v>
      </c>
      <c r="J5" s="14" t="n">
        <v>235</v>
      </c>
      <c r="K5" s="14" t="n">
        <v>3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12779</v>
      </c>
      <c r="D6" s="14" t="n">
        <v>10861</v>
      </c>
      <c r="E6" s="16" t="n">
        <v>84.99</v>
      </c>
      <c r="F6" s="14" t="n">
        <v>3107</v>
      </c>
      <c r="G6" s="14" t="n">
        <v>2846</v>
      </c>
      <c r="H6" s="14" t="n">
        <v>2906</v>
      </c>
      <c r="I6" s="14" t="n">
        <v>1775</v>
      </c>
      <c r="J6" s="14" t="n">
        <v>225</v>
      </c>
      <c r="K6" s="14" t="n">
        <v>2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19032</v>
      </c>
      <c r="D7" s="14" t="n">
        <v>15749</v>
      </c>
      <c r="E7" s="16" t="n">
        <v>82.75</v>
      </c>
      <c r="F7" s="14" t="n">
        <v>4383</v>
      </c>
      <c r="G7" s="14" t="n">
        <v>3920</v>
      </c>
      <c r="H7" s="14" t="n">
        <v>4184</v>
      </c>
      <c r="I7" s="14" t="n">
        <v>2797</v>
      </c>
      <c r="J7" s="14" t="n">
        <v>460</v>
      </c>
      <c r="K7" s="14" t="n">
        <v>5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2096</v>
      </c>
      <c r="D8" s="14" t="n">
        <v>1460</v>
      </c>
      <c r="E8" s="16" t="n">
        <v>69.66</v>
      </c>
      <c r="F8" s="14" t="n">
        <v>200</v>
      </c>
      <c r="G8" s="14" t="n">
        <v>312</v>
      </c>
      <c r="H8" s="14" t="n">
        <v>420</v>
      </c>
      <c r="I8" s="14" t="n">
        <v>389</v>
      </c>
      <c r="J8" s="14" t="n">
        <v>135</v>
      </c>
      <c r="K8" s="14" t="n">
        <v>4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1184</v>
      </c>
      <c r="D9" s="14" t="n">
        <v>945</v>
      </c>
      <c r="E9" s="16" t="n">
        <v>79.81</v>
      </c>
      <c r="F9" s="14" t="n">
        <v>166</v>
      </c>
      <c r="G9" s="14" t="n">
        <v>255</v>
      </c>
      <c r="H9" s="14" t="n">
        <v>297</v>
      </c>
      <c r="I9" s="14" t="n">
        <v>190</v>
      </c>
      <c r="J9" s="14" t="n">
        <v>35</v>
      </c>
      <c r="K9" s="14" t="n">
        <v>2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3280</v>
      </c>
      <c r="D10" s="14" t="n">
        <v>2405</v>
      </c>
      <c r="E10" s="16" t="n">
        <v>73.32</v>
      </c>
      <c r="F10" s="14" t="n">
        <v>366</v>
      </c>
      <c r="G10" s="14" t="n">
        <v>567</v>
      </c>
      <c r="H10" s="14" t="n">
        <v>717</v>
      </c>
      <c r="I10" s="14" t="n">
        <v>579</v>
      </c>
      <c r="J10" s="14" t="n">
        <v>170</v>
      </c>
      <c r="K10" s="14" t="n">
        <v>6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6929</v>
      </c>
      <c r="D11" s="14" t="n">
        <v>3385</v>
      </c>
      <c r="E11" s="16" t="n">
        <v>48.85</v>
      </c>
      <c r="F11" s="14" t="n">
        <v>164</v>
      </c>
      <c r="G11" s="14" t="n">
        <v>522</v>
      </c>
      <c r="H11" s="14" t="n">
        <v>1039</v>
      </c>
      <c r="I11" s="14" t="n">
        <v>1239</v>
      </c>
      <c r="J11" s="14" t="n">
        <v>413</v>
      </c>
      <c r="K11" s="14" t="n">
        <v>8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5681</v>
      </c>
      <c r="D12" s="14" t="n">
        <v>3574</v>
      </c>
      <c r="E12" s="16" t="n">
        <v>62.91</v>
      </c>
      <c r="F12" s="14" t="n">
        <v>231</v>
      </c>
      <c r="G12" s="14" t="n">
        <v>685</v>
      </c>
      <c r="H12" s="14" t="n">
        <v>1249</v>
      </c>
      <c r="I12" s="14" t="n">
        <v>1172</v>
      </c>
      <c r="J12" s="14" t="n">
        <v>235</v>
      </c>
      <c r="K12" s="14" t="n">
        <v>2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12610</v>
      </c>
      <c r="D13" s="14" t="n">
        <v>6959</v>
      </c>
      <c r="E13" s="16" t="n">
        <v>55.19</v>
      </c>
      <c r="F13" s="14" t="n">
        <v>395</v>
      </c>
      <c r="G13" s="14" t="n">
        <v>1207</v>
      </c>
      <c r="H13" s="14" t="n">
        <v>2288</v>
      </c>
      <c r="I13" s="14" t="n">
        <v>2411</v>
      </c>
      <c r="J13" s="14" t="n">
        <v>648</v>
      </c>
      <c r="K13" s="14" t="n">
        <v>10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10466</v>
      </c>
      <c r="D14" s="14" t="n">
        <v>3382</v>
      </c>
      <c r="E14" s="16" t="n">
        <v>32.31</v>
      </c>
      <c r="F14" s="14" t="n">
        <v>61</v>
      </c>
      <c r="G14" s="14" t="n">
        <v>347</v>
      </c>
      <c r="H14" s="14" t="n">
        <v>1107</v>
      </c>
      <c r="I14" s="14" t="n">
        <v>1301</v>
      </c>
      <c r="J14" s="14" t="n">
        <v>538</v>
      </c>
      <c r="K14" s="14" t="n">
        <v>28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11967</v>
      </c>
      <c r="D15" s="14" t="n">
        <v>6034</v>
      </c>
      <c r="E15" s="16" t="n">
        <v>50.42</v>
      </c>
      <c r="F15" s="14" t="n">
        <v>195</v>
      </c>
      <c r="G15" s="14" t="n">
        <v>1194</v>
      </c>
      <c r="H15" s="14" t="n">
        <v>2414</v>
      </c>
      <c r="I15" s="14" t="n">
        <v>1837</v>
      </c>
      <c r="J15" s="14" t="n">
        <v>377</v>
      </c>
      <c r="K15" s="14" t="n">
        <v>17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22433</v>
      </c>
      <c r="D16" s="14" t="n">
        <v>9416</v>
      </c>
      <c r="E16" s="16" t="n">
        <v>41.97</v>
      </c>
      <c r="F16" s="14" t="n">
        <v>256</v>
      </c>
      <c r="G16" s="14" t="n">
        <v>1541</v>
      </c>
      <c r="H16" s="14" t="n">
        <v>3521</v>
      </c>
      <c r="I16" s="14" t="n">
        <v>3138</v>
      </c>
      <c r="J16" s="14" t="n">
        <v>915</v>
      </c>
      <c r="K16" s="14" t="n">
        <v>45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232</v>
      </c>
      <c r="D17" s="14" t="n">
        <v>103</v>
      </c>
      <c r="E17" s="16" t="n">
        <v>44.4</v>
      </c>
      <c r="F17" s="14" t="n">
        <v>6</v>
      </c>
      <c r="G17" s="14" t="n">
        <v>18</v>
      </c>
      <c r="H17" s="14" t="n">
        <v>38</v>
      </c>
      <c r="I17" s="14" t="n">
        <v>27</v>
      </c>
      <c r="J17" s="14" t="n">
        <v>14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73</v>
      </c>
      <c r="D18" s="14" t="n">
        <v>57</v>
      </c>
      <c r="E18" s="16" t="n">
        <v>78.08</v>
      </c>
      <c r="F18" s="14" t="n">
        <v>13</v>
      </c>
      <c r="G18" s="14" t="n">
        <v>14</v>
      </c>
      <c r="H18" s="14" t="n">
        <v>19</v>
      </c>
      <c r="I18" s="14" t="n">
        <v>8</v>
      </c>
      <c r="J18" s="14" t="n">
        <v>3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305</v>
      </c>
      <c r="D19" s="14" t="n">
        <v>160</v>
      </c>
      <c r="E19" s="16" t="n">
        <v>52.46</v>
      </c>
      <c r="F19" s="14" t="n">
        <v>19</v>
      </c>
      <c r="G19" s="14" t="n">
        <v>32</v>
      </c>
      <c r="H19" s="14" t="n">
        <v>57</v>
      </c>
      <c r="I19" s="14" t="n">
        <v>35</v>
      </c>
      <c r="J19" s="14" t="n">
        <v>17</v>
      </c>
      <c r="K19" s="14" t="n">
        <v>0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25976</v>
      </c>
      <c r="D20" s="14" t="n">
        <v>13218</v>
      </c>
      <c r="E20" s="16" t="n">
        <v>50.89</v>
      </c>
      <c r="F20" s="14" t="n">
        <v>1707</v>
      </c>
      <c r="G20" s="14" t="n">
        <v>2273</v>
      </c>
      <c r="H20" s="14" t="n">
        <v>3882</v>
      </c>
      <c r="I20" s="14" t="n">
        <v>3978</v>
      </c>
      <c r="J20" s="14" t="n">
        <v>1335</v>
      </c>
      <c r="K20" s="14" t="n">
        <v>43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31684</v>
      </c>
      <c r="D21" s="14" t="n">
        <v>21471</v>
      </c>
      <c r="E21" s="16" t="n">
        <v>67.77</v>
      </c>
      <c r="F21" s="14" t="n">
        <v>3712</v>
      </c>
      <c r="G21" s="14" t="n">
        <v>4994</v>
      </c>
      <c r="H21" s="14" t="n">
        <v>6885</v>
      </c>
      <c r="I21" s="14" t="n">
        <v>4982</v>
      </c>
      <c r="J21" s="14" t="n">
        <v>875</v>
      </c>
      <c r="K21" s="14" t="n">
        <v>23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57660</v>
      </c>
      <c r="D22" s="14" t="n">
        <v>34689</v>
      </c>
      <c r="E22" s="16" t="n">
        <v>60.16</v>
      </c>
      <c r="F22" s="14" t="n">
        <v>5419</v>
      </c>
      <c r="G22" s="14" t="n">
        <v>7267</v>
      </c>
      <c r="H22" s="14" t="n">
        <v>10767</v>
      </c>
      <c r="I22" s="14" t="n">
        <v>8960</v>
      </c>
      <c r="J22" s="14" t="n">
        <v>2210</v>
      </c>
      <c r="K22" s="14" t="n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4"/>
    <col collapsed="false" customWidth="true" hidden="false" outlineLevel="0" max="2" min="2" style="13" width="16"/>
    <col collapsed="false" customWidth="true" hidden="false" outlineLevel="0" max="11" min="3" style="13" width="14"/>
  </cols>
  <sheetData>
    <row r="1" customFormat="false" ht="15" hidden="false" customHeight="true" outlineLevel="0" collapsed="false">
      <c r="A1" s="13" t="s">
        <v>208</v>
      </c>
    </row>
    <row r="2" customFormat="false" ht="15" hidden="false" customHeight="true" outlineLevel="0" collapsed="false">
      <c r="A2" s="13" t="s">
        <v>209</v>
      </c>
    </row>
    <row r="4" customFormat="false" ht="15" hidden="false" customHeight="true" outlineLevel="0" collapsed="false">
      <c r="A4" s="13" t="s">
        <v>3</v>
      </c>
      <c r="B4" s="13" t="s">
        <v>210</v>
      </c>
      <c r="C4" s="13" t="s">
        <v>211</v>
      </c>
      <c r="D4" s="13" t="s">
        <v>212</v>
      </c>
      <c r="E4" s="13" t="s">
        <v>213</v>
      </c>
      <c r="F4" s="13" t="s">
        <v>214</v>
      </c>
      <c r="G4" s="13" t="s">
        <v>215</v>
      </c>
      <c r="H4" s="13" t="s">
        <v>216</v>
      </c>
      <c r="I4" s="13" t="s">
        <v>181</v>
      </c>
      <c r="J4" s="13" t="s">
        <v>182</v>
      </c>
      <c r="K4" s="13" t="s">
        <v>217</v>
      </c>
    </row>
    <row r="5" customFormat="false" ht="15" hidden="false" customHeight="true" outlineLevel="0" collapsed="false">
      <c r="A5" s="13" t="n">
        <v>2024</v>
      </c>
      <c r="B5" s="13" t="s">
        <v>13</v>
      </c>
      <c r="C5" s="14" t="n">
        <v>9069</v>
      </c>
      <c r="D5" s="14" t="n">
        <v>4768</v>
      </c>
      <c r="E5" s="16" t="n">
        <v>52.57</v>
      </c>
      <c r="F5" s="14" t="n">
        <v>11017</v>
      </c>
      <c r="G5" s="14" t="n">
        <v>7742</v>
      </c>
      <c r="H5" s="16" t="n">
        <v>70.27</v>
      </c>
      <c r="I5" s="14" t="n">
        <v>20086</v>
      </c>
      <c r="J5" s="14" t="n">
        <v>12510</v>
      </c>
      <c r="K5" s="16" t="n">
        <v>62.28</v>
      </c>
    </row>
    <row r="6" customFormat="false" ht="15" hidden="false" customHeight="true" outlineLevel="0" collapsed="false">
      <c r="A6" s="13" t="n">
        <v>2024</v>
      </c>
      <c r="B6" s="13" t="s">
        <v>218</v>
      </c>
      <c r="C6" s="14" t="n">
        <v>7220</v>
      </c>
      <c r="D6" s="14" t="n">
        <v>3401</v>
      </c>
      <c r="E6" s="16" t="n">
        <v>47.11</v>
      </c>
      <c r="F6" s="14" t="n">
        <v>9304</v>
      </c>
      <c r="G6" s="14" t="n">
        <v>6071</v>
      </c>
      <c r="H6" s="16" t="n">
        <v>65.25</v>
      </c>
      <c r="I6" s="14" t="n">
        <v>16524</v>
      </c>
      <c r="J6" s="14" t="n">
        <v>9472</v>
      </c>
      <c r="K6" s="16" t="n">
        <v>57.32</v>
      </c>
    </row>
    <row r="7" customFormat="false" ht="15" hidden="false" customHeight="true" outlineLevel="0" collapsed="false">
      <c r="A7" s="13" t="n">
        <v>2024</v>
      </c>
      <c r="B7" s="13" t="s">
        <v>219</v>
      </c>
      <c r="C7" s="14" t="n">
        <v>9687</v>
      </c>
      <c r="D7" s="14" t="n">
        <v>5049</v>
      </c>
      <c r="E7" s="16" t="n">
        <v>52.12</v>
      </c>
      <c r="F7" s="14" t="n">
        <v>11363</v>
      </c>
      <c r="G7" s="14" t="n">
        <v>7658</v>
      </c>
      <c r="H7" s="16" t="n">
        <v>67.39</v>
      </c>
      <c r="I7" s="14" t="n">
        <v>21050</v>
      </c>
      <c r="J7" s="14" t="n">
        <v>12707</v>
      </c>
      <c r="K7" s="16" t="n">
        <v>60.37</v>
      </c>
    </row>
    <row r="8" customFormat="false" ht="15" hidden="false" customHeight="true" outlineLevel="0" collapsed="false">
      <c r="A8" s="13" t="n">
        <v>2024</v>
      </c>
      <c r="B8" s="13" t="s">
        <v>192</v>
      </c>
      <c r="C8" s="14" t="n">
        <v>25976</v>
      </c>
      <c r="D8" s="14" t="n">
        <v>13218</v>
      </c>
      <c r="E8" s="16" t="n">
        <v>50.89</v>
      </c>
      <c r="F8" s="14" t="n">
        <v>31684</v>
      </c>
      <c r="G8" s="14" t="n">
        <v>21471</v>
      </c>
      <c r="H8" s="16" t="n">
        <v>67.77</v>
      </c>
      <c r="I8" s="14" t="n">
        <v>57660</v>
      </c>
      <c r="J8" s="14" t="n">
        <v>34689</v>
      </c>
      <c r="K8" s="16" t="n">
        <v>60.16</v>
      </c>
    </row>
    <row r="9" customFormat="false" ht="15" hidden="false" customHeight="true" outlineLevel="0" collapsed="false">
      <c r="A9" s="13" t="n">
        <v>2023</v>
      </c>
      <c r="B9" s="13" t="s">
        <v>13</v>
      </c>
      <c r="C9" s="14" t="n">
        <v>9206</v>
      </c>
      <c r="D9" s="14" t="n">
        <v>4645</v>
      </c>
      <c r="E9" s="16" t="n">
        <v>50.46</v>
      </c>
      <c r="F9" s="14" t="n">
        <v>10417</v>
      </c>
      <c r="G9" s="14" t="n">
        <v>6977</v>
      </c>
      <c r="H9" s="16" t="n">
        <v>66.98</v>
      </c>
      <c r="I9" s="14" t="n">
        <v>19623</v>
      </c>
      <c r="J9" s="14" t="n">
        <v>11622</v>
      </c>
      <c r="K9" s="16" t="n">
        <v>59.23</v>
      </c>
    </row>
    <row r="10" customFormat="false" ht="15" hidden="false" customHeight="true" outlineLevel="0" collapsed="false">
      <c r="A10" s="13" t="n">
        <v>2023</v>
      </c>
      <c r="B10" s="13" t="s">
        <v>218</v>
      </c>
      <c r="C10" s="14" t="n">
        <v>7190</v>
      </c>
      <c r="D10" s="14" t="n">
        <v>3248</v>
      </c>
      <c r="E10" s="16" t="n">
        <v>45.17</v>
      </c>
      <c r="F10" s="14" t="n">
        <v>9132</v>
      </c>
      <c r="G10" s="14" t="n">
        <v>5693</v>
      </c>
      <c r="H10" s="16" t="n">
        <v>62.34</v>
      </c>
      <c r="I10" s="14" t="n">
        <v>16322</v>
      </c>
      <c r="J10" s="14" t="n">
        <v>8941</v>
      </c>
      <c r="K10" s="16" t="n">
        <v>54.78</v>
      </c>
    </row>
    <row r="11" customFormat="false" ht="15" hidden="false" customHeight="true" outlineLevel="0" collapsed="false">
      <c r="A11" s="13" t="n">
        <v>2023</v>
      </c>
      <c r="B11" s="13" t="s">
        <v>219</v>
      </c>
      <c r="C11" s="14" t="n">
        <v>9943</v>
      </c>
      <c r="D11" s="14" t="n">
        <v>4907</v>
      </c>
      <c r="E11" s="16" t="n">
        <v>49.35</v>
      </c>
      <c r="F11" s="14" t="n">
        <v>11555</v>
      </c>
      <c r="G11" s="14" t="n">
        <v>7541</v>
      </c>
      <c r="H11" s="16" t="n">
        <v>65.26</v>
      </c>
      <c r="I11" s="14" t="n">
        <v>21498</v>
      </c>
      <c r="J11" s="14" t="n">
        <v>12448</v>
      </c>
      <c r="K11" s="16" t="n">
        <v>57.9</v>
      </c>
    </row>
    <row r="12" customFormat="false" ht="15" hidden="false" customHeight="true" outlineLevel="0" collapsed="false">
      <c r="A12" s="13" t="n">
        <v>2023</v>
      </c>
      <c r="B12" s="13" t="s">
        <v>192</v>
      </c>
      <c r="C12" s="14" t="n">
        <v>26339</v>
      </c>
      <c r="D12" s="14" t="n">
        <v>12800</v>
      </c>
      <c r="E12" s="16" t="n">
        <v>48.6</v>
      </c>
      <c r="F12" s="14" t="n">
        <v>31104</v>
      </c>
      <c r="G12" s="14" t="n">
        <v>20211</v>
      </c>
      <c r="H12" s="16" t="n">
        <v>64.98</v>
      </c>
      <c r="I12" s="14" t="n">
        <v>57443</v>
      </c>
      <c r="J12" s="14" t="n">
        <v>33011</v>
      </c>
      <c r="K12" s="16" t="n">
        <v>57.47</v>
      </c>
    </row>
    <row r="13" customFormat="false" ht="15" hidden="false" customHeight="true" outlineLevel="0" collapsed="false">
      <c r="A13" s="13" t="n">
        <v>2022</v>
      </c>
      <c r="B13" s="13" t="s">
        <v>13</v>
      </c>
      <c r="C13" s="14" t="n">
        <v>7925</v>
      </c>
      <c r="D13" s="14" t="n">
        <v>5514</v>
      </c>
      <c r="E13" s="16" t="n">
        <v>69.58</v>
      </c>
      <c r="F13" s="14" t="n">
        <v>9267</v>
      </c>
      <c r="G13" s="14" t="n">
        <v>7864</v>
      </c>
      <c r="H13" s="16" t="n">
        <v>84.86</v>
      </c>
      <c r="I13" s="14" t="n">
        <v>17192</v>
      </c>
      <c r="J13" s="14" t="n">
        <v>13378</v>
      </c>
      <c r="K13" s="16" t="n">
        <v>77.82</v>
      </c>
    </row>
    <row r="14" customFormat="false" ht="15" hidden="false" customHeight="true" outlineLevel="0" collapsed="false">
      <c r="A14" s="13" t="n">
        <v>2022</v>
      </c>
      <c r="B14" s="13" t="s">
        <v>218</v>
      </c>
      <c r="C14" s="14" t="n">
        <v>5976</v>
      </c>
      <c r="D14" s="14" t="n">
        <v>4101</v>
      </c>
      <c r="E14" s="16" t="n">
        <v>68.62</v>
      </c>
      <c r="F14" s="14" t="n">
        <v>7856</v>
      </c>
      <c r="G14" s="14" t="n">
        <v>6688</v>
      </c>
      <c r="H14" s="16" t="n">
        <v>85.13</v>
      </c>
      <c r="I14" s="14" t="n">
        <v>13832</v>
      </c>
      <c r="J14" s="14" t="n">
        <v>10789</v>
      </c>
      <c r="K14" s="16" t="n">
        <v>78</v>
      </c>
    </row>
    <row r="15" customFormat="false" ht="15" hidden="false" customHeight="true" outlineLevel="0" collapsed="false">
      <c r="A15" s="13" t="n">
        <v>2022</v>
      </c>
      <c r="B15" s="13" t="s">
        <v>219</v>
      </c>
      <c r="C15" s="14" t="n">
        <v>8110</v>
      </c>
      <c r="D15" s="14" t="n">
        <v>5433</v>
      </c>
      <c r="E15" s="16" t="n">
        <v>66.99</v>
      </c>
      <c r="F15" s="14" t="n">
        <v>9315</v>
      </c>
      <c r="G15" s="14" t="n">
        <v>7558</v>
      </c>
      <c r="H15" s="16" t="n">
        <v>81.14</v>
      </c>
      <c r="I15" s="14" t="n">
        <v>17425</v>
      </c>
      <c r="J15" s="14" t="n">
        <v>12991</v>
      </c>
      <c r="K15" s="16" t="n">
        <v>74.55</v>
      </c>
    </row>
    <row r="16" customFormat="false" ht="15" hidden="false" customHeight="true" outlineLevel="0" collapsed="false">
      <c r="A16" s="13" t="n">
        <v>2022</v>
      </c>
      <c r="B16" s="13" t="s">
        <v>192</v>
      </c>
      <c r="C16" s="14" t="n">
        <v>22011</v>
      </c>
      <c r="D16" s="14" t="n">
        <v>15048</v>
      </c>
      <c r="E16" s="16" t="n">
        <v>68.37</v>
      </c>
      <c r="F16" s="14" t="n">
        <v>26438</v>
      </c>
      <c r="G16" s="14" t="n">
        <v>22110</v>
      </c>
      <c r="H16" s="16" t="n">
        <v>83.63</v>
      </c>
      <c r="I16" s="14" t="n">
        <v>48449</v>
      </c>
      <c r="J16" s="14" t="n">
        <v>37158</v>
      </c>
      <c r="K16" s="16" t="n">
        <v>76.7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4"/>
    <col collapsed="false" customWidth="true" hidden="false" outlineLevel="0" max="2" min="2" style="13" width="44"/>
    <col collapsed="false" customWidth="true" hidden="false" outlineLevel="0" max="5" min="3" style="13" width="14"/>
  </cols>
  <sheetData>
    <row r="1" customFormat="false" ht="15" hidden="false" customHeight="true" outlineLevel="0" collapsed="false">
      <c r="A1" s="13" t="s">
        <v>220</v>
      </c>
    </row>
    <row r="2" customFormat="false" ht="15" hidden="false" customHeight="true" outlineLevel="0" collapsed="false">
      <c r="A2" s="13" t="s">
        <v>221</v>
      </c>
    </row>
    <row r="4" customFormat="false" ht="15" hidden="false" customHeight="true" outlineLevel="0" collapsed="false">
      <c r="A4" s="13" t="s">
        <v>3</v>
      </c>
      <c r="B4" s="13" t="s">
        <v>222</v>
      </c>
      <c r="C4" s="13" t="s">
        <v>4</v>
      </c>
      <c r="D4" s="13" t="s">
        <v>5</v>
      </c>
      <c r="E4" s="13" t="s">
        <v>6</v>
      </c>
    </row>
    <row r="5" customFormat="false" ht="15" hidden="false" customHeight="true" outlineLevel="0" collapsed="false">
      <c r="A5" s="13" t="n">
        <v>2024</v>
      </c>
      <c r="B5" s="13" t="s">
        <v>223</v>
      </c>
      <c r="C5" s="14" t="n">
        <v>136</v>
      </c>
      <c r="D5" s="14" t="n">
        <v>122</v>
      </c>
      <c r="E5" s="16" t="n">
        <v>89.71</v>
      </c>
    </row>
    <row r="6" customFormat="false" ht="15" hidden="false" customHeight="true" outlineLevel="0" collapsed="false">
      <c r="A6" s="13" t="n">
        <v>2024</v>
      </c>
      <c r="B6" s="13" t="s">
        <v>224</v>
      </c>
      <c r="C6" s="14" t="n">
        <v>1467</v>
      </c>
      <c r="D6" s="14" t="n">
        <v>1402</v>
      </c>
      <c r="E6" s="16" t="n">
        <v>95.57</v>
      </c>
    </row>
    <row r="7" customFormat="false" ht="15" hidden="false" customHeight="true" outlineLevel="0" collapsed="false">
      <c r="A7" s="13" t="n">
        <v>2024</v>
      </c>
      <c r="B7" s="13" t="s">
        <v>225</v>
      </c>
      <c r="C7" s="14" t="n">
        <v>239</v>
      </c>
      <c r="D7" s="14" t="n">
        <v>239</v>
      </c>
      <c r="E7" s="16" t="n">
        <v>100</v>
      </c>
    </row>
    <row r="8" customFormat="false" ht="15" hidden="false" customHeight="true" outlineLevel="0" collapsed="false">
      <c r="A8" s="13" t="n">
        <v>2024</v>
      </c>
      <c r="B8" s="13" t="s">
        <v>226</v>
      </c>
      <c r="C8" s="14" t="n">
        <v>3504</v>
      </c>
      <c r="D8" s="14" t="n">
        <v>2376</v>
      </c>
      <c r="E8" s="16" t="n">
        <v>67.81</v>
      </c>
    </row>
    <row r="9" customFormat="false" ht="15" hidden="false" customHeight="true" outlineLevel="0" collapsed="false">
      <c r="A9" s="13" t="n">
        <v>2024</v>
      </c>
      <c r="B9" s="13" t="s">
        <v>227</v>
      </c>
      <c r="C9" s="14" t="n">
        <v>17493</v>
      </c>
      <c r="D9" s="14" t="n">
        <v>15940</v>
      </c>
      <c r="E9" s="16" t="n">
        <v>91.12</v>
      </c>
    </row>
    <row r="10" customFormat="false" ht="15" hidden="false" customHeight="true" outlineLevel="0" collapsed="false">
      <c r="A10" s="13" t="n">
        <v>2024</v>
      </c>
      <c r="B10" s="13" t="s">
        <v>228</v>
      </c>
      <c r="C10" s="14" t="n">
        <v>14</v>
      </c>
      <c r="D10" s="14" t="n">
        <v>12</v>
      </c>
      <c r="E10" s="16" t="n">
        <v>85.71</v>
      </c>
    </row>
    <row r="11" customFormat="false" ht="15" hidden="false" customHeight="true" outlineLevel="0" collapsed="false">
      <c r="A11" s="13" t="n">
        <v>2024</v>
      </c>
      <c r="B11" s="13" t="s">
        <v>229</v>
      </c>
      <c r="C11" s="14" t="n">
        <v>244</v>
      </c>
      <c r="D11" s="14" t="n">
        <v>218</v>
      </c>
      <c r="E11" s="16" t="n">
        <v>89.34</v>
      </c>
    </row>
    <row r="12" customFormat="false" ht="15" hidden="false" customHeight="true" outlineLevel="0" collapsed="false">
      <c r="A12" s="13" t="n">
        <v>2024</v>
      </c>
      <c r="B12" s="13" t="s">
        <v>230</v>
      </c>
      <c r="C12" s="14" t="n">
        <v>3953</v>
      </c>
      <c r="D12" s="14" t="n">
        <v>1836</v>
      </c>
      <c r="E12" s="16" t="n">
        <v>46.45</v>
      </c>
    </row>
    <row r="13" customFormat="false" ht="15" hidden="false" customHeight="true" outlineLevel="0" collapsed="false">
      <c r="A13" s="13" t="n">
        <v>2024</v>
      </c>
      <c r="B13" s="13" t="s">
        <v>231</v>
      </c>
      <c r="C13" s="14" t="n">
        <v>20881</v>
      </c>
      <c r="D13" s="14" t="n">
        <v>17787</v>
      </c>
      <c r="E13" s="16" t="n">
        <v>85.18</v>
      </c>
    </row>
    <row r="14" customFormat="false" ht="15" hidden="false" customHeight="true" outlineLevel="0" collapsed="false">
      <c r="A14" s="13" t="n">
        <v>2024</v>
      </c>
      <c r="B14" s="13" t="s">
        <v>232</v>
      </c>
      <c r="C14" s="14" t="n">
        <v>1151</v>
      </c>
      <c r="D14" s="14" t="n">
        <v>1047</v>
      </c>
      <c r="E14" s="16" t="n">
        <v>90.96</v>
      </c>
    </row>
    <row r="15" customFormat="false" ht="15" hidden="false" customHeight="true" outlineLevel="0" collapsed="false">
      <c r="A15" s="13" t="n">
        <v>2024</v>
      </c>
      <c r="B15" s="13" t="s">
        <v>233</v>
      </c>
      <c r="C15" s="14" t="n">
        <v>0</v>
      </c>
      <c r="D15" s="14" t="n">
        <v>0</v>
      </c>
      <c r="E15" s="16" t="n">
        <v>0</v>
      </c>
    </row>
    <row r="16" customFormat="false" ht="15" hidden="false" customHeight="true" outlineLevel="0" collapsed="false">
      <c r="A16" s="13" t="n">
        <v>2024</v>
      </c>
      <c r="B16" s="13" t="s">
        <v>234</v>
      </c>
      <c r="C16" s="14" t="n">
        <v>3952</v>
      </c>
      <c r="D16" s="14" t="n">
        <v>3477</v>
      </c>
      <c r="E16" s="16" t="n">
        <v>87.98</v>
      </c>
    </row>
    <row r="17" customFormat="false" ht="15" hidden="false" customHeight="true" outlineLevel="0" collapsed="false">
      <c r="A17" s="13" t="n">
        <v>2024</v>
      </c>
      <c r="B17" s="13" t="s">
        <v>235</v>
      </c>
      <c r="C17" s="14" t="n">
        <v>0</v>
      </c>
      <c r="D17" s="14" t="n">
        <v>0</v>
      </c>
      <c r="E17" s="16" t="n">
        <v>0</v>
      </c>
    </row>
    <row r="18" customFormat="false" ht="15" hidden="false" customHeight="true" outlineLevel="0" collapsed="false">
      <c r="A18" s="13" t="n">
        <v>2024</v>
      </c>
      <c r="B18" s="13" t="s">
        <v>236</v>
      </c>
      <c r="C18" s="14" t="n">
        <v>240</v>
      </c>
      <c r="D18" s="14" t="n">
        <v>240</v>
      </c>
      <c r="E18" s="16" t="n">
        <v>100</v>
      </c>
    </row>
    <row r="19" customFormat="false" ht="15" hidden="false" customHeight="true" outlineLevel="0" collapsed="false">
      <c r="A19" s="13" t="n">
        <v>2024</v>
      </c>
      <c r="B19" s="13" t="s">
        <v>237</v>
      </c>
      <c r="C19" s="14" t="n">
        <v>2658</v>
      </c>
      <c r="D19" s="14" t="n">
        <v>1171</v>
      </c>
      <c r="E19" s="16" t="n">
        <v>44.06</v>
      </c>
    </row>
    <row r="20" customFormat="false" ht="15" hidden="false" customHeight="true" outlineLevel="0" collapsed="false">
      <c r="A20" s="13" t="n">
        <v>2024</v>
      </c>
      <c r="B20" s="13" t="s">
        <v>238</v>
      </c>
      <c r="C20" s="14" t="n">
        <v>17976</v>
      </c>
      <c r="D20" s="14" t="n">
        <v>14765</v>
      </c>
      <c r="E20" s="16" t="n">
        <v>82.14</v>
      </c>
    </row>
    <row r="21" customFormat="false" ht="15" hidden="false" customHeight="true" outlineLevel="0" collapsed="false">
      <c r="A21" s="13" t="n">
        <v>2024</v>
      </c>
      <c r="B21" s="13" t="s">
        <v>239</v>
      </c>
      <c r="C21" s="14" t="n">
        <v>0</v>
      </c>
      <c r="D21" s="14" t="n">
        <v>0</v>
      </c>
      <c r="E21" s="16" t="n">
        <v>0</v>
      </c>
    </row>
    <row r="22" customFormat="false" ht="15" hidden="false" customHeight="true" outlineLevel="0" collapsed="false">
      <c r="A22" s="13" t="n">
        <v>2024</v>
      </c>
      <c r="B22" s="13" t="s">
        <v>240</v>
      </c>
      <c r="C22" s="14" t="n">
        <v>1251</v>
      </c>
      <c r="D22" s="14" t="n">
        <v>883</v>
      </c>
      <c r="E22" s="16" t="n">
        <v>70.58</v>
      </c>
    </row>
    <row r="23" customFormat="false" ht="15" hidden="false" customHeight="true" outlineLevel="0" collapsed="false">
      <c r="A23" s="13" t="n">
        <v>2024</v>
      </c>
      <c r="B23" s="13" t="s">
        <v>241</v>
      </c>
      <c r="C23" s="14" t="n">
        <v>6430</v>
      </c>
      <c r="D23" s="14" t="n">
        <v>5830</v>
      </c>
      <c r="E23" s="16" t="n">
        <v>90.67</v>
      </c>
    </row>
    <row r="24" customFormat="false" ht="15" hidden="false" customHeight="true" outlineLevel="0" collapsed="false">
      <c r="A24" s="13" t="n">
        <v>2024</v>
      </c>
      <c r="B24" s="13" t="s">
        <v>242</v>
      </c>
      <c r="C24" s="14" t="n">
        <v>1311</v>
      </c>
      <c r="D24" s="14" t="n">
        <v>1174</v>
      </c>
      <c r="E24" s="16" t="n">
        <v>89.55</v>
      </c>
    </row>
    <row r="25" customFormat="false" ht="15" hidden="false" customHeight="true" outlineLevel="0" collapsed="false">
      <c r="A25" s="13" t="n">
        <v>2024</v>
      </c>
      <c r="B25" s="13" t="s">
        <v>243</v>
      </c>
      <c r="C25" s="14" t="n">
        <v>6379</v>
      </c>
      <c r="D25" s="14" t="n">
        <v>6037</v>
      </c>
      <c r="E25" s="16" t="n">
        <v>94.64</v>
      </c>
    </row>
    <row r="26" customFormat="false" ht="15" hidden="false" customHeight="true" outlineLevel="0" collapsed="false">
      <c r="A26" s="13" t="n">
        <v>2024</v>
      </c>
      <c r="B26" s="13" t="s">
        <v>244</v>
      </c>
      <c r="C26" s="14" t="n">
        <v>7</v>
      </c>
      <c r="D26" s="14" t="n">
        <v>4</v>
      </c>
      <c r="E26" s="16" t="n">
        <v>57.14</v>
      </c>
    </row>
    <row r="27" customFormat="false" ht="15" hidden="false" customHeight="true" outlineLevel="0" collapsed="false">
      <c r="A27" s="13" t="n">
        <v>2024</v>
      </c>
      <c r="B27" s="13" t="s">
        <v>245</v>
      </c>
      <c r="C27" s="14" t="n">
        <v>67</v>
      </c>
      <c r="D27" s="14" t="n">
        <v>64</v>
      </c>
      <c r="E27" s="16" t="n">
        <v>95.52</v>
      </c>
    </row>
    <row r="28" customFormat="false" ht="15" hidden="false" customHeight="true" outlineLevel="0" collapsed="false">
      <c r="A28" s="13" t="n">
        <v>2024</v>
      </c>
      <c r="B28" s="13" t="s">
        <v>246</v>
      </c>
      <c r="C28" s="14" t="n">
        <v>13647</v>
      </c>
      <c r="D28" s="14" t="n">
        <v>4857</v>
      </c>
      <c r="E28" s="16" t="n">
        <v>35.59</v>
      </c>
    </row>
    <row r="29" customFormat="false" ht="15" hidden="false" customHeight="true" outlineLevel="0" collapsed="false">
      <c r="A29" s="13" t="n">
        <v>2024</v>
      </c>
      <c r="B29" s="13" t="s">
        <v>247</v>
      </c>
      <c r="C29" s="14" t="n">
        <v>52938</v>
      </c>
      <c r="D29" s="14" t="n">
        <v>36308</v>
      </c>
      <c r="E29" s="16" t="n">
        <v>68.59</v>
      </c>
    </row>
    <row r="30" customFormat="false" ht="15" hidden="false" customHeight="true" outlineLevel="0" collapsed="false">
      <c r="A30" s="13" t="n">
        <v>2024</v>
      </c>
      <c r="B30" s="13" t="s">
        <v>248</v>
      </c>
      <c r="C30" s="14" t="n">
        <v>0</v>
      </c>
      <c r="D30" s="14" t="n">
        <v>0</v>
      </c>
      <c r="E30" s="16" t="n">
        <v>0</v>
      </c>
    </row>
    <row r="31" customFormat="false" ht="15" hidden="false" customHeight="true" outlineLevel="0" collapsed="false">
      <c r="A31" s="13" t="n">
        <v>2024</v>
      </c>
      <c r="B31" s="13" t="s">
        <v>248</v>
      </c>
      <c r="C31" s="14" t="n">
        <v>16</v>
      </c>
      <c r="D31" s="14" t="n">
        <v>16</v>
      </c>
      <c r="E31" s="16" t="n">
        <v>100</v>
      </c>
    </row>
    <row r="32" customFormat="false" ht="15" hidden="false" customHeight="true" outlineLevel="0" collapsed="false">
      <c r="A32" s="13" t="n">
        <v>2024</v>
      </c>
      <c r="B32" s="13" t="s">
        <v>249</v>
      </c>
      <c r="C32" s="14" t="n">
        <v>310</v>
      </c>
      <c r="D32" s="14" t="n">
        <v>310</v>
      </c>
      <c r="E32" s="16" t="n">
        <v>100</v>
      </c>
    </row>
    <row r="33" customFormat="false" ht="15" hidden="false" customHeight="true" outlineLevel="0" collapsed="false">
      <c r="A33" s="13" t="n">
        <v>2024</v>
      </c>
      <c r="B33" s="13" t="s">
        <v>250</v>
      </c>
      <c r="C33" s="14" t="n">
        <v>0</v>
      </c>
      <c r="D33" s="14" t="n">
        <v>0</v>
      </c>
      <c r="E33" s="16" t="n">
        <v>0</v>
      </c>
    </row>
    <row r="34" customFormat="false" ht="15" hidden="false" customHeight="true" outlineLevel="0" collapsed="false">
      <c r="A34" s="13" t="n">
        <v>2024</v>
      </c>
      <c r="B34" s="13" t="s">
        <v>251</v>
      </c>
      <c r="C34" s="14" t="n">
        <v>88</v>
      </c>
      <c r="D34" s="14" t="n">
        <v>88</v>
      </c>
      <c r="E34" s="16" t="n">
        <v>100</v>
      </c>
    </row>
    <row r="35" customFormat="false" ht="15" hidden="false" customHeight="true" outlineLevel="0" collapsed="false">
      <c r="A35" s="13" t="n">
        <v>2024</v>
      </c>
      <c r="B35" s="13" t="s">
        <v>252</v>
      </c>
      <c r="C35" s="14" t="n">
        <v>14</v>
      </c>
      <c r="D35" s="14" t="n">
        <v>14</v>
      </c>
      <c r="E35" s="16" t="n">
        <v>100</v>
      </c>
    </row>
    <row r="36" customFormat="false" ht="15" hidden="false" customHeight="true" outlineLevel="0" collapsed="false">
      <c r="A36" s="13" t="n">
        <v>2024</v>
      </c>
      <c r="B36" s="13" t="s">
        <v>253</v>
      </c>
      <c r="C36" s="14" t="n">
        <v>406</v>
      </c>
      <c r="D36" s="14" t="n">
        <v>406</v>
      </c>
      <c r="E36" s="16" t="n">
        <v>100</v>
      </c>
    </row>
    <row r="37" customFormat="false" ht="15" hidden="false" customHeight="true" outlineLevel="0" collapsed="false">
      <c r="A37" s="13" t="n">
        <v>2024</v>
      </c>
      <c r="B37" s="13" t="s">
        <v>254</v>
      </c>
      <c r="C37" s="14" t="n">
        <v>133</v>
      </c>
      <c r="D37" s="14" t="n">
        <v>131</v>
      </c>
      <c r="E37" s="16" t="n">
        <v>98.5</v>
      </c>
    </row>
    <row r="38" customFormat="false" ht="15" hidden="false" customHeight="true" outlineLevel="0" collapsed="false">
      <c r="A38" s="13" t="n">
        <v>2024</v>
      </c>
      <c r="B38" s="13" t="s">
        <v>255</v>
      </c>
      <c r="C38" s="14" t="n">
        <v>6810</v>
      </c>
      <c r="D38" s="14" t="n">
        <v>6756</v>
      </c>
      <c r="E38" s="16" t="n">
        <v>99.21</v>
      </c>
    </row>
    <row r="39" customFormat="false" ht="15" hidden="false" customHeight="true" outlineLevel="0" collapsed="false">
      <c r="A39" s="13" t="n">
        <v>2024</v>
      </c>
      <c r="B39" s="13" t="s">
        <v>256</v>
      </c>
      <c r="C39" s="14" t="n">
        <v>168</v>
      </c>
      <c r="D39" s="14" t="n">
        <v>147</v>
      </c>
      <c r="E39" s="16" t="n">
        <v>87.5</v>
      </c>
    </row>
    <row r="40" customFormat="false" ht="15" hidden="false" customHeight="true" outlineLevel="0" collapsed="false">
      <c r="A40" s="13" t="n">
        <v>2024</v>
      </c>
      <c r="B40" s="13" t="s">
        <v>257</v>
      </c>
      <c r="C40" s="14" t="n">
        <v>0</v>
      </c>
      <c r="D40" s="14" t="n">
        <v>0</v>
      </c>
      <c r="E40" s="16" t="n">
        <v>0</v>
      </c>
    </row>
    <row r="41" customFormat="false" ht="15" hidden="false" customHeight="true" outlineLevel="0" collapsed="false">
      <c r="A41" s="13" t="n">
        <v>2024</v>
      </c>
      <c r="B41" s="13" t="s">
        <v>258</v>
      </c>
      <c r="C41" s="14" t="n">
        <v>0</v>
      </c>
      <c r="D41" s="14" t="n">
        <v>0</v>
      </c>
      <c r="E41" s="16" t="n">
        <v>0</v>
      </c>
    </row>
    <row r="42" customFormat="false" ht="15" hidden="false" customHeight="true" outlineLevel="0" collapsed="false">
      <c r="A42" s="13" t="n">
        <v>2024</v>
      </c>
      <c r="B42" s="13" t="s">
        <v>259</v>
      </c>
      <c r="C42" s="14" t="n">
        <v>978</v>
      </c>
      <c r="D42" s="14" t="n">
        <v>834</v>
      </c>
      <c r="E42" s="16" t="n">
        <v>85.28</v>
      </c>
    </row>
    <row r="43" customFormat="false" ht="15" hidden="false" customHeight="true" outlineLevel="0" collapsed="false">
      <c r="A43" s="13" t="n">
        <v>2024</v>
      </c>
      <c r="B43" s="13" t="s">
        <v>260</v>
      </c>
      <c r="C43" s="14" t="n">
        <v>39</v>
      </c>
      <c r="D43" s="14" t="n">
        <v>35</v>
      </c>
      <c r="E43" s="16" t="n">
        <v>89.74</v>
      </c>
    </row>
    <row r="44" customFormat="false" ht="15" hidden="false" customHeight="true" outlineLevel="0" collapsed="false">
      <c r="A44" s="13" t="n">
        <v>2024</v>
      </c>
      <c r="B44" s="13" t="s">
        <v>261</v>
      </c>
      <c r="C44" s="14" t="n">
        <v>4</v>
      </c>
      <c r="D44" s="14" t="n">
        <v>1</v>
      </c>
      <c r="E44" s="16" t="n">
        <v>25</v>
      </c>
    </row>
    <row r="45" customFormat="false" ht="15" hidden="false" customHeight="true" outlineLevel="0" collapsed="false">
      <c r="A45" s="13" t="n">
        <v>2024</v>
      </c>
      <c r="B45" s="13" t="s">
        <v>262</v>
      </c>
      <c r="C45" s="14" t="n">
        <v>4</v>
      </c>
      <c r="D45" s="14" t="n">
        <v>3</v>
      </c>
      <c r="E45" s="16" t="n">
        <v>75</v>
      </c>
    </row>
    <row r="46" customFormat="false" ht="15" hidden="false" customHeight="true" outlineLevel="0" collapsed="false">
      <c r="A46" s="13" t="n">
        <v>2024</v>
      </c>
      <c r="B46" s="13" t="s">
        <v>263</v>
      </c>
      <c r="C46" s="14" t="n">
        <v>97</v>
      </c>
      <c r="D46" s="14" t="n">
        <v>66</v>
      </c>
      <c r="E46" s="16" t="n">
        <v>68.04</v>
      </c>
    </row>
    <row r="47" customFormat="false" ht="15" hidden="false" customHeight="true" outlineLevel="0" collapsed="false">
      <c r="A47" s="13" t="n">
        <v>2024</v>
      </c>
      <c r="B47" s="13" t="s">
        <v>264</v>
      </c>
      <c r="C47" s="14" t="n">
        <v>417</v>
      </c>
      <c r="D47" s="14" t="n">
        <v>367</v>
      </c>
      <c r="E47" s="16" t="n">
        <v>88.01</v>
      </c>
    </row>
    <row r="48" customFormat="false" ht="15" hidden="false" customHeight="true" outlineLevel="0" collapsed="false">
      <c r="A48" s="13" t="n">
        <v>2024</v>
      </c>
      <c r="B48" s="13" t="s">
        <v>265</v>
      </c>
      <c r="C48" s="14" t="n">
        <v>2278</v>
      </c>
      <c r="D48" s="14" t="n">
        <v>2229</v>
      </c>
      <c r="E48" s="16" t="n">
        <v>97.85</v>
      </c>
    </row>
    <row r="49" customFormat="false" ht="15" hidden="false" customHeight="true" outlineLevel="0" collapsed="false">
      <c r="A49" s="13" t="n">
        <v>2024</v>
      </c>
      <c r="B49" s="13" t="s">
        <v>266</v>
      </c>
      <c r="C49" s="14" t="n">
        <v>1266</v>
      </c>
      <c r="D49" s="14" t="n">
        <v>1192</v>
      </c>
      <c r="E49" s="16" t="n">
        <v>94.15</v>
      </c>
    </row>
    <row r="50" customFormat="false" ht="15" hidden="false" customHeight="true" outlineLevel="0" collapsed="false">
      <c r="A50" s="13" t="n">
        <v>2024</v>
      </c>
      <c r="B50" s="13" t="s">
        <v>267</v>
      </c>
      <c r="C50" s="14" t="n">
        <v>8604</v>
      </c>
      <c r="D50" s="14" t="n">
        <v>8067</v>
      </c>
      <c r="E50" s="16" t="n">
        <v>93.76</v>
      </c>
    </row>
    <row r="51" customFormat="false" ht="15" hidden="false" customHeight="true" outlineLevel="0" collapsed="false">
      <c r="A51" s="13" t="n">
        <v>2024</v>
      </c>
      <c r="B51" s="13" t="s">
        <v>268</v>
      </c>
      <c r="C51" s="14" t="n">
        <v>42</v>
      </c>
      <c r="D51" s="14" t="n">
        <v>40</v>
      </c>
      <c r="E51" s="16" t="n">
        <v>95.24</v>
      </c>
    </row>
    <row r="52" customFormat="false" ht="15" hidden="false" customHeight="true" outlineLevel="0" collapsed="false">
      <c r="A52" s="13" t="n">
        <v>2024</v>
      </c>
      <c r="B52" s="13" t="s">
        <v>269</v>
      </c>
      <c r="C52" s="14" t="n">
        <v>2304</v>
      </c>
      <c r="D52" s="14" t="n">
        <v>2271</v>
      </c>
      <c r="E52" s="16" t="n">
        <v>98.57</v>
      </c>
    </row>
    <row r="53" customFormat="false" ht="15" hidden="false" customHeight="true" outlineLevel="0" collapsed="false">
      <c r="A53" s="13" t="n">
        <v>2024</v>
      </c>
      <c r="B53" s="13" t="s">
        <v>270</v>
      </c>
      <c r="C53" s="14" t="n">
        <v>4172</v>
      </c>
      <c r="D53" s="14" t="n">
        <v>1292</v>
      </c>
      <c r="E53" s="16" t="n">
        <v>30.97</v>
      </c>
    </row>
    <row r="54" customFormat="false" ht="15" hidden="false" customHeight="true" outlineLevel="0" collapsed="false">
      <c r="A54" s="13" t="n">
        <v>2024</v>
      </c>
      <c r="B54" s="13" t="s">
        <v>271</v>
      </c>
      <c r="C54" s="14" t="n">
        <v>15199</v>
      </c>
      <c r="D54" s="14" t="n">
        <v>9356</v>
      </c>
      <c r="E54" s="16" t="n">
        <v>61.56</v>
      </c>
    </row>
    <row r="55" customFormat="false" ht="15" hidden="false" customHeight="true" outlineLevel="0" collapsed="false">
      <c r="A55" s="13" t="n">
        <v>2024</v>
      </c>
      <c r="B55" s="13" t="s">
        <v>272</v>
      </c>
      <c r="C55" s="14" t="n">
        <v>2</v>
      </c>
      <c r="D55" s="14" t="n">
        <v>2</v>
      </c>
      <c r="E55" s="16" t="n">
        <v>100</v>
      </c>
    </row>
    <row r="56" customFormat="false" ht="15" hidden="false" customHeight="true" outlineLevel="0" collapsed="false">
      <c r="A56" s="13" t="n">
        <v>2024</v>
      </c>
      <c r="B56" s="13" t="s">
        <v>273</v>
      </c>
      <c r="C56" s="14" t="n">
        <v>253</v>
      </c>
      <c r="D56" s="14" t="n">
        <v>253</v>
      </c>
      <c r="E56" s="16" t="n">
        <v>100</v>
      </c>
    </row>
    <row r="57" customFormat="false" ht="15" hidden="false" customHeight="true" outlineLevel="0" collapsed="false">
      <c r="A57" s="13" t="n">
        <v>2024</v>
      </c>
      <c r="B57" s="13" t="s">
        <v>149</v>
      </c>
      <c r="C57" s="14" t="n">
        <v>48124</v>
      </c>
      <c r="D57" s="14" t="n">
        <v>47157</v>
      </c>
      <c r="E57" s="16" t="n">
        <v>97.99</v>
      </c>
    </row>
    <row r="58" customFormat="false" ht="15" hidden="false" customHeight="true" outlineLevel="0" collapsed="false">
      <c r="A58" s="13" t="n">
        <v>2024</v>
      </c>
      <c r="B58" s="13" t="s">
        <v>274</v>
      </c>
      <c r="C58" s="14" t="n">
        <v>0</v>
      </c>
      <c r="D58" s="14" t="n">
        <v>0</v>
      </c>
      <c r="E58" s="16" t="n">
        <v>0</v>
      </c>
    </row>
    <row r="59" customFormat="false" ht="15" hidden="false" customHeight="true" outlineLevel="0" collapsed="false">
      <c r="A59" s="13" t="n">
        <v>2024</v>
      </c>
      <c r="B59" s="13" t="s">
        <v>275</v>
      </c>
      <c r="C59" s="14" t="n">
        <v>0</v>
      </c>
      <c r="D59" s="14" t="n">
        <v>0</v>
      </c>
      <c r="E59" s="16" t="n">
        <v>0</v>
      </c>
    </row>
    <row r="60" customFormat="false" ht="15" hidden="false" customHeight="true" outlineLevel="0" collapsed="false">
      <c r="A60" s="13" t="n">
        <v>2024</v>
      </c>
      <c r="B60" s="13" t="s">
        <v>276</v>
      </c>
      <c r="C60" s="14" t="n">
        <v>382</v>
      </c>
      <c r="D60" s="14" t="n">
        <v>380</v>
      </c>
      <c r="E60" s="16" t="n">
        <v>99.48</v>
      </c>
    </row>
    <row r="61" customFormat="false" ht="15" hidden="false" customHeight="true" outlineLevel="0" collapsed="false">
      <c r="A61" s="13" t="n">
        <v>2024</v>
      </c>
      <c r="B61" s="13" t="s">
        <v>277</v>
      </c>
      <c r="C61" s="14" t="n">
        <v>3205</v>
      </c>
      <c r="D61" s="14" t="n">
        <v>3197</v>
      </c>
      <c r="E61" s="16" t="n">
        <v>99.75</v>
      </c>
    </row>
    <row r="62" customFormat="false" ht="15" hidden="false" customHeight="true" outlineLevel="0" collapsed="false">
      <c r="A62" s="13" t="n">
        <v>2024</v>
      </c>
      <c r="B62" s="13" t="s">
        <v>278</v>
      </c>
      <c r="C62" s="14" t="n">
        <v>12</v>
      </c>
      <c r="D62" s="14" t="n">
        <v>7</v>
      </c>
      <c r="E62" s="16" t="n">
        <v>58.33</v>
      </c>
    </row>
    <row r="63" customFormat="false" ht="15" hidden="false" customHeight="true" outlineLevel="0" collapsed="false">
      <c r="A63" s="13" t="n">
        <v>2024</v>
      </c>
      <c r="B63" s="13" t="s">
        <v>279</v>
      </c>
      <c r="C63" s="14" t="n">
        <v>26</v>
      </c>
      <c r="D63" s="14" t="n">
        <v>12</v>
      </c>
      <c r="E63" s="16" t="n">
        <v>46.15</v>
      </c>
    </row>
    <row r="64" customFormat="false" ht="15" hidden="false" customHeight="true" outlineLevel="0" collapsed="false">
      <c r="A64" s="13" t="n">
        <v>2024</v>
      </c>
      <c r="B64" s="13" t="s">
        <v>280</v>
      </c>
      <c r="C64" s="14" t="n">
        <v>4052</v>
      </c>
      <c r="D64" s="14" t="n">
        <v>2366</v>
      </c>
      <c r="E64" s="16" t="n">
        <v>58.39</v>
      </c>
    </row>
    <row r="65" customFormat="false" ht="15" hidden="false" customHeight="true" outlineLevel="0" collapsed="false">
      <c r="A65" s="13" t="n">
        <v>2024</v>
      </c>
      <c r="B65" s="13" t="s">
        <v>281</v>
      </c>
      <c r="C65" s="14" t="n">
        <v>29020</v>
      </c>
      <c r="D65" s="14" t="n">
        <v>23760</v>
      </c>
      <c r="E65" s="16" t="n">
        <v>81.87</v>
      </c>
    </row>
    <row r="66" customFormat="false" ht="15" hidden="false" customHeight="true" outlineLevel="0" collapsed="false">
      <c r="A66" s="13" t="n">
        <v>2024</v>
      </c>
      <c r="B66" s="13" t="s">
        <v>282</v>
      </c>
      <c r="C66" s="14" t="n">
        <v>22</v>
      </c>
      <c r="D66" s="14" t="n">
        <v>18</v>
      </c>
      <c r="E66" s="16" t="n">
        <v>81.82</v>
      </c>
    </row>
    <row r="67" customFormat="false" ht="15" hidden="false" customHeight="true" outlineLevel="0" collapsed="false">
      <c r="A67" s="13" t="n">
        <v>2024</v>
      </c>
      <c r="B67" s="13" t="s">
        <v>283</v>
      </c>
      <c r="C67" s="14" t="n">
        <v>245</v>
      </c>
      <c r="D67" s="14" t="n">
        <v>236</v>
      </c>
      <c r="E67" s="16" t="n">
        <v>96.33</v>
      </c>
    </row>
    <row r="68" customFormat="false" ht="15" hidden="false" customHeight="true" outlineLevel="0" collapsed="false">
      <c r="A68" s="13" t="n">
        <v>2024</v>
      </c>
      <c r="B68" s="13" t="s">
        <v>284</v>
      </c>
      <c r="C68" s="14" t="n">
        <v>15</v>
      </c>
      <c r="D68" s="14" t="n">
        <v>14</v>
      </c>
      <c r="E68" s="16" t="n">
        <v>93.33</v>
      </c>
    </row>
    <row r="69" customFormat="false" ht="15" hidden="false" customHeight="true" outlineLevel="0" collapsed="false">
      <c r="A69" s="13" t="n">
        <v>2024</v>
      </c>
      <c r="B69" s="13" t="s">
        <v>285</v>
      </c>
      <c r="C69" s="14" t="n">
        <v>82</v>
      </c>
      <c r="D69" s="14" t="n">
        <v>76</v>
      </c>
      <c r="E69" s="16" t="n">
        <v>92.68</v>
      </c>
    </row>
    <row r="70" customFormat="false" ht="15" hidden="false" customHeight="true" outlineLevel="0" collapsed="false">
      <c r="A70" s="13" t="n">
        <v>2024</v>
      </c>
      <c r="B70" s="13" t="s">
        <v>286</v>
      </c>
      <c r="C70" s="14" t="n">
        <v>184</v>
      </c>
      <c r="D70" s="14" t="n">
        <v>152</v>
      </c>
      <c r="E70" s="16" t="n">
        <v>82.61</v>
      </c>
    </row>
    <row r="71" customFormat="false" ht="15" hidden="false" customHeight="true" outlineLevel="0" collapsed="false">
      <c r="A71" s="13" t="n">
        <v>2024</v>
      </c>
      <c r="B71" s="13" t="s">
        <v>287</v>
      </c>
      <c r="C71" s="14" t="n">
        <v>1832</v>
      </c>
      <c r="D71" s="14" t="n">
        <v>1791</v>
      </c>
      <c r="E71" s="16" t="n">
        <v>97.76</v>
      </c>
    </row>
    <row r="72" customFormat="false" ht="15" hidden="false" customHeight="true" outlineLevel="0" collapsed="false">
      <c r="A72" s="13" t="n">
        <v>2024</v>
      </c>
      <c r="B72" s="13" t="s">
        <v>288</v>
      </c>
      <c r="C72" s="14" t="n">
        <v>234</v>
      </c>
      <c r="D72" s="14" t="n">
        <v>233</v>
      </c>
      <c r="E72" s="16" t="n">
        <v>99.57</v>
      </c>
    </row>
    <row r="73" customFormat="false" ht="15" hidden="false" customHeight="true" outlineLevel="0" collapsed="false">
      <c r="A73" s="13" t="n">
        <v>2024</v>
      </c>
      <c r="B73" s="13" t="s">
        <v>289</v>
      </c>
      <c r="C73" s="14" t="n">
        <v>1229</v>
      </c>
      <c r="D73" s="14" t="n">
        <v>1225</v>
      </c>
      <c r="E73" s="16" t="n">
        <v>99.67</v>
      </c>
    </row>
    <row r="74" customFormat="false" ht="15" hidden="false" customHeight="true" outlineLevel="0" collapsed="false">
      <c r="A74" s="13" t="n">
        <v>2024</v>
      </c>
      <c r="B74" s="13" t="s">
        <v>290</v>
      </c>
      <c r="C74" s="14" t="n">
        <v>2</v>
      </c>
      <c r="D74" s="14" t="n">
        <v>2</v>
      </c>
      <c r="E74" s="16" t="n">
        <v>100</v>
      </c>
    </row>
    <row r="75" customFormat="false" ht="15" hidden="false" customHeight="true" outlineLevel="0" collapsed="false">
      <c r="A75" s="13" t="n">
        <v>2024</v>
      </c>
      <c r="B75" s="13" t="s">
        <v>291</v>
      </c>
      <c r="C75" s="14" t="n">
        <v>155</v>
      </c>
      <c r="D75" s="14" t="n">
        <v>154</v>
      </c>
      <c r="E75" s="16" t="n">
        <v>99.35</v>
      </c>
    </row>
    <row r="76" customFormat="false" ht="15" hidden="false" customHeight="true" outlineLevel="0" collapsed="false">
      <c r="A76" s="13" t="n">
        <v>2024</v>
      </c>
      <c r="B76" s="13" t="s">
        <v>292</v>
      </c>
      <c r="C76" s="14" t="n">
        <v>1087</v>
      </c>
      <c r="D76" s="14" t="n">
        <v>1086</v>
      </c>
      <c r="E76" s="16" t="n">
        <v>99.91</v>
      </c>
    </row>
    <row r="77" customFormat="false" ht="15" hidden="false" customHeight="true" outlineLevel="0" collapsed="false">
      <c r="A77" s="13" t="n">
        <v>2024</v>
      </c>
      <c r="B77" s="13" t="s">
        <v>293</v>
      </c>
      <c r="C77" s="14" t="n">
        <v>332</v>
      </c>
      <c r="D77" s="14" t="n">
        <v>312</v>
      </c>
      <c r="E77" s="16" t="n">
        <v>93.98</v>
      </c>
    </row>
    <row r="78" customFormat="false" ht="15" hidden="false" customHeight="true" outlineLevel="0" collapsed="false">
      <c r="A78" s="13" t="n">
        <v>2024</v>
      </c>
      <c r="B78" s="13" t="s">
        <v>294</v>
      </c>
      <c r="C78" s="14" t="n">
        <v>1387</v>
      </c>
      <c r="D78" s="14" t="n">
        <v>1372</v>
      </c>
      <c r="E78" s="16" t="n">
        <v>98.92</v>
      </c>
    </row>
    <row r="79" customFormat="false" ht="15" hidden="false" customHeight="true" outlineLevel="0" collapsed="false">
      <c r="A79" s="13" t="n">
        <v>2024</v>
      </c>
      <c r="B79" s="13" t="s">
        <v>295</v>
      </c>
      <c r="C79" s="14" t="n">
        <v>569</v>
      </c>
      <c r="D79" s="14" t="n">
        <v>249</v>
      </c>
      <c r="E79" s="16" t="n">
        <v>43.76</v>
      </c>
    </row>
    <row r="80" customFormat="false" ht="15" hidden="false" customHeight="true" outlineLevel="0" collapsed="false">
      <c r="A80" s="13" t="n">
        <v>2024</v>
      </c>
      <c r="B80" s="13" t="s">
        <v>296</v>
      </c>
      <c r="C80" s="14" t="n">
        <v>2464</v>
      </c>
      <c r="D80" s="14" t="n">
        <v>2076</v>
      </c>
      <c r="E80" s="16" t="n">
        <v>84.25</v>
      </c>
    </row>
    <row r="81" customFormat="false" ht="15" hidden="false" customHeight="true" outlineLevel="0" collapsed="false">
      <c r="A81" s="13" t="n">
        <v>2024</v>
      </c>
      <c r="B81" s="13" t="s">
        <v>297</v>
      </c>
      <c r="C81" s="14" t="n">
        <v>1806</v>
      </c>
      <c r="D81" s="14" t="n">
        <v>1721</v>
      </c>
      <c r="E81" s="16" t="n">
        <v>95.29</v>
      </c>
    </row>
    <row r="82" customFormat="false" ht="15" hidden="false" customHeight="true" outlineLevel="0" collapsed="false">
      <c r="A82" s="13" t="n">
        <v>2024</v>
      </c>
      <c r="B82" s="13" t="s">
        <v>298</v>
      </c>
      <c r="C82" s="14" t="n">
        <v>46957</v>
      </c>
      <c r="D82" s="14" t="n">
        <v>46815</v>
      </c>
      <c r="E82" s="16" t="n">
        <v>99.7</v>
      </c>
    </row>
    <row r="83" customFormat="false" ht="15" hidden="false" customHeight="true" outlineLevel="0" collapsed="false">
      <c r="A83" s="13" t="n">
        <v>2024</v>
      </c>
      <c r="B83" s="13" t="s">
        <v>299</v>
      </c>
      <c r="C83" s="14" t="n">
        <v>16</v>
      </c>
      <c r="D83" s="14" t="n">
        <v>16</v>
      </c>
      <c r="E83" s="16" t="n">
        <v>100</v>
      </c>
    </row>
    <row r="84" customFormat="false" ht="15" hidden="false" customHeight="true" outlineLevel="0" collapsed="false">
      <c r="A84" s="13" t="n">
        <v>2024</v>
      </c>
      <c r="B84" s="13" t="s">
        <v>300</v>
      </c>
      <c r="C84" s="14" t="n">
        <v>78</v>
      </c>
      <c r="D84" s="14" t="n">
        <v>78</v>
      </c>
      <c r="E84" s="16" t="n">
        <v>100</v>
      </c>
    </row>
    <row r="85" customFormat="false" ht="15" hidden="false" customHeight="true" outlineLevel="0" collapsed="false">
      <c r="A85" s="13" t="n">
        <v>2024</v>
      </c>
      <c r="B85" s="13" t="s">
        <v>301</v>
      </c>
      <c r="C85" s="14" t="n">
        <v>4516</v>
      </c>
      <c r="D85" s="14" t="n">
        <v>3557</v>
      </c>
      <c r="E85" s="16" t="n">
        <v>78.76</v>
      </c>
    </row>
    <row r="86" customFormat="false" ht="15" hidden="false" customHeight="true" outlineLevel="0" collapsed="false">
      <c r="A86" s="13" t="n">
        <v>2024</v>
      </c>
      <c r="B86" s="13" t="s">
        <v>302</v>
      </c>
      <c r="C86" s="14" t="n">
        <v>48832</v>
      </c>
      <c r="D86" s="14" t="n">
        <v>47485</v>
      </c>
      <c r="E86" s="16" t="n">
        <v>97.24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303</v>
      </c>
    </row>
    <row r="2" customFormat="false" ht="15" hidden="false" customHeight="true" outlineLevel="0" collapsed="false">
      <c r="A2" s="13" t="s">
        <v>304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977</v>
      </c>
      <c r="D5" s="14" t="n">
        <v>667</v>
      </c>
      <c r="E5" s="16" t="n">
        <v>68.27</v>
      </c>
      <c r="F5" s="14" t="n">
        <v>106</v>
      </c>
      <c r="G5" s="14" t="n">
        <v>148</v>
      </c>
      <c r="H5" s="14" t="n">
        <v>198</v>
      </c>
      <c r="I5" s="14" t="n">
        <v>193</v>
      </c>
      <c r="J5" s="14" t="n">
        <v>22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2734</v>
      </c>
      <c r="D6" s="14" t="n">
        <v>2281</v>
      </c>
      <c r="E6" s="16" t="n">
        <v>83.43</v>
      </c>
      <c r="F6" s="14" t="n">
        <v>394</v>
      </c>
      <c r="G6" s="14" t="n">
        <v>577</v>
      </c>
      <c r="H6" s="14" t="n">
        <v>814</v>
      </c>
      <c r="I6" s="14" t="n">
        <v>473</v>
      </c>
      <c r="J6" s="14" t="n">
        <v>23</v>
      </c>
      <c r="K6" s="14" t="n">
        <v>0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3711</v>
      </c>
      <c r="D7" s="14" t="n">
        <v>2948</v>
      </c>
      <c r="E7" s="16" t="n">
        <v>79.44</v>
      </c>
      <c r="F7" s="14" t="n">
        <v>500</v>
      </c>
      <c r="G7" s="14" t="n">
        <v>725</v>
      </c>
      <c r="H7" s="14" t="n">
        <v>1012</v>
      </c>
      <c r="I7" s="14" t="n">
        <v>666</v>
      </c>
      <c r="J7" s="14" t="n">
        <v>45</v>
      </c>
      <c r="K7" s="14" t="n">
        <v>0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307</v>
      </c>
      <c r="D8" s="14" t="n">
        <v>211</v>
      </c>
      <c r="E8" s="16" t="n">
        <v>68.73</v>
      </c>
      <c r="F8" s="14" t="n">
        <v>38</v>
      </c>
      <c r="G8" s="14" t="n">
        <v>44</v>
      </c>
      <c r="H8" s="14" t="n">
        <v>58</v>
      </c>
      <c r="I8" s="14" t="n">
        <v>55</v>
      </c>
      <c r="J8" s="14" t="n">
        <v>16</v>
      </c>
      <c r="K8" s="14" t="n">
        <v>0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232</v>
      </c>
      <c r="D9" s="14" t="n">
        <v>194</v>
      </c>
      <c r="E9" s="16" t="n">
        <v>83.62</v>
      </c>
      <c r="F9" s="14" t="n">
        <v>28</v>
      </c>
      <c r="G9" s="14" t="n">
        <v>48</v>
      </c>
      <c r="H9" s="14" t="n">
        <v>69</v>
      </c>
      <c r="I9" s="14" t="n">
        <v>44</v>
      </c>
      <c r="J9" s="14" t="n">
        <v>5</v>
      </c>
      <c r="K9" s="14" t="n">
        <v>0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539</v>
      </c>
      <c r="D10" s="14" t="n">
        <v>405</v>
      </c>
      <c r="E10" s="16" t="n">
        <v>75.14</v>
      </c>
      <c r="F10" s="14" t="n">
        <v>66</v>
      </c>
      <c r="G10" s="14" t="n">
        <v>92</v>
      </c>
      <c r="H10" s="14" t="n">
        <v>127</v>
      </c>
      <c r="I10" s="14" t="n">
        <v>99</v>
      </c>
      <c r="J10" s="14" t="n">
        <v>21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2583</v>
      </c>
      <c r="D11" s="14" t="n">
        <v>1300</v>
      </c>
      <c r="E11" s="16" t="n">
        <v>50.33</v>
      </c>
      <c r="F11" s="14" t="n">
        <v>73</v>
      </c>
      <c r="G11" s="14" t="n">
        <v>150</v>
      </c>
      <c r="H11" s="14" t="n">
        <v>465</v>
      </c>
      <c r="I11" s="14" t="n">
        <v>501</v>
      </c>
      <c r="J11" s="14" t="n">
        <v>111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2670</v>
      </c>
      <c r="D12" s="14" t="n">
        <v>1800</v>
      </c>
      <c r="E12" s="16" t="n">
        <v>67.42</v>
      </c>
      <c r="F12" s="14" t="n">
        <v>92</v>
      </c>
      <c r="G12" s="14" t="n">
        <v>326</v>
      </c>
      <c r="H12" s="14" t="n">
        <v>740</v>
      </c>
      <c r="I12" s="14" t="n">
        <v>573</v>
      </c>
      <c r="J12" s="14" t="n">
        <v>69</v>
      </c>
      <c r="K12" s="14" t="n">
        <v>0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5253</v>
      </c>
      <c r="D13" s="14" t="n">
        <v>3100</v>
      </c>
      <c r="E13" s="16" t="n">
        <v>59.01</v>
      </c>
      <c r="F13" s="14" t="n">
        <v>165</v>
      </c>
      <c r="G13" s="14" t="n">
        <v>476</v>
      </c>
      <c r="H13" s="14" t="n">
        <v>1205</v>
      </c>
      <c r="I13" s="14" t="n">
        <v>1074</v>
      </c>
      <c r="J13" s="14" t="n">
        <v>180</v>
      </c>
      <c r="K13" s="14" t="n">
        <v>0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3745</v>
      </c>
      <c r="D14" s="14" t="n">
        <v>1420</v>
      </c>
      <c r="E14" s="16" t="n">
        <v>37.92</v>
      </c>
      <c r="F14" s="14" t="n">
        <v>30</v>
      </c>
      <c r="G14" s="14" t="n">
        <v>148</v>
      </c>
      <c r="H14" s="14" t="n">
        <v>507</v>
      </c>
      <c r="I14" s="14" t="n">
        <v>566</v>
      </c>
      <c r="J14" s="14" t="n">
        <v>167</v>
      </c>
      <c r="K14" s="14" t="n">
        <v>2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6756</v>
      </c>
      <c r="D15" s="14" t="n">
        <v>4164</v>
      </c>
      <c r="E15" s="16" t="n">
        <v>61.63</v>
      </c>
      <c r="F15" s="14" t="n">
        <v>155</v>
      </c>
      <c r="G15" s="14" t="n">
        <v>896</v>
      </c>
      <c r="H15" s="14" t="n">
        <v>1779</v>
      </c>
      <c r="I15" s="14" t="n">
        <v>1143</v>
      </c>
      <c r="J15" s="14" t="n">
        <v>186</v>
      </c>
      <c r="K15" s="14" t="n">
        <v>5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10501</v>
      </c>
      <c r="D16" s="14" t="n">
        <v>5584</v>
      </c>
      <c r="E16" s="16" t="n">
        <v>53.18</v>
      </c>
      <c r="F16" s="14" t="n">
        <v>185</v>
      </c>
      <c r="G16" s="14" t="n">
        <v>1044</v>
      </c>
      <c r="H16" s="14" t="n">
        <v>2286</v>
      </c>
      <c r="I16" s="14" t="n">
        <v>1709</v>
      </c>
      <c r="J16" s="14" t="n">
        <v>353</v>
      </c>
      <c r="K16" s="14" t="n">
        <v>7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58</v>
      </c>
      <c r="D17" s="14" t="n">
        <v>39</v>
      </c>
      <c r="E17" s="16" t="n">
        <v>67.24</v>
      </c>
      <c r="F17" s="14" t="n">
        <v>1</v>
      </c>
      <c r="G17" s="14" t="n">
        <v>5</v>
      </c>
      <c r="H17" s="14" t="n">
        <v>10</v>
      </c>
      <c r="I17" s="14" t="n">
        <v>16</v>
      </c>
      <c r="J17" s="14" t="n">
        <v>7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11</v>
      </c>
      <c r="D18" s="14" t="n">
        <v>11</v>
      </c>
      <c r="E18" s="16" t="n">
        <v>100</v>
      </c>
      <c r="F18" s="14" t="n">
        <v>1</v>
      </c>
      <c r="G18" s="14" t="n">
        <v>6</v>
      </c>
      <c r="H18" s="14" t="n">
        <v>4</v>
      </c>
      <c r="I18" s="14" t="n">
        <v>0</v>
      </c>
      <c r="J18" s="14" t="n">
        <v>0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69</v>
      </c>
      <c r="D19" s="14" t="n">
        <v>50</v>
      </c>
      <c r="E19" s="16" t="n">
        <v>72.46</v>
      </c>
      <c r="F19" s="14" t="n">
        <v>2</v>
      </c>
      <c r="G19" s="14" t="n">
        <v>11</v>
      </c>
      <c r="H19" s="14" t="n">
        <v>14</v>
      </c>
      <c r="I19" s="14" t="n">
        <v>16</v>
      </c>
      <c r="J19" s="14" t="n">
        <v>7</v>
      </c>
      <c r="K19" s="14" t="n">
        <v>0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7670</v>
      </c>
      <c r="D20" s="14" t="n">
        <v>3637</v>
      </c>
      <c r="E20" s="16" t="n">
        <v>47.42</v>
      </c>
      <c r="F20" s="14" t="n">
        <v>248</v>
      </c>
      <c r="G20" s="14" t="n">
        <v>495</v>
      </c>
      <c r="H20" s="14" t="n">
        <v>1238</v>
      </c>
      <c r="I20" s="14" t="n">
        <v>1331</v>
      </c>
      <c r="J20" s="14" t="n">
        <v>323</v>
      </c>
      <c r="K20" s="14" t="n">
        <v>2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12403</v>
      </c>
      <c r="D21" s="14" t="n">
        <v>8450</v>
      </c>
      <c r="E21" s="16" t="n">
        <v>68.13</v>
      </c>
      <c r="F21" s="14" t="n">
        <v>670</v>
      </c>
      <c r="G21" s="14" t="n">
        <v>1853</v>
      </c>
      <c r="H21" s="14" t="n">
        <v>3406</v>
      </c>
      <c r="I21" s="14" t="n">
        <v>2233</v>
      </c>
      <c r="J21" s="14" t="n">
        <v>283</v>
      </c>
      <c r="K21" s="14" t="n">
        <v>5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20073</v>
      </c>
      <c r="D22" s="14" t="n">
        <v>12087</v>
      </c>
      <c r="E22" s="16" t="n">
        <v>60.22</v>
      </c>
      <c r="F22" s="14" t="n">
        <v>918</v>
      </c>
      <c r="G22" s="14" t="n">
        <v>2348</v>
      </c>
      <c r="H22" s="14" t="n">
        <v>4644</v>
      </c>
      <c r="I22" s="14" t="n">
        <v>3564</v>
      </c>
      <c r="J22" s="14" t="n">
        <v>606</v>
      </c>
      <c r="K22" s="14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305</v>
      </c>
    </row>
    <row r="2" customFormat="false" ht="15" hidden="false" customHeight="true" outlineLevel="0" collapsed="false">
      <c r="A2" s="13" t="s">
        <v>304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2488</v>
      </c>
      <c r="D5" s="14" t="n">
        <v>2059</v>
      </c>
      <c r="E5" s="16" t="n">
        <v>82.76</v>
      </c>
      <c r="F5" s="14" t="n">
        <v>555</v>
      </c>
      <c r="G5" s="14" t="n">
        <v>520</v>
      </c>
      <c r="H5" s="14" t="n">
        <v>567</v>
      </c>
      <c r="I5" s="14" t="n">
        <v>378</v>
      </c>
      <c r="J5" s="14" t="n">
        <v>39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6409</v>
      </c>
      <c r="D6" s="14" t="n">
        <v>5757</v>
      </c>
      <c r="E6" s="16" t="n">
        <v>89.83</v>
      </c>
      <c r="F6" s="14" t="n">
        <v>1972</v>
      </c>
      <c r="G6" s="14" t="n">
        <v>1685</v>
      </c>
      <c r="H6" s="14" t="n">
        <v>1463</v>
      </c>
      <c r="I6" s="14" t="n">
        <v>604</v>
      </c>
      <c r="J6" s="14" t="n">
        <v>32</v>
      </c>
      <c r="K6" s="14" t="n">
        <v>1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8897</v>
      </c>
      <c r="D7" s="14" t="n">
        <v>7816</v>
      </c>
      <c r="E7" s="16" t="n">
        <v>87.85</v>
      </c>
      <c r="F7" s="14" t="n">
        <v>2527</v>
      </c>
      <c r="G7" s="14" t="n">
        <v>2205</v>
      </c>
      <c r="H7" s="14" t="n">
        <v>2030</v>
      </c>
      <c r="I7" s="14" t="n">
        <v>982</v>
      </c>
      <c r="J7" s="14" t="n">
        <v>71</v>
      </c>
      <c r="K7" s="14" t="n">
        <v>1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888</v>
      </c>
      <c r="D8" s="14" t="n">
        <v>758</v>
      </c>
      <c r="E8" s="16" t="n">
        <v>85.36</v>
      </c>
      <c r="F8" s="14" t="n">
        <v>175</v>
      </c>
      <c r="G8" s="14" t="n">
        <v>207</v>
      </c>
      <c r="H8" s="14" t="n">
        <v>230</v>
      </c>
      <c r="I8" s="14" t="n">
        <v>125</v>
      </c>
      <c r="J8" s="14" t="n">
        <v>21</v>
      </c>
      <c r="K8" s="14" t="n">
        <v>0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528</v>
      </c>
      <c r="D9" s="14" t="n">
        <v>485</v>
      </c>
      <c r="E9" s="16" t="n">
        <v>91.86</v>
      </c>
      <c r="F9" s="14" t="n">
        <v>130</v>
      </c>
      <c r="G9" s="14" t="n">
        <v>163</v>
      </c>
      <c r="H9" s="14" t="n">
        <v>126</v>
      </c>
      <c r="I9" s="14" t="n">
        <v>62</v>
      </c>
      <c r="J9" s="14" t="n">
        <v>4</v>
      </c>
      <c r="K9" s="14" t="n">
        <v>0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1416</v>
      </c>
      <c r="D10" s="14" t="n">
        <v>1243</v>
      </c>
      <c r="E10" s="16" t="n">
        <v>87.78</v>
      </c>
      <c r="F10" s="14" t="n">
        <v>305</v>
      </c>
      <c r="G10" s="14" t="n">
        <v>370</v>
      </c>
      <c r="H10" s="14" t="n">
        <v>356</v>
      </c>
      <c r="I10" s="14" t="n">
        <v>187</v>
      </c>
      <c r="J10" s="14" t="n">
        <v>25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4255</v>
      </c>
      <c r="D11" s="14" t="n">
        <v>2799</v>
      </c>
      <c r="E11" s="16" t="n">
        <v>65.78</v>
      </c>
      <c r="F11" s="14" t="n">
        <v>270</v>
      </c>
      <c r="G11" s="14" t="n">
        <v>582</v>
      </c>
      <c r="H11" s="14" t="n">
        <v>933</v>
      </c>
      <c r="I11" s="14" t="n">
        <v>838</v>
      </c>
      <c r="J11" s="14" t="n">
        <v>176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3847</v>
      </c>
      <c r="D12" s="14" t="n">
        <v>3039</v>
      </c>
      <c r="E12" s="16" t="n">
        <v>79</v>
      </c>
      <c r="F12" s="14" t="n">
        <v>483</v>
      </c>
      <c r="G12" s="14" t="n">
        <v>894</v>
      </c>
      <c r="H12" s="14" t="n">
        <v>1098</v>
      </c>
      <c r="I12" s="14" t="n">
        <v>522</v>
      </c>
      <c r="J12" s="14" t="n">
        <v>42</v>
      </c>
      <c r="K12" s="14" t="n">
        <v>0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8102</v>
      </c>
      <c r="D13" s="14" t="n">
        <v>5838</v>
      </c>
      <c r="E13" s="16" t="n">
        <v>72.06</v>
      </c>
      <c r="F13" s="14" t="n">
        <v>753</v>
      </c>
      <c r="G13" s="14" t="n">
        <v>1476</v>
      </c>
      <c r="H13" s="14" t="n">
        <v>2031</v>
      </c>
      <c r="I13" s="14" t="n">
        <v>1360</v>
      </c>
      <c r="J13" s="14" t="n">
        <v>218</v>
      </c>
      <c r="K13" s="14" t="n">
        <v>0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2121</v>
      </c>
      <c r="D14" s="14" t="n">
        <v>1047</v>
      </c>
      <c r="E14" s="16" t="n">
        <v>49.36</v>
      </c>
      <c r="F14" s="14" t="n">
        <v>15</v>
      </c>
      <c r="G14" s="14" t="n">
        <v>113</v>
      </c>
      <c r="H14" s="14" t="n">
        <v>319</v>
      </c>
      <c r="I14" s="14" t="n">
        <v>415</v>
      </c>
      <c r="J14" s="14" t="n">
        <v>181</v>
      </c>
      <c r="K14" s="14" t="n">
        <v>4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2859</v>
      </c>
      <c r="D15" s="14" t="n">
        <v>2114</v>
      </c>
      <c r="E15" s="16" t="n">
        <v>73.94</v>
      </c>
      <c r="F15" s="14" t="n">
        <v>108</v>
      </c>
      <c r="G15" s="14" t="n">
        <v>534</v>
      </c>
      <c r="H15" s="14" t="n">
        <v>894</v>
      </c>
      <c r="I15" s="14" t="n">
        <v>504</v>
      </c>
      <c r="J15" s="14" t="n">
        <v>74</v>
      </c>
      <c r="K15" s="14" t="n">
        <v>0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4980</v>
      </c>
      <c r="D16" s="14" t="n">
        <v>3161</v>
      </c>
      <c r="E16" s="16" t="n">
        <v>63.47</v>
      </c>
      <c r="F16" s="14" t="n">
        <v>123</v>
      </c>
      <c r="G16" s="14" t="n">
        <v>647</v>
      </c>
      <c r="H16" s="14" t="n">
        <v>1213</v>
      </c>
      <c r="I16" s="14" t="n">
        <v>919</v>
      </c>
      <c r="J16" s="14" t="n">
        <v>255</v>
      </c>
      <c r="K16" s="14" t="n">
        <v>4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83</v>
      </c>
      <c r="D17" s="14" t="n">
        <v>51</v>
      </c>
      <c r="E17" s="16" t="n">
        <v>61.45</v>
      </c>
      <c r="F17" s="14" t="n">
        <v>3</v>
      </c>
      <c r="G17" s="14" t="n">
        <v>9</v>
      </c>
      <c r="H17" s="14" t="n">
        <v>12</v>
      </c>
      <c r="I17" s="14" t="n">
        <v>20</v>
      </c>
      <c r="J17" s="14" t="n">
        <v>7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40</v>
      </c>
      <c r="D18" s="14" t="n">
        <v>34</v>
      </c>
      <c r="E18" s="16" t="n">
        <v>85</v>
      </c>
      <c r="F18" s="14" t="n">
        <v>4</v>
      </c>
      <c r="G18" s="14" t="n">
        <v>11</v>
      </c>
      <c r="H18" s="14" t="n">
        <v>11</v>
      </c>
      <c r="I18" s="14" t="n">
        <v>5</v>
      </c>
      <c r="J18" s="14" t="n">
        <v>3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123</v>
      </c>
      <c r="D19" s="14" t="n">
        <v>85</v>
      </c>
      <c r="E19" s="16" t="n">
        <v>69.11</v>
      </c>
      <c r="F19" s="14" t="n">
        <v>7</v>
      </c>
      <c r="G19" s="14" t="n">
        <v>20</v>
      </c>
      <c r="H19" s="14" t="n">
        <v>23</v>
      </c>
      <c r="I19" s="14" t="n">
        <v>25</v>
      </c>
      <c r="J19" s="14" t="n">
        <v>10</v>
      </c>
      <c r="K19" s="14" t="n">
        <v>0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9835</v>
      </c>
      <c r="D20" s="14" t="n">
        <v>6714</v>
      </c>
      <c r="E20" s="16" t="n">
        <v>68.27</v>
      </c>
      <c r="F20" s="14" t="n">
        <v>1018</v>
      </c>
      <c r="G20" s="14" t="n">
        <v>1431</v>
      </c>
      <c r="H20" s="14" t="n">
        <v>2061</v>
      </c>
      <c r="I20" s="14" t="n">
        <v>1776</v>
      </c>
      <c r="J20" s="14" t="n">
        <v>424</v>
      </c>
      <c r="K20" s="14" t="n">
        <v>4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13683</v>
      </c>
      <c r="D21" s="14" t="n">
        <v>11429</v>
      </c>
      <c r="E21" s="16" t="n">
        <v>83.53</v>
      </c>
      <c r="F21" s="14" t="n">
        <v>2697</v>
      </c>
      <c r="G21" s="14" t="n">
        <v>3287</v>
      </c>
      <c r="H21" s="14" t="n">
        <v>3592</v>
      </c>
      <c r="I21" s="14" t="n">
        <v>1697</v>
      </c>
      <c r="J21" s="14" t="n">
        <v>155</v>
      </c>
      <c r="K21" s="14" t="n">
        <v>1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23518</v>
      </c>
      <c r="D22" s="14" t="n">
        <v>18143</v>
      </c>
      <c r="E22" s="16" t="n">
        <v>77.15</v>
      </c>
      <c r="F22" s="14" t="n">
        <v>3715</v>
      </c>
      <c r="G22" s="14" t="n">
        <v>4718</v>
      </c>
      <c r="H22" s="14" t="n">
        <v>5653</v>
      </c>
      <c r="I22" s="14" t="n">
        <v>3473</v>
      </c>
      <c r="J22" s="14" t="n">
        <v>579</v>
      </c>
      <c r="K22" s="1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306</v>
      </c>
    </row>
    <row r="2" customFormat="false" ht="15" hidden="false" customHeight="true" outlineLevel="0" collapsed="false">
      <c r="A2" s="13" t="s">
        <v>304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3465</v>
      </c>
      <c r="D5" s="14" t="n">
        <v>2726</v>
      </c>
      <c r="E5" s="16" t="n">
        <v>78.67</v>
      </c>
      <c r="F5" s="14" t="n">
        <v>661</v>
      </c>
      <c r="G5" s="14" t="n">
        <v>668</v>
      </c>
      <c r="H5" s="14" t="n">
        <v>765</v>
      </c>
      <c r="I5" s="14" t="n">
        <v>571</v>
      </c>
      <c r="J5" s="14" t="n">
        <v>61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9143</v>
      </c>
      <c r="D6" s="14" t="n">
        <v>8038</v>
      </c>
      <c r="E6" s="16" t="n">
        <v>87.91</v>
      </c>
      <c r="F6" s="14" t="n">
        <v>2366</v>
      </c>
      <c r="G6" s="14" t="n">
        <v>2262</v>
      </c>
      <c r="H6" s="14" t="n">
        <v>2277</v>
      </c>
      <c r="I6" s="14" t="n">
        <v>1077</v>
      </c>
      <c r="J6" s="14" t="n">
        <v>55</v>
      </c>
      <c r="K6" s="14" t="n">
        <v>1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12608</v>
      </c>
      <c r="D7" s="14" t="n">
        <v>10764</v>
      </c>
      <c r="E7" s="16" t="n">
        <v>85.37</v>
      </c>
      <c r="F7" s="14" t="n">
        <v>3027</v>
      </c>
      <c r="G7" s="14" t="n">
        <v>2930</v>
      </c>
      <c r="H7" s="14" t="n">
        <v>3042</v>
      </c>
      <c r="I7" s="14" t="n">
        <v>1648</v>
      </c>
      <c r="J7" s="14" t="n">
        <v>116</v>
      </c>
      <c r="K7" s="14" t="n">
        <v>1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1195</v>
      </c>
      <c r="D8" s="14" t="n">
        <v>969</v>
      </c>
      <c r="E8" s="16" t="n">
        <v>81.09</v>
      </c>
      <c r="F8" s="14" t="n">
        <v>213</v>
      </c>
      <c r="G8" s="14" t="n">
        <v>251</v>
      </c>
      <c r="H8" s="14" t="n">
        <v>288</v>
      </c>
      <c r="I8" s="14" t="n">
        <v>180</v>
      </c>
      <c r="J8" s="14" t="n">
        <v>37</v>
      </c>
      <c r="K8" s="14" t="n">
        <v>0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760</v>
      </c>
      <c r="D9" s="14" t="n">
        <v>679</v>
      </c>
      <c r="E9" s="16" t="n">
        <v>89.34</v>
      </c>
      <c r="F9" s="14" t="n">
        <v>158</v>
      </c>
      <c r="G9" s="14" t="n">
        <v>211</v>
      </c>
      <c r="H9" s="14" t="n">
        <v>195</v>
      </c>
      <c r="I9" s="14" t="n">
        <v>106</v>
      </c>
      <c r="J9" s="14" t="n">
        <v>9</v>
      </c>
      <c r="K9" s="14" t="n">
        <v>0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1955</v>
      </c>
      <c r="D10" s="14" t="n">
        <v>1648</v>
      </c>
      <c r="E10" s="16" t="n">
        <v>84.3</v>
      </c>
      <c r="F10" s="14" t="n">
        <v>371</v>
      </c>
      <c r="G10" s="14" t="n">
        <v>462</v>
      </c>
      <c r="H10" s="14" t="n">
        <v>483</v>
      </c>
      <c r="I10" s="14" t="n">
        <v>286</v>
      </c>
      <c r="J10" s="14" t="n">
        <v>46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6838</v>
      </c>
      <c r="D11" s="14" t="n">
        <v>4099</v>
      </c>
      <c r="E11" s="16" t="n">
        <v>59.94</v>
      </c>
      <c r="F11" s="14" t="n">
        <v>343</v>
      </c>
      <c r="G11" s="14" t="n">
        <v>732</v>
      </c>
      <c r="H11" s="14" t="n">
        <v>1398</v>
      </c>
      <c r="I11" s="14" t="n">
        <v>1339</v>
      </c>
      <c r="J11" s="14" t="n">
        <v>287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6517</v>
      </c>
      <c r="D12" s="14" t="n">
        <v>4839</v>
      </c>
      <c r="E12" s="16" t="n">
        <v>74.25</v>
      </c>
      <c r="F12" s="14" t="n">
        <v>575</v>
      </c>
      <c r="G12" s="14" t="n">
        <v>1220</v>
      </c>
      <c r="H12" s="14" t="n">
        <v>1838</v>
      </c>
      <c r="I12" s="14" t="n">
        <v>1095</v>
      </c>
      <c r="J12" s="14" t="n">
        <v>111</v>
      </c>
      <c r="K12" s="14" t="n">
        <v>0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13355</v>
      </c>
      <c r="D13" s="14" t="n">
        <v>8938</v>
      </c>
      <c r="E13" s="16" t="n">
        <v>66.93</v>
      </c>
      <c r="F13" s="14" t="n">
        <v>918</v>
      </c>
      <c r="G13" s="14" t="n">
        <v>1952</v>
      </c>
      <c r="H13" s="14" t="n">
        <v>3236</v>
      </c>
      <c r="I13" s="14" t="n">
        <v>2434</v>
      </c>
      <c r="J13" s="14" t="n">
        <v>398</v>
      </c>
      <c r="K13" s="14" t="n">
        <v>0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5866</v>
      </c>
      <c r="D14" s="14" t="n">
        <v>2467</v>
      </c>
      <c r="E14" s="16" t="n">
        <v>42.06</v>
      </c>
      <c r="F14" s="14" t="n">
        <v>45</v>
      </c>
      <c r="G14" s="14" t="n">
        <v>261</v>
      </c>
      <c r="H14" s="14" t="n">
        <v>826</v>
      </c>
      <c r="I14" s="14" t="n">
        <v>981</v>
      </c>
      <c r="J14" s="14" t="n">
        <v>348</v>
      </c>
      <c r="K14" s="14" t="n">
        <v>6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9615</v>
      </c>
      <c r="D15" s="14" t="n">
        <v>6278</v>
      </c>
      <c r="E15" s="16" t="n">
        <v>65.29</v>
      </c>
      <c r="F15" s="14" t="n">
        <v>263</v>
      </c>
      <c r="G15" s="14" t="n">
        <v>1430</v>
      </c>
      <c r="H15" s="14" t="n">
        <v>2673</v>
      </c>
      <c r="I15" s="14" t="n">
        <v>1647</v>
      </c>
      <c r="J15" s="14" t="n">
        <v>260</v>
      </c>
      <c r="K15" s="14" t="n">
        <v>5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15481</v>
      </c>
      <c r="D16" s="14" t="n">
        <v>8745</v>
      </c>
      <c r="E16" s="16" t="n">
        <v>56.49</v>
      </c>
      <c r="F16" s="14" t="n">
        <v>308</v>
      </c>
      <c r="G16" s="14" t="n">
        <v>1691</v>
      </c>
      <c r="H16" s="14" t="n">
        <v>3499</v>
      </c>
      <c r="I16" s="14" t="n">
        <v>2628</v>
      </c>
      <c r="J16" s="14" t="n">
        <v>608</v>
      </c>
      <c r="K16" s="14" t="n">
        <v>11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141</v>
      </c>
      <c r="D17" s="14" t="n">
        <v>90</v>
      </c>
      <c r="E17" s="16" t="n">
        <v>63.83</v>
      </c>
      <c r="F17" s="14" t="n">
        <v>4</v>
      </c>
      <c r="G17" s="14" t="n">
        <v>14</v>
      </c>
      <c r="H17" s="14" t="n">
        <v>22</v>
      </c>
      <c r="I17" s="14" t="n">
        <v>36</v>
      </c>
      <c r="J17" s="14" t="n">
        <v>14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51</v>
      </c>
      <c r="D18" s="14" t="n">
        <v>45</v>
      </c>
      <c r="E18" s="16" t="n">
        <v>88.24</v>
      </c>
      <c r="F18" s="14" t="n">
        <v>5</v>
      </c>
      <c r="G18" s="14" t="n">
        <v>17</v>
      </c>
      <c r="H18" s="14" t="n">
        <v>15</v>
      </c>
      <c r="I18" s="14" t="n">
        <v>5</v>
      </c>
      <c r="J18" s="14" t="n">
        <v>3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192</v>
      </c>
      <c r="D19" s="14" t="n">
        <v>135</v>
      </c>
      <c r="E19" s="16" t="n">
        <v>70.31</v>
      </c>
      <c r="F19" s="14" t="n">
        <v>9</v>
      </c>
      <c r="G19" s="14" t="n">
        <v>31</v>
      </c>
      <c r="H19" s="14" t="n">
        <v>37</v>
      </c>
      <c r="I19" s="14" t="n">
        <v>41</v>
      </c>
      <c r="J19" s="14" t="n">
        <v>17</v>
      </c>
      <c r="K19" s="14" t="n">
        <v>0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17505</v>
      </c>
      <c r="D20" s="14" t="n">
        <v>10351</v>
      </c>
      <c r="E20" s="16" t="n">
        <v>59.13</v>
      </c>
      <c r="F20" s="14" t="n">
        <v>1266</v>
      </c>
      <c r="G20" s="14" t="n">
        <v>1926</v>
      </c>
      <c r="H20" s="14" t="n">
        <v>3299</v>
      </c>
      <c r="I20" s="14" t="n">
        <v>3107</v>
      </c>
      <c r="J20" s="14" t="n">
        <v>747</v>
      </c>
      <c r="K20" s="14" t="n">
        <v>6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26086</v>
      </c>
      <c r="D21" s="14" t="n">
        <v>19879</v>
      </c>
      <c r="E21" s="16" t="n">
        <v>76.21</v>
      </c>
      <c r="F21" s="14" t="n">
        <v>3367</v>
      </c>
      <c r="G21" s="14" t="n">
        <v>5140</v>
      </c>
      <c r="H21" s="14" t="n">
        <v>6998</v>
      </c>
      <c r="I21" s="14" t="n">
        <v>3930</v>
      </c>
      <c r="J21" s="14" t="n">
        <v>438</v>
      </c>
      <c r="K21" s="14" t="n">
        <v>6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43591</v>
      </c>
      <c r="D22" s="14" t="n">
        <v>30230</v>
      </c>
      <c r="E22" s="16" t="n">
        <v>69.35</v>
      </c>
      <c r="F22" s="14" t="n">
        <v>4633</v>
      </c>
      <c r="G22" s="14" t="n">
        <v>7066</v>
      </c>
      <c r="H22" s="14" t="n">
        <v>10297</v>
      </c>
      <c r="I22" s="14" t="n">
        <v>7037</v>
      </c>
      <c r="J22" s="14" t="n">
        <v>1185</v>
      </c>
      <c r="K22" s="14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307</v>
      </c>
    </row>
    <row r="2" customFormat="false" ht="15" hidden="false" customHeight="true" outlineLevel="0" collapsed="false">
      <c r="A2" s="13" t="s">
        <v>304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798</v>
      </c>
      <c r="D5" s="14" t="n">
        <v>500</v>
      </c>
      <c r="E5" s="16" t="n">
        <v>62.66</v>
      </c>
      <c r="F5" s="14" t="n">
        <v>284</v>
      </c>
      <c r="G5" s="14" t="n">
        <v>27</v>
      </c>
      <c r="H5" s="14" t="n">
        <v>53</v>
      </c>
      <c r="I5" s="14" t="n">
        <v>91</v>
      </c>
      <c r="J5" s="14" t="n">
        <v>45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1594</v>
      </c>
      <c r="D6" s="14" t="n">
        <v>1177</v>
      </c>
      <c r="E6" s="16" t="n">
        <v>73.84</v>
      </c>
      <c r="F6" s="14" t="n">
        <v>687</v>
      </c>
      <c r="G6" s="14" t="n">
        <v>137</v>
      </c>
      <c r="H6" s="14" t="n">
        <v>92</v>
      </c>
      <c r="I6" s="14" t="n">
        <v>197</v>
      </c>
      <c r="J6" s="14" t="n">
        <v>64</v>
      </c>
      <c r="K6" s="14" t="n">
        <v>0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2392</v>
      </c>
      <c r="D7" s="14" t="n">
        <v>1677</v>
      </c>
      <c r="E7" s="16" t="n">
        <v>70.11</v>
      </c>
      <c r="F7" s="14" t="n">
        <v>971</v>
      </c>
      <c r="G7" s="14" t="n">
        <v>164</v>
      </c>
      <c r="H7" s="14" t="n">
        <v>145</v>
      </c>
      <c r="I7" s="14" t="n">
        <v>288</v>
      </c>
      <c r="J7" s="14" t="n">
        <v>109</v>
      </c>
      <c r="K7" s="14" t="n">
        <v>0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249</v>
      </c>
      <c r="D8" s="14" t="n">
        <v>122</v>
      </c>
      <c r="E8" s="16" t="n">
        <v>49</v>
      </c>
      <c r="F8" s="14" t="n">
        <v>11</v>
      </c>
      <c r="G8" s="14" t="n">
        <v>5</v>
      </c>
      <c r="H8" s="14" t="n">
        <v>24</v>
      </c>
      <c r="I8" s="14" t="n">
        <v>39</v>
      </c>
      <c r="J8" s="14" t="n">
        <v>40</v>
      </c>
      <c r="K8" s="14" t="n">
        <v>3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94</v>
      </c>
      <c r="D9" s="14" t="n">
        <v>48</v>
      </c>
      <c r="E9" s="16" t="n">
        <v>51.06</v>
      </c>
      <c r="F9" s="14" t="n">
        <v>8</v>
      </c>
      <c r="G9" s="14" t="n">
        <v>2</v>
      </c>
      <c r="H9" s="14" t="n">
        <v>3</v>
      </c>
      <c r="I9" s="14" t="n">
        <v>19</v>
      </c>
      <c r="J9" s="14" t="n">
        <v>13</v>
      </c>
      <c r="K9" s="14" t="n">
        <v>3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343</v>
      </c>
      <c r="D10" s="14" t="n">
        <v>170</v>
      </c>
      <c r="E10" s="16" t="n">
        <v>49.56</v>
      </c>
      <c r="F10" s="14" t="n">
        <v>19</v>
      </c>
      <c r="G10" s="14" t="n">
        <v>7</v>
      </c>
      <c r="H10" s="14" t="n">
        <v>27</v>
      </c>
      <c r="I10" s="14" t="n">
        <v>58</v>
      </c>
      <c r="J10" s="14" t="n">
        <v>53</v>
      </c>
      <c r="K10" s="14" t="n">
        <v>6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1128</v>
      </c>
      <c r="D11" s="14" t="n">
        <v>412</v>
      </c>
      <c r="E11" s="16" t="n">
        <v>36.52</v>
      </c>
      <c r="F11" s="14" t="n">
        <v>0</v>
      </c>
      <c r="G11" s="14" t="n">
        <v>1</v>
      </c>
      <c r="H11" s="14" t="n">
        <v>26</v>
      </c>
      <c r="I11" s="14" t="n">
        <v>217</v>
      </c>
      <c r="J11" s="14" t="n">
        <v>164</v>
      </c>
      <c r="K11" s="14" t="n">
        <v>4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685</v>
      </c>
      <c r="D12" s="14" t="n">
        <v>265</v>
      </c>
      <c r="E12" s="16" t="n">
        <v>38.69</v>
      </c>
      <c r="F12" s="14" t="n">
        <v>0</v>
      </c>
      <c r="G12" s="14" t="n">
        <v>6</v>
      </c>
      <c r="H12" s="14" t="n">
        <v>28</v>
      </c>
      <c r="I12" s="14" t="n">
        <v>165</v>
      </c>
      <c r="J12" s="14" t="n">
        <v>65</v>
      </c>
      <c r="K12" s="14" t="n">
        <v>1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1813</v>
      </c>
      <c r="D13" s="14" t="n">
        <v>677</v>
      </c>
      <c r="E13" s="16" t="n">
        <v>37.34</v>
      </c>
      <c r="F13" s="14" t="n">
        <v>0</v>
      </c>
      <c r="G13" s="14" t="n">
        <v>7</v>
      </c>
      <c r="H13" s="14" t="n">
        <v>54</v>
      </c>
      <c r="I13" s="14" t="n">
        <v>382</v>
      </c>
      <c r="J13" s="14" t="n">
        <v>229</v>
      </c>
      <c r="K13" s="14" t="n">
        <v>5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3893</v>
      </c>
      <c r="D14" s="14" t="n">
        <v>1006</v>
      </c>
      <c r="E14" s="16" t="n">
        <v>25.84</v>
      </c>
      <c r="F14" s="14" t="n">
        <v>4</v>
      </c>
      <c r="G14" s="14" t="n">
        <v>63</v>
      </c>
      <c r="H14" s="14" t="n">
        <v>259</v>
      </c>
      <c r="I14" s="14" t="n">
        <v>437</v>
      </c>
      <c r="J14" s="14" t="n">
        <v>234</v>
      </c>
      <c r="K14" s="14" t="n">
        <v>9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3609</v>
      </c>
      <c r="D15" s="14" t="n">
        <v>1624</v>
      </c>
      <c r="E15" s="16" t="n">
        <v>45</v>
      </c>
      <c r="F15" s="14" t="n">
        <v>23</v>
      </c>
      <c r="G15" s="14" t="n">
        <v>215</v>
      </c>
      <c r="H15" s="14" t="n">
        <v>588</v>
      </c>
      <c r="I15" s="14" t="n">
        <v>630</v>
      </c>
      <c r="J15" s="14" t="n">
        <v>167</v>
      </c>
      <c r="K15" s="14" t="n">
        <v>1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7502</v>
      </c>
      <c r="D16" s="14" t="n">
        <v>2630</v>
      </c>
      <c r="E16" s="16" t="n">
        <v>35.06</v>
      </c>
      <c r="F16" s="14" t="n">
        <v>27</v>
      </c>
      <c r="G16" s="14" t="n">
        <v>278</v>
      </c>
      <c r="H16" s="14" t="n">
        <v>847</v>
      </c>
      <c r="I16" s="14" t="n">
        <v>1067</v>
      </c>
      <c r="J16" s="14" t="n">
        <v>401</v>
      </c>
      <c r="K16" s="14" t="n">
        <v>10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70</v>
      </c>
      <c r="D17" s="14" t="n">
        <v>12</v>
      </c>
      <c r="E17" s="16" t="n">
        <v>17.14</v>
      </c>
      <c r="F17" s="14" t="n">
        <v>1</v>
      </c>
      <c r="G17" s="14" t="n">
        <v>0</v>
      </c>
      <c r="H17" s="14" t="n">
        <v>2</v>
      </c>
      <c r="I17" s="14" t="n">
        <v>2</v>
      </c>
      <c r="J17" s="14" t="n">
        <v>6</v>
      </c>
      <c r="K17" s="14" t="n">
        <v>1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16</v>
      </c>
      <c r="D18" s="14" t="n">
        <v>8</v>
      </c>
      <c r="E18" s="16" t="n">
        <v>50</v>
      </c>
      <c r="F18" s="14" t="n">
        <v>0</v>
      </c>
      <c r="G18" s="14" t="n">
        <v>0</v>
      </c>
      <c r="H18" s="14" t="n">
        <v>4</v>
      </c>
      <c r="I18" s="14" t="n">
        <v>3</v>
      </c>
      <c r="J18" s="14" t="n">
        <v>1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86</v>
      </c>
      <c r="D19" s="14" t="n">
        <v>20</v>
      </c>
      <c r="E19" s="16" t="n">
        <v>23.26</v>
      </c>
      <c r="F19" s="14" t="n">
        <v>1</v>
      </c>
      <c r="G19" s="14" t="n">
        <v>0</v>
      </c>
      <c r="H19" s="14" t="n">
        <v>6</v>
      </c>
      <c r="I19" s="14" t="n">
        <v>5</v>
      </c>
      <c r="J19" s="14" t="n">
        <v>7</v>
      </c>
      <c r="K19" s="14" t="n">
        <v>1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6138</v>
      </c>
      <c r="D20" s="14" t="n">
        <v>2052</v>
      </c>
      <c r="E20" s="16" t="n">
        <v>33.43</v>
      </c>
      <c r="F20" s="14" t="n">
        <v>300</v>
      </c>
      <c r="G20" s="14" t="n">
        <v>96</v>
      </c>
      <c r="H20" s="14" t="n">
        <v>364</v>
      </c>
      <c r="I20" s="14" t="n">
        <v>786</v>
      </c>
      <c r="J20" s="14" t="n">
        <v>489</v>
      </c>
      <c r="K20" s="14" t="n">
        <v>17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5998</v>
      </c>
      <c r="D21" s="14" t="n">
        <v>3122</v>
      </c>
      <c r="E21" s="16" t="n">
        <v>52.05</v>
      </c>
      <c r="F21" s="14" t="n">
        <v>718</v>
      </c>
      <c r="G21" s="14" t="n">
        <v>360</v>
      </c>
      <c r="H21" s="14" t="n">
        <v>715</v>
      </c>
      <c r="I21" s="14" t="n">
        <v>1014</v>
      </c>
      <c r="J21" s="14" t="n">
        <v>310</v>
      </c>
      <c r="K21" s="14" t="n">
        <v>5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12136</v>
      </c>
      <c r="D22" s="14" t="n">
        <v>5174</v>
      </c>
      <c r="E22" s="16" t="n">
        <v>42.63</v>
      </c>
      <c r="F22" s="14" t="n">
        <v>1018</v>
      </c>
      <c r="G22" s="14" t="n">
        <v>456</v>
      </c>
      <c r="H22" s="14" t="n">
        <v>1079</v>
      </c>
      <c r="I22" s="14" t="n">
        <v>1800</v>
      </c>
      <c r="J22" s="14" t="n">
        <v>799</v>
      </c>
      <c r="K22" s="14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308</v>
      </c>
    </row>
    <row r="2" customFormat="false" ht="15" hidden="false" customHeight="true" outlineLevel="0" collapsed="false">
      <c r="A2" s="13" t="s">
        <v>304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4</v>
      </c>
      <c r="D4" s="13" t="s">
        <v>198</v>
      </c>
      <c r="E4" s="13" t="s">
        <v>6</v>
      </c>
      <c r="F4" s="13" t="s">
        <v>199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</row>
    <row r="5" customFormat="false" ht="15" hidden="false" customHeight="true" outlineLevel="0" collapsed="false">
      <c r="A5" s="13" t="s">
        <v>200</v>
      </c>
      <c r="B5" s="13" t="s">
        <v>124</v>
      </c>
      <c r="C5" s="14" t="n">
        <v>4263</v>
      </c>
      <c r="D5" s="14" t="n">
        <v>3226</v>
      </c>
      <c r="E5" s="16" t="n">
        <v>75.67</v>
      </c>
      <c r="F5" s="14" t="n">
        <v>945</v>
      </c>
      <c r="G5" s="14" t="n">
        <v>695</v>
      </c>
      <c r="H5" s="14" t="n">
        <v>818</v>
      </c>
      <c r="I5" s="14" t="n">
        <v>662</v>
      </c>
      <c r="J5" s="14" t="n">
        <v>106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122</v>
      </c>
      <c r="C6" s="14" t="n">
        <v>10737</v>
      </c>
      <c r="D6" s="14" t="n">
        <v>9215</v>
      </c>
      <c r="E6" s="16" t="n">
        <v>85.82</v>
      </c>
      <c r="F6" s="14" t="n">
        <v>3053</v>
      </c>
      <c r="G6" s="14" t="n">
        <v>2399</v>
      </c>
      <c r="H6" s="14" t="n">
        <v>2369</v>
      </c>
      <c r="I6" s="14" t="n">
        <v>1274</v>
      </c>
      <c r="J6" s="14" t="n">
        <v>119</v>
      </c>
      <c r="K6" s="14" t="n">
        <v>1</v>
      </c>
    </row>
    <row r="7" customFormat="false" ht="15" hidden="false" customHeight="true" outlineLevel="0" collapsed="false">
      <c r="A7" s="13" t="s">
        <v>200</v>
      </c>
      <c r="B7" s="13" t="s">
        <v>192</v>
      </c>
      <c r="C7" s="14" t="n">
        <v>15000</v>
      </c>
      <c r="D7" s="14" t="n">
        <v>12441</v>
      </c>
      <c r="E7" s="16" t="n">
        <v>82.94</v>
      </c>
      <c r="F7" s="14" t="n">
        <v>3998</v>
      </c>
      <c r="G7" s="14" t="n">
        <v>3094</v>
      </c>
      <c r="H7" s="14" t="n">
        <v>3187</v>
      </c>
      <c r="I7" s="14" t="n">
        <v>1936</v>
      </c>
      <c r="J7" s="14" t="n">
        <v>225</v>
      </c>
      <c r="K7" s="14" t="n">
        <v>1</v>
      </c>
    </row>
    <row r="8" customFormat="false" ht="15" hidden="false" customHeight="true" outlineLevel="0" collapsed="false">
      <c r="A8" s="13" t="s">
        <v>201</v>
      </c>
      <c r="B8" s="13" t="s">
        <v>124</v>
      </c>
      <c r="C8" s="14" t="n">
        <v>1444</v>
      </c>
      <c r="D8" s="14" t="n">
        <v>1091</v>
      </c>
      <c r="E8" s="16" t="n">
        <v>75.55</v>
      </c>
      <c r="F8" s="14" t="n">
        <v>224</v>
      </c>
      <c r="G8" s="14" t="n">
        <v>256</v>
      </c>
      <c r="H8" s="14" t="n">
        <v>312</v>
      </c>
      <c r="I8" s="14" t="n">
        <v>219</v>
      </c>
      <c r="J8" s="14" t="n">
        <v>77</v>
      </c>
      <c r="K8" s="14" t="n">
        <v>3</v>
      </c>
    </row>
    <row r="9" customFormat="false" ht="15" hidden="false" customHeight="true" outlineLevel="0" collapsed="false">
      <c r="A9" s="13" t="s">
        <v>201</v>
      </c>
      <c r="B9" s="13" t="s">
        <v>122</v>
      </c>
      <c r="C9" s="14" t="n">
        <v>854</v>
      </c>
      <c r="D9" s="14" t="n">
        <v>727</v>
      </c>
      <c r="E9" s="16" t="n">
        <v>85.13</v>
      </c>
      <c r="F9" s="14" t="n">
        <v>166</v>
      </c>
      <c r="G9" s="14" t="n">
        <v>213</v>
      </c>
      <c r="H9" s="14" t="n">
        <v>198</v>
      </c>
      <c r="I9" s="14" t="n">
        <v>125</v>
      </c>
      <c r="J9" s="14" t="n">
        <v>22</v>
      </c>
      <c r="K9" s="14" t="n">
        <v>3</v>
      </c>
    </row>
    <row r="10" customFormat="false" ht="15" hidden="false" customHeight="true" outlineLevel="0" collapsed="false">
      <c r="A10" s="13" t="s">
        <v>201</v>
      </c>
      <c r="B10" s="13" t="s">
        <v>192</v>
      </c>
      <c r="C10" s="14" t="n">
        <v>2298</v>
      </c>
      <c r="D10" s="14" t="n">
        <v>1818</v>
      </c>
      <c r="E10" s="16" t="n">
        <v>79.11</v>
      </c>
      <c r="F10" s="14" t="n">
        <v>390</v>
      </c>
      <c r="G10" s="14" t="n">
        <v>469</v>
      </c>
      <c r="H10" s="14" t="n">
        <v>510</v>
      </c>
      <c r="I10" s="14" t="n">
        <v>344</v>
      </c>
      <c r="J10" s="14" t="n">
        <v>99</v>
      </c>
      <c r="K10" s="14" t="n">
        <v>6</v>
      </c>
    </row>
    <row r="11" customFormat="false" ht="15" hidden="false" customHeight="true" outlineLevel="0" collapsed="false">
      <c r="A11" s="13" t="s">
        <v>202</v>
      </c>
      <c r="B11" s="13" t="s">
        <v>124</v>
      </c>
      <c r="C11" s="14" t="n">
        <v>7966</v>
      </c>
      <c r="D11" s="14" t="n">
        <v>4511</v>
      </c>
      <c r="E11" s="16" t="n">
        <v>56.63</v>
      </c>
      <c r="F11" s="14" t="n">
        <v>343</v>
      </c>
      <c r="G11" s="14" t="n">
        <v>733</v>
      </c>
      <c r="H11" s="14" t="n">
        <v>1424</v>
      </c>
      <c r="I11" s="14" t="n">
        <v>1556</v>
      </c>
      <c r="J11" s="14" t="n">
        <v>451</v>
      </c>
      <c r="K11" s="14" t="n">
        <v>4</v>
      </c>
    </row>
    <row r="12" customFormat="false" ht="15" hidden="false" customHeight="true" outlineLevel="0" collapsed="false">
      <c r="A12" s="13" t="s">
        <v>202</v>
      </c>
      <c r="B12" s="13" t="s">
        <v>122</v>
      </c>
      <c r="C12" s="14" t="n">
        <v>7202</v>
      </c>
      <c r="D12" s="14" t="n">
        <v>5104</v>
      </c>
      <c r="E12" s="16" t="n">
        <v>70.87</v>
      </c>
      <c r="F12" s="14" t="n">
        <v>575</v>
      </c>
      <c r="G12" s="14" t="n">
        <v>1226</v>
      </c>
      <c r="H12" s="14" t="n">
        <v>1866</v>
      </c>
      <c r="I12" s="14" t="n">
        <v>1260</v>
      </c>
      <c r="J12" s="14" t="n">
        <v>176</v>
      </c>
      <c r="K12" s="14" t="n">
        <v>1</v>
      </c>
    </row>
    <row r="13" customFormat="false" ht="15" hidden="false" customHeight="true" outlineLevel="0" collapsed="false">
      <c r="A13" s="13" t="s">
        <v>202</v>
      </c>
      <c r="B13" s="13" t="s">
        <v>192</v>
      </c>
      <c r="C13" s="14" t="n">
        <v>15168</v>
      </c>
      <c r="D13" s="14" t="n">
        <v>9615</v>
      </c>
      <c r="E13" s="16" t="n">
        <v>63.39</v>
      </c>
      <c r="F13" s="14" t="n">
        <v>918</v>
      </c>
      <c r="G13" s="14" t="n">
        <v>1959</v>
      </c>
      <c r="H13" s="14" t="n">
        <v>3290</v>
      </c>
      <c r="I13" s="14" t="n">
        <v>2816</v>
      </c>
      <c r="J13" s="14" t="n">
        <v>627</v>
      </c>
      <c r="K13" s="14" t="n">
        <v>5</v>
      </c>
    </row>
    <row r="14" customFormat="false" ht="15" hidden="false" customHeight="true" outlineLevel="0" collapsed="false">
      <c r="A14" s="13" t="s">
        <v>128</v>
      </c>
      <c r="B14" s="13" t="s">
        <v>124</v>
      </c>
      <c r="C14" s="14" t="n">
        <v>9759</v>
      </c>
      <c r="D14" s="14" t="n">
        <v>3473</v>
      </c>
      <c r="E14" s="16" t="n">
        <v>35.59</v>
      </c>
      <c r="F14" s="14" t="n">
        <v>49</v>
      </c>
      <c r="G14" s="14" t="n">
        <v>324</v>
      </c>
      <c r="H14" s="14" t="n">
        <v>1085</v>
      </c>
      <c r="I14" s="14" t="n">
        <v>1418</v>
      </c>
      <c r="J14" s="14" t="n">
        <v>582</v>
      </c>
      <c r="K14" s="14" t="n">
        <v>15</v>
      </c>
    </row>
    <row r="15" customFormat="false" ht="15" hidden="false" customHeight="true" outlineLevel="0" collapsed="false">
      <c r="A15" s="13" t="s">
        <v>128</v>
      </c>
      <c r="B15" s="13" t="s">
        <v>122</v>
      </c>
      <c r="C15" s="14" t="n">
        <v>13224</v>
      </c>
      <c r="D15" s="14" t="n">
        <v>7902</v>
      </c>
      <c r="E15" s="16" t="n">
        <v>59.75</v>
      </c>
      <c r="F15" s="14" t="n">
        <v>286</v>
      </c>
      <c r="G15" s="14" t="n">
        <v>1645</v>
      </c>
      <c r="H15" s="14" t="n">
        <v>3261</v>
      </c>
      <c r="I15" s="14" t="n">
        <v>2277</v>
      </c>
      <c r="J15" s="14" t="n">
        <v>427</v>
      </c>
      <c r="K15" s="14" t="n">
        <v>6</v>
      </c>
    </row>
    <row r="16" customFormat="false" ht="15" hidden="false" customHeight="true" outlineLevel="0" collapsed="false">
      <c r="A16" s="13" t="s">
        <v>128</v>
      </c>
      <c r="B16" s="13" t="s">
        <v>192</v>
      </c>
      <c r="C16" s="14" t="n">
        <v>22983</v>
      </c>
      <c r="D16" s="14" t="n">
        <v>11375</v>
      </c>
      <c r="E16" s="16" t="n">
        <v>49.49</v>
      </c>
      <c r="F16" s="14" t="n">
        <v>335</v>
      </c>
      <c r="G16" s="14" t="n">
        <v>1969</v>
      </c>
      <c r="H16" s="14" t="n">
        <v>4346</v>
      </c>
      <c r="I16" s="14" t="n">
        <v>3695</v>
      </c>
      <c r="J16" s="14" t="n">
        <v>1009</v>
      </c>
      <c r="K16" s="14" t="n">
        <v>21</v>
      </c>
    </row>
    <row r="17" customFormat="false" ht="15" hidden="false" customHeight="true" outlineLevel="0" collapsed="false">
      <c r="A17" s="13" t="s">
        <v>203</v>
      </c>
      <c r="B17" s="13" t="s">
        <v>124</v>
      </c>
      <c r="C17" s="14" t="n">
        <v>211</v>
      </c>
      <c r="D17" s="14" t="n">
        <v>102</v>
      </c>
      <c r="E17" s="16" t="n">
        <v>48.34</v>
      </c>
      <c r="F17" s="14" t="n">
        <v>5</v>
      </c>
      <c r="G17" s="14" t="n">
        <v>14</v>
      </c>
      <c r="H17" s="14" t="n">
        <v>24</v>
      </c>
      <c r="I17" s="14" t="n">
        <v>38</v>
      </c>
      <c r="J17" s="14" t="n">
        <v>20</v>
      </c>
      <c r="K17" s="14" t="n">
        <v>1</v>
      </c>
    </row>
    <row r="18" customFormat="false" ht="15" hidden="false" customHeight="true" outlineLevel="0" collapsed="false">
      <c r="A18" s="13" t="s">
        <v>203</v>
      </c>
      <c r="B18" s="13" t="s">
        <v>122</v>
      </c>
      <c r="C18" s="14" t="n">
        <v>67</v>
      </c>
      <c r="D18" s="14" t="n">
        <v>53</v>
      </c>
      <c r="E18" s="16" t="n">
        <v>79.1</v>
      </c>
      <c r="F18" s="14" t="n">
        <v>5</v>
      </c>
      <c r="G18" s="14" t="n">
        <v>17</v>
      </c>
      <c r="H18" s="14" t="n">
        <v>19</v>
      </c>
      <c r="I18" s="14" t="n">
        <v>8</v>
      </c>
      <c r="J18" s="14" t="n">
        <v>4</v>
      </c>
      <c r="K18" s="14" t="n">
        <v>0</v>
      </c>
    </row>
    <row r="19" customFormat="false" ht="15" hidden="false" customHeight="true" outlineLevel="0" collapsed="false">
      <c r="A19" s="13" t="s">
        <v>203</v>
      </c>
      <c r="B19" s="13" t="s">
        <v>192</v>
      </c>
      <c r="C19" s="14" t="n">
        <v>278</v>
      </c>
      <c r="D19" s="14" t="n">
        <v>155</v>
      </c>
      <c r="E19" s="16" t="n">
        <v>55.76</v>
      </c>
      <c r="F19" s="14" t="n">
        <v>10</v>
      </c>
      <c r="G19" s="14" t="n">
        <v>31</v>
      </c>
      <c r="H19" s="14" t="n">
        <v>43</v>
      </c>
      <c r="I19" s="14" t="n">
        <v>46</v>
      </c>
      <c r="J19" s="14" t="n">
        <v>24</v>
      </c>
      <c r="K19" s="14" t="n">
        <v>1</v>
      </c>
    </row>
    <row r="20" customFormat="false" ht="15" hidden="false" customHeight="true" outlineLevel="0" collapsed="false">
      <c r="A20" s="13" t="s">
        <v>192</v>
      </c>
      <c r="B20" s="13" t="s">
        <v>124</v>
      </c>
      <c r="C20" s="14" t="n">
        <v>23643</v>
      </c>
      <c r="D20" s="14" t="n">
        <v>12403</v>
      </c>
      <c r="E20" s="16" t="n">
        <v>52.46</v>
      </c>
      <c r="F20" s="14" t="n">
        <v>1566</v>
      </c>
      <c r="G20" s="14" t="n">
        <v>2022</v>
      </c>
      <c r="H20" s="14" t="n">
        <v>3663</v>
      </c>
      <c r="I20" s="14" t="n">
        <v>3893</v>
      </c>
      <c r="J20" s="14" t="n">
        <v>1236</v>
      </c>
      <c r="K20" s="14" t="n">
        <v>23</v>
      </c>
    </row>
    <row r="21" customFormat="false" ht="15" hidden="false" customHeight="true" outlineLevel="0" collapsed="false">
      <c r="A21" s="13" t="s">
        <v>192</v>
      </c>
      <c r="B21" s="13" t="s">
        <v>122</v>
      </c>
      <c r="C21" s="14" t="n">
        <v>32084</v>
      </c>
      <c r="D21" s="14" t="n">
        <v>23001</v>
      </c>
      <c r="E21" s="16" t="n">
        <v>71.69</v>
      </c>
      <c r="F21" s="14" t="n">
        <v>4085</v>
      </c>
      <c r="G21" s="14" t="n">
        <v>5500</v>
      </c>
      <c r="H21" s="14" t="n">
        <v>7713</v>
      </c>
      <c r="I21" s="14" t="n">
        <v>4944</v>
      </c>
      <c r="J21" s="14" t="n">
        <v>748</v>
      </c>
      <c r="K21" s="14" t="n">
        <v>11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55727</v>
      </c>
      <c r="D22" s="14" t="n">
        <v>35404</v>
      </c>
      <c r="E22" s="16" t="n">
        <v>63.53</v>
      </c>
      <c r="F22" s="14" t="n">
        <v>5651</v>
      </c>
      <c r="G22" s="14" t="n">
        <v>7522</v>
      </c>
      <c r="H22" s="14" t="n">
        <v>11376</v>
      </c>
      <c r="I22" s="14" t="n">
        <v>8837</v>
      </c>
      <c r="J22" s="14" t="n">
        <v>1984</v>
      </c>
      <c r="K22" s="14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4"/>
    <col collapsed="false" customWidth="true" hidden="false" outlineLevel="0" max="2" min="2" style="13" width="44"/>
    <col collapsed="false" customWidth="true" hidden="false" outlineLevel="0" max="5" min="3" style="13" width="14"/>
  </cols>
  <sheetData>
    <row r="1" customFormat="false" ht="15" hidden="false" customHeight="true" outlineLevel="0" collapsed="false">
      <c r="A1" s="13" t="s">
        <v>309</v>
      </c>
    </row>
    <row r="2" customFormat="false" ht="15" hidden="false" customHeight="true" outlineLevel="0" collapsed="false">
      <c r="A2" s="13" t="s">
        <v>310</v>
      </c>
    </row>
    <row r="4" customFormat="false" ht="15" hidden="false" customHeight="true" outlineLevel="0" collapsed="false">
      <c r="A4" s="13" t="s">
        <v>3</v>
      </c>
      <c r="B4" s="13" t="s">
        <v>222</v>
      </c>
      <c r="C4" s="13" t="s">
        <v>4</v>
      </c>
      <c r="D4" s="13" t="s">
        <v>5</v>
      </c>
      <c r="E4" s="13" t="s">
        <v>6</v>
      </c>
    </row>
    <row r="5" customFormat="false" ht="15" hidden="false" customHeight="true" outlineLevel="0" collapsed="false">
      <c r="A5" s="13" t="n">
        <v>2025</v>
      </c>
      <c r="B5" s="13" t="s">
        <v>223</v>
      </c>
      <c r="C5" s="14" t="n">
        <v>194</v>
      </c>
      <c r="D5" s="14" t="n">
        <v>155</v>
      </c>
      <c r="E5" s="16" t="n">
        <v>79.9</v>
      </c>
    </row>
    <row r="6" customFormat="false" ht="15" hidden="false" customHeight="true" outlineLevel="0" collapsed="false">
      <c r="A6" s="13" t="n">
        <v>2025</v>
      </c>
      <c r="B6" s="13" t="s">
        <v>224</v>
      </c>
      <c r="C6" s="14" t="n">
        <v>1345</v>
      </c>
      <c r="D6" s="14" t="n">
        <v>1244</v>
      </c>
      <c r="E6" s="16" t="n">
        <v>92.49</v>
      </c>
    </row>
    <row r="7" customFormat="false" ht="15" hidden="false" customHeight="true" outlineLevel="0" collapsed="false">
      <c r="A7" s="13" t="n">
        <v>2025</v>
      </c>
      <c r="B7" s="13" t="s">
        <v>225</v>
      </c>
      <c r="C7" s="14" t="n">
        <v>223</v>
      </c>
      <c r="D7" s="14" t="n">
        <v>214</v>
      </c>
      <c r="E7" s="16" t="n">
        <v>95.96</v>
      </c>
    </row>
    <row r="8" customFormat="false" ht="15" hidden="false" customHeight="true" outlineLevel="0" collapsed="false">
      <c r="A8" s="13" t="n">
        <v>2025</v>
      </c>
      <c r="B8" s="13" t="s">
        <v>226</v>
      </c>
      <c r="C8" s="14" t="n">
        <v>2419</v>
      </c>
      <c r="D8" s="14" t="n">
        <v>1284</v>
      </c>
      <c r="E8" s="16" t="n">
        <v>53.08</v>
      </c>
    </row>
    <row r="9" customFormat="false" ht="15" hidden="false" customHeight="true" outlineLevel="0" collapsed="false">
      <c r="A9" s="13" t="n">
        <v>2025</v>
      </c>
      <c r="B9" s="13" t="s">
        <v>227</v>
      </c>
      <c r="C9" s="14" t="n">
        <v>13558</v>
      </c>
      <c r="D9" s="14" t="n">
        <v>11501</v>
      </c>
      <c r="E9" s="16" t="n">
        <v>84.83</v>
      </c>
    </row>
    <row r="10" customFormat="false" ht="15" hidden="false" customHeight="true" outlineLevel="0" collapsed="false">
      <c r="A10" s="13" t="n">
        <v>2025</v>
      </c>
      <c r="B10" s="13" t="s">
        <v>228</v>
      </c>
      <c r="C10" s="14" t="n">
        <v>21</v>
      </c>
      <c r="D10" s="14" t="n">
        <v>14</v>
      </c>
      <c r="E10" s="16" t="n">
        <v>66.67</v>
      </c>
    </row>
    <row r="11" customFormat="false" ht="15" hidden="false" customHeight="true" outlineLevel="0" collapsed="false">
      <c r="A11" s="13" t="n">
        <v>2025</v>
      </c>
      <c r="B11" s="13" t="s">
        <v>229</v>
      </c>
      <c r="C11" s="14" t="n">
        <v>238</v>
      </c>
      <c r="D11" s="14" t="n">
        <v>224</v>
      </c>
      <c r="E11" s="16" t="n">
        <v>94.12</v>
      </c>
    </row>
    <row r="12" customFormat="false" ht="15" hidden="false" customHeight="true" outlineLevel="0" collapsed="false">
      <c r="A12" s="13" t="n">
        <v>2025</v>
      </c>
      <c r="B12" s="13" t="s">
        <v>230</v>
      </c>
      <c r="C12" s="14" t="n">
        <v>3296</v>
      </c>
      <c r="D12" s="14" t="n">
        <v>1781</v>
      </c>
      <c r="E12" s="16" t="n">
        <v>54.04</v>
      </c>
    </row>
    <row r="13" customFormat="false" ht="15" hidden="false" customHeight="true" outlineLevel="0" collapsed="false">
      <c r="A13" s="13" t="n">
        <v>2025</v>
      </c>
      <c r="B13" s="13" t="s">
        <v>231</v>
      </c>
      <c r="C13" s="14" t="n">
        <v>15842</v>
      </c>
      <c r="D13" s="14" t="n">
        <v>13922</v>
      </c>
      <c r="E13" s="16" t="n">
        <v>87.88</v>
      </c>
    </row>
    <row r="14" customFormat="false" ht="15" hidden="false" customHeight="true" outlineLevel="0" collapsed="false">
      <c r="A14" s="13" t="n">
        <v>2025</v>
      </c>
      <c r="B14" s="13" t="s">
        <v>232</v>
      </c>
      <c r="C14" s="14" t="n">
        <v>1138</v>
      </c>
      <c r="D14" s="14" t="n">
        <v>1013</v>
      </c>
      <c r="E14" s="16" t="n">
        <v>89.02</v>
      </c>
    </row>
    <row r="15" customFormat="false" ht="15" hidden="false" customHeight="true" outlineLevel="0" collapsed="false">
      <c r="A15" s="13" t="n">
        <v>2025</v>
      </c>
      <c r="B15" s="13" t="s">
        <v>234</v>
      </c>
      <c r="C15" s="14" t="n">
        <v>4038</v>
      </c>
      <c r="D15" s="14" t="n">
        <v>3707</v>
      </c>
      <c r="E15" s="16" t="n">
        <v>91.8</v>
      </c>
    </row>
    <row r="16" customFormat="false" ht="15" hidden="false" customHeight="true" outlineLevel="0" collapsed="false">
      <c r="A16" s="13" t="n">
        <v>2025</v>
      </c>
      <c r="B16" s="13" t="s">
        <v>236</v>
      </c>
      <c r="C16" s="14" t="n">
        <v>235</v>
      </c>
      <c r="D16" s="14" t="n">
        <v>222</v>
      </c>
      <c r="E16" s="16" t="n">
        <v>94.47</v>
      </c>
    </row>
    <row r="17" customFormat="false" ht="15" hidden="false" customHeight="true" outlineLevel="0" collapsed="false">
      <c r="A17" s="13" t="n">
        <v>2025</v>
      </c>
      <c r="B17" s="13" t="s">
        <v>237</v>
      </c>
      <c r="C17" s="14" t="n">
        <v>3127</v>
      </c>
      <c r="D17" s="14" t="n">
        <v>1768</v>
      </c>
      <c r="E17" s="16" t="n">
        <v>56.54</v>
      </c>
    </row>
    <row r="18" customFormat="false" ht="15" hidden="false" customHeight="true" outlineLevel="0" collapsed="false">
      <c r="A18" s="13" t="n">
        <v>2025</v>
      </c>
      <c r="B18" s="13" t="s">
        <v>238</v>
      </c>
      <c r="C18" s="14" t="n">
        <v>22400</v>
      </c>
      <c r="D18" s="14" t="n">
        <v>19169</v>
      </c>
      <c r="E18" s="16" t="n">
        <v>85.58</v>
      </c>
    </row>
    <row r="19" customFormat="false" ht="15" hidden="false" customHeight="true" outlineLevel="0" collapsed="false">
      <c r="A19" s="13" t="n">
        <v>2025</v>
      </c>
      <c r="B19" s="13" t="s">
        <v>239</v>
      </c>
      <c r="C19" s="14" t="n">
        <v>12</v>
      </c>
      <c r="D19" s="14" t="n">
        <v>12</v>
      </c>
      <c r="E19" s="16" t="n">
        <v>100</v>
      </c>
    </row>
    <row r="20" customFormat="false" ht="15" hidden="false" customHeight="true" outlineLevel="0" collapsed="false">
      <c r="A20" s="13" t="n">
        <v>2025</v>
      </c>
      <c r="B20" s="13" t="s">
        <v>240</v>
      </c>
      <c r="C20" s="14" t="n">
        <v>1340</v>
      </c>
      <c r="D20" s="14" t="n">
        <v>740</v>
      </c>
      <c r="E20" s="16" t="n">
        <v>55.22</v>
      </c>
    </row>
    <row r="21" customFormat="false" ht="15" hidden="false" customHeight="true" outlineLevel="0" collapsed="false">
      <c r="A21" s="13" t="n">
        <v>2025</v>
      </c>
      <c r="B21" s="13" t="s">
        <v>241</v>
      </c>
      <c r="C21" s="14" t="n">
        <v>7051</v>
      </c>
      <c r="D21" s="14" t="n">
        <v>6322</v>
      </c>
      <c r="E21" s="16" t="n">
        <v>89.66</v>
      </c>
    </row>
    <row r="22" customFormat="false" ht="15" hidden="false" customHeight="true" outlineLevel="0" collapsed="false">
      <c r="A22" s="13" t="n">
        <v>2025</v>
      </c>
      <c r="B22" s="13" t="s">
        <v>242</v>
      </c>
      <c r="C22" s="14" t="n">
        <v>1502</v>
      </c>
      <c r="D22" s="14" t="n">
        <v>1382</v>
      </c>
      <c r="E22" s="16" t="n">
        <v>92.01</v>
      </c>
    </row>
    <row r="23" customFormat="false" ht="15" hidden="false" customHeight="true" outlineLevel="0" collapsed="false">
      <c r="A23" s="13" t="n">
        <v>2025</v>
      </c>
      <c r="B23" s="13" t="s">
        <v>243</v>
      </c>
      <c r="C23" s="14" t="n">
        <v>6886</v>
      </c>
      <c r="D23" s="14" t="n">
        <v>6386</v>
      </c>
      <c r="E23" s="16" t="n">
        <v>92.74</v>
      </c>
    </row>
    <row r="24" customFormat="false" ht="15" hidden="false" customHeight="true" outlineLevel="0" collapsed="false">
      <c r="A24" s="13" t="n">
        <v>2025</v>
      </c>
      <c r="B24" s="13" t="s">
        <v>244</v>
      </c>
      <c r="C24" s="14" t="n">
        <v>9</v>
      </c>
      <c r="D24" s="14" t="n">
        <v>8</v>
      </c>
      <c r="E24" s="16" t="n">
        <v>88.89</v>
      </c>
    </row>
    <row r="25" customFormat="false" ht="15" hidden="false" customHeight="true" outlineLevel="0" collapsed="false">
      <c r="A25" s="13" t="n">
        <v>2025</v>
      </c>
      <c r="B25" s="13" t="s">
        <v>245</v>
      </c>
      <c r="C25" s="14" t="n">
        <v>52</v>
      </c>
      <c r="D25" s="14" t="n">
        <v>51</v>
      </c>
      <c r="E25" s="16" t="n">
        <v>98.08</v>
      </c>
    </row>
    <row r="26" customFormat="false" ht="15" hidden="false" customHeight="true" outlineLevel="0" collapsed="false">
      <c r="A26" s="13" t="n">
        <v>2025</v>
      </c>
      <c r="B26" s="13" t="s">
        <v>246</v>
      </c>
      <c r="C26" s="14" t="n">
        <v>13290</v>
      </c>
      <c r="D26" s="14" t="n">
        <v>5139</v>
      </c>
      <c r="E26" s="16" t="n">
        <v>38.67</v>
      </c>
    </row>
    <row r="27" customFormat="false" ht="15" hidden="false" customHeight="true" outlineLevel="0" collapsed="false">
      <c r="A27" s="13" t="n">
        <v>2025</v>
      </c>
      <c r="B27" s="13" t="s">
        <v>247</v>
      </c>
      <c r="C27" s="14" t="n">
        <v>51841</v>
      </c>
      <c r="D27" s="14" t="n">
        <v>37939</v>
      </c>
      <c r="E27" s="16" t="n">
        <v>73.18</v>
      </c>
    </row>
    <row r="28" customFormat="false" ht="15" hidden="false" customHeight="true" outlineLevel="0" collapsed="false">
      <c r="A28" s="13" t="n">
        <v>2025</v>
      </c>
      <c r="B28" s="13" t="s">
        <v>248</v>
      </c>
      <c r="C28" s="14" t="n">
        <v>12</v>
      </c>
      <c r="D28" s="14" t="n">
        <v>12</v>
      </c>
      <c r="E28" s="16" t="n">
        <v>100</v>
      </c>
    </row>
    <row r="29" customFormat="false" ht="15" hidden="false" customHeight="true" outlineLevel="0" collapsed="false">
      <c r="A29" s="13" t="n">
        <v>2025</v>
      </c>
      <c r="B29" s="13" t="s">
        <v>249</v>
      </c>
      <c r="C29" s="14" t="n">
        <v>280</v>
      </c>
      <c r="D29" s="14" t="n">
        <v>280</v>
      </c>
      <c r="E29" s="16" t="n">
        <v>100</v>
      </c>
    </row>
    <row r="30" customFormat="false" ht="15" hidden="false" customHeight="true" outlineLevel="0" collapsed="false">
      <c r="A30" s="13" t="n">
        <v>2025</v>
      </c>
      <c r="B30" s="13" t="s">
        <v>250</v>
      </c>
      <c r="C30" s="14" t="n">
        <v>2</v>
      </c>
      <c r="D30" s="14" t="n">
        <v>2</v>
      </c>
      <c r="E30" s="16" t="n">
        <v>100</v>
      </c>
    </row>
    <row r="31" customFormat="false" ht="15" hidden="false" customHeight="true" outlineLevel="0" collapsed="false">
      <c r="A31" s="13" t="n">
        <v>2025</v>
      </c>
      <c r="B31" s="13" t="s">
        <v>251</v>
      </c>
      <c r="C31" s="14" t="n">
        <v>110</v>
      </c>
      <c r="D31" s="14" t="n">
        <v>110</v>
      </c>
      <c r="E31" s="16" t="n">
        <v>100</v>
      </c>
    </row>
    <row r="32" customFormat="false" ht="15" hidden="false" customHeight="true" outlineLevel="0" collapsed="false">
      <c r="A32" s="13" t="n">
        <v>2025</v>
      </c>
      <c r="B32" s="13" t="s">
        <v>252</v>
      </c>
      <c r="C32" s="14" t="n">
        <v>20</v>
      </c>
      <c r="D32" s="14" t="n">
        <v>18</v>
      </c>
      <c r="E32" s="16" t="n">
        <v>90</v>
      </c>
    </row>
    <row r="33" customFormat="false" ht="15" hidden="false" customHeight="true" outlineLevel="0" collapsed="false">
      <c r="A33" s="13" t="n">
        <v>2025</v>
      </c>
      <c r="B33" s="13" t="s">
        <v>253</v>
      </c>
      <c r="C33" s="14" t="n">
        <v>576</v>
      </c>
      <c r="D33" s="14" t="n">
        <v>575</v>
      </c>
      <c r="E33" s="16" t="n">
        <v>99.83</v>
      </c>
    </row>
    <row r="34" customFormat="false" ht="15" hidden="false" customHeight="true" outlineLevel="0" collapsed="false">
      <c r="A34" s="13" t="n">
        <v>2025</v>
      </c>
      <c r="B34" s="13" t="s">
        <v>254</v>
      </c>
      <c r="C34" s="14" t="n">
        <v>309</v>
      </c>
      <c r="D34" s="14" t="n">
        <v>278</v>
      </c>
      <c r="E34" s="16" t="n">
        <v>89.97</v>
      </c>
    </row>
    <row r="35" customFormat="false" ht="15" hidden="false" customHeight="true" outlineLevel="0" collapsed="false">
      <c r="A35" s="13" t="n">
        <v>2025</v>
      </c>
      <c r="B35" s="13" t="s">
        <v>255</v>
      </c>
      <c r="C35" s="14" t="n">
        <v>7121</v>
      </c>
      <c r="D35" s="14" t="n">
        <v>6996</v>
      </c>
      <c r="E35" s="16" t="n">
        <v>98.24</v>
      </c>
    </row>
    <row r="36" customFormat="false" ht="15" hidden="false" customHeight="true" outlineLevel="0" collapsed="false">
      <c r="A36" s="13" t="n">
        <v>2025</v>
      </c>
      <c r="B36" s="13" t="s">
        <v>311</v>
      </c>
      <c r="C36" s="14" t="n">
        <v>181</v>
      </c>
      <c r="D36" s="14" t="n">
        <v>165</v>
      </c>
      <c r="E36" s="16" t="n">
        <v>91.16</v>
      </c>
    </row>
    <row r="37" customFormat="false" ht="15" hidden="false" customHeight="true" outlineLevel="0" collapsed="false">
      <c r="A37" s="13" t="n">
        <v>2025</v>
      </c>
      <c r="B37" s="13" t="s">
        <v>312</v>
      </c>
      <c r="C37" s="14" t="n">
        <v>3</v>
      </c>
      <c r="D37" s="14" t="n">
        <v>3</v>
      </c>
      <c r="E37" s="16" t="n">
        <v>100</v>
      </c>
    </row>
    <row r="38" customFormat="false" ht="15" hidden="false" customHeight="true" outlineLevel="0" collapsed="false">
      <c r="A38" s="13" t="n">
        <v>2025</v>
      </c>
      <c r="B38" s="13" t="s">
        <v>313</v>
      </c>
      <c r="C38" s="14" t="n">
        <v>4</v>
      </c>
      <c r="D38" s="14" t="n">
        <v>4</v>
      </c>
      <c r="E38" s="16" t="n">
        <v>100</v>
      </c>
    </row>
    <row r="39" customFormat="false" ht="15" hidden="false" customHeight="true" outlineLevel="0" collapsed="false">
      <c r="A39" s="13" t="n">
        <v>2025</v>
      </c>
      <c r="B39" s="13" t="s">
        <v>314</v>
      </c>
      <c r="C39" s="14" t="n">
        <v>966</v>
      </c>
      <c r="D39" s="14" t="n">
        <v>877</v>
      </c>
      <c r="E39" s="16" t="n">
        <v>90.79</v>
      </c>
    </row>
    <row r="40" customFormat="false" ht="15" hidden="false" customHeight="true" outlineLevel="0" collapsed="false">
      <c r="A40" s="13" t="n">
        <v>2025</v>
      </c>
      <c r="B40" s="13" t="s">
        <v>315</v>
      </c>
      <c r="C40" s="14" t="n">
        <v>24</v>
      </c>
      <c r="D40" s="14" t="n">
        <v>20</v>
      </c>
      <c r="E40" s="16" t="n">
        <v>83.33</v>
      </c>
    </row>
    <row r="41" customFormat="false" ht="15" hidden="false" customHeight="true" outlineLevel="0" collapsed="false">
      <c r="A41" s="13" t="n">
        <v>2025</v>
      </c>
      <c r="B41" s="13" t="s">
        <v>316</v>
      </c>
      <c r="C41" s="14" t="n">
        <v>1</v>
      </c>
      <c r="D41" s="14" t="n">
        <v>0</v>
      </c>
      <c r="E41" s="16" t="n">
        <v>0</v>
      </c>
    </row>
    <row r="42" customFormat="false" ht="15" hidden="false" customHeight="true" outlineLevel="0" collapsed="false">
      <c r="A42" s="13" t="n">
        <v>2025</v>
      </c>
      <c r="B42" s="13" t="s">
        <v>317</v>
      </c>
      <c r="C42" s="14" t="n">
        <v>2</v>
      </c>
      <c r="D42" s="14" t="n">
        <v>2</v>
      </c>
      <c r="E42" s="16" t="n">
        <v>100</v>
      </c>
    </row>
    <row r="43" customFormat="false" ht="15" hidden="false" customHeight="true" outlineLevel="0" collapsed="false">
      <c r="A43" s="13" t="n">
        <v>2025</v>
      </c>
      <c r="B43" s="13" t="s">
        <v>318</v>
      </c>
      <c r="C43" s="14" t="n">
        <v>86</v>
      </c>
      <c r="D43" s="14" t="n">
        <v>38</v>
      </c>
      <c r="E43" s="16" t="n">
        <v>44.19</v>
      </c>
    </row>
    <row r="44" customFormat="false" ht="15" hidden="false" customHeight="true" outlineLevel="0" collapsed="false">
      <c r="A44" s="13" t="n">
        <v>2025</v>
      </c>
      <c r="B44" s="13" t="s">
        <v>319</v>
      </c>
      <c r="C44" s="14" t="n">
        <v>273</v>
      </c>
      <c r="D44" s="14" t="n">
        <v>227</v>
      </c>
      <c r="E44" s="16" t="n">
        <v>83.15</v>
      </c>
    </row>
    <row r="45" customFormat="false" ht="15" hidden="false" customHeight="true" outlineLevel="0" collapsed="false">
      <c r="A45" s="13" t="n">
        <v>2025</v>
      </c>
      <c r="B45" s="13" t="s">
        <v>266</v>
      </c>
      <c r="C45" s="14" t="n">
        <v>1732</v>
      </c>
      <c r="D45" s="14" t="n">
        <v>1627</v>
      </c>
      <c r="E45" s="16" t="n">
        <v>93.94</v>
      </c>
    </row>
    <row r="46" customFormat="false" ht="15" hidden="false" customHeight="true" outlineLevel="0" collapsed="false">
      <c r="A46" s="13" t="n">
        <v>2025</v>
      </c>
      <c r="B46" s="13" t="s">
        <v>267</v>
      </c>
      <c r="C46" s="14" t="n">
        <v>8836</v>
      </c>
      <c r="D46" s="14" t="n">
        <v>8566</v>
      </c>
      <c r="E46" s="16" t="n">
        <v>96.94</v>
      </c>
    </row>
    <row r="47" customFormat="false" ht="15" hidden="false" customHeight="true" outlineLevel="0" collapsed="false">
      <c r="A47" s="13" t="n">
        <v>2025</v>
      </c>
      <c r="B47" s="13" t="s">
        <v>320</v>
      </c>
      <c r="C47" s="14" t="n">
        <v>2790</v>
      </c>
      <c r="D47" s="14" t="n">
        <v>2723</v>
      </c>
      <c r="E47" s="16" t="n">
        <v>97.6</v>
      </c>
    </row>
    <row r="48" customFormat="false" ht="15" hidden="false" customHeight="true" outlineLevel="0" collapsed="false">
      <c r="A48" s="13" t="n">
        <v>2025</v>
      </c>
      <c r="B48" s="13" t="s">
        <v>268</v>
      </c>
      <c r="C48" s="14" t="n">
        <v>68</v>
      </c>
      <c r="D48" s="14" t="n">
        <v>54</v>
      </c>
      <c r="E48" s="16" t="n">
        <v>79.41</v>
      </c>
    </row>
    <row r="49" customFormat="false" ht="15" hidden="false" customHeight="true" outlineLevel="0" collapsed="false">
      <c r="A49" s="13" t="n">
        <v>2025</v>
      </c>
      <c r="B49" s="13" t="s">
        <v>269</v>
      </c>
      <c r="C49" s="14" t="n">
        <v>2786</v>
      </c>
      <c r="D49" s="14" t="n">
        <v>2760</v>
      </c>
      <c r="E49" s="16" t="n">
        <v>99.07</v>
      </c>
    </row>
    <row r="50" customFormat="false" ht="15" hidden="false" customHeight="true" outlineLevel="0" collapsed="false">
      <c r="C50" s="14"/>
      <c r="D50" s="14"/>
      <c r="E50" s="16"/>
    </row>
    <row r="51" customFormat="false" ht="15" hidden="false" customHeight="true" outlineLevel="0" collapsed="false">
      <c r="C51" s="14"/>
      <c r="D51" s="14"/>
      <c r="E51" s="16"/>
    </row>
    <row r="52" customFormat="false" ht="15" hidden="false" customHeight="true" outlineLevel="0" collapsed="false">
      <c r="C52" s="14"/>
      <c r="D52" s="14"/>
      <c r="E52" s="16"/>
    </row>
    <row r="53" customFormat="false" ht="15" hidden="false" customHeight="true" outlineLevel="0" collapsed="false">
      <c r="C53" s="14"/>
      <c r="D53" s="14"/>
      <c r="E53" s="16"/>
    </row>
    <row r="54" customFormat="false" ht="15" hidden="false" customHeight="true" outlineLevel="0" collapsed="false">
      <c r="C54" s="14"/>
      <c r="D54" s="14"/>
      <c r="E54" s="16"/>
    </row>
    <row r="55" customFormat="false" ht="15" hidden="false" customHeight="true" outlineLevel="0" collapsed="false">
      <c r="C55" s="14"/>
      <c r="D55" s="14"/>
      <c r="E55" s="16"/>
    </row>
    <row r="56" customFormat="false" ht="15" hidden="false" customHeight="true" outlineLevel="0" collapsed="false">
      <c r="C56" s="14"/>
      <c r="D56" s="14"/>
      <c r="E56" s="16"/>
    </row>
    <row r="57" customFormat="false" ht="15" hidden="false" customHeight="true" outlineLevel="0" collapsed="false">
      <c r="C57" s="14"/>
      <c r="D57" s="14"/>
      <c r="E57" s="16"/>
    </row>
    <row r="58" customFormat="false" ht="15" hidden="false" customHeight="true" outlineLevel="0" collapsed="false">
      <c r="C58" s="14"/>
      <c r="D58" s="14"/>
      <c r="E58" s="16"/>
    </row>
    <row r="59" customFormat="false" ht="15" hidden="false" customHeight="true" outlineLevel="0" collapsed="false">
      <c r="C59" s="14"/>
      <c r="D59" s="14"/>
      <c r="E59" s="16"/>
    </row>
    <row r="60" customFormat="false" ht="15" hidden="false" customHeight="true" outlineLevel="0" collapsed="false">
      <c r="C60" s="14"/>
      <c r="D60" s="14"/>
      <c r="E60" s="16"/>
    </row>
    <row r="61" customFormat="false" ht="15" hidden="false" customHeight="true" outlineLevel="0" collapsed="false">
      <c r="C61" s="14"/>
      <c r="D61" s="14"/>
      <c r="E61" s="16"/>
    </row>
    <row r="62" customFormat="false" ht="15" hidden="false" customHeight="true" outlineLevel="0" collapsed="false">
      <c r="C62" s="14"/>
      <c r="D62" s="14"/>
      <c r="E62" s="16"/>
    </row>
    <row r="63" customFormat="false" ht="15" hidden="false" customHeight="true" outlineLevel="0" collapsed="false">
      <c r="C63" s="14"/>
      <c r="D63" s="14"/>
      <c r="E63" s="16"/>
    </row>
    <row r="64" customFormat="false" ht="15" hidden="false" customHeight="true" outlineLevel="0" collapsed="false">
      <c r="C64" s="14"/>
      <c r="D64" s="14"/>
      <c r="E64" s="16"/>
    </row>
    <row r="65" customFormat="false" ht="15" hidden="false" customHeight="true" outlineLevel="0" collapsed="false">
      <c r="C65" s="14"/>
      <c r="D65" s="14"/>
      <c r="E65" s="16"/>
    </row>
    <row r="66" customFormat="false" ht="15" hidden="false" customHeight="true" outlineLevel="0" collapsed="false">
      <c r="C66" s="14"/>
      <c r="D66" s="14"/>
      <c r="E66" s="16"/>
    </row>
    <row r="67" customFormat="false" ht="15" hidden="false" customHeight="true" outlineLevel="0" collapsed="false">
      <c r="C67" s="14"/>
      <c r="D67" s="14"/>
      <c r="E67" s="16"/>
    </row>
    <row r="68" customFormat="false" ht="15" hidden="false" customHeight="true" outlineLevel="0" collapsed="false">
      <c r="C68" s="14"/>
      <c r="D68" s="14"/>
      <c r="E68" s="16"/>
    </row>
    <row r="69" customFormat="false" ht="15" hidden="false" customHeight="true" outlineLevel="0" collapsed="false">
      <c r="C69" s="14"/>
      <c r="D69" s="14"/>
      <c r="E69" s="16"/>
    </row>
    <row r="70" customFormat="false" ht="15" hidden="false" customHeight="true" outlineLevel="0" collapsed="false">
      <c r="C70" s="14"/>
      <c r="D70" s="14"/>
      <c r="E70" s="16"/>
    </row>
    <row r="71" customFormat="false" ht="15" hidden="false" customHeight="true" outlineLevel="0" collapsed="false">
      <c r="C71" s="14"/>
      <c r="D71" s="14"/>
      <c r="E71" s="16"/>
    </row>
    <row r="72" customFormat="false" ht="15" hidden="false" customHeight="true" outlineLevel="0" collapsed="false">
      <c r="C72" s="14"/>
      <c r="D72" s="14"/>
      <c r="E72" s="16"/>
    </row>
    <row r="73" customFormat="false" ht="15" hidden="false" customHeight="true" outlineLevel="0" collapsed="false">
      <c r="C73" s="14"/>
      <c r="D73" s="14"/>
      <c r="E73" s="16"/>
    </row>
    <row r="74" customFormat="false" ht="15" hidden="false" customHeight="true" outlineLevel="0" collapsed="false">
      <c r="C74" s="14"/>
      <c r="D74" s="14"/>
      <c r="E74" s="16"/>
    </row>
    <row r="75" customFormat="false" ht="15" hidden="false" customHeight="true" outlineLevel="0" collapsed="false">
      <c r="C75" s="14"/>
      <c r="D75" s="14"/>
      <c r="E75" s="16"/>
    </row>
    <row r="76" customFormat="false" ht="15" hidden="false" customHeight="true" outlineLevel="0" collapsed="false">
      <c r="C76" s="14"/>
      <c r="D76" s="14"/>
      <c r="E76" s="16"/>
    </row>
    <row r="77" customFormat="false" ht="15" hidden="false" customHeight="true" outlineLevel="0" collapsed="false">
      <c r="C77" s="14"/>
      <c r="D77" s="14"/>
      <c r="E77" s="16"/>
    </row>
    <row r="78" customFormat="false" ht="15" hidden="false" customHeight="true" outlineLevel="0" collapsed="false">
      <c r="C78" s="14"/>
      <c r="D78" s="14"/>
      <c r="E78" s="16"/>
    </row>
    <row r="79" customFormat="false" ht="15" hidden="false" customHeight="true" outlineLevel="0" collapsed="false">
      <c r="C79" s="14"/>
      <c r="D79" s="14"/>
      <c r="E79" s="16"/>
    </row>
    <row r="80" customFormat="false" ht="15" hidden="false" customHeight="true" outlineLevel="0" collapsed="false">
      <c r="C80" s="14"/>
      <c r="D80" s="14"/>
      <c r="E80" s="16"/>
    </row>
    <row r="81" customFormat="false" ht="15" hidden="false" customHeight="true" outlineLevel="0" collapsed="false">
      <c r="C81" s="14"/>
      <c r="D81" s="14"/>
      <c r="E81" s="16"/>
    </row>
    <row r="82" customFormat="false" ht="15" hidden="false" customHeight="true" outlineLevel="0" collapsed="false">
      <c r="C82" s="14"/>
      <c r="D82" s="14"/>
      <c r="E82" s="16"/>
    </row>
    <row r="83" customFormat="false" ht="15" hidden="false" customHeight="true" outlineLevel="0" collapsed="false">
      <c r="C83" s="14"/>
      <c r="D83" s="14"/>
      <c r="E83" s="16"/>
    </row>
    <row r="84" customFormat="false" ht="15" hidden="false" customHeight="true" outlineLevel="0" collapsed="false">
      <c r="C84" s="14"/>
      <c r="D84" s="14"/>
      <c r="E84" s="16"/>
    </row>
    <row r="85" customFormat="false" ht="15" hidden="false" customHeight="true" outlineLevel="0" collapsed="false">
      <c r="C85" s="14"/>
      <c r="D85" s="14"/>
      <c r="E85" s="16"/>
    </row>
    <row r="86" customFormat="false" ht="15" hidden="false" customHeight="true" outlineLevel="0" collapsed="false">
      <c r="C86" s="14"/>
      <c r="D86" s="14"/>
      <c r="E86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55"/>
    <col collapsed="false" customWidth="true" hidden="false" outlineLevel="0" max="3" min="2" style="13" width="12"/>
  </cols>
  <sheetData>
    <row r="1" customFormat="false" ht="15" hidden="false" customHeight="true" outlineLevel="0" collapsed="false">
      <c r="A1" s="13" t="s">
        <v>321</v>
      </c>
    </row>
    <row r="2" customFormat="false" ht="15" hidden="false" customHeight="true" outlineLevel="0" collapsed="false">
      <c r="A2" s="13" t="s">
        <v>322</v>
      </c>
    </row>
    <row r="4" customFormat="false" ht="15" hidden="false" customHeight="true" outlineLevel="0" collapsed="false">
      <c r="A4" s="13" t="s">
        <v>186</v>
      </c>
      <c r="B4" s="13" t="s">
        <v>187</v>
      </c>
      <c r="C4" s="13" t="s">
        <v>188</v>
      </c>
    </row>
    <row r="5" customFormat="false" ht="15" hidden="false" customHeight="true" outlineLevel="0" collapsed="false">
      <c r="A5" s="13" t="s">
        <v>189</v>
      </c>
      <c r="C5" s="14" t="n">
        <v>61668</v>
      </c>
    </row>
    <row r="6" customFormat="false" ht="15" hidden="false" customHeight="true" outlineLevel="0" collapsed="false">
      <c r="A6" s="13" t="s">
        <v>190</v>
      </c>
      <c r="C6" s="14" t="n">
        <v>1076</v>
      </c>
    </row>
    <row r="7" customFormat="false" ht="15" hidden="false" customHeight="true" outlineLevel="0" collapsed="false">
      <c r="A7" s="13" t="s">
        <v>191</v>
      </c>
      <c r="B7" s="13" t="s">
        <v>121</v>
      </c>
      <c r="C7" s="14" t="n">
        <v>48249</v>
      </c>
    </row>
    <row r="8" customFormat="false" ht="15" hidden="false" customHeight="true" outlineLevel="0" collapsed="false">
      <c r="A8" s="13" t="s">
        <v>191</v>
      </c>
      <c r="B8" s="13" t="s">
        <v>125</v>
      </c>
      <c r="C8" s="14" t="n">
        <v>12343</v>
      </c>
    </row>
    <row r="9" customFormat="false" ht="15" hidden="false" customHeight="true" outlineLevel="0" collapsed="false">
      <c r="A9" s="13" t="s">
        <v>191</v>
      </c>
      <c r="B9" s="13" t="s">
        <v>192</v>
      </c>
      <c r="C9" s="14" t="n">
        <v>60592</v>
      </c>
    </row>
    <row r="10" customFormat="false" ht="15" hidden="false" customHeight="true" outlineLevel="0" collapsed="false">
      <c r="A10" s="13" t="s">
        <v>193</v>
      </c>
      <c r="B10" s="13" t="s">
        <v>121</v>
      </c>
      <c r="C10" s="14" t="n">
        <v>31850</v>
      </c>
    </row>
    <row r="11" customFormat="false" ht="15" hidden="false" customHeight="true" outlineLevel="0" collapsed="false">
      <c r="A11" s="13" t="s">
        <v>193</v>
      </c>
      <c r="B11" s="13" t="s">
        <v>125</v>
      </c>
      <c r="C11" s="14" t="n">
        <v>4454</v>
      </c>
    </row>
    <row r="12" customFormat="false" ht="15" hidden="false" customHeight="true" outlineLevel="0" collapsed="false">
      <c r="A12" s="13" t="s">
        <v>193</v>
      </c>
      <c r="B12" s="13" t="s">
        <v>192</v>
      </c>
      <c r="C12" s="14" t="n">
        <v>36304</v>
      </c>
    </row>
    <row r="13" customFormat="false" ht="15" hidden="false" customHeight="true" outlineLevel="0" collapsed="false">
      <c r="A13" s="13" t="s">
        <v>194</v>
      </c>
      <c r="B13" s="13" t="s">
        <v>121</v>
      </c>
      <c r="C13" s="14" t="n">
        <v>66.01</v>
      </c>
    </row>
    <row r="14" customFormat="false" ht="15" hidden="false" customHeight="true" outlineLevel="0" collapsed="false">
      <c r="A14" s="13" t="s">
        <v>194</v>
      </c>
      <c r="B14" s="13" t="s">
        <v>125</v>
      </c>
      <c r="C14" s="14" t="n">
        <v>36.09</v>
      </c>
    </row>
    <row r="15" customFormat="false" ht="15" hidden="false" customHeight="true" outlineLevel="0" collapsed="false">
      <c r="A15" s="13" t="s">
        <v>194</v>
      </c>
      <c r="B15" s="13" t="s">
        <v>195</v>
      </c>
      <c r="C15" s="14" t="n">
        <v>59.92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323</v>
      </c>
    </row>
    <row r="2" customFormat="false" ht="15" hidden="false" customHeight="true" outlineLevel="0" collapsed="false">
      <c r="A2" s="13" t="s">
        <v>324</v>
      </c>
    </row>
    <row r="4" customFormat="false" ht="15" hidden="false" customHeight="true" outlineLevel="0" collapsed="false">
      <c r="A4" s="13" t="s">
        <v>200</v>
      </c>
      <c r="B4" s="13" t="s">
        <v>124</v>
      </c>
      <c r="C4" s="13" t="n">
        <v>1059</v>
      </c>
      <c r="D4" s="13" t="n">
        <v>657</v>
      </c>
      <c r="E4" s="13" t="n">
        <v>62.04</v>
      </c>
      <c r="F4" s="13" t="n">
        <v>117</v>
      </c>
      <c r="G4" s="13" t="n">
        <v>122</v>
      </c>
      <c r="H4" s="13" t="n">
        <v>206</v>
      </c>
      <c r="I4" s="13" t="n">
        <v>195</v>
      </c>
      <c r="J4" s="13" t="n">
        <v>17</v>
      </c>
      <c r="K4" s="13" t="n">
        <v>0</v>
      </c>
    </row>
    <row r="5" customFormat="false" ht="15" hidden="false" customHeight="true" outlineLevel="0" collapsed="false">
      <c r="A5" s="13" t="s">
        <v>200</v>
      </c>
      <c r="B5" s="13" t="s">
        <v>122</v>
      </c>
      <c r="C5" s="14" t="n">
        <v>3081</v>
      </c>
      <c r="D5" s="14" t="n">
        <v>2329</v>
      </c>
      <c r="E5" s="16" t="n">
        <v>75.59</v>
      </c>
      <c r="F5" s="14" t="n">
        <v>399</v>
      </c>
      <c r="G5" s="14" t="n">
        <v>561</v>
      </c>
      <c r="H5" s="14" t="n">
        <v>809</v>
      </c>
      <c r="I5" s="14" t="n">
        <v>533</v>
      </c>
      <c r="J5" s="14" t="n">
        <v>27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192</v>
      </c>
      <c r="C6" s="14" t="n">
        <v>4140</v>
      </c>
      <c r="D6" s="14" t="n">
        <v>2986</v>
      </c>
      <c r="E6" s="16" t="n">
        <v>72.13</v>
      </c>
      <c r="F6" s="14" t="n">
        <v>516</v>
      </c>
      <c r="G6" s="14" t="n">
        <v>683</v>
      </c>
      <c r="H6" s="14" t="n">
        <v>1015</v>
      </c>
      <c r="I6" s="14" t="n">
        <v>728</v>
      </c>
      <c r="J6" s="14" t="n">
        <v>44</v>
      </c>
      <c r="K6" s="14" t="n">
        <v>0</v>
      </c>
    </row>
    <row r="7" customFormat="false" ht="15" hidden="false" customHeight="true" outlineLevel="0" collapsed="false">
      <c r="A7" s="13" t="s">
        <v>201</v>
      </c>
      <c r="B7" s="13" t="s">
        <v>124</v>
      </c>
      <c r="C7" s="14" t="n">
        <v>285</v>
      </c>
      <c r="D7" s="14" t="n">
        <v>190</v>
      </c>
      <c r="E7" s="16" t="n">
        <v>66.67</v>
      </c>
      <c r="F7" s="14" t="n">
        <v>34</v>
      </c>
      <c r="G7" s="14" t="n">
        <v>42</v>
      </c>
      <c r="H7" s="14" t="n">
        <v>57</v>
      </c>
      <c r="I7" s="14" t="n">
        <v>51</v>
      </c>
      <c r="J7" s="14" t="n">
        <v>6</v>
      </c>
      <c r="K7" s="14" t="n">
        <v>0</v>
      </c>
    </row>
    <row r="8" customFormat="false" ht="15" hidden="false" customHeight="true" outlineLevel="0" collapsed="false">
      <c r="A8" s="13" t="s">
        <v>201</v>
      </c>
      <c r="B8" s="13" t="s">
        <v>122</v>
      </c>
      <c r="C8" s="14" t="n">
        <v>165</v>
      </c>
      <c r="D8" s="14" t="n">
        <v>126</v>
      </c>
      <c r="E8" s="16" t="n">
        <v>76.36</v>
      </c>
      <c r="F8" s="14" t="n">
        <v>13</v>
      </c>
      <c r="G8" s="14" t="n">
        <v>26</v>
      </c>
      <c r="H8" s="14" t="n">
        <v>48</v>
      </c>
      <c r="I8" s="14" t="n">
        <v>35</v>
      </c>
      <c r="J8" s="14" t="n">
        <v>4</v>
      </c>
      <c r="K8" s="14" t="n">
        <v>0</v>
      </c>
    </row>
    <row r="9" customFormat="false" ht="15" hidden="false" customHeight="true" outlineLevel="0" collapsed="false">
      <c r="A9" s="13" t="s">
        <v>201</v>
      </c>
      <c r="B9" s="13" t="s">
        <v>192</v>
      </c>
      <c r="C9" s="14" t="n">
        <v>450</v>
      </c>
      <c r="D9" s="14" t="n">
        <v>316</v>
      </c>
      <c r="E9" s="16" t="n">
        <v>70.22</v>
      </c>
      <c r="F9" s="14" t="n">
        <v>47</v>
      </c>
      <c r="G9" s="14" t="n">
        <v>68</v>
      </c>
      <c r="H9" s="14" t="n">
        <v>105</v>
      </c>
      <c r="I9" s="14" t="n">
        <v>86</v>
      </c>
      <c r="J9" s="14" t="n">
        <v>10</v>
      </c>
      <c r="K9" s="14" t="n">
        <v>0</v>
      </c>
    </row>
    <row r="10" customFormat="false" ht="15" hidden="false" customHeight="true" outlineLevel="0" collapsed="false">
      <c r="A10" s="13" t="s">
        <v>202</v>
      </c>
      <c r="B10" s="13" t="s">
        <v>124</v>
      </c>
      <c r="C10" s="14" t="n">
        <v>3120</v>
      </c>
      <c r="D10" s="14" t="n">
        <v>1422</v>
      </c>
      <c r="E10" s="16" t="n">
        <v>45.58</v>
      </c>
      <c r="F10" s="14" t="n">
        <v>96</v>
      </c>
      <c r="G10" s="14" t="n">
        <v>214</v>
      </c>
      <c r="H10" s="14" t="n">
        <v>421</v>
      </c>
      <c r="I10" s="14" t="n">
        <v>575</v>
      </c>
      <c r="J10" s="14" t="n">
        <v>116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122</v>
      </c>
      <c r="C11" s="14" t="n">
        <v>3298</v>
      </c>
      <c r="D11" s="14" t="n">
        <v>2163</v>
      </c>
      <c r="E11" s="16" t="n">
        <v>65.59</v>
      </c>
      <c r="F11" s="14" t="n">
        <v>163</v>
      </c>
      <c r="G11" s="14" t="n">
        <v>414</v>
      </c>
      <c r="H11" s="14" t="n">
        <v>806</v>
      </c>
      <c r="I11" s="14" t="n">
        <v>690</v>
      </c>
      <c r="J11" s="14" t="n">
        <v>90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192</v>
      </c>
      <c r="C12" s="14" t="n">
        <v>6418</v>
      </c>
      <c r="D12" s="14" t="n">
        <v>3585</v>
      </c>
      <c r="E12" s="16" t="n">
        <v>55.86</v>
      </c>
      <c r="F12" s="14" t="n">
        <v>259</v>
      </c>
      <c r="G12" s="14" t="n">
        <v>628</v>
      </c>
      <c r="H12" s="14" t="n">
        <v>1227</v>
      </c>
      <c r="I12" s="14" t="n">
        <v>1265</v>
      </c>
      <c r="J12" s="14" t="n">
        <v>206</v>
      </c>
      <c r="K12" s="14" t="n">
        <v>0</v>
      </c>
    </row>
    <row r="13" customFormat="false" ht="15" hidden="false" customHeight="true" outlineLevel="0" collapsed="false">
      <c r="A13" s="13" t="s">
        <v>128</v>
      </c>
      <c r="B13" s="13" t="s">
        <v>124</v>
      </c>
      <c r="C13" s="14" t="n">
        <v>4094</v>
      </c>
      <c r="D13" s="14" t="n">
        <v>1431</v>
      </c>
      <c r="E13" s="16" t="n">
        <v>34.95</v>
      </c>
      <c r="F13" s="14" t="n">
        <v>18</v>
      </c>
      <c r="G13" s="14" t="n">
        <v>164</v>
      </c>
      <c r="H13" s="14" t="n">
        <v>482</v>
      </c>
      <c r="I13" s="14" t="n">
        <v>569</v>
      </c>
      <c r="J13" s="14" t="n">
        <v>192</v>
      </c>
      <c r="K13" s="14" t="n">
        <v>6</v>
      </c>
    </row>
    <row r="14" customFormat="false" ht="15" hidden="false" customHeight="true" outlineLevel="0" collapsed="false">
      <c r="A14" s="13" t="s">
        <v>128</v>
      </c>
      <c r="B14" s="13" t="s">
        <v>122</v>
      </c>
      <c r="C14" s="14" t="n">
        <v>6974</v>
      </c>
      <c r="D14" s="14" t="n">
        <v>4193</v>
      </c>
      <c r="E14" s="16" t="n">
        <v>60.12</v>
      </c>
      <c r="F14" s="14" t="n">
        <v>154</v>
      </c>
      <c r="G14" s="14" t="n">
        <v>862</v>
      </c>
      <c r="H14" s="14" t="n">
        <v>1732</v>
      </c>
      <c r="I14" s="14" t="n">
        <v>1234</v>
      </c>
      <c r="J14" s="14" t="n">
        <v>210</v>
      </c>
      <c r="K14" s="14" t="n">
        <v>1</v>
      </c>
    </row>
    <row r="15" customFormat="false" ht="15" hidden="false" customHeight="true" outlineLevel="0" collapsed="false">
      <c r="A15" s="13" t="s">
        <v>128</v>
      </c>
      <c r="B15" s="13" t="s">
        <v>192</v>
      </c>
      <c r="C15" s="14" t="n">
        <v>11068</v>
      </c>
      <c r="D15" s="14" t="n">
        <v>5624</v>
      </c>
      <c r="E15" s="16" t="n">
        <v>50.81</v>
      </c>
      <c r="F15" s="14" t="n">
        <v>172</v>
      </c>
      <c r="G15" s="14" t="n">
        <v>1026</v>
      </c>
      <c r="H15" s="14" t="n">
        <v>2214</v>
      </c>
      <c r="I15" s="14" t="n">
        <v>1803</v>
      </c>
      <c r="J15" s="14" t="n">
        <v>402</v>
      </c>
      <c r="K15" s="14" t="n">
        <v>7</v>
      </c>
    </row>
    <row r="16" customFormat="false" ht="15" hidden="false" customHeight="true" outlineLevel="0" collapsed="false">
      <c r="A16" s="13" t="s">
        <v>203</v>
      </c>
      <c r="B16" s="13" t="s">
        <v>124</v>
      </c>
      <c r="C16" s="14" t="n">
        <v>28</v>
      </c>
      <c r="D16" s="14" t="n">
        <v>16</v>
      </c>
      <c r="E16" s="16" t="n">
        <v>57.14</v>
      </c>
      <c r="F16" s="14" t="n">
        <v>0</v>
      </c>
      <c r="G16" s="14" t="n">
        <v>2</v>
      </c>
      <c r="H16" s="14" t="n">
        <v>8</v>
      </c>
      <c r="I16" s="14" t="n">
        <v>3</v>
      </c>
      <c r="J16" s="14" t="n">
        <v>3</v>
      </c>
      <c r="K16" s="14" t="n">
        <v>0</v>
      </c>
    </row>
    <row r="17" customFormat="false" ht="15" hidden="false" customHeight="true" outlineLevel="0" collapsed="false">
      <c r="A17" s="13" t="s">
        <v>203</v>
      </c>
      <c r="B17" s="13" t="s">
        <v>122</v>
      </c>
      <c r="C17" s="14" t="n">
        <v>4</v>
      </c>
      <c r="D17" s="14" t="n">
        <v>3</v>
      </c>
      <c r="E17" s="16" t="n">
        <v>75</v>
      </c>
      <c r="F17" s="14" t="n">
        <v>0</v>
      </c>
      <c r="G17" s="14" t="n">
        <v>2</v>
      </c>
      <c r="H17" s="14" t="n">
        <v>1</v>
      </c>
      <c r="I17" s="14" t="n">
        <v>0</v>
      </c>
      <c r="J17" s="14" t="n">
        <v>0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192</v>
      </c>
      <c r="C18" s="14" t="n">
        <v>32</v>
      </c>
      <c r="D18" s="14" t="n">
        <v>19</v>
      </c>
      <c r="E18" s="16" t="n">
        <v>59.38</v>
      </c>
      <c r="F18" s="14" t="n">
        <v>0</v>
      </c>
      <c r="G18" s="14" t="n">
        <v>4</v>
      </c>
      <c r="H18" s="14" t="n">
        <v>9</v>
      </c>
      <c r="I18" s="14" t="n">
        <v>3</v>
      </c>
      <c r="J18" s="14" t="n">
        <v>3</v>
      </c>
      <c r="K18" s="14" t="n">
        <v>0</v>
      </c>
    </row>
    <row r="19" customFormat="false" ht="15" hidden="false" customHeight="true" outlineLevel="0" collapsed="false">
      <c r="A19" s="13" t="s">
        <v>192</v>
      </c>
      <c r="B19" s="13" t="s">
        <v>124</v>
      </c>
      <c r="C19" s="14" t="n">
        <v>8586</v>
      </c>
      <c r="D19" s="14" t="n">
        <v>3716</v>
      </c>
      <c r="E19" s="16" t="n">
        <v>43.28</v>
      </c>
      <c r="F19" s="14" t="n">
        <v>265</v>
      </c>
      <c r="G19" s="14" t="n">
        <v>544</v>
      </c>
      <c r="H19" s="14" t="n">
        <v>1174</v>
      </c>
      <c r="I19" s="14" t="n">
        <v>1393</v>
      </c>
      <c r="J19" s="14" t="n">
        <v>334</v>
      </c>
      <c r="K19" s="14" t="n">
        <v>6</v>
      </c>
    </row>
    <row r="20" customFormat="false" ht="15" hidden="false" customHeight="true" outlineLevel="0" collapsed="false">
      <c r="A20" s="13" t="s">
        <v>192</v>
      </c>
      <c r="B20" s="13" t="s">
        <v>122</v>
      </c>
      <c r="C20" s="14" t="n">
        <v>13522</v>
      </c>
      <c r="D20" s="14" t="n">
        <v>8814</v>
      </c>
      <c r="E20" s="16" t="n">
        <v>65.18</v>
      </c>
      <c r="F20" s="14" t="n">
        <v>729</v>
      </c>
      <c r="G20" s="14" t="n">
        <v>1865</v>
      </c>
      <c r="H20" s="14" t="n">
        <v>3396</v>
      </c>
      <c r="I20" s="14" t="n">
        <v>2492</v>
      </c>
      <c r="J20" s="14" t="n">
        <v>331</v>
      </c>
      <c r="K20" s="14" t="n">
        <v>1</v>
      </c>
    </row>
    <row r="21" customFormat="false" ht="15" hidden="false" customHeight="true" outlineLevel="0" collapsed="false">
      <c r="A21" s="13" t="s">
        <v>192</v>
      </c>
      <c r="B21" s="13" t="s">
        <v>192</v>
      </c>
      <c r="C21" s="14" t="n">
        <v>22108</v>
      </c>
      <c r="D21" s="14" t="n">
        <v>12530</v>
      </c>
      <c r="E21" s="16" t="n">
        <v>56.68</v>
      </c>
      <c r="F21" s="14" t="n">
        <v>994</v>
      </c>
      <c r="G21" s="14" t="n">
        <v>2409</v>
      </c>
      <c r="H21" s="14" t="n">
        <v>4570</v>
      </c>
      <c r="I21" s="14" t="n">
        <v>3885</v>
      </c>
      <c r="J21" s="14" t="n">
        <v>665</v>
      </c>
      <c r="K21" s="14" t="n">
        <v>7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20073</v>
      </c>
      <c r="D22" s="14" t="n">
        <v>12087</v>
      </c>
      <c r="E22" s="16" t="n">
        <v>60.22</v>
      </c>
      <c r="F22" s="14" t="n">
        <v>918</v>
      </c>
      <c r="G22" s="14" t="n">
        <v>2348</v>
      </c>
      <c r="H22" s="14" t="n">
        <v>4644</v>
      </c>
      <c r="I22" s="14" t="n">
        <v>3564</v>
      </c>
      <c r="J22" s="14" t="n">
        <v>606</v>
      </c>
      <c r="K22" s="14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325</v>
      </c>
    </row>
    <row r="2" customFormat="false" ht="15" hidden="false" customHeight="true" outlineLevel="0" collapsed="false">
      <c r="A2" s="13" t="s">
        <v>324</v>
      </c>
    </row>
    <row r="4" customFormat="false" ht="15" hidden="false" customHeight="true" outlineLevel="0" collapsed="false">
      <c r="A4" s="13" t="s">
        <v>200</v>
      </c>
      <c r="B4" s="13" t="s">
        <v>124</v>
      </c>
      <c r="C4" s="13" t="n">
        <v>2218</v>
      </c>
      <c r="D4" s="13" t="n">
        <v>1660</v>
      </c>
      <c r="E4" s="13" t="n">
        <v>74.84</v>
      </c>
      <c r="F4" s="13" t="n">
        <v>412</v>
      </c>
      <c r="G4" s="13" t="n">
        <v>406</v>
      </c>
      <c r="H4" s="13" t="n">
        <v>471</v>
      </c>
      <c r="I4" s="13" t="n">
        <v>344</v>
      </c>
      <c r="J4" s="13" t="n">
        <v>26</v>
      </c>
      <c r="K4" s="13" t="n">
        <v>1</v>
      </c>
    </row>
    <row r="5" customFormat="false" ht="15" hidden="false" customHeight="true" outlineLevel="0" collapsed="false">
      <c r="A5" s="13" t="s">
        <v>200</v>
      </c>
      <c r="B5" s="13" t="s">
        <v>122</v>
      </c>
      <c r="C5" s="14" t="n">
        <v>6855</v>
      </c>
      <c r="D5" s="14" t="n">
        <v>5871</v>
      </c>
      <c r="E5" s="16" t="n">
        <v>85.65</v>
      </c>
      <c r="F5" s="14" t="n">
        <v>1721</v>
      </c>
      <c r="G5" s="14" t="n">
        <v>1629</v>
      </c>
      <c r="H5" s="14" t="n">
        <v>1684</v>
      </c>
      <c r="I5" s="14" t="n">
        <v>796</v>
      </c>
      <c r="J5" s="14" t="n">
        <v>41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192</v>
      </c>
      <c r="C6" s="14" t="n">
        <v>9073</v>
      </c>
      <c r="D6" s="14" t="n">
        <v>7531</v>
      </c>
      <c r="E6" s="16" t="n">
        <v>83</v>
      </c>
      <c r="F6" s="14" t="n">
        <v>2133</v>
      </c>
      <c r="G6" s="14" t="n">
        <v>2035</v>
      </c>
      <c r="H6" s="14" t="n">
        <v>2155</v>
      </c>
      <c r="I6" s="14" t="n">
        <v>1140</v>
      </c>
      <c r="J6" s="14" t="n">
        <v>67</v>
      </c>
      <c r="K6" s="14" t="n">
        <v>1</v>
      </c>
    </row>
    <row r="7" customFormat="false" ht="15" hidden="false" customHeight="true" outlineLevel="0" collapsed="false">
      <c r="A7" s="13" t="s">
        <v>201</v>
      </c>
      <c r="B7" s="13" t="s">
        <v>124</v>
      </c>
      <c r="C7" s="14" t="n">
        <v>820</v>
      </c>
      <c r="D7" s="14" t="n">
        <v>623</v>
      </c>
      <c r="E7" s="16" t="n">
        <v>75.98</v>
      </c>
      <c r="F7" s="14" t="n">
        <v>125</v>
      </c>
      <c r="G7" s="14" t="n">
        <v>142</v>
      </c>
      <c r="H7" s="14" t="n">
        <v>198</v>
      </c>
      <c r="I7" s="14" t="n">
        <v>136</v>
      </c>
      <c r="J7" s="14" t="n">
        <v>22</v>
      </c>
      <c r="K7" s="14" t="n">
        <v>0</v>
      </c>
    </row>
    <row r="8" customFormat="false" ht="15" hidden="false" customHeight="true" outlineLevel="0" collapsed="false">
      <c r="A8" s="13" t="s">
        <v>201</v>
      </c>
      <c r="B8" s="13" t="s">
        <v>122</v>
      </c>
      <c r="C8" s="14" t="n">
        <v>429</v>
      </c>
      <c r="D8" s="14" t="n">
        <v>389</v>
      </c>
      <c r="E8" s="16" t="n">
        <v>90.68</v>
      </c>
      <c r="F8" s="14" t="n">
        <v>131</v>
      </c>
      <c r="G8" s="14" t="n">
        <v>97</v>
      </c>
      <c r="H8" s="14" t="n">
        <v>102</v>
      </c>
      <c r="I8" s="14" t="n">
        <v>54</v>
      </c>
      <c r="J8" s="14" t="n">
        <v>5</v>
      </c>
      <c r="K8" s="14" t="n">
        <v>0</v>
      </c>
    </row>
    <row r="9" customFormat="false" ht="15" hidden="false" customHeight="true" outlineLevel="0" collapsed="false">
      <c r="A9" s="13" t="s">
        <v>201</v>
      </c>
      <c r="B9" s="13" t="s">
        <v>192</v>
      </c>
      <c r="C9" s="14" t="n">
        <v>1249</v>
      </c>
      <c r="D9" s="14" t="n">
        <v>1012</v>
      </c>
      <c r="E9" s="16" t="n">
        <v>81.02</v>
      </c>
      <c r="F9" s="14" t="n">
        <v>256</v>
      </c>
      <c r="G9" s="14" t="n">
        <v>239</v>
      </c>
      <c r="H9" s="14" t="n">
        <v>300</v>
      </c>
      <c r="I9" s="14" t="n">
        <v>190</v>
      </c>
      <c r="J9" s="14" t="n">
        <v>27</v>
      </c>
      <c r="K9" s="14" t="n">
        <v>0</v>
      </c>
    </row>
    <row r="10" customFormat="false" ht="15" hidden="false" customHeight="true" outlineLevel="0" collapsed="false">
      <c r="A10" s="13" t="s">
        <v>202</v>
      </c>
      <c r="B10" s="13" t="s">
        <v>124</v>
      </c>
      <c r="C10" s="14" t="n">
        <v>5064</v>
      </c>
      <c r="D10" s="14" t="n">
        <v>3171</v>
      </c>
      <c r="E10" s="16" t="n">
        <v>62.62</v>
      </c>
      <c r="F10" s="14" t="n">
        <v>278</v>
      </c>
      <c r="G10" s="14" t="n">
        <v>646</v>
      </c>
      <c r="H10" s="14" t="n">
        <v>1023</v>
      </c>
      <c r="I10" s="14" t="n">
        <v>1025</v>
      </c>
      <c r="J10" s="14" t="n">
        <v>199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122</v>
      </c>
      <c r="C11" s="14" t="n">
        <v>4913</v>
      </c>
      <c r="D11" s="14" t="n">
        <v>3927</v>
      </c>
      <c r="E11" s="16" t="n">
        <v>79.93</v>
      </c>
      <c r="F11" s="14" t="n">
        <v>678</v>
      </c>
      <c r="G11" s="14" t="n">
        <v>1052</v>
      </c>
      <c r="H11" s="14" t="n">
        <v>1394</v>
      </c>
      <c r="I11" s="14" t="n">
        <v>750</v>
      </c>
      <c r="J11" s="14" t="n">
        <v>53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192</v>
      </c>
      <c r="C12" s="14" t="n">
        <v>9977</v>
      </c>
      <c r="D12" s="14" t="n">
        <v>7098</v>
      </c>
      <c r="E12" s="16" t="n">
        <v>71.14</v>
      </c>
      <c r="F12" s="14" t="n">
        <v>956</v>
      </c>
      <c r="G12" s="14" t="n">
        <v>1698</v>
      </c>
      <c r="H12" s="14" t="n">
        <v>2417</v>
      </c>
      <c r="I12" s="14" t="n">
        <v>1775</v>
      </c>
      <c r="J12" s="14" t="n">
        <v>252</v>
      </c>
      <c r="K12" s="14" t="n">
        <v>0</v>
      </c>
    </row>
    <row r="13" customFormat="false" ht="15" hidden="false" customHeight="true" outlineLevel="0" collapsed="false">
      <c r="A13" s="13" t="s">
        <v>128</v>
      </c>
      <c r="B13" s="13" t="s">
        <v>124</v>
      </c>
      <c r="C13" s="14" t="n">
        <v>2297</v>
      </c>
      <c r="D13" s="14" t="n">
        <v>1092</v>
      </c>
      <c r="E13" s="16" t="n">
        <v>47.54</v>
      </c>
      <c r="F13" s="14" t="n">
        <v>15</v>
      </c>
      <c r="G13" s="14" t="n">
        <v>118</v>
      </c>
      <c r="H13" s="14" t="n">
        <v>340</v>
      </c>
      <c r="I13" s="14" t="n">
        <v>451</v>
      </c>
      <c r="J13" s="14" t="n">
        <v>165</v>
      </c>
      <c r="K13" s="14" t="n">
        <v>3</v>
      </c>
    </row>
    <row r="14" customFormat="false" ht="15" hidden="false" customHeight="true" outlineLevel="0" collapsed="false">
      <c r="A14" s="13" t="s">
        <v>128</v>
      </c>
      <c r="B14" s="13" t="s">
        <v>122</v>
      </c>
      <c r="C14" s="14" t="n">
        <v>3449</v>
      </c>
      <c r="D14" s="14" t="n">
        <v>2512</v>
      </c>
      <c r="E14" s="16" t="n">
        <v>72.83</v>
      </c>
      <c r="F14" s="14" t="n">
        <v>154</v>
      </c>
      <c r="G14" s="14" t="n">
        <v>633</v>
      </c>
      <c r="H14" s="14" t="n">
        <v>973</v>
      </c>
      <c r="I14" s="14" t="n">
        <v>646</v>
      </c>
      <c r="J14" s="14" t="n">
        <v>105</v>
      </c>
      <c r="K14" s="14" t="n">
        <v>1</v>
      </c>
    </row>
    <row r="15" customFormat="false" ht="15" hidden="false" customHeight="true" outlineLevel="0" collapsed="false">
      <c r="A15" s="13" t="s">
        <v>128</v>
      </c>
      <c r="B15" s="13" t="s">
        <v>192</v>
      </c>
      <c r="C15" s="14" t="n">
        <v>5746</v>
      </c>
      <c r="D15" s="14" t="n">
        <v>3604</v>
      </c>
      <c r="E15" s="16" t="n">
        <v>62.72</v>
      </c>
      <c r="F15" s="14" t="n">
        <v>169</v>
      </c>
      <c r="G15" s="14" t="n">
        <v>751</v>
      </c>
      <c r="H15" s="14" t="n">
        <v>1313</v>
      </c>
      <c r="I15" s="14" t="n">
        <v>1097</v>
      </c>
      <c r="J15" s="14" t="n">
        <v>270</v>
      </c>
      <c r="K15" s="14" t="n">
        <v>4</v>
      </c>
    </row>
    <row r="16" customFormat="false" ht="15" hidden="false" customHeight="true" outlineLevel="0" collapsed="false">
      <c r="A16" s="13" t="s">
        <v>203</v>
      </c>
      <c r="B16" s="13" t="s">
        <v>124</v>
      </c>
      <c r="C16" s="14" t="n">
        <v>78</v>
      </c>
      <c r="D16" s="14" t="n">
        <v>57</v>
      </c>
      <c r="E16" s="16" t="n">
        <v>73.08</v>
      </c>
      <c r="F16" s="14" t="n">
        <v>6</v>
      </c>
      <c r="G16" s="14" t="n">
        <v>10</v>
      </c>
      <c r="H16" s="14" t="n">
        <v>20</v>
      </c>
      <c r="I16" s="14" t="n">
        <v>9</v>
      </c>
      <c r="J16" s="14" t="n">
        <v>12</v>
      </c>
      <c r="K16" s="14" t="n">
        <v>0</v>
      </c>
    </row>
    <row r="17" customFormat="false" ht="15" hidden="false" customHeight="true" outlineLevel="0" collapsed="false">
      <c r="A17" s="13" t="s">
        <v>203</v>
      </c>
      <c r="B17" s="13" t="s">
        <v>122</v>
      </c>
      <c r="C17" s="14" t="n">
        <v>18</v>
      </c>
      <c r="D17" s="14" t="n">
        <v>18</v>
      </c>
      <c r="E17" s="16" t="n">
        <v>100</v>
      </c>
      <c r="F17" s="14" t="n">
        <v>2</v>
      </c>
      <c r="G17" s="14" t="n">
        <v>10</v>
      </c>
      <c r="H17" s="14" t="n">
        <v>3</v>
      </c>
      <c r="I17" s="14" t="n">
        <v>2</v>
      </c>
      <c r="J17" s="14" t="n">
        <v>1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192</v>
      </c>
      <c r="C18" s="14" t="n">
        <v>96</v>
      </c>
      <c r="D18" s="14" t="n">
        <v>75</v>
      </c>
      <c r="E18" s="16" t="n">
        <v>78.13</v>
      </c>
      <c r="F18" s="14" t="n">
        <v>8</v>
      </c>
      <c r="G18" s="14" t="n">
        <v>20</v>
      </c>
      <c r="H18" s="14" t="n">
        <v>23</v>
      </c>
      <c r="I18" s="14" t="n">
        <v>11</v>
      </c>
      <c r="J18" s="14" t="n">
        <v>13</v>
      </c>
      <c r="K18" s="14" t="n">
        <v>0</v>
      </c>
    </row>
    <row r="19" customFormat="false" ht="15" hidden="false" customHeight="true" outlineLevel="0" collapsed="false">
      <c r="A19" s="13" t="s">
        <v>192</v>
      </c>
      <c r="B19" s="13" t="s">
        <v>124</v>
      </c>
      <c r="C19" s="14" t="n">
        <v>10477</v>
      </c>
      <c r="D19" s="14" t="n">
        <v>6603</v>
      </c>
      <c r="E19" s="16" t="n">
        <v>63.02</v>
      </c>
      <c r="F19" s="14" t="n">
        <v>836</v>
      </c>
      <c r="G19" s="14" t="n">
        <v>1322</v>
      </c>
      <c r="H19" s="14" t="n">
        <v>2052</v>
      </c>
      <c r="I19" s="14" t="n">
        <v>1965</v>
      </c>
      <c r="J19" s="14" t="n">
        <v>424</v>
      </c>
      <c r="K19" s="14" t="n">
        <v>4</v>
      </c>
    </row>
    <row r="20" customFormat="false" ht="15" hidden="false" customHeight="true" outlineLevel="0" collapsed="false">
      <c r="A20" s="13" t="s">
        <v>192</v>
      </c>
      <c r="B20" s="13" t="s">
        <v>122</v>
      </c>
      <c r="C20" s="14" t="n">
        <v>15664</v>
      </c>
      <c r="D20" s="14" t="n">
        <v>12717</v>
      </c>
      <c r="E20" s="16" t="n">
        <v>81.19</v>
      </c>
      <c r="F20" s="14" t="n">
        <v>2686</v>
      </c>
      <c r="G20" s="14" t="n">
        <v>3421</v>
      </c>
      <c r="H20" s="14" t="n">
        <v>4156</v>
      </c>
      <c r="I20" s="14" t="n">
        <v>2248</v>
      </c>
      <c r="J20" s="14" t="n">
        <v>205</v>
      </c>
      <c r="K20" s="14" t="n">
        <v>1</v>
      </c>
    </row>
    <row r="21" customFormat="false" ht="15" hidden="false" customHeight="true" outlineLevel="0" collapsed="false">
      <c r="A21" s="13" t="s">
        <v>192</v>
      </c>
      <c r="B21" s="13" t="s">
        <v>192</v>
      </c>
      <c r="C21" s="14" t="n">
        <v>26141</v>
      </c>
      <c r="D21" s="14" t="n">
        <v>19320</v>
      </c>
      <c r="E21" s="16" t="n">
        <v>73.91</v>
      </c>
      <c r="F21" s="14" t="n">
        <v>3522</v>
      </c>
      <c r="G21" s="14" t="n">
        <v>4743</v>
      </c>
      <c r="H21" s="14" t="n">
        <v>6208</v>
      </c>
      <c r="I21" s="14" t="n">
        <v>4213</v>
      </c>
      <c r="J21" s="14" t="n">
        <v>629</v>
      </c>
      <c r="K21" s="14" t="n">
        <v>5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23518</v>
      </c>
      <c r="D22" s="14" t="n">
        <v>18143</v>
      </c>
      <c r="E22" s="16" t="n">
        <v>77.15</v>
      </c>
      <c r="F22" s="14" t="n">
        <v>3715</v>
      </c>
      <c r="G22" s="14" t="n">
        <v>4718</v>
      </c>
      <c r="H22" s="14" t="n">
        <v>5653</v>
      </c>
      <c r="I22" s="14" t="n">
        <v>3473</v>
      </c>
      <c r="J22" s="14" t="n">
        <v>579</v>
      </c>
      <c r="K22" s="1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326</v>
      </c>
    </row>
    <row r="2" customFormat="false" ht="15" hidden="false" customHeight="true" outlineLevel="0" collapsed="false">
      <c r="A2" s="13" t="s">
        <v>324</v>
      </c>
    </row>
    <row r="4" customFormat="false" ht="15" hidden="false" customHeight="true" outlineLevel="0" collapsed="false">
      <c r="A4" s="13" t="s">
        <v>200</v>
      </c>
      <c r="B4" s="13" t="s">
        <v>124</v>
      </c>
      <c r="C4" s="13" t="n">
        <v>3277</v>
      </c>
      <c r="D4" s="13" t="n">
        <v>2317</v>
      </c>
      <c r="E4" s="13" t="n">
        <v>70.7</v>
      </c>
      <c r="F4" s="13" t="n">
        <v>529</v>
      </c>
      <c r="G4" s="13" t="n">
        <v>528</v>
      </c>
      <c r="H4" s="13" t="n">
        <v>677</v>
      </c>
      <c r="I4" s="13" t="n">
        <v>539</v>
      </c>
      <c r="J4" s="13" t="n">
        <v>43</v>
      </c>
      <c r="K4" s="13" t="n">
        <v>1</v>
      </c>
    </row>
    <row r="5" customFormat="false" ht="15" hidden="false" customHeight="true" outlineLevel="0" collapsed="false">
      <c r="A5" s="13" t="s">
        <v>200</v>
      </c>
      <c r="B5" s="13" t="s">
        <v>122</v>
      </c>
      <c r="C5" s="14" t="n">
        <v>9936</v>
      </c>
      <c r="D5" s="14" t="n">
        <v>8200</v>
      </c>
      <c r="E5" s="16" t="n">
        <v>82.53</v>
      </c>
      <c r="F5" s="14" t="n">
        <v>2120</v>
      </c>
      <c r="G5" s="14" t="n">
        <v>2190</v>
      </c>
      <c r="H5" s="14" t="n">
        <v>2493</v>
      </c>
      <c r="I5" s="14" t="n">
        <v>1329</v>
      </c>
      <c r="J5" s="14" t="n">
        <v>68</v>
      </c>
      <c r="K5" s="14" t="n">
        <v>0</v>
      </c>
    </row>
    <row r="6" customFormat="false" ht="15" hidden="false" customHeight="true" outlineLevel="0" collapsed="false">
      <c r="A6" s="13" t="s">
        <v>200</v>
      </c>
      <c r="B6" s="13" t="s">
        <v>192</v>
      </c>
      <c r="C6" s="14" t="n">
        <v>13213</v>
      </c>
      <c r="D6" s="14" t="n">
        <v>10517</v>
      </c>
      <c r="E6" s="16" t="n">
        <v>79.6</v>
      </c>
      <c r="F6" s="14" t="n">
        <v>2649</v>
      </c>
      <c r="G6" s="14" t="n">
        <v>2718</v>
      </c>
      <c r="H6" s="14" t="n">
        <v>3170</v>
      </c>
      <c r="I6" s="14" t="n">
        <v>1868</v>
      </c>
      <c r="J6" s="14" t="n">
        <v>111</v>
      </c>
      <c r="K6" s="14" t="n">
        <v>1</v>
      </c>
    </row>
    <row r="7" customFormat="false" ht="15" hidden="false" customHeight="true" outlineLevel="0" collapsed="false">
      <c r="A7" s="13" t="s">
        <v>201</v>
      </c>
      <c r="B7" s="13" t="s">
        <v>124</v>
      </c>
      <c r="C7" s="14" t="n">
        <v>1105</v>
      </c>
      <c r="D7" s="14" t="n">
        <v>813</v>
      </c>
      <c r="E7" s="16" t="n">
        <v>73.57</v>
      </c>
      <c r="F7" s="14" t="n">
        <v>159</v>
      </c>
      <c r="G7" s="14" t="n">
        <v>184</v>
      </c>
      <c r="H7" s="14" t="n">
        <v>255</v>
      </c>
      <c r="I7" s="14" t="n">
        <v>187</v>
      </c>
      <c r="J7" s="14" t="n">
        <v>28</v>
      </c>
      <c r="K7" s="14" t="n">
        <v>0</v>
      </c>
    </row>
    <row r="8" customFormat="false" ht="15" hidden="false" customHeight="true" outlineLevel="0" collapsed="false">
      <c r="A8" s="13" t="s">
        <v>201</v>
      </c>
      <c r="B8" s="13" t="s">
        <v>122</v>
      </c>
      <c r="C8" s="14" t="n">
        <v>594</v>
      </c>
      <c r="D8" s="14" t="n">
        <v>515</v>
      </c>
      <c r="E8" s="16" t="n">
        <v>86.7</v>
      </c>
      <c r="F8" s="14" t="n">
        <v>144</v>
      </c>
      <c r="G8" s="14" t="n">
        <v>123</v>
      </c>
      <c r="H8" s="14" t="n">
        <v>150</v>
      </c>
      <c r="I8" s="14" t="n">
        <v>89</v>
      </c>
      <c r="J8" s="14" t="n">
        <v>9</v>
      </c>
      <c r="K8" s="14" t="n">
        <v>0</v>
      </c>
    </row>
    <row r="9" customFormat="false" ht="15" hidden="false" customHeight="true" outlineLevel="0" collapsed="false">
      <c r="A9" s="13" t="s">
        <v>201</v>
      </c>
      <c r="B9" s="13" t="s">
        <v>192</v>
      </c>
      <c r="C9" s="14" t="n">
        <v>1699</v>
      </c>
      <c r="D9" s="14" t="n">
        <v>1328</v>
      </c>
      <c r="E9" s="16" t="n">
        <v>78.16</v>
      </c>
      <c r="F9" s="14" t="n">
        <v>303</v>
      </c>
      <c r="G9" s="14" t="n">
        <v>307</v>
      </c>
      <c r="H9" s="14" t="n">
        <v>405</v>
      </c>
      <c r="I9" s="14" t="n">
        <v>276</v>
      </c>
      <c r="J9" s="14" t="n">
        <v>37</v>
      </c>
      <c r="K9" s="14" t="n">
        <v>0</v>
      </c>
    </row>
    <row r="10" customFormat="false" ht="15" hidden="false" customHeight="true" outlineLevel="0" collapsed="false">
      <c r="A10" s="13" t="s">
        <v>202</v>
      </c>
      <c r="B10" s="13" t="s">
        <v>124</v>
      </c>
      <c r="C10" s="14" t="n">
        <v>8184</v>
      </c>
      <c r="D10" s="14" t="n">
        <v>4593</v>
      </c>
      <c r="E10" s="16" t="n">
        <v>56.12</v>
      </c>
      <c r="F10" s="14" t="n">
        <v>374</v>
      </c>
      <c r="G10" s="14" t="n">
        <v>860</v>
      </c>
      <c r="H10" s="14" t="n">
        <v>1444</v>
      </c>
      <c r="I10" s="14" t="n">
        <v>1600</v>
      </c>
      <c r="J10" s="14" t="n">
        <v>315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122</v>
      </c>
      <c r="C11" s="14" t="n">
        <v>8211</v>
      </c>
      <c r="D11" s="14" t="n">
        <v>6090</v>
      </c>
      <c r="E11" s="16" t="n">
        <v>74.17</v>
      </c>
      <c r="F11" s="14" t="n">
        <v>841</v>
      </c>
      <c r="G11" s="14" t="n">
        <v>1466</v>
      </c>
      <c r="H11" s="14" t="n">
        <v>2200</v>
      </c>
      <c r="I11" s="14" t="n">
        <v>1440</v>
      </c>
      <c r="J11" s="14" t="n">
        <v>143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192</v>
      </c>
      <c r="C12" s="14" t="n">
        <v>16395</v>
      </c>
      <c r="D12" s="14" t="n">
        <v>10683</v>
      </c>
      <c r="E12" s="16" t="n">
        <v>65.16</v>
      </c>
      <c r="F12" s="14" t="n">
        <v>1215</v>
      </c>
      <c r="G12" s="14" t="n">
        <v>2326</v>
      </c>
      <c r="H12" s="14" t="n">
        <v>3644</v>
      </c>
      <c r="I12" s="14" t="n">
        <v>3040</v>
      </c>
      <c r="J12" s="14" t="n">
        <v>458</v>
      </c>
      <c r="K12" s="14" t="n">
        <v>0</v>
      </c>
    </row>
    <row r="13" customFormat="false" ht="15" hidden="false" customHeight="true" outlineLevel="0" collapsed="false">
      <c r="A13" s="13" t="s">
        <v>128</v>
      </c>
      <c r="B13" s="13" t="s">
        <v>124</v>
      </c>
      <c r="C13" s="14" t="n">
        <v>6391</v>
      </c>
      <c r="D13" s="14" t="n">
        <v>2523</v>
      </c>
      <c r="E13" s="16" t="n">
        <v>39.48</v>
      </c>
      <c r="F13" s="14" t="n">
        <v>33</v>
      </c>
      <c r="G13" s="14" t="n">
        <v>282</v>
      </c>
      <c r="H13" s="14" t="n">
        <v>822</v>
      </c>
      <c r="I13" s="14" t="n">
        <v>1020</v>
      </c>
      <c r="J13" s="14" t="n">
        <v>357</v>
      </c>
      <c r="K13" s="14" t="n">
        <v>9</v>
      </c>
    </row>
    <row r="14" customFormat="false" ht="15" hidden="false" customHeight="true" outlineLevel="0" collapsed="false">
      <c r="A14" s="13" t="s">
        <v>128</v>
      </c>
      <c r="B14" s="13" t="s">
        <v>122</v>
      </c>
      <c r="C14" s="14" t="n">
        <v>10423</v>
      </c>
      <c r="D14" s="14" t="n">
        <v>6705</v>
      </c>
      <c r="E14" s="16" t="n">
        <v>64.33</v>
      </c>
      <c r="F14" s="14" t="n">
        <v>308</v>
      </c>
      <c r="G14" s="14" t="n">
        <v>1495</v>
      </c>
      <c r="H14" s="14" t="n">
        <v>2705</v>
      </c>
      <c r="I14" s="14" t="n">
        <v>1880</v>
      </c>
      <c r="J14" s="14" t="n">
        <v>315</v>
      </c>
      <c r="K14" s="14" t="n">
        <v>2</v>
      </c>
    </row>
    <row r="15" customFormat="false" ht="15" hidden="false" customHeight="true" outlineLevel="0" collapsed="false">
      <c r="A15" s="13" t="s">
        <v>128</v>
      </c>
      <c r="B15" s="13" t="s">
        <v>192</v>
      </c>
      <c r="C15" s="14" t="n">
        <v>16814</v>
      </c>
      <c r="D15" s="14" t="n">
        <v>9228</v>
      </c>
      <c r="E15" s="16" t="n">
        <v>54.88</v>
      </c>
      <c r="F15" s="14" t="n">
        <v>341</v>
      </c>
      <c r="G15" s="14" t="n">
        <v>1777</v>
      </c>
      <c r="H15" s="14" t="n">
        <v>3527</v>
      </c>
      <c r="I15" s="14" t="n">
        <v>2900</v>
      </c>
      <c r="J15" s="14" t="n">
        <v>672</v>
      </c>
      <c r="K15" s="14" t="n">
        <v>11</v>
      </c>
    </row>
    <row r="16" customFormat="false" ht="15" hidden="false" customHeight="true" outlineLevel="0" collapsed="false">
      <c r="A16" s="13" t="s">
        <v>203</v>
      </c>
      <c r="B16" s="13" t="s">
        <v>124</v>
      </c>
      <c r="C16" s="14" t="n">
        <v>106</v>
      </c>
      <c r="D16" s="14" t="n">
        <v>73</v>
      </c>
      <c r="E16" s="16" t="n">
        <v>68.87</v>
      </c>
      <c r="F16" s="14" t="n">
        <v>6</v>
      </c>
      <c r="G16" s="14" t="n">
        <v>12</v>
      </c>
      <c r="H16" s="14" t="n">
        <v>28</v>
      </c>
      <c r="I16" s="14" t="n">
        <v>12</v>
      </c>
      <c r="J16" s="14" t="n">
        <v>15</v>
      </c>
      <c r="K16" s="14" t="n">
        <v>0</v>
      </c>
    </row>
    <row r="17" customFormat="false" ht="15" hidden="false" customHeight="true" outlineLevel="0" collapsed="false">
      <c r="A17" s="13" t="s">
        <v>203</v>
      </c>
      <c r="B17" s="13" t="s">
        <v>122</v>
      </c>
      <c r="C17" s="14" t="n">
        <v>22</v>
      </c>
      <c r="D17" s="14" t="n">
        <v>21</v>
      </c>
      <c r="E17" s="16" t="n">
        <v>95.45</v>
      </c>
      <c r="F17" s="14" t="n">
        <v>2</v>
      </c>
      <c r="G17" s="14" t="n">
        <v>12</v>
      </c>
      <c r="H17" s="14" t="n">
        <v>4</v>
      </c>
      <c r="I17" s="14" t="n">
        <v>2</v>
      </c>
      <c r="J17" s="14" t="n">
        <v>1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192</v>
      </c>
      <c r="C18" s="14" t="n">
        <v>128</v>
      </c>
      <c r="D18" s="14" t="n">
        <v>94</v>
      </c>
      <c r="E18" s="16" t="n">
        <v>73.44</v>
      </c>
      <c r="F18" s="14" t="n">
        <v>8</v>
      </c>
      <c r="G18" s="14" t="n">
        <v>24</v>
      </c>
      <c r="H18" s="14" t="n">
        <v>32</v>
      </c>
      <c r="I18" s="14" t="n">
        <v>14</v>
      </c>
      <c r="J18" s="14" t="n">
        <v>16</v>
      </c>
      <c r="K18" s="14" t="n">
        <v>0</v>
      </c>
    </row>
    <row r="19" customFormat="false" ht="15" hidden="false" customHeight="true" outlineLevel="0" collapsed="false">
      <c r="A19" s="13" t="s">
        <v>192</v>
      </c>
      <c r="B19" s="13" t="s">
        <v>124</v>
      </c>
      <c r="C19" s="14" t="n">
        <v>19063</v>
      </c>
      <c r="D19" s="14" t="n">
        <v>10319</v>
      </c>
      <c r="E19" s="16" t="n">
        <v>54.13</v>
      </c>
      <c r="F19" s="14" t="n">
        <v>1101</v>
      </c>
      <c r="G19" s="14" t="n">
        <v>1866</v>
      </c>
      <c r="H19" s="14" t="n">
        <v>3226</v>
      </c>
      <c r="I19" s="14" t="n">
        <v>3358</v>
      </c>
      <c r="J19" s="14" t="n">
        <v>758</v>
      </c>
      <c r="K19" s="14" t="n">
        <v>10</v>
      </c>
    </row>
    <row r="20" customFormat="false" ht="15" hidden="false" customHeight="true" outlineLevel="0" collapsed="false">
      <c r="A20" s="13" t="s">
        <v>192</v>
      </c>
      <c r="B20" s="13" t="s">
        <v>122</v>
      </c>
      <c r="C20" s="14" t="n">
        <v>29186</v>
      </c>
      <c r="D20" s="14" t="n">
        <v>21531</v>
      </c>
      <c r="E20" s="16" t="n">
        <v>73.77</v>
      </c>
      <c r="F20" s="14" t="n">
        <v>3415</v>
      </c>
      <c r="G20" s="14" t="n">
        <v>5286</v>
      </c>
      <c r="H20" s="14" t="n">
        <v>7552</v>
      </c>
      <c r="I20" s="14" t="n">
        <v>4740</v>
      </c>
      <c r="J20" s="14" t="n">
        <v>536</v>
      </c>
      <c r="K20" s="14" t="n">
        <v>2</v>
      </c>
    </row>
    <row r="21" customFormat="false" ht="15" hidden="false" customHeight="true" outlineLevel="0" collapsed="false">
      <c r="A21" s="13" t="s">
        <v>192</v>
      </c>
      <c r="B21" s="13" t="s">
        <v>192</v>
      </c>
      <c r="C21" s="14" t="n">
        <v>48249</v>
      </c>
      <c r="D21" s="14" t="n">
        <v>31850</v>
      </c>
      <c r="E21" s="16" t="n">
        <v>66.01</v>
      </c>
      <c r="F21" s="14" t="n">
        <v>4516</v>
      </c>
      <c r="G21" s="14" t="n">
        <v>7152</v>
      </c>
      <c r="H21" s="14" t="n">
        <v>10778</v>
      </c>
      <c r="I21" s="14" t="n">
        <v>8098</v>
      </c>
      <c r="J21" s="14" t="n">
        <v>1294</v>
      </c>
      <c r="K21" s="14" t="n">
        <v>12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43591</v>
      </c>
      <c r="D22" s="14" t="n">
        <v>30230</v>
      </c>
      <c r="E22" s="16" t="n">
        <v>69.35</v>
      </c>
      <c r="F22" s="14" t="n">
        <v>4633</v>
      </c>
      <c r="G22" s="14" t="n">
        <v>7066</v>
      </c>
      <c r="H22" s="14" t="n">
        <v>10297</v>
      </c>
      <c r="I22" s="14" t="n">
        <v>7037</v>
      </c>
      <c r="J22" s="14" t="n">
        <v>1185</v>
      </c>
      <c r="K22" s="14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327</v>
      </c>
    </row>
    <row r="2" customFormat="false" ht="15" hidden="false" customHeight="true" outlineLevel="0" collapsed="false">
      <c r="A2" s="13" t="s">
        <v>324</v>
      </c>
    </row>
    <row r="4" customFormat="false" ht="15" hidden="false" customHeight="true" outlineLevel="0" collapsed="false">
      <c r="A4" s="13" t="s">
        <v>200</v>
      </c>
      <c r="B4" s="13" t="s">
        <v>124</v>
      </c>
      <c r="C4" s="13" t="n">
        <v>622</v>
      </c>
      <c r="D4" s="13" t="n">
        <v>298</v>
      </c>
      <c r="E4" s="13" t="n">
        <v>47.91</v>
      </c>
      <c r="F4" s="13" t="n">
        <v>152</v>
      </c>
      <c r="G4" s="13" t="n">
        <v>13</v>
      </c>
      <c r="H4" s="13" t="n">
        <v>39</v>
      </c>
      <c r="I4" s="13" t="n">
        <v>71</v>
      </c>
      <c r="J4" s="13" t="n">
        <v>23</v>
      </c>
      <c r="K4" s="13" t="n">
        <v>0</v>
      </c>
    </row>
    <row r="5" customFormat="false" ht="15" hidden="false" customHeight="true" outlineLevel="0" collapsed="false">
      <c r="A5" s="13" t="s">
        <v>200</v>
      </c>
      <c r="B5" s="13" t="s">
        <v>122</v>
      </c>
      <c r="C5" s="14" t="n">
        <v>1208</v>
      </c>
      <c r="D5" s="14" t="n">
        <v>871</v>
      </c>
      <c r="E5" s="16" t="n">
        <v>72.1</v>
      </c>
      <c r="F5" s="14" t="n">
        <v>485</v>
      </c>
      <c r="G5" s="14" t="n">
        <v>97</v>
      </c>
      <c r="H5" s="14" t="n">
        <v>67</v>
      </c>
      <c r="I5" s="14" t="n">
        <v>180</v>
      </c>
      <c r="J5" s="14" t="n">
        <v>41</v>
      </c>
      <c r="K5" s="14" t="n">
        <v>1</v>
      </c>
    </row>
    <row r="6" customFormat="false" ht="15" hidden="false" customHeight="true" outlineLevel="0" collapsed="false">
      <c r="A6" s="13" t="s">
        <v>200</v>
      </c>
      <c r="B6" s="13" t="s">
        <v>192</v>
      </c>
      <c r="C6" s="14" t="n">
        <v>1830</v>
      </c>
      <c r="D6" s="14" t="n">
        <v>1169</v>
      </c>
      <c r="E6" s="16" t="n">
        <v>63.88</v>
      </c>
      <c r="F6" s="14" t="n">
        <v>637</v>
      </c>
      <c r="G6" s="14" t="n">
        <v>110</v>
      </c>
      <c r="H6" s="14" t="n">
        <v>106</v>
      </c>
      <c r="I6" s="14" t="n">
        <v>251</v>
      </c>
      <c r="J6" s="14" t="n">
        <v>64</v>
      </c>
      <c r="K6" s="14" t="n">
        <v>1</v>
      </c>
    </row>
    <row r="7" customFormat="false" ht="15" hidden="false" customHeight="true" outlineLevel="0" collapsed="false">
      <c r="A7" s="13" t="s">
        <v>201</v>
      </c>
      <c r="B7" s="13" t="s">
        <v>124</v>
      </c>
      <c r="C7" s="14" t="n">
        <v>207</v>
      </c>
      <c r="D7" s="14" t="n">
        <v>76</v>
      </c>
      <c r="E7" s="16" t="n">
        <v>36.71</v>
      </c>
      <c r="F7" s="14" t="n">
        <v>5</v>
      </c>
      <c r="G7" s="14" t="n">
        <v>6</v>
      </c>
      <c r="H7" s="14" t="n">
        <v>12</v>
      </c>
      <c r="I7" s="14" t="n">
        <v>35</v>
      </c>
      <c r="J7" s="14" t="n">
        <v>12</v>
      </c>
      <c r="K7" s="14" t="n">
        <v>6</v>
      </c>
    </row>
    <row r="8" customFormat="false" ht="15" hidden="false" customHeight="true" outlineLevel="0" collapsed="false">
      <c r="A8" s="13" t="s">
        <v>201</v>
      </c>
      <c r="B8" s="13" t="s">
        <v>122</v>
      </c>
      <c r="C8" s="14" t="n">
        <v>79</v>
      </c>
      <c r="D8" s="14" t="n">
        <v>52</v>
      </c>
      <c r="E8" s="16" t="n">
        <v>65.82</v>
      </c>
      <c r="F8" s="14" t="n">
        <v>9</v>
      </c>
      <c r="G8" s="14" t="n">
        <v>2</v>
      </c>
      <c r="H8" s="14" t="n">
        <v>11</v>
      </c>
      <c r="I8" s="14" t="n">
        <v>17</v>
      </c>
      <c r="J8" s="14" t="n">
        <v>10</v>
      </c>
      <c r="K8" s="14" t="n">
        <v>3</v>
      </c>
    </row>
    <row r="9" customFormat="false" ht="15" hidden="false" customHeight="true" outlineLevel="0" collapsed="false">
      <c r="A9" s="13" t="s">
        <v>201</v>
      </c>
      <c r="B9" s="13" t="s">
        <v>192</v>
      </c>
      <c r="C9" s="14" t="n">
        <v>286</v>
      </c>
      <c r="D9" s="14" t="n">
        <v>128</v>
      </c>
      <c r="E9" s="16" t="n">
        <v>44.76</v>
      </c>
      <c r="F9" s="14" t="n">
        <v>14</v>
      </c>
      <c r="G9" s="14" t="n">
        <v>8</v>
      </c>
      <c r="H9" s="14" t="n">
        <v>23</v>
      </c>
      <c r="I9" s="14" t="n">
        <v>52</v>
      </c>
      <c r="J9" s="14" t="n">
        <v>22</v>
      </c>
      <c r="K9" s="14" t="n">
        <v>9</v>
      </c>
    </row>
    <row r="10" customFormat="false" ht="15" hidden="false" customHeight="true" outlineLevel="0" collapsed="false">
      <c r="A10" s="13" t="s">
        <v>202</v>
      </c>
      <c r="B10" s="13" t="s">
        <v>124</v>
      </c>
      <c r="C10" s="14" t="n">
        <v>1380</v>
      </c>
      <c r="D10" s="14" t="n">
        <v>396</v>
      </c>
      <c r="E10" s="16" t="n">
        <v>28.7</v>
      </c>
      <c r="F10" s="14" t="n">
        <v>3</v>
      </c>
      <c r="G10" s="14" t="n">
        <v>6</v>
      </c>
      <c r="H10" s="14" t="n">
        <v>44</v>
      </c>
      <c r="I10" s="14" t="n">
        <v>204</v>
      </c>
      <c r="J10" s="14" t="n">
        <v>139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122</v>
      </c>
      <c r="C11" s="14" t="n">
        <v>752</v>
      </c>
      <c r="D11" s="14" t="n">
        <v>308</v>
      </c>
      <c r="E11" s="16" t="n">
        <v>40.96</v>
      </c>
      <c r="F11" s="14" t="n">
        <v>1</v>
      </c>
      <c r="G11" s="14" t="n">
        <v>0</v>
      </c>
      <c r="H11" s="14" t="n">
        <v>38</v>
      </c>
      <c r="I11" s="14" t="n">
        <v>207</v>
      </c>
      <c r="J11" s="14" t="n">
        <v>62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192</v>
      </c>
      <c r="C12" s="14" t="n">
        <v>2132</v>
      </c>
      <c r="D12" s="14" t="n">
        <v>704</v>
      </c>
      <c r="E12" s="16" t="n">
        <v>33.02</v>
      </c>
      <c r="F12" s="14" t="n">
        <v>4</v>
      </c>
      <c r="G12" s="14" t="n">
        <v>6</v>
      </c>
      <c r="H12" s="14" t="n">
        <v>82</v>
      </c>
      <c r="I12" s="14" t="n">
        <v>411</v>
      </c>
      <c r="J12" s="14" t="n">
        <v>201</v>
      </c>
      <c r="K12" s="14" t="n">
        <v>0</v>
      </c>
    </row>
    <row r="13" customFormat="false" ht="15" hidden="false" customHeight="true" outlineLevel="0" collapsed="false">
      <c r="A13" s="13" t="s">
        <v>128</v>
      </c>
      <c r="B13" s="13" t="s">
        <v>124</v>
      </c>
      <c r="C13" s="14" t="n">
        <v>4306</v>
      </c>
      <c r="D13" s="14" t="n">
        <v>838</v>
      </c>
      <c r="E13" s="16" t="n">
        <v>19.46</v>
      </c>
      <c r="F13" s="14" t="n">
        <v>4</v>
      </c>
      <c r="G13" s="14" t="n">
        <v>43</v>
      </c>
      <c r="H13" s="14" t="n">
        <v>147</v>
      </c>
      <c r="I13" s="14" t="n">
        <v>370</v>
      </c>
      <c r="J13" s="14" t="n">
        <v>260</v>
      </c>
      <c r="K13" s="14" t="n">
        <v>14</v>
      </c>
    </row>
    <row r="14" customFormat="false" ht="15" hidden="false" customHeight="true" outlineLevel="0" collapsed="false">
      <c r="A14" s="13" t="s">
        <v>128</v>
      </c>
      <c r="B14" s="13" t="s">
        <v>122</v>
      </c>
      <c r="C14" s="14" t="n">
        <v>3704</v>
      </c>
      <c r="D14" s="14" t="n">
        <v>1576</v>
      </c>
      <c r="E14" s="16" t="n">
        <v>42.55</v>
      </c>
      <c r="F14" s="14" t="n">
        <v>38</v>
      </c>
      <c r="G14" s="14" t="n">
        <v>218</v>
      </c>
      <c r="H14" s="14" t="n">
        <v>518</v>
      </c>
      <c r="I14" s="14" t="n">
        <v>595</v>
      </c>
      <c r="J14" s="14" t="n">
        <v>202</v>
      </c>
      <c r="K14" s="14" t="n">
        <v>5</v>
      </c>
    </row>
    <row r="15" customFormat="false" ht="15" hidden="false" customHeight="true" outlineLevel="0" collapsed="false">
      <c r="A15" s="13" t="s">
        <v>128</v>
      </c>
      <c r="B15" s="13" t="s">
        <v>192</v>
      </c>
      <c r="C15" s="14" t="n">
        <v>8010</v>
      </c>
      <c r="D15" s="14" t="n">
        <v>2414</v>
      </c>
      <c r="E15" s="16" t="n">
        <v>30.14</v>
      </c>
      <c r="F15" s="14" t="n">
        <v>42</v>
      </c>
      <c r="G15" s="14" t="n">
        <v>261</v>
      </c>
      <c r="H15" s="14" t="n">
        <v>665</v>
      </c>
      <c r="I15" s="14" t="n">
        <v>965</v>
      </c>
      <c r="J15" s="14" t="n">
        <v>462</v>
      </c>
      <c r="K15" s="14" t="n">
        <v>19</v>
      </c>
    </row>
    <row r="16" customFormat="false" ht="15" hidden="false" customHeight="true" outlineLevel="0" collapsed="false">
      <c r="A16" s="13" t="s">
        <v>203</v>
      </c>
      <c r="B16" s="13" t="s">
        <v>124</v>
      </c>
      <c r="C16" s="14" t="n">
        <v>61</v>
      </c>
      <c r="D16" s="14" t="n">
        <v>23</v>
      </c>
      <c r="E16" s="16" t="n">
        <v>37.7</v>
      </c>
      <c r="F16" s="14" t="n">
        <v>0</v>
      </c>
      <c r="G16" s="14" t="n">
        <v>2</v>
      </c>
      <c r="H16" s="14" t="n">
        <v>4</v>
      </c>
      <c r="I16" s="14" t="n">
        <v>8</v>
      </c>
      <c r="J16" s="14" t="n">
        <v>8</v>
      </c>
      <c r="K16" s="14" t="n">
        <v>1</v>
      </c>
    </row>
    <row r="17" customFormat="false" ht="15" hidden="false" customHeight="true" outlineLevel="0" collapsed="false">
      <c r="A17" s="13" t="s">
        <v>203</v>
      </c>
      <c r="B17" s="13" t="s">
        <v>122</v>
      </c>
      <c r="C17" s="14" t="n">
        <v>24</v>
      </c>
      <c r="D17" s="14" t="n">
        <v>16</v>
      </c>
      <c r="E17" s="16" t="n">
        <v>66.67</v>
      </c>
      <c r="F17" s="14" t="n">
        <v>0</v>
      </c>
      <c r="G17" s="14" t="n">
        <v>0</v>
      </c>
      <c r="H17" s="14" t="n">
        <v>6</v>
      </c>
      <c r="I17" s="14" t="n">
        <v>9</v>
      </c>
      <c r="J17" s="14" t="n">
        <v>1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192</v>
      </c>
      <c r="C18" s="14" t="n">
        <v>85</v>
      </c>
      <c r="D18" s="14" t="n">
        <v>39</v>
      </c>
      <c r="E18" s="16" t="n">
        <v>45.88</v>
      </c>
      <c r="F18" s="14" t="n">
        <v>0</v>
      </c>
      <c r="G18" s="14" t="n">
        <v>2</v>
      </c>
      <c r="H18" s="14" t="n">
        <v>10</v>
      </c>
      <c r="I18" s="14" t="n">
        <v>17</v>
      </c>
      <c r="J18" s="14" t="n">
        <v>9</v>
      </c>
      <c r="K18" s="14" t="n">
        <v>1</v>
      </c>
    </row>
    <row r="19" customFormat="false" ht="15" hidden="false" customHeight="true" outlineLevel="0" collapsed="false">
      <c r="A19" s="13" t="s">
        <v>192</v>
      </c>
      <c r="B19" s="13" t="s">
        <v>124</v>
      </c>
      <c r="C19" s="14" t="n">
        <v>6576</v>
      </c>
      <c r="D19" s="14" t="n">
        <v>1631</v>
      </c>
      <c r="E19" s="16" t="n">
        <v>24.8</v>
      </c>
      <c r="F19" s="14" t="n">
        <v>164</v>
      </c>
      <c r="G19" s="14" t="n">
        <v>70</v>
      </c>
      <c r="H19" s="14" t="n">
        <v>246</v>
      </c>
      <c r="I19" s="14" t="n">
        <v>688</v>
      </c>
      <c r="J19" s="14" t="n">
        <v>442</v>
      </c>
      <c r="K19" s="14" t="n">
        <v>21</v>
      </c>
    </row>
    <row r="20" customFormat="false" ht="15" hidden="false" customHeight="true" outlineLevel="0" collapsed="false">
      <c r="A20" s="13" t="s">
        <v>192</v>
      </c>
      <c r="B20" s="13" t="s">
        <v>122</v>
      </c>
      <c r="C20" s="14" t="n">
        <v>5767</v>
      </c>
      <c r="D20" s="14" t="n">
        <v>2823</v>
      </c>
      <c r="E20" s="16" t="n">
        <v>48.95</v>
      </c>
      <c r="F20" s="14" t="n">
        <v>533</v>
      </c>
      <c r="G20" s="14" t="n">
        <v>317</v>
      </c>
      <c r="H20" s="14" t="n">
        <v>640</v>
      </c>
      <c r="I20" s="14" t="n">
        <v>1008</v>
      </c>
      <c r="J20" s="14" t="n">
        <v>316</v>
      </c>
      <c r="K20" s="14" t="n">
        <v>9</v>
      </c>
    </row>
    <row r="21" customFormat="false" ht="15" hidden="false" customHeight="true" outlineLevel="0" collapsed="false">
      <c r="A21" s="13" t="s">
        <v>192</v>
      </c>
      <c r="B21" s="13" t="s">
        <v>192</v>
      </c>
      <c r="C21" s="14" t="n">
        <v>12343</v>
      </c>
      <c r="D21" s="14" t="n">
        <v>4454</v>
      </c>
      <c r="E21" s="16" t="n">
        <v>36.09</v>
      </c>
      <c r="F21" s="14" t="n">
        <v>697</v>
      </c>
      <c r="G21" s="14" t="n">
        <v>387</v>
      </c>
      <c r="H21" s="14" t="n">
        <v>886</v>
      </c>
      <c r="I21" s="14" t="n">
        <v>1696</v>
      </c>
      <c r="J21" s="14" t="n">
        <v>758</v>
      </c>
      <c r="K21" s="14" t="n">
        <v>30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12136</v>
      </c>
      <c r="D22" s="14" t="n">
        <v>5174</v>
      </c>
      <c r="E22" s="16" t="n">
        <v>42.63</v>
      </c>
      <c r="F22" s="14" t="n">
        <v>1018</v>
      </c>
      <c r="G22" s="14" t="n">
        <v>456</v>
      </c>
      <c r="H22" s="14" t="n">
        <v>1079</v>
      </c>
      <c r="I22" s="14" t="n">
        <v>1800</v>
      </c>
      <c r="J22" s="14" t="n">
        <v>799</v>
      </c>
      <c r="K22" s="14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11" min="2" style="13" width="14"/>
  </cols>
  <sheetData>
    <row r="1" customFormat="false" ht="15" hidden="false" customHeight="true" outlineLevel="0" collapsed="false">
      <c r="A1" s="13" t="s">
        <v>328</v>
      </c>
    </row>
    <row r="2" customFormat="false" ht="15" hidden="false" customHeight="true" outlineLevel="0" collapsed="false">
      <c r="A2" s="13" t="s">
        <v>324</v>
      </c>
    </row>
    <row r="4" customFormat="false" ht="15" hidden="false" customHeight="true" outlineLevel="0" collapsed="false">
      <c r="A4" s="13" t="s">
        <v>200</v>
      </c>
      <c r="B4" s="13" t="s">
        <v>124</v>
      </c>
      <c r="C4" s="13" t="n">
        <v>3899</v>
      </c>
      <c r="D4" s="13" t="n">
        <v>2615</v>
      </c>
      <c r="E4" s="13" t="n">
        <v>67.07</v>
      </c>
      <c r="F4" s="13" t="n">
        <v>681</v>
      </c>
      <c r="G4" s="13" t="n">
        <v>541</v>
      </c>
      <c r="H4" s="13" t="n">
        <v>716</v>
      </c>
      <c r="I4" s="13" t="n">
        <v>610</v>
      </c>
      <c r="J4" s="13" t="n">
        <v>66</v>
      </c>
      <c r="K4" s="13" t="n">
        <v>1</v>
      </c>
    </row>
    <row r="5" customFormat="false" ht="15" hidden="false" customHeight="true" outlineLevel="0" collapsed="false">
      <c r="A5" s="13" t="s">
        <v>200</v>
      </c>
      <c r="B5" s="13" t="s">
        <v>122</v>
      </c>
      <c r="C5" s="14" t="n">
        <v>11144</v>
      </c>
      <c r="D5" s="14" t="n">
        <v>9071</v>
      </c>
      <c r="E5" s="16" t="n">
        <v>81.4</v>
      </c>
      <c r="F5" s="14" t="n">
        <v>2605</v>
      </c>
      <c r="G5" s="14" t="n">
        <v>2287</v>
      </c>
      <c r="H5" s="14" t="n">
        <v>2560</v>
      </c>
      <c r="I5" s="14" t="n">
        <v>1509</v>
      </c>
      <c r="J5" s="14" t="n">
        <v>109</v>
      </c>
      <c r="K5" s="14" t="n">
        <v>1</v>
      </c>
    </row>
    <row r="6" customFormat="false" ht="15" hidden="false" customHeight="true" outlineLevel="0" collapsed="false">
      <c r="A6" s="13" t="s">
        <v>200</v>
      </c>
      <c r="B6" s="13" t="s">
        <v>192</v>
      </c>
      <c r="C6" s="14" t="n">
        <v>15043</v>
      </c>
      <c r="D6" s="14" t="n">
        <v>11686</v>
      </c>
      <c r="E6" s="16" t="n">
        <v>77.68</v>
      </c>
      <c r="F6" s="14" t="n">
        <v>3286</v>
      </c>
      <c r="G6" s="14" t="n">
        <v>2828</v>
      </c>
      <c r="H6" s="14" t="n">
        <v>3276</v>
      </c>
      <c r="I6" s="14" t="n">
        <v>2119</v>
      </c>
      <c r="J6" s="14" t="n">
        <v>175</v>
      </c>
      <c r="K6" s="14" t="n">
        <v>2</v>
      </c>
    </row>
    <row r="7" customFormat="false" ht="15" hidden="false" customHeight="true" outlineLevel="0" collapsed="false">
      <c r="A7" s="13" t="s">
        <v>201</v>
      </c>
      <c r="B7" s="13" t="s">
        <v>124</v>
      </c>
      <c r="C7" s="14" t="n">
        <v>1312</v>
      </c>
      <c r="D7" s="14" t="n">
        <v>889</v>
      </c>
      <c r="E7" s="16" t="n">
        <v>67.76</v>
      </c>
      <c r="F7" s="14" t="n">
        <v>164</v>
      </c>
      <c r="G7" s="14" t="n">
        <v>190</v>
      </c>
      <c r="H7" s="14" t="n">
        <v>267</v>
      </c>
      <c r="I7" s="14" t="n">
        <v>222</v>
      </c>
      <c r="J7" s="14" t="n">
        <v>40</v>
      </c>
      <c r="K7" s="14" t="n">
        <v>6</v>
      </c>
    </row>
    <row r="8" customFormat="false" ht="15" hidden="false" customHeight="true" outlineLevel="0" collapsed="false">
      <c r="A8" s="13" t="s">
        <v>201</v>
      </c>
      <c r="B8" s="13" t="s">
        <v>122</v>
      </c>
      <c r="C8" s="14" t="n">
        <v>673</v>
      </c>
      <c r="D8" s="14" t="n">
        <v>567</v>
      </c>
      <c r="E8" s="16" t="n">
        <v>84.25</v>
      </c>
      <c r="F8" s="14" t="n">
        <v>153</v>
      </c>
      <c r="G8" s="14" t="n">
        <v>125</v>
      </c>
      <c r="H8" s="14" t="n">
        <v>161</v>
      </c>
      <c r="I8" s="14" t="n">
        <v>106</v>
      </c>
      <c r="J8" s="14" t="n">
        <v>19</v>
      </c>
      <c r="K8" s="14" t="n">
        <v>3</v>
      </c>
    </row>
    <row r="9" customFormat="false" ht="15" hidden="false" customHeight="true" outlineLevel="0" collapsed="false">
      <c r="A9" s="13" t="s">
        <v>201</v>
      </c>
      <c r="B9" s="13" t="s">
        <v>192</v>
      </c>
      <c r="C9" s="14" t="n">
        <v>1985</v>
      </c>
      <c r="D9" s="14" t="n">
        <v>1456</v>
      </c>
      <c r="E9" s="16" t="n">
        <v>73.35</v>
      </c>
      <c r="F9" s="14" t="n">
        <v>317</v>
      </c>
      <c r="G9" s="14" t="n">
        <v>315</v>
      </c>
      <c r="H9" s="14" t="n">
        <v>428</v>
      </c>
      <c r="I9" s="14" t="n">
        <v>328</v>
      </c>
      <c r="J9" s="14" t="n">
        <v>59</v>
      </c>
      <c r="K9" s="14" t="n">
        <v>9</v>
      </c>
    </row>
    <row r="10" customFormat="false" ht="15" hidden="false" customHeight="true" outlineLevel="0" collapsed="false">
      <c r="A10" s="13" t="s">
        <v>202</v>
      </c>
      <c r="B10" s="13" t="s">
        <v>124</v>
      </c>
      <c r="C10" s="14" t="n">
        <v>9564</v>
      </c>
      <c r="D10" s="14" t="n">
        <v>4989</v>
      </c>
      <c r="E10" s="16" t="n">
        <v>52.16</v>
      </c>
      <c r="F10" s="14" t="n">
        <v>377</v>
      </c>
      <c r="G10" s="14" t="n">
        <v>866</v>
      </c>
      <c r="H10" s="14" t="n">
        <v>1488</v>
      </c>
      <c r="I10" s="14" t="n">
        <v>1804</v>
      </c>
      <c r="J10" s="14" t="n">
        <v>454</v>
      </c>
      <c r="K10" s="14" t="n">
        <v>0</v>
      </c>
    </row>
    <row r="11" customFormat="false" ht="15" hidden="false" customHeight="true" outlineLevel="0" collapsed="false">
      <c r="A11" s="13" t="s">
        <v>202</v>
      </c>
      <c r="B11" s="13" t="s">
        <v>122</v>
      </c>
      <c r="C11" s="14" t="n">
        <v>8963</v>
      </c>
      <c r="D11" s="14" t="n">
        <v>6398</v>
      </c>
      <c r="E11" s="16" t="n">
        <v>71.38</v>
      </c>
      <c r="F11" s="14" t="n">
        <v>842</v>
      </c>
      <c r="G11" s="14" t="n">
        <v>1466</v>
      </c>
      <c r="H11" s="14" t="n">
        <v>2238</v>
      </c>
      <c r="I11" s="14" t="n">
        <v>1647</v>
      </c>
      <c r="J11" s="14" t="n">
        <v>205</v>
      </c>
      <c r="K11" s="14" t="n">
        <v>0</v>
      </c>
    </row>
    <row r="12" customFormat="false" ht="15" hidden="false" customHeight="true" outlineLevel="0" collapsed="false">
      <c r="A12" s="13" t="s">
        <v>202</v>
      </c>
      <c r="B12" s="13" t="s">
        <v>192</v>
      </c>
      <c r="C12" s="14" t="n">
        <v>18527</v>
      </c>
      <c r="D12" s="14" t="n">
        <v>11387</v>
      </c>
      <c r="E12" s="16" t="n">
        <v>61.46</v>
      </c>
      <c r="F12" s="14" t="n">
        <v>1219</v>
      </c>
      <c r="G12" s="14" t="n">
        <v>2332</v>
      </c>
      <c r="H12" s="14" t="n">
        <v>3726</v>
      </c>
      <c r="I12" s="14" t="n">
        <v>3451</v>
      </c>
      <c r="J12" s="14" t="n">
        <v>659</v>
      </c>
      <c r="K12" s="14" t="n">
        <v>0</v>
      </c>
    </row>
    <row r="13" customFormat="false" ht="15" hidden="false" customHeight="true" outlineLevel="0" collapsed="false">
      <c r="A13" s="13" t="s">
        <v>128</v>
      </c>
      <c r="B13" s="13" t="s">
        <v>124</v>
      </c>
      <c r="C13" s="14" t="n">
        <v>10697</v>
      </c>
      <c r="D13" s="14" t="n">
        <v>3361</v>
      </c>
      <c r="E13" s="16" t="n">
        <v>31.42</v>
      </c>
      <c r="F13" s="14" t="n">
        <v>37</v>
      </c>
      <c r="G13" s="14" t="n">
        <v>325</v>
      </c>
      <c r="H13" s="14" t="n">
        <v>969</v>
      </c>
      <c r="I13" s="14" t="n">
        <v>1390</v>
      </c>
      <c r="J13" s="14" t="n">
        <v>617</v>
      </c>
      <c r="K13" s="14" t="n">
        <v>23</v>
      </c>
    </row>
    <row r="14" customFormat="false" ht="15" hidden="false" customHeight="true" outlineLevel="0" collapsed="false">
      <c r="A14" s="13" t="s">
        <v>128</v>
      </c>
      <c r="B14" s="13" t="s">
        <v>122</v>
      </c>
      <c r="C14" s="14" t="n">
        <v>14127</v>
      </c>
      <c r="D14" s="14" t="n">
        <v>8281</v>
      </c>
      <c r="E14" s="16" t="n">
        <v>58.62</v>
      </c>
      <c r="F14" s="14" t="n">
        <v>346</v>
      </c>
      <c r="G14" s="14" t="n">
        <v>1713</v>
      </c>
      <c r="H14" s="14" t="n">
        <v>3223</v>
      </c>
      <c r="I14" s="14" t="n">
        <v>2475</v>
      </c>
      <c r="J14" s="14" t="n">
        <v>517</v>
      </c>
      <c r="K14" s="14" t="n">
        <v>7</v>
      </c>
    </row>
    <row r="15" customFormat="false" ht="15" hidden="false" customHeight="true" outlineLevel="0" collapsed="false">
      <c r="A15" s="13" t="s">
        <v>128</v>
      </c>
      <c r="B15" s="13" t="s">
        <v>192</v>
      </c>
      <c r="C15" s="14" t="n">
        <v>24824</v>
      </c>
      <c r="D15" s="14" t="n">
        <v>11642</v>
      </c>
      <c r="E15" s="16" t="n">
        <v>46.9</v>
      </c>
      <c r="F15" s="14" t="n">
        <v>383</v>
      </c>
      <c r="G15" s="14" t="n">
        <v>2038</v>
      </c>
      <c r="H15" s="14" t="n">
        <v>4192</v>
      </c>
      <c r="I15" s="14" t="n">
        <v>3865</v>
      </c>
      <c r="J15" s="14" t="n">
        <v>1134</v>
      </c>
      <c r="K15" s="14" t="n">
        <v>30</v>
      </c>
    </row>
    <row r="16" customFormat="false" ht="15" hidden="false" customHeight="true" outlineLevel="0" collapsed="false">
      <c r="A16" s="13" t="s">
        <v>203</v>
      </c>
      <c r="B16" s="13" t="s">
        <v>124</v>
      </c>
      <c r="C16" s="14" t="n">
        <v>167</v>
      </c>
      <c r="D16" s="14" t="n">
        <v>96</v>
      </c>
      <c r="E16" s="16" t="n">
        <v>57.49</v>
      </c>
      <c r="F16" s="14" t="n">
        <v>6</v>
      </c>
      <c r="G16" s="14" t="n">
        <v>14</v>
      </c>
      <c r="H16" s="14" t="n">
        <v>32</v>
      </c>
      <c r="I16" s="14" t="n">
        <v>20</v>
      </c>
      <c r="J16" s="14" t="n">
        <v>23</v>
      </c>
      <c r="K16" s="14" t="n">
        <v>1</v>
      </c>
    </row>
    <row r="17" customFormat="false" ht="15" hidden="false" customHeight="true" outlineLevel="0" collapsed="false">
      <c r="A17" s="13" t="s">
        <v>203</v>
      </c>
      <c r="B17" s="13" t="s">
        <v>122</v>
      </c>
      <c r="C17" s="14" t="n">
        <v>46</v>
      </c>
      <c r="D17" s="14" t="n">
        <v>37</v>
      </c>
      <c r="E17" s="16" t="n">
        <v>80.43</v>
      </c>
      <c r="F17" s="14" t="n">
        <v>2</v>
      </c>
      <c r="G17" s="14" t="n">
        <v>12</v>
      </c>
      <c r="H17" s="14" t="n">
        <v>10</v>
      </c>
      <c r="I17" s="14" t="n">
        <v>11</v>
      </c>
      <c r="J17" s="14" t="n">
        <v>2</v>
      </c>
      <c r="K17" s="14" t="n">
        <v>0</v>
      </c>
    </row>
    <row r="18" customFormat="false" ht="15" hidden="false" customHeight="true" outlineLevel="0" collapsed="false">
      <c r="A18" s="13" t="s">
        <v>203</v>
      </c>
      <c r="B18" s="13" t="s">
        <v>192</v>
      </c>
      <c r="C18" s="14" t="n">
        <v>213</v>
      </c>
      <c r="D18" s="14" t="n">
        <v>133</v>
      </c>
      <c r="E18" s="16" t="n">
        <v>62.44</v>
      </c>
      <c r="F18" s="14" t="n">
        <v>8</v>
      </c>
      <c r="G18" s="14" t="n">
        <v>26</v>
      </c>
      <c r="H18" s="14" t="n">
        <v>42</v>
      </c>
      <c r="I18" s="14" t="n">
        <v>31</v>
      </c>
      <c r="J18" s="14" t="n">
        <v>25</v>
      </c>
      <c r="K18" s="14" t="n">
        <v>1</v>
      </c>
    </row>
    <row r="19" customFormat="false" ht="15" hidden="false" customHeight="true" outlineLevel="0" collapsed="false">
      <c r="A19" s="13" t="s">
        <v>192</v>
      </c>
      <c r="B19" s="13" t="s">
        <v>124</v>
      </c>
      <c r="C19" s="14" t="n">
        <v>25639</v>
      </c>
      <c r="D19" s="14" t="n">
        <v>11950</v>
      </c>
      <c r="E19" s="16" t="n">
        <v>46.61</v>
      </c>
      <c r="F19" s="14" t="n">
        <v>1265</v>
      </c>
      <c r="G19" s="14" t="n">
        <v>1936</v>
      </c>
      <c r="H19" s="14" t="n">
        <v>3472</v>
      </c>
      <c r="I19" s="14" t="n">
        <v>4046</v>
      </c>
      <c r="J19" s="14" t="n">
        <v>1200</v>
      </c>
      <c r="K19" s="14" t="n">
        <v>31</v>
      </c>
    </row>
    <row r="20" customFormat="false" ht="15" hidden="false" customHeight="true" outlineLevel="0" collapsed="false">
      <c r="A20" s="13" t="s">
        <v>192</v>
      </c>
      <c r="B20" s="13" t="s">
        <v>122</v>
      </c>
      <c r="C20" s="14" t="n">
        <v>34953</v>
      </c>
      <c r="D20" s="14" t="n">
        <v>24354</v>
      </c>
      <c r="E20" s="16" t="n">
        <v>69.68</v>
      </c>
      <c r="F20" s="14" t="n">
        <v>3948</v>
      </c>
      <c r="G20" s="14" t="n">
        <v>5603</v>
      </c>
      <c r="H20" s="14" t="n">
        <v>8192</v>
      </c>
      <c r="I20" s="14" t="n">
        <v>5748</v>
      </c>
      <c r="J20" s="14" t="n">
        <v>852</v>
      </c>
      <c r="K20" s="14" t="n">
        <v>11</v>
      </c>
    </row>
    <row r="21" customFormat="false" ht="15" hidden="false" customHeight="true" outlineLevel="0" collapsed="false">
      <c r="A21" s="13" t="s">
        <v>192</v>
      </c>
      <c r="B21" s="13" t="s">
        <v>192</v>
      </c>
      <c r="C21" s="14" t="n">
        <v>60592</v>
      </c>
      <c r="D21" s="14" t="n">
        <v>36304</v>
      </c>
      <c r="E21" s="16" t="n">
        <v>59.92</v>
      </c>
      <c r="F21" s="14" t="n">
        <v>5213</v>
      </c>
      <c r="G21" s="14" t="n">
        <v>7539</v>
      </c>
      <c r="H21" s="14" t="n">
        <v>11664</v>
      </c>
      <c r="I21" s="14" t="n">
        <v>9794</v>
      </c>
      <c r="J21" s="14" t="n">
        <v>2052</v>
      </c>
      <c r="K21" s="14" t="n">
        <v>42</v>
      </c>
    </row>
    <row r="22" customFormat="false" ht="15" hidden="false" customHeight="true" outlineLevel="0" collapsed="false">
      <c r="A22" s="13" t="s">
        <v>192</v>
      </c>
      <c r="B22" s="13" t="s">
        <v>192</v>
      </c>
      <c r="C22" s="14" t="n">
        <v>55727</v>
      </c>
      <c r="D22" s="14" t="n">
        <v>35404</v>
      </c>
      <c r="E22" s="16" t="n">
        <v>63.53</v>
      </c>
      <c r="F22" s="14" t="n">
        <v>5651</v>
      </c>
      <c r="G22" s="14" t="n">
        <v>7522</v>
      </c>
      <c r="H22" s="14" t="n">
        <v>11376</v>
      </c>
      <c r="I22" s="14" t="n">
        <v>8837</v>
      </c>
      <c r="J22" s="14" t="n">
        <v>1984</v>
      </c>
      <c r="K22" s="14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4"/>
    <col collapsed="false" customWidth="true" hidden="false" outlineLevel="0" max="2" min="2" style="13" width="44"/>
    <col collapsed="false" customWidth="true" hidden="false" outlineLevel="0" max="5" min="3" style="13" width="14"/>
  </cols>
  <sheetData>
    <row r="1" customFormat="false" ht="15" hidden="false" customHeight="true" outlineLevel="0" collapsed="false">
      <c r="A1" s="13" t="s">
        <v>329</v>
      </c>
    </row>
    <row r="2" customFormat="false" ht="15" hidden="false" customHeight="true" outlineLevel="0" collapsed="false">
      <c r="A2" s="13" t="s">
        <v>330</v>
      </c>
    </row>
    <row r="4" customFormat="false" ht="15" hidden="false" customHeight="true" outlineLevel="0" collapsed="false">
      <c r="A4" s="13" t="s">
        <v>3</v>
      </c>
      <c r="B4" s="13" t="s">
        <v>222</v>
      </c>
      <c r="C4" s="13" t="s">
        <v>4</v>
      </c>
      <c r="D4" s="13" t="s">
        <v>5</v>
      </c>
      <c r="E4" s="13" t="s">
        <v>6</v>
      </c>
    </row>
    <row r="5" customFormat="false" ht="15" hidden="false" customHeight="true" outlineLevel="0" collapsed="false">
      <c r="A5" s="13" t="n">
        <v>2026</v>
      </c>
      <c r="B5" s="13" t="s">
        <v>223</v>
      </c>
      <c r="C5" s="14" t="n">
        <v>127</v>
      </c>
      <c r="D5" s="14" t="n">
        <v>95</v>
      </c>
      <c r="E5" s="16" t="n">
        <v>74.8</v>
      </c>
    </row>
    <row r="6" customFormat="false" ht="15" hidden="false" customHeight="true" outlineLevel="0" collapsed="false">
      <c r="A6" s="13" t="n">
        <v>2026</v>
      </c>
      <c r="B6" s="13" t="s">
        <v>224</v>
      </c>
      <c r="C6" s="14" t="n">
        <v>1229</v>
      </c>
      <c r="D6" s="14" t="n">
        <v>1159</v>
      </c>
      <c r="E6" s="16" t="n">
        <v>94.3</v>
      </c>
    </row>
    <row r="7" customFormat="false" ht="15" hidden="false" customHeight="true" outlineLevel="0" collapsed="false">
      <c r="A7" s="13" t="n">
        <v>2026</v>
      </c>
      <c r="B7" s="13" t="s">
        <v>225</v>
      </c>
      <c r="C7" s="14" t="n">
        <v>174</v>
      </c>
      <c r="D7" s="14" t="n">
        <v>174</v>
      </c>
      <c r="E7" s="16" t="n">
        <v>100</v>
      </c>
    </row>
    <row r="8" customFormat="false" ht="15" hidden="false" customHeight="true" outlineLevel="0" collapsed="false">
      <c r="A8" s="13" t="n">
        <v>2026</v>
      </c>
      <c r="B8" s="13" t="s">
        <v>226</v>
      </c>
      <c r="C8" s="14" t="n">
        <v>3117</v>
      </c>
      <c r="D8" s="14" t="n">
        <v>1514</v>
      </c>
      <c r="E8" s="16" t="n">
        <v>48.57</v>
      </c>
    </row>
    <row r="9" customFormat="false" ht="15" hidden="false" customHeight="true" outlineLevel="0" collapsed="false">
      <c r="A9" s="13" t="n">
        <v>2026</v>
      </c>
      <c r="B9" s="13" t="s">
        <v>227</v>
      </c>
      <c r="C9" s="14" t="n">
        <v>14294</v>
      </c>
      <c r="D9" s="14" t="n">
        <v>12623</v>
      </c>
      <c r="E9" s="16" t="n">
        <v>88.31</v>
      </c>
    </row>
    <row r="10" customFormat="false" ht="15" hidden="false" customHeight="true" outlineLevel="0" collapsed="false">
      <c r="A10" s="13" t="n">
        <v>2026</v>
      </c>
      <c r="B10" s="13" t="s">
        <v>228</v>
      </c>
      <c r="C10" s="14" t="n">
        <v>24</v>
      </c>
      <c r="D10" s="14" t="n">
        <v>20</v>
      </c>
      <c r="E10" s="16" t="n">
        <v>83.33</v>
      </c>
    </row>
    <row r="11" customFormat="false" ht="15" hidden="false" customHeight="true" outlineLevel="0" collapsed="false">
      <c r="A11" s="13" t="n">
        <v>2026</v>
      </c>
      <c r="B11" s="13" t="s">
        <v>331</v>
      </c>
      <c r="C11" s="14" t="n">
        <v>172</v>
      </c>
      <c r="D11" s="14" t="n">
        <v>160</v>
      </c>
      <c r="E11" s="16" t="n">
        <v>93.02</v>
      </c>
    </row>
    <row r="12" customFormat="false" ht="15" hidden="false" customHeight="true" outlineLevel="0" collapsed="false">
      <c r="A12" s="13" t="n">
        <v>2026</v>
      </c>
      <c r="B12" s="13" t="s">
        <v>230</v>
      </c>
      <c r="C12" s="14" t="n">
        <v>4025</v>
      </c>
      <c r="D12" s="14" t="n">
        <v>1827</v>
      </c>
      <c r="E12" s="16" t="n">
        <v>45.39</v>
      </c>
    </row>
    <row r="13" customFormat="false" ht="15" hidden="false" customHeight="true" outlineLevel="0" collapsed="false">
      <c r="A13" s="13" t="n">
        <v>2026</v>
      </c>
      <c r="B13" s="13" t="s">
        <v>231</v>
      </c>
      <c r="C13" s="14" t="n">
        <v>15996</v>
      </c>
      <c r="D13" s="14" t="n">
        <v>12948</v>
      </c>
      <c r="E13" s="16" t="n">
        <v>80.95</v>
      </c>
    </row>
    <row r="14" customFormat="false" ht="15" hidden="false" customHeight="true" outlineLevel="0" collapsed="false">
      <c r="A14" s="13" t="n">
        <v>2026</v>
      </c>
      <c r="B14" s="13" t="s">
        <v>232</v>
      </c>
      <c r="C14" s="14" t="n">
        <v>1011</v>
      </c>
      <c r="D14" s="14" t="n">
        <v>873</v>
      </c>
      <c r="E14" s="16" t="n">
        <v>86.35</v>
      </c>
    </row>
    <row r="15" customFormat="false" ht="15" hidden="false" customHeight="true" outlineLevel="0" collapsed="false">
      <c r="A15" s="13" t="n">
        <v>2026</v>
      </c>
      <c r="B15" s="13" t="s">
        <v>234</v>
      </c>
      <c r="C15" s="14" t="n">
        <v>4259</v>
      </c>
      <c r="D15" s="14" t="n">
        <v>3951</v>
      </c>
      <c r="E15" s="16" t="n">
        <v>92.77</v>
      </c>
    </row>
    <row r="16" customFormat="false" ht="15" hidden="false" customHeight="true" outlineLevel="0" collapsed="false">
      <c r="A16" s="13" t="n">
        <v>2026</v>
      </c>
      <c r="B16" s="13" t="s">
        <v>236</v>
      </c>
      <c r="C16" s="14" t="n">
        <v>173</v>
      </c>
      <c r="D16" s="14" t="n">
        <v>172</v>
      </c>
      <c r="E16" s="16" t="n">
        <v>99.42</v>
      </c>
    </row>
    <row r="17" customFormat="false" ht="15" hidden="false" customHeight="true" outlineLevel="0" collapsed="false">
      <c r="A17" s="13" t="n">
        <v>2026</v>
      </c>
      <c r="B17" s="13" t="s">
        <v>332</v>
      </c>
      <c r="C17" s="14" t="n">
        <v>2752</v>
      </c>
      <c r="D17" s="14" t="n">
        <v>926</v>
      </c>
      <c r="E17" s="16" t="n">
        <v>33.65</v>
      </c>
    </row>
    <row r="18" customFormat="false" ht="15" hidden="false" customHeight="true" outlineLevel="0" collapsed="false">
      <c r="A18" s="13" t="n">
        <v>2026</v>
      </c>
      <c r="B18" s="13" t="s">
        <v>238</v>
      </c>
      <c r="C18" s="14" t="n">
        <v>27656</v>
      </c>
      <c r="D18" s="14" t="n">
        <v>21825</v>
      </c>
      <c r="E18" s="16" t="n">
        <v>78.92</v>
      </c>
    </row>
    <row r="19" customFormat="false" ht="15" hidden="false" customHeight="true" outlineLevel="0" collapsed="false">
      <c r="A19" s="13" t="n">
        <v>2026</v>
      </c>
      <c r="B19" s="13" t="s">
        <v>240</v>
      </c>
      <c r="C19" s="14" t="n">
        <v>1318</v>
      </c>
      <c r="D19" s="14" t="n">
        <v>694</v>
      </c>
      <c r="E19" s="16" t="n">
        <v>52.66</v>
      </c>
    </row>
    <row r="20" customFormat="false" ht="15" hidden="false" customHeight="true" outlineLevel="0" collapsed="false">
      <c r="A20" s="13" t="n">
        <v>2026</v>
      </c>
      <c r="B20" s="13" t="s">
        <v>241</v>
      </c>
      <c r="C20" s="14" t="n">
        <v>7830</v>
      </c>
      <c r="D20" s="14" t="n">
        <v>6991</v>
      </c>
      <c r="E20" s="16" t="n">
        <v>89.28</v>
      </c>
    </row>
    <row r="21" customFormat="false" ht="15" hidden="false" customHeight="true" outlineLevel="0" collapsed="false">
      <c r="A21" s="13" t="n">
        <v>2026</v>
      </c>
      <c r="B21" s="13" t="s">
        <v>242</v>
      </c>
      <c r="C21" s="14" t="n">
        <v>1237</v>
      </c>
      <c r="D21" s="14" t="n">
        <v>1075</v>
      </c>
      <c r="E21" s="16" t="n">
        <v>86.9</v>
      </c>
    </row>
    <row r="22" customFormat="false" ht="15" hidden="false" customHeight="true" outlineLevel="0" collapsed="false">
      <c r="A22" s="13" t="n">
        <v>2026</v>
      </c>
      <c r="B22" s="13" t="s">
        <v>243</v>
      </c>
      <c r="C22" s="14" t="n">
        <v>6962</v>
      </c>
      <c r="D22" s="14" t="n">
        <v>6412</v>
      </c>
      <c r="E22" s="16" t="n">
        <v>92.1</v>
      </c>
    </row>
    <row r="23" customFormat="false" ht="15" hidden="false" customHeight="true" outlineLevel="0" collapsed="false">
      <c r="A23" s="13" t="n">
        <v>2026</v>
      </c>
      <c r="B23" s="13" t="s">
        <v>244</v>
      </c>
      <c r="C23" s="14" t="n">
        <v>18</v>
      </c>
      <c r="D23" s="14" t="n">
        <v>17</v>
      </c>
      <c r="E23" s="16" t="n">
        <v>94.44</v>
      </c>
    </row>
    <row r="24" customFormat="false" ht="15" hidden="false" customHeight="true" outlineLevel="0" collapsed="false">
      <c r="A24" s="13" t="n">
        <v>2026</v>
      </c>
      <c r="B24" s="13" t="s">
        <v>245</v>
      </c>
      <c r="C24" s="14" t="n">
        <v>75</v>
      </c>
      <c r="D24" s="14" t="n">
        <v>70</v>
      </c>
      <c r="E24" s="16" t="n">
        <v>93.33</v>
      </c>
    </row>
    <row r="25" customFormat="false" ht="15" hidden="false" customHeight="true" outlineLevel="0" collapsed="false">
      <c r="A25" s="13" t="n">
        <v>2026</v>
      </c>
      <c r="B25" s="13" t="s">
        <v>246</v>
      </c>
      <c r="C25" s="14" t="n">
        <v>13662</v>
      </c>
      <c r="D25" s="14" t="n">
        <v>4033</v>
      </c>
      <c r="E25" s="16" t="n">
        <v>29.52</v>
      </c>
    </row>
    <row r="26" customFormat="false" ht="15" hidden="false" customHeight="true" outlineLevel="0" collapsed="false">
      <c r="A26" s="13" t="n">
        <v>2026</v>
      </c>
      <c r="B26" s="13" t="s">
        <v>247</v>
      </c>
      <c r="C26" s="14" t="n">
        <v>56273</v>
      </c>
      <c r="D26" s="14" t="n">
        <v>41000</v>
      </c>
      <c r="E26" s="16" t="n">
        <v>72.86</v>
      </c>
    </row>
    <row r="27" customFormat="false" ht="15" hidden="false" customHeight="true" outlineLevel="0" collapsed="false">
      <c r="A27" s="13" t="n">
        <v>2026</v>
      </c>
      <c r="B27" s="13" t="s">
        <v>333</v>
      </c>
      <c r="C27" s="14" t="n">
        <v>34</v>
      </c>
      <c r="D27" s="14" t="n">
        <v>34</v>
      </c>
      <c r="E27" s="16" t="n">
        <v>100</v>
      </c>
    </row>
    <row r="28" customFormat="false" ht="15" hidden="false" customHeight="true" outlineLevel="0" collapsed="false">
      <c r="A28" s="13" t="n">
        <v>2026</v>
      </c>
      <c r="B28" s="13" t="s">
        <v>334</v>
      </c>
      <c r="C28" s="14" t="n">
        <v>354</v>
      </c>
      <c r="D28" s="14" t="n">
        <v>354</v>
      </c>
      <c r="E28" s="16" t="n">
        <v>100</v>
      </c>
    </row>
    <row r="29" customFormat="false" ht="15" hidden="false" customHeight="true" outlineLevel="0" collapsed="false">
      <c r="A29" s="13" t="n">
        <v>2026</v>
      </c>
      <c r="B29" s="13" t="s">
        <v>250</v>
      </c>
      <c r="C29" s="14" t="n">
        <v>3</v>
      </c>
      <c r="D29" s="14" t="n">
        <v>3</v>
      </c>
      <c r="E29" s="16" t="n">
        <v>100</v>
      </c>
    </row>
    <row r="30" customFormat="false" ht="15" hidden="false" customHeight="true" outlineLevel="0" collapsed="false">
      <c r="A30" s="13" t="n">
        <v>2026</v>
      </c>
      <c r="B30" s="13" t="s">
        <v>251</v>
      </c>
      <c r="C30" s="14" t="n">
        <v>123</v>
      </c>
      <c r="D30" s="14" t="n">
        <v>123</v>
      </c>
      <c r="E30" s="16" t="n">
        <v>100</v>
      </c>
    </row>
    <row r="31" customFormat="false" ht="15" hidden="false" customHeight="true" outlineLevel="0" collapsed="false">
      <c r="A31" s="13" t="n">
        <v>2026</v>
      </c>
      <c r="B31" s="13" t="s">
        <v>252</v>
      </c>
      <c r="C31" s="14" t="n">
        <v>32</v>
      </c>
      <c r="D31" s="14" t="n">
        <v>28</v>
      </c>
      <c r="E31" s="16" t="n">
        <v>87.5</v>
      </c>
    </row>
    <row r="32" customFormat="false" ht="15" hidden="false" customHeight="true" outlineLevel="0" collapsed="false">
      <c r="A32" s="13" t="n">
        <v>2026</v>
      </c>
      <c r="B32" s="13" t="s">
        <v>253</v>
      </c>
      <c r="C32" s="14" t="n">
        <v>698</v>
      </c>
      <c r="D32" s="14" t="n">
        <v>694</v>
      </c>
      <c r="E32" s="16" t="n">
        <v>99.43</v>
      </c>
    </row>
    <row r="33" customFormat="false" ht="15" hidden="false" customHeight="true" outlineLevel="0" collapsed="false">
      <c r="A33" s="13" t="n">
        <v>2026</v>
      </c>
      <c r="B33" s="13" t="s">
        <v>254</v>
      </c>
      <c r="C33" s="14" t="n">
        <v>294</v>
      </c>
      <c r="D33" s="14" t="n">
        <v>221</v>
      </c>
      <c r="E33" s="16" t="n">
        <v>75.17</v>
      </c>
    </row>
    <row r="34" customFormat="false" ht="15" hidden="false" customHeight="true" outlineLevel="0" collapsed="false">
      <c r="A34" s="13" t="n">
        <v>2026</v>
      </c>
      <c r="B34" s="13" t="s">
        <v>255</v>
      </c>
      <c r="C34" s="14" t="n">
        <v>7206</v>
      </c>
      <c r="D34" s="14" t="n">
        <v>7104</v>
      </c>
      <c r="E34" s="16" t="n">
        <v>98.58</v>
      </c>
    </row>
    <row r="35" customFormat="false" ht="15" hidden="false" customHeight="true" outlineLevel="0" collapsed="false">
      <c r="A35" s="13" t="n">
        <v>2026</v>
      </c>
      <c r="B35" s="13" t="s">
        <v>335</v>
      </c>
      <c r="C35" s="14" t="n">
        <v>991</v>
      </c>
      <c r="D35" s="14" t="n">
        <v>796</v>
      </c>
      <c r="E35" s="16" t="n">
        <v>80.32</v>
      </c>
    </row>
    <row r="36" customFormat="false" ht="15" hidden="false" customHeight="true" outlineLevel="0" collapsed="false">
      <c r="A36" s="13" t="n">
        <v>2026</v>
      </c>
      <c r="B36" s="13" t="s">
        <v>336</v>
      </c>
      <c r="C36" s="14" t="n">
        <v>29</v>
      </c>
      <c r="D36" s="14" t="n">
        <v>23</v>
      </c>
      <c r="E36" s="16" t="n">
        <v>79.31</v>
      </c>
    </row>
    <row r="37" customFormat="false" ht="15" hidden="false" customHeight="true" outlineLevel="0" collapsed="false">
      <c r="A37" s="13" t="n">
        <v>2026</v>
      </c>
      <c r="B37" s="13" t="s">
        <v>256</v>
      </c>
      <c r="C37" s="14" t="n">
        <v>199</v>
      </c>
      <c r="D37" s="14" t="n">
        <v>139</v>
      </c>
      <c r="E37" s="16" t="n">
        <v>69.85</v>
      </c>
    </row>
    <row r="38" customFormat="false" ht="15" hidden="false" customHeight="true" outlineLevel="0" collapsed="false">
      <c r="A38" s="13" t="n">
        <v>2026</v>
      </c>
      <c r="B38" s="13" t="s">
        <v>257</v>
      </c>
      <c r="C38" s="14" t="n">
        <v>1</v>
      </c>
      <c r="D38" s="14" t="n">
        <v>1</v>
      </c>
      <c r="E38" s="16" t="n">
        <v>100</v>
      </c>
    </row>
    <row r="39" customFormat="false" ht="15" hidden="false" customHeight="true" outlineLevel="0" collapsed="false">
      <c r="A39" s="13" t="n">
        <v>2026</v>
      </c>
      <c r="B39" s="13" t="s">
        <v>258</v>
      </c>
      <c r="C39" s="14" t="n">
        <v>1</v>
      </c>
      <c r="D39" s="14" t="n">
        <v>0</v>
      </c>
      <c r="E39" s="16" t="n">
        <v>0</v>
      </c>
    </row>
    <row r="40" customFormat="false" ht="15" hidden="false" customHeight="true" outlineLevel="0" collapsed="false">
      <c r="A40" s="13" t="n">
        <v>2026</v>
      </c>
      <c r="B40" s="13" t="s">
        <v>261</v>
      </c>
      <c r="C40" s="14" t="n">
        <v>2</v>
      </c>
      <c r="D40" s="14" t="n">
        <v>2</v>
      </c>
      <c r="E40" s="16" t="n">
        <v>100</v>
      </c>
    </row>
    <row r="41" customFormat="false" ht="15" hidden="false" customHeight="true" outlineLevel="0" collapsed="false">
      <c r="A41" s="13" t="n">
        <v>2026</v>
      </c>
      <c r="B41" s="13" t="s">
        <v>262</v>
      </c>
      <c r="C41" s="14" t="n">
        <v>2</v>
      </c>
      <c r="D41" s="14" t="n">
        <v>2</v>
      </c>
      <c r="E41" s="16" t="n">
        <v>100</v>
      </c>
    </row>
    <row r="42" customFormat="false" ht="15" hidden="false" customHeight="true" outlineLevel="0" collapsed="false">
      <c r="A42" s="13" t="n">
        <v>2026</v>
      </c>
      <c r="B42" s="13" t="s">
        <v>263</v>
      </c>
      <c r="C42" s="14" t="n">
        <v>96</v>
      </c>
      <c r="D42" s="14" t="n">
        <v>51</v>
      </c>
      <c r="E42" s="16" t="n">
        <v>53.13</v>
      </c>
    </row>
    <row r="43" customFormat="false" ht="15" hidden="false" customHeight="true" outlineLevel="0" collapsed="false">
      <c r="A43" s="13" t="n">
        <v>2026</v>
      </c>
      <c r="B43" s="13" t="s">
        <v>264</v>
      </c>
      <c r="C43" s="14" t="n">
        <v>213</v>
      </c>
      <c r="D43" s="14" t="n">
        <v>178</v>
      </c>
      <c r="E43" s="16" t="n">
        <v>83.57</v>
      </c>
    </row>
    <row r="44" customFormat="false" ht="15" hidden="false" customHeight="true" outlineLevel="0" collapsed="false">
      <c r="A44" s="13" t="n">
        <v>2026</v>
      </c>
      <c r="B44" s="13" t="s">
        <v>266</v>
      </c>
      <c r="C44" s="14" t="n">
        <v>1580</v>
      </c>
      <c r="D44" s="14" t="n">
        <v>1476</v>
      </c>
      <c r="E44" s="16" t="n">
        <v>93.42</v>
      </c>
    </row>
    <row r="45" customFormat="false" ht="15" hidden="false" customHeight="true" outlineLevel="0" collapsed="false">
      <c r="A45" s="13" t="n">
        <v>2026</v>
      </c>
      <c r="B45" s="13" t="s">
        <v>267</v>
      </c>
      <c r="C45" s="14" t="n">
        <v>8961</v>
      </c>
      <c r="D45" s="14" t="n">
        <v>8652</v>
      </c>
      <c r="E45" s="16" t="n">
        <v>96.55</v>
      </c>
    </row>
    <row r="46" customFormat="false" ht="15" hidden="false" customHeight="true" outlineLevel="0" collapsed="false">
      <c r="A46" s="13" t="n">
        <v>2026</v>
      </c>
      <c r="B46" s="13" t="s">
        <v>337</v>
      </c>
      <c r="C46" s="14" t="n">
        <v>2299</v>
      </c>
      <c r="D46" s="14" t="n">
        <v>2264</v>
      </c>
      <c r="E46" s="16" t="n">
        <v>98.48</v>
      </c>
    </row>
    <row r="47" customFormat="false" ht="15" hidden="false" customHeight="true" outlineLevel="0" collapsed="false">
      <c r="A47" s="13" t="n">
        <v>2026</v>
      </c>
      <c r="B47" s="13" t="s">
        <v>268</v>
      </c>
      <c r="C47" s="14" t="n">
        <v>66</v>
      </c>
      <c r="D47" s="14" t="n">
        <v>52</v>
      </c>
      <c r="E47" s="16" t="n">
        <v>78.79</v>
      </c>
    </row>
    <row r="48" customFormat="false" ht="15" hidden="false" customHeight="true" outlineLevel="0" collapsed="false">
      <c r="A48" s="13" t="n">
        <v>2026</v>
      </c>
      <c r="B48" s="13" t="s">
        <v>269</v>
      </c>
      <c r="C48" s="14" t="n">
        <v>2855</v>
      </c>
      <c r="D48" s="14" t="n">
        <v>2797</v>
      </c>
      <c r="E48" s="16" t="n">
        <v>97.97</v>
      </c>
    </row>
    <row r="49" customFormat="false" ht="15" hidden="false" customHeight="true" outlineLevel="0" collapsed="false">
      <c r="A49" s="13" t="n">
        <v>2026</v>
      </c>
      <c r="B49" s="13" t="s">
        <v>270</v>
      </c>
      <c r="C49" s="14" t="n">
        <v>5487</v>
      </c>
      <c r="D49" s="14" t="n">
        <v>1523</v>
      </c>
      <c r="E49" s="16" t="n">
        <v>27.76</v>
      </c>
    </row>
    <row r="50" customFormat="false" ht="15" hidden="false" customHeight="true" outlineLevel="0" collapsed="false">
      <c r="A50" s="13" t="n">
        <v>2026</v>
      </c>
      <c r="B50" s="13" t="s">
        <v>271</v>
      </c>
      <c r="C50" s="14" t="n">
        <v>19578</v>
      </c>
      <c r="D50" s="14" t="n">
        <v>12968</v>
      </c>
      <c r="E50" s="16" t="n">
        <v>66.24</v>
      </c>
    </row>
    <row r="51" customFormat="false" ht="15" hidden="false" customHeight="true" outlineLevel="0" collapsed="false">
      <c r="A51" s="13" t="n">
        <v>2026</v>
      </c>
      <c r="B51" s="13" t="s">
        <v>272</v>
      </c>
      <c r="C51" s="14" t="n">
        <v>2</v>
      </c>
      <c r="D51" s="14" t="n">
        <v>2</v>
      </c>
      <c r="E51" s="16" t="n">
        <v>100</v>
      </c>
    </row>
    <row r="52" customFormat="false" ht="15" hidden="false" customHeight="true" outlineLevel="0" collapsed="false">
      <c r="A52" s="13" t="n">
        <v>2026</v>
      </c>
      <c r="B52" s="13" t="s">
        <v>273</v>
      </c>
      <c r="C52" s="14" t="n">
        <v>376</v>
      </c>
      <c r="D52" s="14" t="n">
        <v>376</v>
      </c>
      <c r="E52" s="16" t="n">
        <v>100</v>
      </c>
    </row>
    <row r="53" customFormat="false" ht="15" hidden="false" customHeight="true" outlineLevel="0" collapsed="false">
      <c r="A53" s="13" t="n">
        <v>2026</v>
      </c>
      <c r="B53" s="13" t="s">
        <v>149</v>
      </c>
      <c r="C53" s="14" t="n">
        <v>52425</v>
      </c>
      <c r="D53" s="14" t="n">
        <v>50790</v>
      </c>
      <c r="E53" s="16" t="n">
        <v>96.88</v>
      </c>
    </row>
    <row r="54" customFormat="false" ht="15" hidden="false" customHeight="true" outlineLevel="0" collapsed="false">
      <c r="A54" s="13" t="n">
        <v>2026</v>
      </c>
      <c r="B54" s="13" t="s">
        <v>276</v>
      </c>
      <c r="C54" s="14" t="n">
        <v>458</v>
      </c>
      <c r="D54" s="14" t="n">
        <v>454</v>
      </c>
      <c r="E54" s="16" t="n">
        <v>99.13</v>
      </c>
    </row>
    <row r="55" customFormat="false" ht="15" hidden="false" customHeight="true" outlineLevel="0" collapsed="false">
      <c r="A55" s="13" t="n">
        <v>2026</v>
      </c>
      <c r="B55" s="13" t="s">
        <v>277</v>
      </c>
      <c r="C55" s="14" t="n">
        <v>3354</v>
      </c>
      <c r="D55" s="14" t="n">
        <v>3338</v>
      </c>
      <c r="E55" s="16" t="n">
        <v>99.52</v>
      </c>
    </row>
    <row r="56" customFormat="false" ht="15" hidden="false" customHeight="true" outlineLevel="0" collapsed="false">
      <c r="A56" s="13" t="n">
        <v>2026</v>
      </c>
      <c r="B56" s="13" t="s">
        <v>278</v>
      </c>
      <c r="C56" s="14" t="n">
        <v>14</v>
      </c>
      <c r="D56" s="14" t="n">
        <v>14</v>
      </c>
      <c r="E56" s="16" t="n">
        <v>100</v>
      </c>
    </row>
    <row r="57" customFormat="false" ht="15" hidden="false" customHeight="true" outlineLevel="0" collapsed="false">
      <c r="A57" s="13" t="n">
        <v>2026</v>
      </c>
      <c r="B57" s="13" t="s">
        <v>279</v>
      </c>
      <c r="C57" s="14" t="n">
        <v>32</v>
      </c>
      <c r="D57" s="14" t="n">
        <v>31</v>
      </c>
      <c r="E57" s="16" t="n">
        <v>96.88</v>
      </c>
    </row>
    <row r="58" customFormat="false" ht="15" hidden="false" customHeight="true" outlineLevel="0" collapsed="false">
      <c r="A58" s="13" t="n">
        <v>2026</v>
      </c>
      <c r="B58" s="13" t="s">
        <v>280</v>
      </c>
      <c r="C58" s="14" t="n">
        <v>4909</v>
      </c>
      <c r="D58" s="14" t="n">
        <v>1773</v>
      </c>
      <c r="E58" s="16" t="n">
        <v>36.12</v>
      </c>
    </row>
    <row r="59" customFormat="false" ht="15" hidden="false" customHeight="true" outlineLevel="0" collapsed="false">
      <c r="A59" s="13" t="n">
        <v>2026</v>
      </c>
      <c r="B59" s="13" t="s">
        <v>281</v>
      </c>
      <c r="C59" s="14" t="n">
        <v>29849</v>
      </c>
      <c r="D59" s="14" t="n">
        <v>23094</v>
      </c>
      <c r="E59" s="16" t="n">
        <v>77.37</v>
      </c>
    </row>
    <row r="60" customFormat="false" ht="15" hidden="false" customHeight="true" outlineLevel="0" collapsed="false">
      <c r="A60" s="13" t="n">
        <v>2026</v>
      </c>
      <c r="B60" s="13" t="s">
        <v>282</v>
      </c>
      <c r="C60" s="14" t="n">
        <v>25</v>
      </c>
      <c r="D60" s="14" t="n">
        <v>25</v>
      </c>
      <c r="E60" s="16" t="n">
        <v>100</v>
      </c>
    </row>
    <row r="61" customFormat="false" ht="15" hidden="false" customHeight="true" outlineLevel="0" collapsed="false">
      <c r="A61" s="13" t="n">
        <v>2026</v>
      </c>
      <c r="B61" s="13" t="s">
        <v>283</v>
      </c>
      <c r="C61" s="14" t="n">
        <v>184</v>
      </c>
      <c r="D61" s="14" t="n">
        <v>169</v>
      </c>
      <c r="E61" s="16" t="n">
        <v>91.85</v>
      </c>
    </row>
    <row r="62" customFormat="false" ht="15" hidden="false" customHeight="true" outlineLevel="0" collapsed="false">
      <c r="A62" s="13" t="n">
        <v>2026</v>
      </c>
      <c r="B62" s="13" t="s">
        <v>284</v>
      </c>
      <c r="C62" s="14" t="n">
        <v>16</v>
      </c>
      <c r="D62" s="14" t="n">
        <v>16</v>
      </c>
      <c r="E62" s="16" t="n">
        <v>100</v>
      </c>
    </row>
    <row r="63" customFormat="false" ht="15" hidden="false" customHeight="true" outlineLevel="0" collapsed="false">
      <c r="A63" s="13" t="n">
        <v>2026</v>
      </c>
      <c r="B63" s="13" t="s">
        <v>285</v>
      </c>
      <c r="C63" s="14" t="n">
        <v>52</v>
      </c>
      <c r="D63" s="14" t="n">
        <v>34</v>
      </c>
      <c r="E63" s="16" t="n">
        <v>65.38</v>
      </c>
    </row>
    <row r="64" customFormat="false" ht="15" hidden="false" customHeight="true" outlineLevel="0" collapsed="false">
      <c r="A64" s="13" t="n">
        <v>2026</v>
      </c>
      <c r="B64" s="13" t="s">
        <v>286</v>
      </c>
      <c r="C64" s="14" t="n">
        <v>175</v>
      </c>
      <c r="D64" s="14" t="n">
        <v>158</v>
      </c>
      <c r="E64" s="16" t="n">
        <v>90.29</v>
      </c>
    </row>
    <row r="65" customFormat="false" ht="15" hidden="false" customHeight="true" outlineLevel="0" collapsed="false">
      <c r="A65" s="13" t="n">
        <v>2026</v>
      </c>
      <c r="B65" s="13" t="s">
        <v>287</v>
      </c>
      <c r="C65" s="14" t="n">
        <v>2062</v>
      </c>
      <c r="D65" s="14" t="n">
        <v>1990</v>
      </c>
      <c r="E65" s="16" t="n">
        <v>96.51</v>
      </c>
    </row>
    <row r="66" customFormat="false" ht="15" hidden="false" customHeight="true" outlineLevel="0" collapsed="false">
      <c r="A66" s="13" t="n">
        <v>2026</v>
      </c>
      <c r="B66" s="13" t="s">
        <v>288</v>
      </c>
      <c r="C66" s="14" t="n">
        <v>232</v>
      </c>
      <c r="D66" s="14" t="n">
        <v>228</v>
      </c>
      <c r="E66" s="16" t="n">
        <v>98.28</v>
      </c>
    </row>
    <row r="67" customFormat="false" ht="15" hidden="false" customHeight="true" outlineLevel="0" collapsed="false">
      <c r="A67" s="13" t="n">
        <v>2026</v>
      </c>
      <c r="B67" s="13" t="s">
        <v>289</v>
      </c>
      <c r="C67" s="14" t="n">
        <v>1242</v>
      </c>
      <c r="D67" s="14" t="n">
        <v>1231</v>
      </c>
      <c r="E67" s="16" t="n">
        <v>99.11</v>
      </c>
    </row>
    <row r="68" customFormat="false" ht="15" hidden="false" customHeight="true" outlineLevel="0" collapsed="false">
      <c r="A68" s="13" t="n">
        <v>2026</v>
      </c>
      <c r="B68" s="13" t="s">
        <v>338</v>
      </c>
      <c r="C68" s="14" t="n">
        <v>24</v>
      </c>
      <c r="D68" s="14" t="n">
        <v>24</v>
      </c>
      <c r="E68" s="16" t="n">
        <v>100</v>
      </c>
    </row>
    <row r="69" customFormat="false" ht="15" hidden="false" customHeight="true" outlineLevel="0" collapsed="false">
      <c r="A69" s="13" t="n">
        <v>2026</v>
      </c>
      <c r="B69" s="13" t="s">
        <v>291</v>
      </c>
      <c r="C69" s="14" t="n">
        <v>170</v>
      </c>
      <c r="D69" s="14" t="n">
        <v>167</v>
      </c>
      <c r="E69" s="16" t="n">
        <v>98.24</v>
      </c>
    </row>
    <row r="70" customFormat="false" ht="15" hidden="false" customHeight="true" outlineLevel="0" collapsed="false">
      <c r="A70" s="13" t="n">
        <v>2026</v>
      </c>
      <c r="B70" s="13" t="s">
        <v>292</v>
      </c>
      <c r="C70" s="14" t="n">
        <v>1317</v>
      </c>
      <c r="D70" s="14" t="n">
        <v>1305</v>
      </c>
      <c r="E70" s="16" t="n">
        <v>99.09</v>
      </c>
    </row>
    <row r="71" customFormat="false" ht="15" hidden="false" customHeight="true" outlineLevel="0" collapsed="false">
      <c r="A71" s="13" t="n">
        <v>2026</v>
      </c>
      <c r="B71" s="13" t="s">
        <v>293</v>
      </c>
      <c r="C71" s="14" t="n">
        <v>402</v>
      </c>
      <c r="D71" s="14" t="n">
        <v>379</v>
      </c>
      <c r="E71" s="16" t="n">
        <v>94.28</v>
      </c>
    </row>
    <row r="72" customFormat="false" ht="15" hidden="false" customHeight="true" outlineLevel="0" collapsed="false">
      <c r="A72" s="13" t="n">
        <v>2026</v>
      </c>
      <c r="B72" s="13" t="s">
        <v>294</v>
      </c>
      <c r="C72" s="14" t="n">
        <v>1831</v>
      </c>
      <c r="D72" s="14" t="n">
        <v>1821</v>
      </c>
      <c r="E72" s="16" t="n">
        <v>99.45</v>
      </c>
    </row>
    <row r="73" customFormat="false" ht="15" hidden="false" customHeight="true" outlineLevel="0" collapsed="false">
      <c r="A73" s="13" t="n">
        <v>2026</v>
      </c>
      <c r="B73" s="13" t="s">
        <v>295</v>
      </c>
      <c r="C73" s="14" t="n">
        <v>678</v>
      </c>
      <c r="D73" s="14" t="n">
        <v>340</v>
      </c>
      <c r="E73" s="16" t="n">
        <v>50.15</v>
      </c>
    </row>
    <row r="74" customFormat="false" ht="15" hidden="false" customHeight="true" outlineLevel="0" collapsed="false">
      <c r="A74" s="13" t="n">
        <v>2026</v>
      </c>
      <c r="B74" s="13" t="s">
        <v>296</v>
      </c>
      <c r="C74" s="14" t="n">
        <v>3171</v>
      </c>
      <c r="D74" s="14" t="n">
        <v>2413</v>
      </c>
      <c r="E74" s="16" t="n">
        <v>76.1</v>
      </c>
    </row>
    <row r="75" customFormat="false" ht="15" hidden="false" customHeight="true" outlineLevel="0" collapsed="false">
      <c r="A75" s="13" t="n">
        <v>2026</v>
      </c>
      <c r="B75" s="13" t="s">
        <v>339</v>
      </c>
      <c r="C75" s="14" t="n">
        <v>2321</v>
      </c>
      <c r="D75" s="14" t="n">
        <v>2188</v>
      </c>
      <c r="E75" s="16" t="n">
        <v>94.27</v>
      </c>
    </row>
    <row r="76" customFormat="false" ht="15" hidden="false" customHeight="true" outlineLevel="0" collapsed="false">
      <c r="A76" s="13" t="n">
        <v>2026</v>
      </c>
      <c r="B76" s="13" t="s">
        <v>340</v>
      </c>
      <c r="C76" s="14" t="n">
        <v>52202</v>
      </c>
      <c r="D76" s="14" t="n">
        <v>51776</v>
      </c>
      <c r="E76" s="16" t="n">
        <v>99.18</v>
      </c>
    </row>
    <row r="77" customFormat="false" ht="15" hidden="false" customHeight="true" outlineLevel="0" collapsed="false">
      <c r="A77" s="13" t="n">
        <v>2026</v>
      </c>
      <c r="B77" s="13" t="s">
        <v>299</v>
      </c>
      <c r="C77" s="14" t="n">
        <v>64</v>
      </c>
      <c r="D77" s="14" t="n">
        <v>33</v>
      </c>
      <c r="E77" s="16" t="n">
        <v>51.56</v>
      </c>
    </row>
    <row r="78" customFormat="false" ht="15" hidden="false" customHeight="true" outlineLevel="0" collapsed="false">
      <c r="A78" s="13" t="n">
        <v>2026</v>
      </c>
      <c r="B78" s="13" t="s">
        <v>300</v>
      </c>
      <c r="C78" s="14" t="n">
        <v>155</v>
      </c>
      <c r="D78" s="14" t="n">
        <v>104</v>
      </c>
      <c r="E78" s="16" t="n">
        <v>67.1</v>
      </c>
    </row>
    <row r="79" customFormat="false" ht="15" hidden="false" customHeight="true" outlineLevel="0" collapsed="false">
      <c r="A79" s="13" t="n">
        <v>2026</v>
      </c>
      <c r="B79" s="13" t="s">
        <v>341</v>
      </c>
      <c r="C79" s="14" t="n">
        <v>4140</v>
      </c>
      <c r="D79" s="14" t="n">
        <v>3119</v>
      </c>
      <c r="E79" s="16" t="n">
        <v>75.34</v>
      </c>
    </row>
    <row r="80" customFormat="false" ht="15" hidden="false" customHeight="true" outlineLevel="0" collapsed="false">
      <c r="A80" s="13" t="n">
        <v>2026</v>
      </c>
      <c r="B80" s="13" t="s">
        <v>302</v>
      </c>
      <c r="C80" s="14" t="n">
        <v>52921</v>
      </c>
      <c r="D80" s="14" t="n">
        <v>51154</v>
      </c>
      <c r="E80" s="16" t="n">
        <v>96.66</v>
      </c>
    </row>
    <row r="81" customFormat="false" ht="15" hidden="false" customHeight="true" outlineLevel="0" collapsed="false">
      <c r="C81" s="14"/>
      <c r="D81" s="14"/>
      <c r="E81" s="16"/>
    </row>
    <row r="82" customFormat="false" ht="15" hidden="false" customHeight="true" outlineLevel="0" collapsed="false">
      <c r="C82" s="14"/>
      <c r="D82" s="14"/>
      <c r="E82" s="16"/>
    </row>
    <row r="83" customFormat="false" ht="15" hidden="false" customHeight="true" outlineLevel="0" collapsed="false">
      <c r="C83" s="14"/>
      <c r="D83" s="14"/>
      <c r="E83" s="16"/>
    </row>
    <row r="84" customFormat="false" ht="15" hidden="false" customHeight="true" outlineLevel="0" collapsed="false">
      <c r="C84" s="14"/>
      <c r="D84" s="14"/>
      <c r="E84" s="16"/>
    </row>
    <row r="85" customFormat="false" ht="15" hidden="false" customHeight="true" outlineLevel="0" collapsed="false">
      <c r="C85" s="14"/>
      <c r="D85" s="14"/>
      <c r="E85" s="16"/>
    </row>
    <row r="86" customFormat="false" ht="15" hidden="false" customHeight="true" outlineLevel="0" collapsed="false">
      <c r="C86" s="14"/>
      <c r="D86" s="14"/>
      <c r="E86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0"/>
    <col collapsed="false" customWidth="true" hidden="false" outlineLevel="0" max="2" min="2" style="13" width="34"/>
    <col collapsed="false" customWidth="true" hidden="false" outlineLevel="0" max="7" min="3" style="13" width="16"/>
  </cols>
  <sheetData>
    <row r="1" customFormat="false" ht="15" hidden="false" customHeight="true" outlineLevel="0" collapsed="false">
      <c r="A1" s="13" t="s">
        <v>342</v>
      </c>
    </row>
    <row r="2" customFormat="false" ht="15" hidden="false" customHeight="true" outlineLevel="0" collapsed="false">
      <c r="A2" s="13" t="s">
        <v>343</v>
      </c>
    </row>
    <row r="4" customFormat="false" ht="15" hidden="false" customHeight="true" outlineLevel="0" collapsed="false">
      <c r="A4" s="13" t="s">
        <v>3</v>
      </c>
      <c r="B4" s="13" t="s">
        <v>344</v>
      </c>
      <c r="C4" s="13" t="s">
        <v>4</v>
      </c>
      <c r="D4" s="13" t="s">
        <v>5</v>
      </c>
      <c r="E4" s="13" t="s">
        <v>345</v>
      </c>
      <c r="F4" s="13" t="s">
        <v>6</v>
      </c>
      <c r="G4" s="13" t="s">
        <v>8</v>
      </c>
    </row>
    <row r="5" customFormat="false" ht="15" hidden="false" customHeight="true" outlineLevel="0" collapsed="false">
      <c r="A5" s="13" t="n">
        <v>2025</v>
      </c>
      <c r="B5" s="13" t="s">
        <v>346</v>
      </c>
      <c r="C5" s="14" t="n">
        <v>16859</v>
      </c>
      <c r="D5" s="14" t="n">
        <v>16604</v>
      </c>
      <c r="E5" s="14" t="n">
        <f aca="false">C5-D5</f>
        <v>255</v>
      </c>
      <c r="F5" s="16" t="n">
        <f aca="false">ROUND(D5/C5*100,2)</f>
        <v>98.49</v>
      </c>
      <c r="G5" s="13" t="n">
        <v>98</v>
      </c>
    </row>
    <row r="6" customFormat="false" ht="15" hidden="false" customHeight="true" outlineLevel="0" collapsed="false">
      <c r="A6" s="13" t="n">
        <v>2025</v>
      </c>
      <c r="B6" s="13" t="s">
        <v>347</v>
      </c>
      <c r="C6" s="14" t="n">
        <v>18099</v>
      </c>
      <c r="D6" s="14" t="n">
        <v>15484</v>
      </c>
      <c r="E6" s="14" t="n">
        <f aca="false">C6-D6</f>
        <v>2615</v>
      </c>
      <c r="F6" s="16" t="n">
        <f aca="false">ROUND(D6/C6*100,2)</f>
        <v>85.55</v>
      </c>
      <c r="G6" s="13" t="n">
        <v>86</v>
      </c>
    </row>
    <row r="7" customFormat="false" ht="15" hidden="false" customHeight="true" outlineLevel="0" collapsed="false">
      <c r="A7" s="13" t="n">
        <v>2025</v>
      </c>
      <c r="B7" s="13" t="s">
        <v>348</v>
      </c>
      <c r="C7" s="14" t="n">
        <v>34958</v>
      </c>
      <c r="D7" s="14" t="n">
        <v>32088</v>
      </c>
      <c r="E7" s="14" t="n">
        <f aca="false">C7-D7</f>
        <v>2870</v>
      </c>
      <c r="F7" s="16" t="n">
        <f aca="false">ROUND(D7/C7*100,2)</f>
        <v>91.79</v>
      </c>
      <c r="G7" s="13" t="n">
        <v>92</v>
      </c>
    </row>
    <row r="8" customFormat="false" ht="15" hidden="false" customHeight="true" outlineLevel="0" collapsed="false">
      <c r="A8" s="13" t="n">
        <v>2026</v>
      </c>
      <c r="B8" s="13" t="s">
        <v>349</v>
      </c>
      <c r="C8" s="14" t="n">
        <v>17857</v>
      </c>
      <c r="D8" s="14" t="n">
        <v>14845</v>
      </c>
      <c r="E8" s="14" t="n">
        <f aca="false">C8-D8</f>
        <v>3012</v>
      </c>
      <c r="F8" s="16" t="n">
        <f aca="false">ROUND(D8/C8*100,2)</f>
        <v>83.13</v>
      </c>
      <c r="G8" s="13" t="n">
        <v>83</v>
      </c>
    </row>
    <row r="9" customFormat="false" ht="15" hidden="false" customHeight="true" outlineLevel="0" collapsed="false">
      <c r="A9" s="13" t="n">
        <v>2026</v>
      </c>
      <c r="B9" s="13" t="s">
        <v>347</v>
      </c>
      <c r="C9" s="14" t="n">
        <v>17771</v>
      </c>
      <c r="D9" s="14" t="n">
        <v>14484</v>
      </c>
      <c r="E9" s="14" t="n">
        <f aca="false">C9-D9</f>
        <v>3287</v>
      </c>
      <c r="F9" s="16" t="n">
        <f aca="false">ROUND(D9/C9*100,2)</f>
        <v>81.5</v>
      </c>
      <c r="G9" s="13" t="n">
        <v>82</v>
      </c>
    </row>
    <row r="10" customFormat="false" ht="15" hidden="false" customHeight="true" outlineLevel="0" collapsed="false">
      <c r="A10" s="13" t="n">
        <v>2026</v>
      </c>
      <c r="B10" s="13" t="s">
        <v>348</v>
      </c>
      <c r="C10" s="14" t="n">
        <v>35628</v>
      </c>
      <c r="D10" s="14" t="n">
        <v>29329</v>
      </c>
      <c r="E10" s="14" t="n">
        <f aca="false">C10-D10</f>
        <v>6299</v>
      </c>
      <c r="F10" s="16" t="n">
        <f aca="false">ROUND(D10/C10*100,2)</f>
        <v>82.32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8"/>
    <col collapsed="false" customWidth="true" hidden="false" outlineLevel="0" max="2" min="2" style="13" width="20"/>
    <col collapsed="false" customWidth="true" hidden="false" outlineLevel="0" max="3" min="3" style="13" width="30"/>
    <col collapsed="false" customWidth="true" hidden="false" outlineLevel="0" max="6" min="4" style="13" width="12"/>
    <col collapsed="false" customWidth="true" hidden="false" outlineLevel="0" max="8" min="7" style="13" width="18"/>
    <col collapsed="false" customWidth="true" hidden="false" outlineLevel="0" max="9" min="9" style="13" width="14"/>
  </cols>
  <sheetData>
    <row r="1" customFormat="false" ht="15" hidden="false" customHeight="true" outlineLevel="0" collapsed="false">
      <c r="A1" s="13" t="s">
        <v>350</v>
      </c>
    </row>
    <row r="2" customFormat="false" ht="15" hidden="false" customHeight="true" outlineLevel="0" collapsed="false">
      <c r="A2" s="13" t="s">
        <v>351</v>
      </c>
    </row>
    <row r="4" customFormat="false" ht="15" hidden="false" customHeight="true" outlineLevel="0" collapsed="false">
      <c r="A4" s="13" t="s">
        <v>3</v>
      </c>
      <c r="B4" s="13" t="s">
        <v>344</v>
      </c>
      <c r="C4" s="13" t="s">
        <v>114</v>
      </c>
      <c r="D4" s="13" t="s">
        <v>352</v>
      </c>
      <c r="E4" s="13" t="s">
        <v>4</v>
      </c>
      <c r="F4" s="13" t="s">
        <v>5</v>
      </c>
      <c r="G4" s="13" t="s">
        <v>353</v>
      </c>
      <c r="H4" s="13" t="s">
        <v>354</v>
      </c>
      <c r="I4" s="13" t="s">
        <v>355</v>
      </c>
    </row>
    <row r="5" customFormat="false" ht="15" hidden="false" customHeight="true" outlineLevel="0" collapsed="false">
      <c r="A5" s="13" t="n">
        <v>2025</v>
      </c>
      <c r="B5" s="13" t="s">
        <v>356</v>
      </c>
      <c r="C5" s="13" t="s">
        <v>200</v>
      </c>
      <c r="D5" s="13" t="s">
        <v>357</v>
      </c>
      <c r="E5" s="14" t="n">
        <v>9582</v>
      </c>
      <c r="F5" s="14" t="n">
        <v>8548</v>
      </c>
      <c r="G5" s="13" t="n">
        <v>89</v>
      </c>
      <c r="H5" s="16" t="n">
        <f aca="false">ROUND(F5/E5*100,2)</f>
        <v>89.21</v>
      </c>
    </row>
    <row r="6" customFormat="false" ht="15" hidden="false" customHeight="true" outlineLevel="0" collapsed="false">
      <c r="A6" s="13" t="n">
        <v>2025</v>
      </c>
      <c r="B6" s="13" t="s">
        <v>356</v>
      </c>
      <c r="C6" s="13" t="s">
        <v>201</v>
      </c>
      <c r="D6" s="13" t="s">
        <v>357</v>
      </c>
      <c r="E6" s="14" t="n">
        <v>1602</v>
      </c>
      <c r="F6" s="14" t="n">
        <v>1393</v>
      </c>
      <c r="G6" s="13" t="n">
        <v>87</v>
      </c>
      <c r="H6" s="16" t="n">
        <f aca="false">ROUND(F6/E6*100,2)</f>
        <v>86.95</v>
      </c>
    </row>
    <row r="7" customFormat="false" ht="15" hidden="false" customHeight="true" outlineLevel="0" collapsed="false">
      <c r="A7" s="13" t="n">
        <v>2025</v>
      </c>
      <c r="B7" s="13" t="s">
        <v>356</v>
      </c>
      <c r="C7" s="13" t="s">
        <v>358</v>
      </c>
      <c r="D7" s="13" t="s">
        <v>357</v>
      </c>
      <c r="E7" s="14" t="n">
        <v>2243</v>
      </c>
      <c r="F7" s="14" t="n">
        <v>1859</v>
      </c>
      <c r="G7" s="13" t="n">
        <v>83</v>
      </c>
      <c r="H7" s="16" t="n">
        <f aca="false">ROUND(F7/E7*100,2)</f>
        <v>82.88</v>
      </c>
    </row>
    <row r="8" customFormat="false" ht="15" hidden="false" customHeight="true" outlineLevel="0" collapsed="false">
      <c r="A8" s="13" t="n">
        <v>2025</v>
      </c>
      <c r="B8" s="13" t="s">
        <v>356</v>
      </c>
      <c r="C8" s="13" t="s">
        <v>128</v>
      </c>
      <c r="D8" s="13" t="s">
        <v>357</v>
      </c>
      <c r="E8" s="14" t="n">
        <v>4629</v>
      </c>
      <c r="F8" s="14" t="n">
        <v>3684</v>
      </c>
      <c r="G8" s="13" t="n">
        <v>80</v>
      </c>
      <c r="H8" s="16" t="n">
        <f aca="false">ROUND(F8/E8*100,2)</f>
        <v>79.59</v>
      </c>
    </row>
    <row r="9" customFormat="false" ht="15" hidden="false" customHeight="true" outlineLevel="0" collapsed="false">
      <c r="A9" s="13" t="n">
        <v>2025</v>
      </c>
      <c r="B9" s="13" t="s">
        <v>356</v>
      </c>
      <c r="C9" s="13" t="s">
        <v>359</v>
      </c>
      <c r="D9" s="13" t="s">
        <v>359</v>
      </c>
      <c r="E9" s="14" t="n">
        <v>18099</v>
      </c>
      <c r="F9" s="14" t="n">
        <v>15484</v>
      </c>
      <c r="G9" s="13" t="n">
        <v>86</v>
      </c>
      <c r="H9" s="16" t="n">
        <f aca="false">ROUND(F9/E9*100,2)</f>
        <v>85.55</v>
      </c>
    </row>
    <row r="10" customFormat="false" ht="15" hidden="false" customHeight="true" outlineLevel="0" collapsed="false">
      <c r="A10" s="13" t="n">
        <v>2025</v>
      </c>
      <c r="B10" s="13" t="s">
        <v>349</v>
      </c>
      <c r="C10" s="13" t="s">
        <v>200</v>
      </c>
      <c r="D10" s="13" t="s">
        <v>357</v>
      </c>
      <c r="E10" s="14" t="n">
        <v>8202</v>
      </c>
      <c r="F10" s="14" t="n">
        <v>8064</v>
      </c>
      <c r="G10" s="13" t="n">
        <v>98</v>
      </c>
      <c r="H10" s="16" t="n">
        <f aca="false">ROUND(F10/E10*100,2)</f>
        <v>98.32</v>
      </c>
      <c r="I10" s="13" t="s">
        <v>360</v>
      </c>
    </row>
    <row r="11" customFormat="false" ht="15" hidden="false" customHeight="true" outlineLevel="0" collapsed="false">
      <c r="A11" s="13" t="n">
        <v>2025</v>
      </c>
      <c r="B11" s="13" t="s">
        <v>349</v>
      </c>
      <c r="C11" s="13" t="s">
        <v>201</v>
      </c>
      <c r="D11" s="13" t="s">
        <v>357</v>
      </c>
      <c r="E11" s="14" t="n">
        <v>1502</v>
      </c>
      <c r="F11" s="14" t="n">
        <v>1493</v>
      </c>
      <c r="G11" s="13" t="n">
        <v>99</v>
      </c>
      <c r="H11" s="16" t="n">
        <f aca="false">ROUND(F11/E11*100,2)</f>
        <v>99.4</v>
      </c>
      <c r="I11" s="13" t="s">
        <v>360</v>
      </c>
    </row>
    <row r="12" customFormat="false" ht="15" hidden="false" customHeight="true" outlineLevel="0" collapsed="false">
      <c r="A12" s="13" t="n">
        <v>2025</v>
      </c>
      <c r="B12" s="13" t="s">
        <v>349</v>
      </c>
      <c r="C12" s="13" t="s">
        <v>358</v>
      </c>
      <c r="D12" s="13" t="s">
        <v>357</v>
      </c>
      <c r="E12" s="14" t="n">
        <v>2760</v>
      </c>
      <c r="F12" s="14" t="n">
        <v>2727</v>
      </c>
      <c r="G12" s="13" t="n">
        <v>99</v>
      </c>
      <c r="H12" s="16" t="n">
        <f aca="false">ROUND(F12/E12*100,2)</f>
        <v>98.8</v>
      </c>
      <c r="I12" s="13" t="s">
        <v>360</v>
      </c>
    </row>
    <row r="13" customFormat="false" ht="15" hidden="false" customHeight="true" outlineLevel="0" collapsed="false">
      <c r="A13" s="13" t="n">
        <v>2025</v>
      </c>
      <c r="B13" s="13" t="s">
        <v>349</v>
      </c>
      <c r="C13" s="13" t="s">
        <v>128</v>
      </c>
      <c r="D13" s="13" t="s">
        <v>357</v>
      </c>
      <c r="E13" s="14" t="n">
        <v>4389</v>
      </c>
      <c r="F13" s="14" t="n">
        <v>4320</v>
      </c>
      <c r="G13" s="13" t="n">
        <v>98</v>
      </c>
      <c r="H13" s="16" t="n">
        <f aca="false">ROUND(F13/E13*100,2)</f>
        <v>98.43</v>
      </c>
      <c r="I13" s="13" t="s">
        <v>360</v>
      </c>
    </row>
    <row r="14" customFormat="false" ht="15" hidden="false" customHeight="true" outlineLevel="0" collapsed="false">
      <c r="A14" s="13" t="n">
        <v>2025</v>
      </c>
      <c r="B14" s="13" t="s">
        <v>349</v>
      </c>
      <c r="C14" s="13" t="s">
        <v>359</v>
      </c>
      <c r="D14" s="13" t="s">
        <v>359</v>
      </c>
      <c r="E14" s="14" t="n">
        <v>16859</v>
      </c>
      <c r="F14" s="14" t="n">
        <v>16604</v>
      </c>
      <c r="G14" s="13" t="n">
        <v>98</v>
      </c>
      <c r="H14" s="16" t="n">
        <f aca="false">ROUND(F14/E14*100,2)</f>
        <v>98.49</v>
      </c>
    </row>
    <row r="15" customFormat="false" ht="15" hidden="false" customHeight="true" outlineLevel="0" collapsed="false">
      <c r="A15" s="13" t="n">
        <v>2025</v>
      </c>
      <c r="B15" s="13" t="s">
        <v>361</v>
      </c>
      <c r="C15" s="13" t="s">
        <v>362</v>
      </c>
      <c r="D15" s="13" t="s">
        <v>137</v>
      </c>
      <c r="E15" s="14" t="n">
        <v>34958</v>
      </c>
      <c r="F15" s="14" t="n">
        <v>32088</v>
      </c>
      <c r="G15" s="13" t="n">
        <v>92</v>
      </c>
      <c r="H15" s="16" t="n">
        <f aca="false">ROUND(F15/E15*100,2)</f>
        <v>91.79</v>
      </c>
    </row>
    <row r="16" customFormat="false" ht="15" hidden="false" customHeight="true" outlineLevel="0" collapsed="false">
      <c r="A16" s="13" t="n">
        <v>2026</v>
      </c>
      <c r="B16" s="13" t="s">
        <v>356</v>
      </c>
      <c r="C16" s="13" t="s">
        <v>200</v>
      </c>
      <c r="D16" s="13" t="s">
        <v>357</v>
      </c>
      <c r="E16" s="14" t="n">
        <v>9399</v>
      </c>
      <c r="F16" s="14" t="n">
        <v>7637</v>
      </c>
      <c r="G16" s="13" t="n">
        <v>81</v>
      </c>
      <c r="H16" s="16" t="n">
        <f aca="false">ROUND(F16/E16*100,2)</f>
        <v>81.25</v>
      </c>
    </row>
    <row r="17" customFormat="false" ht="15" hidden="false" customHeight="true" outlineLevel="0" collapsed="false">
      <c r="A17" s="13" t="n">
        <v>2026</v>
      </c>
      <c r="B17" s="13" t="s">
        <v>356</v>
      </c>
      <c r="C17" s="13" t="s">
        <v>201</v>
      </c>
      <c r="D17" s="13" t="s">
        <v>357</v>
      </c>
      <c r="E17" s="14" t="n">
        <v>1486</v>
      </c>
      <c r="F17" s="14" t="n">
        <v>1283</v>
      </c>
      <c r="G17" s="13" t="n">
        <v>86</v>
      </c>
      <c r="H17" s="16" t="n">
        <f aca="false">ROUND(F17/E17*100,2)</f>
        <v>86.34</v>
      </c>
    </row>
    <row r="18" customFormat="false" ht="15" hidden="false" customHeight="true" outlineLevel="0" collapsed="false">
      <c r="A18" s="13" t="n">
        <v>2026</v>
      </c>
      <c r="B18" s="13" t="s">
        <v>356</v>
      </c>
      <c r="C18" s="13" t="s">
        <v>363</v>
      </c>
      <c r="D18" s="13" t="s">
        <v>357</v>
      </c>
      <c r="E18" s="14" t="n">
        <v>2752</v>
      </c>
      <c r="F18" s="14" t="n">
        <v>2313</v>
      </c>
      <c r="G18" s="13" t="n">
        <v>84</v>
      </c>
      <c r="H18" s="16" t="n">
        <f aca="false">ROUND(F18/E18*100,2)</f>
        <v>84.05</v>
      </c>
    </row>
    <row r="19" customFormat="false" ht="15" hidden="false" customHeight="true" outlineLevel="0" collapsed="false">
      <c r="A19" s="13" t="n">
        <v>2026</v>
      </c>
      <c r="B19" s="13" t="s">
        <v>356</v>
      </c>
      <c r="C19" s="13" t="s">
        <v>202</v>
      </c>
      <c r="D19" s="13" t="s">
        <v>357</v>
      </c>
      <c r="E19" s="14" t="n">
        <v>215</v>
      </c>
      <c r="F19" s="14" t="n">
        <v>184</v>
      </c>
      <c r="G19" s="13" t="n">
        <v>86</v>
      </c>
      <c r="H19" s="16" t="n">
        <f aca="false">ROUND(F19/E19*100,2)</f>
        <v>85.58</v>
      </c>
    </row>
    <row r="20" customFormat="false" ht="15" hidden="false" customHeight="true" outlineLevel="0" collapsed="false">
      <c r="A20" s="13" t="n">
        <v>2026</v>
      </c>
      <c r="B20" s="13" t="s">
        <v>356</v>
      </c>
      <c r="C20" s="13" t="s">
        <v>128</v>
      </c>
      <c r="D20" s="13" t="s">
        <v>357</v>
      </c>
      <c r="E20" s="14" t="n">
        <v>3919</v>
      </c>
      <c r="F20" s="14" t="n">
        <v>3067</v>
      </c>
      <c r="G20" s="13" t="n">
        <v>78</v>
      </c>
      <c r="H20" s="16" t="n">
        <f aca="false">ROUND(F20/E20*100,2)</f>
        <v>78.26</v>
      </c>
    </row>
    <row r="21" customFormat="false" ht="15" hidden="false" customHeight="true" outlineLevel="0" collapsed="false">
      <c r="A21" s="13" t="n">
        <v>2026</v>
      </c>
      <c r="B21" s="13" t="s">
        <v>356</v>
      </c>
      <c r="C21" s="13" t="s">
        <v>359</v>
      </c>
      <c r="D21" s="13" t="s">
        <v>359</v>
      </c>
      <c r="E21" s="14" t="n">
        <v>17771</v>
      </c>
      <c r="F21" s="14" t="n">
        <v>14484</v>
      </c>
      <c r="G21" s="13" t="n">
        <v>82</v>
      </c>
      <c r="H21" s="16" t="n">
        <f aca="false">ROUND(F21/E21*100,2)</f>
        <v>81.5</v>
      </c>
    </row>
    <row r="22" customFormat="false" ht="15" hidden="false" customHeight="true" outlineLevel="0" collapsed="false">
      <c r="A22" s="13" t="n">
        <v>2026</v>
      </c>
      <c r="B22" s="13" t="s">
        <v>349</v>
      </c>
      <c r="C22" s="13" t="s">
        <v>200</v>
      </c>
      <c r="D22" s="13" t="s">
        <v>357</v>
      </c>
      <c r="E22" s="14" t="n">
        <v>8670</v>
      </c>
      <c r="F22" s="14" t="n">
        <v>7417</v>
      </c>
      <c r="G22" s="13" t="n">
        <v>86</v>
      </c>
      <c r="H22" s="16" t="n">
        <f aca="false">ROUND(F22/E22*100,2)</f>
        <v>85.55</v>
      </c>
    </row>
    <row r="23" customFormat="false" ht="15" hidden="false" customHeight="true" outlineLevel="0" collapsed="false">
      <c r="A23" s="13" t="n">
        <v>2026</v>
      </c>
      <c r="B23" s="13" t="s">
        <v>349</v>
      </c>
      <c r="C23" s="13" t="s">
        <v>201</v>
      </c>
      <c r="D23" s="13" t="s">
        <v>357</v>
      </c>
      <c r="E23" s="14" t="n">
        <v>1652</v>
      </c>
      <c r="F23" s="14" t="n">
        <v>1391</v>
      </c>
      <c r="G23" s="13" t="n">
        <v>84</v>
      </c>
      <c r="H23" s="16" t="n">
        <f aca="false">ROUND(F23/E23*100,2)</f>
        <v>84.2</v>
      </c>
    </row>
    <row r="24" customFormat="false" ht="15" hidden="false" customHeight="true" outlineLevel="0" collapsed="false">
      <c r="A24" s="13" t="n">
        <v>2026</v>
      </c>
      <c r="B24" s="13" t="s">
        <v>349</v>
      </c>
      <c r="C24" s="13" t="s">
        <v>363</v>
      </c>
      <c r="D24" s="13" t="s">
        <v>357</v>
      </c>
      <c r="E24" s="14" t="n">
        <v>3706</v>
      </c>
      <c r="F24" s="14" t="n">
        <v>3082</v>
      </c>
      <c r="G24" s="13" t="n">
        <v>83</v>
      </c>
      <c r="H24" s="16" t="n">
        <f aca="false">ROUND(F24/E24*100,2)</f>
        <v>83.16</v>
      </c>
    </row>
    <row r="25" customFormat="false" ht="15" hidden="false" customHeight="true" outlineLevel="0" collapsed="false">
      <c r="A25" s="13" t="n">
        <v>2026</v>
      </c>
      <c r="B25" s="13" t="s">
        <v>349</v>
      </c>
      <c r="C25" s="13" t="s">
        <v>202</v>
      </c>
      <c r="D25" s="13" t="s">
        <v>357</v>
      </c>
      <c r="E25" s="14" t="n">
        <v>199</v>
      </c>
      <c r="F25" s="14" t="n">
        <v>165</v>
      </c>
      <c r="G25" s="13" t="n">
        <v>83</v>
      </c>
      <c r="H25" s="16" t="n">
        <f aca="false">ROUND(F25/E25*100,2)</f>
        <v>82.91</v>
      </c>
    </row>
    <row r="26" customFormat="false" ht="15" hidden="false" customHeight="true" outlineLevel="0" collapsed="false">
      <c r="A26" s="13" t="n">
        <v>2026</v>
      </c>
      <c r="B26" s="13" t="s">
        <v>349</v>
      </c>
      <c r="C26" s="13" t="s">
        <v>128</v>
      </c>
      <c r="D26" s="13" t="s">
        <v>357</v>
      </c>
      <c r="E26" s="14" t="n">
        <v>3630</v>
      </c>
      <c r="F26" s="14" t="n">
        <v>2790</v>
      </c>
      <c r="G26" s="13" t="n">
        <v>77</v>
      </c>
      <c r="H26" s="16" t="n">
        <f aca="false">ROUND(F26/E26*100,2)</f>
        <v>76.86</v>
      </c>
    </row>
    <row r="27" customFormat="false" ht="15" hidden="false" customHeight="true" outlineLevel="0" collapsed="false">
      <c r="A27" s="13" t="n">
        <v>2026</v>
      </c>
      <c r="B27" s="13" t="s">
        <v>349</v>
      </c>
      <c r="C27" s="13" t="s">
        <v>359</v>
      </c>
      <c r="D27" s="13" t="s">
        <v>359</v>
      </c>
      <c r="E27" s="14" t="n">
        <v>17857</v>
      </c>
      <c r="F27" s="14" t="n">
        <v>14845</v>
      </c>
      <c r="G27" s="13" t="n">
        <v>83</v>
      </c>
      <c r="H27" s="16" t="n">
        <f aca="false">ROUND(F27/E27*100,2)</f>
        <v>83.13</v>
      </c>
    </row>
    <row r="28" customFormat="false" ht="15" hidden="false" customHeight="true" outlineLevel="0" collapsed="false">
      <c r="A28" s="13" t="n">
        <v>2026</v>
      </c>
      <c r="B28" s="13" t="s">
        <v>361</v>
      </c>
      <c r="C28" s="13" t="s">
        <v>362</v>
      </c>
      <c r="D28" s="13" t="s">
        <v>137</v>
      </c>
      <c r="E28" s="14" t="n">
        <v>35628</v>
      </c>
      <c r="F28" s="14" t="n">
        <v>29329</v>
      </c>
      <c r="H28" s="16" t="n">
        <f aca="false">ROUND(F28/E28*100,2)</f>
        <v>82.32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7"/>
    <col collapsed="false" customWidth="true" hidden="false" outlineLevel="0" max="2" min="2" style="13" width="20"/>
    <col collapsed="false" customWidth="true" hidden="false" outlineLevel="0" max="3" min="3" style="13" width="18"/>
    <col collapsed="false" customWidth="true" hidden="false" outlineLevel="0" max="4" min="4" style="13" width="16"/>
    <col collapsed="false" customWidth="true" hidden="false" outlineLevel="0" max="6" min="5" style="13" width="10"/>
    <col collapsed="false" customWidth="true" hidden="false" outlineLevel="0" max="8" min="7" style="13" width="12"/>
    <col collapsed="false" customWidth="true" hidden="false" outlineLevel="0" max="14" min="9" style="13" width="8"/>
  </cols>
  <sheetData>
    <row r="1" customFormat="false" ht="15" hidden="false" customHeight="true" outlineLevel="0" collapsed="false">
      <c r="A1" s="13" t="s">
        <v>364</v>
      </c>
    </row>
    <row r="2" customFormat="false" ht="15" hidden="false" customHeight="true" outlineLevel="0" collapsed="false">
      <c r="A2" s="13" t="s">
        <v>365</v>
      </c>
    </row>
    <row r="4" customFormat="false" ht="15" hidden="false" customHeight="true" outlineLevel="0" collapsed="false">
      <c r="A4" s="13" t="s">
        <v>3</v>
      </c>
      <c r="B4" s="13" t="s">
        <v>344</v>
      </c>
      <c r="C4" s="13" t="s">
        <v>114</v>
      </c>
      <c r="D4" s="13" t="s">
        <v>187</v>
      </c>
      <c r="E4" s="13" t="s">
        <v>4</v>
      </c>
      <c r="F4" s="13" t="s">
        <v>5</v>
      </c>
      <c r="G4" s="13" t="s">
        <v>353</v>
      </c>
      <c r="H4" s="13" t="s">
        <v>354</v>
      </c>
      <c r="I4" s="13" t="s">
        <v>115</v>
      </c>
      <c r="J4" s="13" t="s">
        <v>116</v>
      </c>
      <c r="K4" s="13" t="s">
        <v>117</v>
      </c>
      <c r="L4" s="13" t="s">
        <v>118</v>
      </c>
      <c r="M4" s="13" t="s">
        <v>119</v>
      </c>
      <c r="N4" s="13" t="s">
        <v>120</v>
      </c>
    </row>
    <row r="5" customFormat="false" ht="15" hidden="false" customHeight="true" outlineLevel="0" collapsed="false">
      <c r="A5" s="13" t="n">
        <v>2026</v>
      </c>
      <c r="B5" s="13" t="s">
        <v>356</v>
      </c>
      <c r="C5" s="13" t="s">
        <v>200</v>
      </c>
      <c r="D5" s="13" t="s">
        <v>366</v>
      </c>
      <c r="E5" s="14" t="n">
        <v>6012</v>
      </c>
      <c r="F5" s="14" t="n">
        <v>5332</v>
      </c>
      <c r="G5" s="13" t="n">
        <v>89</v>
      </c>
      <c r="H5" s="16" t="n">
        <f aca="false">IF(E5=0,0,ROUND(F5/E5*100,2))</f>
        <v>88.69</v>
      </c>
      <c r="I5" s="13" t="n">
        <v>1611</v>
      </c>
      <c r="J5" s="13" t="n">
        <v>1818</v>
      </c>
      <c r="K5" s="13" t="n">
        <v>1330</v>
      </c>
      <c r="L5" s="13" t="n">
        <v>553</v>
      </c>
      <c r="M5" s="13" t="n">
        <v>20</v>
      </c>
      <c r="N5" s="13" t="n">
        <v>0</v>
      </c>
    </row>
    <row r="6" customFormat="false" ht="15" hidden="false" customHeight="true" outlineLevel="0" collapsed="false">
      <c r="A6" s="13" t="n">
        <v>2026</v>
      </c>
      <c r="B6" s="13" t="s">
        <v>356</v>
      </c>
      <c r="C6" s="13" t="s">
        <v>200</v>
      </c>
      <c r="D6" s="13" t="s">
        <v>367</v>
      </c>
      <c r="E6" s="14" t="n">
        <v>2365</v>
      </c>
      <c r="F6" s="14" t="n">
        <v>2187</v>
      </c>
      <c r="G6" s="13" t="n">
        <v>92</v>
      </c>
      <c r="H6" s="16" t="n">
        <f aca="false">IF(E6=0,0,ROUND(F6/E6*100,2))</f>
        <v>92.47</v>
      </c>
      <c r="I6" s="13" t="n">
        <v>522</v>
      </c>
      <c r="J6" s="13" t="n">
        <v>1084</v>
      </c>
      <c r="K6" s="13" t="n">
        <v>541</v>
      </c>
      <c r="L6" s="13" t="n">
        <v>40</v>
      </c>
      <c r="M6" s="13" t="n">
        <v>0</v>
      </c>
      <c r="N6" s="13" t="n">
        <v>0</v>
      </c>
    </row>
    <row r="7" customFormat="false" ht="15" hidden="false" customHeight="true" outlineLevel="0" collapsed="false">
      <c r="A7" s="13" t="n">
        <v>2026</v>
      </c>
      <c r="B7" s="13" t="s">
        <v>356</v>
      </c>
      <c r="C7" s="13" t="s">
        <v>200</v>
      </c>
      <c r="D7" s="13" t="s">
        <v>368</v>
      </c>
      <c r="E7" s="14" t="n">
        <v>847</v>
      </c>
      <c r="F7" s="14" t="n">
        <v>102</v>
      </c>
      <c r="G7" s="13" t="n">
        <v>12</v>
      </c>
      <c r="H7" s="16" t="n">
        <f aca="false">IF(E7=0,0,ROUND(F7/E7*100,2))</f>
        <v>12.04</v>
      </c>
      <c r="I7" s="13" t="n">
        <v>563</v>
      </c>
      <c r="J7" s="13" t="n">
        <v>84</v>
      </c>
      <c r="K7" s="13" t="n">
        <v>50</v>
      </c>
      <c r="L7" s="13" t="n">
        <v>34</v>
      </c>
      <c r="M7" s="13" t="n">
        <v>7</v>
      </c>
      <c r="N7" s="13" t="n">
        <v>0</v>
      </c>
    </row>
    <row r="8" customFormat="false" ht="15" hidden="false" customHeight="true" outlineLevel="0" collapsed="false">
      <c r="A8" s="13" t="n">
        <v>2026</v>
      </c>
      <c r="B8" s="13" t="s">
        <v>356</v>
      </c>
      <c r="C8" s="13" t="s">
        <v>200</v>
      </c>
      <c r="D8" s="13" t="s">
        <v>369</v>
      </c>
      <c r="E8" s="14" t="n">
        <v>175</v>
      </c>
      <c r="F8" s="14" t="n">
        <v>16</v>
      </c>
      <c r="G8" s="13" t="n">
        <v>9</v>
      </c>
      <c r="H8" s="16" t="n">
        <f aca="false">IF(E8=0,0,ROUND(F8/E8*100,2))</f>
        <v>9.14</v>
      </c>
      <c r="I8" s="13" t="n">
        <v>118</v>
      </c>
      <c r="J8" s="13" t="n">
        <v>21</v>
      </c>
      <c r="K8" s="13" t="n">
        <v>10</v>
      </c>
      <c r="L8" s="13" t="n">
        <v>6</v>
      </c>
      <c r="M8" s="13" t="n">
        <v>0</v>
      </c>
      <c r="N8" s="13" t="n">
        <v>0</v>
      </c>
    </row>
    <row r="9" customFormat="false" ht="15" hidden="false" customHeight="true" outlineLevel="0" collapsed="false">
      <c r="A9" s="13" t="n">
        <v>2026</v>
      </c>
      <c r="B9" s="13" t="s">
        <v>356</v>
      </c>
      <c r="C9" s="13" t="s">
        <v>200</v>
      </c>
      <c r="D9" s="13" t="s">
        <v>359</v>
      </c>
      <c r="E9" s="14" t="n">
        <v>9399</v>
      </c>
      <c r="F9" s="14" t="n">
        <v>7637</v>
      </c>
      <c r="G9" s="13" t="n">
        <v>81</v>
      </c>
      <c r="H9" s="16" t="n">
        <f aca="false">IF(E9=0,0,ROUND(F9/E9*100,2))</f>
        <v>81.25</v>
      </c>
      <c r="I9" s="13" t="n">
        <v>2814</v>
      </c>
      <c r="J9" s="13" t="n">
        <v>3007</v>
      </c>
      <c r="K9" s="13" t="n">
        <v>1931</v>
      </c>
      <c r="L9" s="13" t="n">
        <v>633</v>
      </c>
      <c r="M9" s="13" t="n">
        <v>27</v>
      </c>
      <c r="N9" s="13" t="n">
        <v>0</v>
      </c>
    </row>
    <row r="10" customFormat="false" ht="15" hidden="false" customHeight="true" outlineLevel="0" collapsed="false">
      <c r="A10" s="13" t="n">
        <v>2026</v>
      </c>
      <c r="B10" s="13" t="s">
        <v>356</v>
      </c>
      <c r="C10" s="13" t="s">
        <v>201</v>
      </c>
      <c r="D10" s="13" t="s">
        <v>366</v>
      </c>
      <c r="E10" s="14" t="n">
        <v>1285</v>
      </c>
      <c r="F10" s="14" t="n">
        <v>1128</v>
      </c>
      <c r="G10" s="13" t="n">
        <v>88</v>
      </c>
      <c r="H10" s="16" t="n">
        <f aca="false">IF(E10=0,0,ROUND(F10/E10*100,2))</f>
        <v>87.78</v>
      </c>
      <c r="I10" s="13" t="n">
        <v>182</v>
      </c>
      <c r="J10" s="13" t="n">
        <v>338</v>
      </c>
      <c r="K10" s="13" t="n">
        <v>406</v>
      </c>
      <c r="L10" s="13" t="n">
        <v>187</v>
      </c>
      <c r="M10" s="13" t="n">
        <v>15</v>
      </c>
      <c r="N10" s="13" t="n">
        <v>0</v>
      </c>
    </row>
    <row r="11" customFormat="false" ht="15" hidden="false" customHeight="true" outlineLevel="0" collapsed="false">
      <c r="A11" s="13" t="n">
        <v>2026</v>
      </c>
      <c r="B11" s="13" t="s">
        <v>356</v>
      </c>
      <c r="C11" s="13" t="s">
        <v>201</v>
      </c>
      <c r="D11" s="13" t="s">
        <v>367</v>
      </c>
      <c r="E11" s="14" t="n">
        <v>128</v>
      </c>
      <c r="F11" s="14" t="n">
        <v>123</v>
      </c>
      <c r="G11" s="13" t="n">
        <v>96</v>
      </c>
      <c r="H11" s="16" t="n">
        <f aca="false">IF(E11=0,0,ROUND(F11/E11*100,2))</f>
        <v>96.09</v>
      </c>
      <c r="I11" s="13" t="n">
        <v>10</v>
      </c>
      <c r="J11" s="13" t="n">
        <v>37</v>
      </c>
      <c r="K11" s="13" t="n">
        <v>72</v>
      </c>
      <c r="L11" s="13" t="n">
        <v>4</v>
      </c>
      <c r="M11" s="13" t="n">
        <v>0</v>
      </c>
      <c r="N11" s="13" t="n">
        <v>0</v>
      </c>
    </row>
    <row r="12" customFormat="false" ht="15" hidden="false" customHeight="true" outlineLevel="0" collapsed="false">
      <c r="A12" s="13" t="n">
        <v>2026</v>
      </c>
      <c r="B12" s="13" t="s">
        <v>356</v>
      </c>
      <c r="C12" s="13" t="s">
        <v>201</v>
      </c>
      <c r="D12" s="13" t="s">
        <v>368</v>
      </c>
      <c r="E12" s="14" t="n">
        <v>69</v>
      </c>
      <c r="F12" s="14" t="n">
        <v>32</v>
      </c>
      <c r="G12" s="13" t="n">
        <v>46</v>
      </c>
      <c r="H12" s="16" t="n">
        <f aca="false">IF(E12=0,0,ROUND(F12/E12*100,2))</f>
        <v>46.38</v>
      </c>
      <c r="I12" s="13" t="n">
        <v>7</v>
      </c>
      <c r="J12" s="13" t="n">
        <v>11</v>
      </c>
      <c r="K12" s="13" t="n">
        <v>14</v>
      </c>
      <c r="L12" s="13" t="n">
        <v>19</v>
      </c>
      <c r="M12" s="13" t="n">
        <v>7</v>
      </c>
      <c r="N12" s="13" t="n">
        <v>0</v>
      </c>
    </row>
    <row r="13" customFormat="false" ht="15" hidden="false" customHeight="true" outlineLevel="0" collapsed="false">
      <c r="A13" s="13" t="n">
        <v>2026</v>
      </c>
      <c r="B13" s="13" t="s">
        <v>356</v>
      </c>
      <c r="C13" s="13" t="s">
        <v>201</v>
      </c>
      <c r="D13" s="13" t="s">
        <v>369</v>
      </c>
      <c r="E13" s="14" t="n">
        <v>4</v>
      </c>
      <c r="F13" s="14" t="n">
        <v>0</v>
      </c>
      <c r="G13" s="13" t="n">
        <v>0</v>
      </c>
      <c r="H13" s="16" t="n">
        <f aca="false">IF(E13=0,0,ROUND(F13/E13*100,2))</f>
        <v>0</v>
      </c>
      <c r="I13" s="13" t="n">
        <v>0</v>
      </c>
      <c r="J13" s="13" t="n">
        <v>2</v>
      </c>
      <c r="K13" s="13" t="n">
        <v>1</v>
      </c>
      <c r="L13" s="13" t="n">
        <v>1</v>
      </c>
      <c r="M13" s="13" t="n">
        <v>0</v>
      </c>
      <c r="N13" s="13" t="n">
        <v>0</v>
      </c>
    </row>
    <row r="14" customFormat="false" ht="15" hidden="false" customHeight="true" outlineLevel="0" collapsed="false">
      <c r="A14" s="13" t="n">
        <v>2026</v>
      </c>
      <c r="B14" s="13" t="s">
        <v>356</v>
      </c>
      <c r="C14" s="13" t="s">
        <v>201</v>
      </c>
      <c r="D14" s="13" t="s">
        <v>359</v>
      </c>
      <c r="E14" s="14" t="n">
        <v>1486</v>
      </c>
      <c r="F14" s="14" t="n">
        <v>1283</v>
      </c>
      <c r="G14" s="13" t="n">
        <v>86</v>
      </c>
      <c r="H14" s="16" t="n">
        <f aca="false">IF(E14=0,0,ROUND(F14/E14*100,2))</f>
        <v>86.34</v>
      </c>
      <c r="I14" s="13" t="n">
        <v>199</v>
      </c>
      <c r="J14" s="13" t="n">
        <v>388</v>
      </c>
      <c r="K14" s="13" t="n">
        <v>493</v>
      </c>
      <c r="L14" s="13" t="n">
        <v>211</v>
      </c>
      <c r="M14" s="13" t="n">
        <v>22</v>
      </c>
      <c r="N14" s="13" t="n">
        <v>0</v>
      </c>
    </row>
    <row r="15" customFormat="false" ht="15" hidden="false" customHeight="true" outlineLevel="0" collapsed="false">
      <c r="A15" s="13" t="n">
        <v>2026</v>
      </c>
      <c r="B15" s="13" t="s">
        <v>356</v>
      </c>
      <c r="C15" s="13" t="s">
        <v>363</v>
      </c>
      <c r="D15" s="13" t="s">
        <v>366</v>
      </c>
      <c r="E15" s="14" t="n">
        <v>2371</v>
      </c>
      <c r="F15" s="14" t="n">
        <v>2049</v>
      </c>
      <c r="G15" s="13" t="n">
        <v>86</v>
      </c>
      <c r="H15" s="16" t="n">
        <f aca="false">IF(E15=0,0,ROUND(F15/E15*100,2))</f>
        <v>86.42</v>
      </c>
      <c r="I15" s="13" t="n">
        <v>344</v>
      </c>
      <c r="J15" s="13" t="n">
        <v>792</v>
      </c>
      <c r="K15" s="13" t="n">
        <v>710</v>
      </c>
      <c r="L15" s="13" t="n">
        <v>198</v>
      </c>
      <c r="M15" s="13" t="n">
        <v>5</v>
      </c>
      <c r="N15" s="13" t="n">
        <v>0</v>
      </c>
    </row>
    <row r="16" customFormat="false" ht="15" hidden="false" customHeight="true" outlineLevel="0" collapsed="false">
      <c r="A16" s="13" t="n">
        <v>2026</v>
      </c>
      <c r="B16" s="13" t="s">
        <v>356</v>
      </c>
      <c r="C16" s="13" t="s">
        <v>363</v>
      </c>
      <c r="D16" s="13" t="s">
        <v>367</v>
      </c>
      <c r="E16" s="14" t="n">
        <v>294</v>
      </c>
      <c r="F16" s="14" t="n">
        <v>219</v>
      </c>
      <c r="G16" s="13" t="n">
        <v>74</v>
      </c>
      <c r="H16" s="16" t="n">
        <f aca="false">IF(E16=0,0,ROUND(F16/E16*100,2))</f>
        <v>74.49</v>
      </c>
      <c r="I16" s="13" t="n">
        <v>13</v>
      </c>
      <c r="J16" s="13" t="n">
        <v>122</v>
      </c>
      <c r="K16" s="13" t="n">
        <v>79</v>
      </c>
      <c r="L16" s="13" t="n">
        <v>5</v>
      </c>
      <c r="M16" s="13" t="n">
        <v>0</v>
      </c>
      <c r="N16" s="13" t="n">
        <v>0</v>
      </c>
    </row>
    <row r="17" customFormat="false" ht="15" hidden="false" customHeight="true" outlineLevel="0" collapsed="false">
      <c r="A17" s="13" t="n">
        <v>2026</v>
      </c>
      <c r="B17" s="13" t="s">
        <v>356</v>
      </c>
      <c r="C17" s="13" t="s">
        <v>363</v>
      </c>
      <c r="D17" s="13" t="s">
        <v>368</v>
      </c>
      <c r="E17" s="14" t="n">
        <v>85</v>
      </c>
      <c r="F17" s="14" t="n">
        <v>45</v>
      </c>
      <c r="G17" s="13" t="n">
        <v>53</v>
      </c>
      <c r="H17" s="16" t="n">
        <f aca="false">IF(E17=0,0,ROUND(F17/E17*100,2))</f>
        <v>52.94</v>
      </c>
      <c r="I17" s="13" t="n">
        <v>12</v>
      </c>
      <c r="J17" s="13" t="n">
        <v>21</v>
      </c>
      <c r="K17" s="13" t="n">
        <v>14</v>
      </c>
      <c r="L17" s="13" t="n">
        <v>23</v>
      </c>
      <c r="M17" s="13" t="n">
        <v>4</v>
      </c>
      <c r="N17" s="13" t="n">
        <v>0</v>
      </c>
    </row>
    <row r="18" customFormat="false" ht="15" hidden="false" customHeight="true" outlineLevel="0" collapsed="false">
      <c r="A18" s="13" t="n">
        <v>2026</v>
      </c>
      <c r="B18" s="13" t="s">
        <v>356</v>
      </c>
      <c r="C18" s="13" t="s">
        <v>363</v>
      </c>
      <c r="D18" s="13" t="s">
        <v>369</v>
      </c>
      <c r="E18" s="14" t="n">
        <v>2</v>
      </c>
      <c r="F18" s="14" t="n">
        <v>0</v>
      </c>
      <c r="G18" s="13" t="n">
        <v>0</v>
      </c>
      <c r="H18" s="16" t="n">
        <f aca="false">IF(E18=0,0,ROUND(F18/E18*100,2))</f>
        <v>0</v>
      </c>
      <c r="I18" s="13" t="n">
        <v>0</v>
      </c>
      <c r="J18" s="13" t="n">
        <v>1</v>
      </c>
      <c r="K18" s="13" t="n">
        <v>0</v>
      </c>
      <c r="L18" s="13" t="n">
        <v>0</v>
      </c>
      <c r="M18" s="13" t="n">
        <v>0</v>
      </c>
      <c r="N18" s="13" t="n">
        <v>0</v>
      </c>
    </row>
    <row r="19" customFormat="false" ht="15" hidden="false" customHeight="true" outlineLevel="0" collapsed="false">
      <c r="A19" s="13" t="n">
        <v>2026</v>
      </c>
      <c r="B19" s="13" t="s">
        <v>356</v>
      </c>
      <c r="C19" s="13" t="s">
        <v>363</v>
      </c>
      <c r="D19" s="13" t="s">
        <v>359</v>
      </c>
      <c r="E19" s="14" t="n">
        <v>2752</v>
      </c>
      <c r="F19" s="14" t="n">
        <v>2313</v>
      </c>
      <c r="G19" s="13" t="n">
        <v>84</v>
      </c>
      <c r="H19" s="16" t="n">
        <f aca="false">IF(E19=0,0,ROUND(F19/E19*100,2))</f>
        <v>84.05</v>
      </c>
      <c r="I19" s="13" t="n">
        <v>369</v>
      </c>
      <c r="J19" s="13" t="n">
        <v>936</v>
      </c>
      <c r="K19" s="13" t="n">
        <v>803</v>
      </c>
      <c r="L19" s="13" t="n">
        <v>226</v>
      </c>
      <c r="M19" s="13" t="n">
        <v>9</v>
      </c>
      <c r="N19" s="13" t="n">
        <v>0</v>
      </c>
    </row>
    <row r="20" customFormat="false" ht="15" hidden="false" customHeight="true" outlineLevel="0" collapsed="false">
      <c r="A20" s="13" t="n">
        <v>2026</v>
      </c>
      <c r="B20" s="13" t="s">
        <v>356</v>
      </c>
      <c r="C20" s="13" t="s">
        <v>202</v>
      </c>
      <c r="D20" s="13" t="s">
        <v>366</v>
      </c>
      <c r="E20" s="14" t="n">
        <v>199</v>
      </c>
      <c r="F20" s="14" t="n">
        <v>169</v>
      </c>
      <c r="G20" s="13" t="n">
        <v>85</v>
      </c>
      <c r="H20" s="16" t="n">
        <f aca="false">IF(E20=0,0,ROUND(F20/E20*100,2))</f>
        <v>84.92</v>
      </c>
      <c r="I20" s="13" t="n">
        <v>1</v>
      </c>
      <c r="J20" s="13" t="n">
        <v>28</v>
      </c>
      <c r="K20" s="13" t="n">
        <v>86</v>
      </c>
      <c r="L20" s="13" t="n">
        <v>52</v>
      </c>
      <c r="M20" s="13" t="n">
        <v>2</v>
      </c>
      <c r="N20" s="13" t="n">
        <v>0</v>
      </c>
    </row>
    <row r="21" customFormat="false" ht="15" hidden="false" customHeight="true" outlineLevel="0" collapsed="false">
      <c r="A21" s="13" t="n">
        <v>2026</v>
      </c>
      <c r="B21" s="13" t="s">
        <v>356</v>
      </c>
      <c r="C21" s="13" t="s">
        <v>202</v>
      </c>
      <c r="D21" s="13" t="s">
        <v>367</v>
      </c>
      <c r="E21" s="14" t="n">
        <v>16</v>
      </c>
      <c r="F21" s="14" t="n">
        <v>15</v>
      </c>
      <c r="G21" s="13" t="n">
        <v>94</v>
      </c>
      <c r="H21" s="16" t="n">
        <f aca="false">IF(E21=0,0,ROUND(F21/E21*100,2))</f>
        <v>93.75</v>
      </c>
      <c r="I21" s="13" t="n">
        <v>1</v>
      </c>
      <c r="J21" s="13" t="n">
        <v>8</v>
      </c>
      <c r="K21" s="13" t="n">
        <v>6</v>
      </c>
      <c r="L21" s="13" t="n">
        <v>0</v>
      </c>
      <c r="M21" s="13" t="n">
        <v>0</v>
      </c>
      <c r="N21" s="13" t="n">
        <v>0</v>
      </c>
    </row>
    <row r="22" customFormat="false" ht="15" hidden="false" customHeight="true" outlineLevel="0" collapsed="false">
      <c r="A22" s="13" t="n">
        <v>2026</v>
      </c>
      <c r="B22" s="13" t="s">
        <v>356</v>
      </c>
      <c r="C22" s="13" t="s">
        <v>202</v>
      </c>
      <c r="D22" s="13" t="s">
        <v>368</v>
      </c>
      <c r="E22" s="14" t="n">
        <v>0</v>
      </c>
      <c r="F22" s="14" t="n">
        <v>0</v>
      </c>
      <c r="G22" s="13" t="n">
        <v>0</v>
      </c>
      <c r="H22" s="16" t="n">
        <f aca="false">IF(E22=0,0,ROUND(F22/E22*100,2))</f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</row>
    <row r="23" customFormat="false" ht="15" hidden="false" customHeight="true" outlineLevel="0" collapsed="false">
      <c r="A23" s="13" t="n">
        <v>2026</v>
      </c>
      <c r="B23" s="13" t="s">
        <v>356</v>
      </c>
      <c r="C23" s="13" t="s">
        <v>202</v>
      </c>
      <c r="D23" s="13" t="s">
        <v>369</v>
      </c>
      <c r="E23" s="14" t="n">
        <v>0</v>
      </c>
      <c r="F23" s="14" t="n">
        <v>0</v>
      </c>
      <c r="G23" s="13" t="n">
        <v>0</v>
      </c>
      <c r="H23" s="16" t="n">
        <f aca="false">IF(E23=0,0,ROUND(F23/E23*100,2))</f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</row>
    <row r="24" customFormat="false" ht="15" hidden="false" customHeight="true" outlineLevel="0" collapsed="false">
      <c r="A24" s="13" t="n">
        <v>2026</v>
      </c>
      <c r="B24" s="13" t="s">
        <v>356</v>
      </c>
      <c r="C24" s="13" t="s">
        <v>202</v>
      </c>
      <c r="D24" s="13" t="s">
        <v>359</v>
      </c>
      <c r="E24" s="14" t="n">
        <v>215</v>
      </c>
      <c r="F24" s="14" t="n">
        <v>184</v>
      </c>
      <c r="G24" s="13" t="n">
        <v>86</v>
      </c>
      <c r="H24" s="16" t="n">
        <f aca="false">IF(E24=0,0,ROUND(F24/E24*100,2))</f>
        <v>85.58</v>
      </c>
      <c r="I24" s="13" t="n">
        <v>2</v>
      </c>
      <c r="J24" s="13" t="n">
        <v>36</v>
      </c>
      <c r="K24" s="13" t="n">
        <v>92</v>
      </c>
      <c r="L24" s="13" t="n">
        <v>52</v>
      </c>
      <c r="M24" s="13" t="n">
        <v>2</v>
      </c>
      <c r="N24" s="13" t="n">
        <v>0</v>
      </c>
    </row>
    <row r="25" customFormat="false" ht="15" hidden="false" customHeight="true" outlineLevel="0" collapsed="false">
      <c r="A25" s="13" t="n">
        <v>2026</v>
      </c>
      <c r="B25" s="13" t="s">
        <v>356</v>
      </c>
      <c r="C25" s="13" t="s">
        <v>128</v>
      </c>
      <c r="D25" s="13" t="s">
        <v>366</v>
      </c>
      <c r="E25" s="14" t="n">
        <v>1344</v>
      </c>
      <c r="F25" s="14" t="n">
        <v>1087</v>
      </c>
      <c r="G25" s="13" t="n">
        <v>81</v>
      </c>
      <c r="H25" s="16" t="n">
        <f aca="false">IF(E25=0,0,ROUND(F25/E25*100,2))</f>
        <v>80.88</v>
      </c>
      <c r="I25" s="13" t="n">
        <v>1</v>
      </c>
      <c r="J25" s="13" t="n">
        <v>91</v>
      </c>
      <c r="K25" s="13" t="n">
        <v>549</v>
      </c>
      <c r="L25" s="13" t="n">
        <v>415</v>
      </c>
      <c r="M25" s="13" t="n">
        <v>32</v>
      </c>
      <c r="N25" s="13" t="n">
        <v>0</v>
      </c>
    </row>
    <row r="26" customFormat="false" ht="15" hidden="false" customHeight="true" outlineLevel="0" collapsed="false">
      <c r="A26" s="13" t="n">
        <v>2026</v>
      </c>
      <c r="B26" s="13" t="s">
        <v>356</v>
      </c>
      <c r="C26" s="13" t="s">
        <v>128</v>
      </c>
      <c r="D26" s="13" t="s">
        <v>367</v>
      </c>
      <c r="E26" s="14" t="n">
        <v>822</v>
      </c>
      <c r="F26" s="14" t="n">
        <v>708</v>
      </c>
      <c r="G26" s="13" t="n">
        <v>86</v>
      </c>
      <c r="H26" s="16" t="n">
        <f aca="false">IF(E26=0,0,ROUND(F26/E26*100,2))</f>
        <v>86.13</v>
      </c>
      <c r="I26" s="13" t="n">
        <v>50</v>
      </c>
      <c r="J26" s="13" t="n">
        <v>410</v>
      </c>
      <c r="K26" s="13" t="n">
        <v>226</v>
      </c>
      <c r="L26" s="13" t="n">
        <v>22</v>
      </c>
      <c r="M26" s="13" t="n">
        <v>0</v>
      </c>
      <c r="N26" s="13" t="n">
        <v>0</v>
      </c>
    </row>
    <row r="27" customFormat="false" ht="15" hidden="false" customHeight="true" outlineLevel="0" collapsed="false">
      <c r="A27" s="13" t="n">
        <v>2026</v>
      </c>
      <c r="B27" s="13" t="s">
        <v>356</v>
      </c>
      <c r="C27" s="13" t="s">
        <v>128</v>
      </c>
      <c r="D27" s="13" t="s">
        <v>368</v>
      </c>
      <c r="E27" s="14" t="n">
        <v>1119</v>
      </c>
      <c r="F27" s="14" t="n">
        <v>790</v>
      </c>
      <c r="G27" s="13" t="n">
        <v>71</v>
      </c>
      <c r="H27" s="16" t="n">
        <f aca="false">IF(E27=0,0,ROUND(F27/E27*100,2))</f>
        <v>70.6</v>
      </c>
      <c r="I27" s="13" t="n">
        <v>2</v>
      </c>
      <c r="J27" s="13" t="n">
        <v>102</v>
      </c>
      <c r="K27" s="13" t="n">
        <v>346</v>
      </c>
      <c r="L27" s="13" t="n">
        <v>296</v>
      </c>
      <c r="M27" s="13" t="n">
        <v>76</v>
      </c>
      <c r="N27" s="13" t="n">
        <v>0</v>
      </c>
    </row>
    <row r="28" customFormat="false" ht="15" hidden="false" customHeight="true" outlineLevel="0" collapsed="false">
      <c r="A28" s="13" t="n">
        <v>2026</v>
      </c>
      <c r="B28" s="13" t="s">
        <v>356</v>
      </c>
      <c r="C28" s="13" t="s">
        <v>128</v>
      </c>
      <c r="D28" s="13" t="s">
        <v>369</v>
      </c>
      <c r="E28" s="14" t="n">
        <v>634</v>
      </c>
      <c r="F28" s="14" t="n">
        <v>482</v>
      </c>
      <c r="G28" s="13" t="n">
        <v>76</v>
      </c>
      <c r="H28" s="16" t="n">
        <f aca="false">IF(E28=0,0,ROUND(F28/E28*100,2))</f>
        <v>76.03</v>
      </c>
      <c r="I28" s="13" t="n">
        <v>7</v>
      </c>
      <c r="J28" s="13" t="n">
        <v>150</v>
      </c>
      <c r="K28" s="13" t="n">
        <v>314</v>
      </c>
      <c r="L28" s="13" t="n">
        <v>79</v>
      </c>
      <c r="M28" s="13" t="n">
        <v>4</v>
      </c>
      <c r="N28" s="13" t="n">
        <v>0</v>
      </c>
    </row>
    <row r="29" customFormat="false" ht="15" hidden="false" customHeight="true" outlineLevel="0" collapsed="false">
      <c r="A29" s="13" t="n">
        <v>2026</v>
      </c>
      <c r="B29" s="13" t="s">
        <v>356</v>
      </c>
      <c r="C29" s="13" t="s">
        <v>128</v>
      </c>
      <c r="D29" s="13" t="s">
        <v>359</v>
      </c>
      <c r="E29" s="14" t="n">
        <v>3919</v>
      </c>
      <c r="F29" s="14" t="n">
        <v>3067</v>
      </c>
      <c r="G29" s="13" t="n">
        <v>78</v>
      </c>
      <c r="H29" s="16" t="n">
        <f aca="false">IF(E29=0,0,ROUND(F29/E29*100,2))</f>
        <v>78.26</v>
      </c>
      <c r="I29" s="13" t="n">
        <v>60</v>
      </c>
      <c r="J29" s="13" t="n">
        <v>753</v>
      </c>
      <c r="K29" s="13" t="n">
        <v>1435</v>
      </c>
      <c r="L29" s="13" t="n">
        <v>812</v>
      </c>
      <c r="M29" s="13" t="n">
        <v>112</v>
      </c>
      <c r="N29" s="13" t="n">
        <v>0</v>
      </c>
    </row>
    <row r="30" customFormat="false" ht="15" hidden="false" customHeight="true" outlineLevel="0" collapsed="false">
      <c r="A30" s="13" t="n">
        <v>2026</v>
      </c>
      <c r="B30" s="13" t="s">
        <v>356</v>
      </c>
      <c r="C30" s="13" t="s">
        <v>370</v>
      </c>
      <c r="D30" s="13" t="s">
        <v>362</v>
      </c>
      <c r="E30" s="14" t="n">
        <v>17771</v>
      </c>
      <c r="F30" s="14" t="n">
        <v>14484</v>
      </c>
      <c r="G30" s="13" t="n">
        <v>82</v>
      </c>
      <c r="H30" s="16" t="n">
        <f aca="false">IF(E30=0,0,ROUND(F30/E30*100,2))</f>
        <v>81.5</v>
      </c>
      <c r="I30" s="13" t="n">
        <v>3444</v>
      </c>
      <c r="J30" s="13" t="n">
        <v>5120</v>
      </c>
      <c r="K30" s="13" t="n">
        <v>4754</v>
      </c>
      <c r="L30" s="13" t="n">
        <v>1934</v>
      </c>
      <c r="M30" s="13" t="n">
        <v>172</v>
      </c>
      <c r="N30" s="13" t="n">
        <v>0</v>
      </c>
    </row>
    <row r="31" customFormat="false" ht="15" hidden="false" customHeight="true" outlineLevel="0" collapsed="false">
      <c r="A31" s="13" t="n">
        <v>2026</v>
      </c>
      <c r="B31" s="13" t="s">
        <v>349</v>
      </c>
      <c r="C31" s="13" t="s">
        <v>200</v>
      </c>
      <c r="D31" s="13" t="s">
        <v>366</v>
      </c>
      <c r="E31" s="14" t="n">
        <v>5950</v>
      </c>
      <c r="F31" s="14" t="n">
        <v>4908</v>
      </c>
      <c r="G31" s="13" t="n">
        <v>82</v>
      </c>
      <c r="H31" s="16" t="n">
        <f aca="false">IF(E31=0,0,ROUND(F31/E31*100,2))</f>
        <v>82.49</v>
      </c>
    </row>
    <row r="32" customFormat="false" ht="15" hidden="false" customHeight="true" outlineLevel="0" collapsed="false">
      <c r="A32" s="13" t="n">
        <v>2026</v>
      </c>
      <c r="B32" s="13" t="s">
        <v>349</v>
      </c>
      <c r="C32" s="13" t="s">
        <v>200</v>
      </c>
      <c r="D32" s="13" t="s">
        <v>367</v>
      </c>
      <c r="E32" s="14" t="n">
        <v>2720</v>
      </c>
      <c r="F32" s="14" t="n">
        <v>2509</v>
      </c>
      <c r="G32" s="13" t="n">
        <v>92</v>
      </c>
      <c r="H32" s="16" t="n">
        <f aca="false">IF(E32=0,0,ROUND(F32/E32*100,2))</f>
        <v>92.24</v>
      </c>
    </row>
    <row r="33" customFormat="false" ht="15" hidden="false" customHeight="true" outlineLevel="0" collapsed="false">
      <c r="A33" s="13" t="n">
        <v>2026</v>
      </c>
      <c r="B33" s="13" t="s">
        <v>349</v>
      </c>
      <c r="C33" s="13" t="s">
        <v>200</v>
      </c>
      <c r="D33" s="13" t="s">
        <v>368</v>
      </c>
      <c r="E33" s="14" t="n">
        <v>0</v>
      </c>
      <c r="F33" s="14" t="n">
        <v>0</v>
      </c>
      <c r="G33" s="13" t="n">
        <v>0</v>
      </c>
      <c r="H33" s="16" t="n">
        <f aca="false">IF(E33=0,0,ROUND(F33/E33*100,2))</f>
        <v>0</v>
      </c>
    </row>
    <row r="34" customFormat="false" ht="15" hidden="false" customHeight="true" outlineLevel="0" collapsed="false">
      <c r="A34" s="13" t="n">
        <v>2026</v>
      </c>
      <c r="B34" s="13" t="s">
        <v>349</v>
      </c>
      <c r="C34" s="13" t="s">
        <v>200</v>
      </c>
      <c r="D34" s="13" t="s">
        <v>369</v>
      </c>
      <c r="E34" s="14" t="n">
        <v>0</v>
      </c>
      <c r="F34" s="14" t="n">
        <v>0</v>
      </c>
      <c r="G34" s="13" t="n">
        <v>0</v>
      </c>
      <c r="H34" s="16" t="n">
        <f aca="false">IF(E34=0,0,ROUND(F34/E34*100,2))</f>
        <v>0</v>
      </c>
    </row>
    <row r="35" customFormat="false" ht="15" hidden="false" customHeight="true" outlineLevel="0" collapsed="false">
      <c r="A35" s="13" t="n">
        <v>2026</v>
      </c>
      <c r="B35" s="13" t="s">
        <v>349</v>
      </c>
      <c r="C35" s="13" t="s">
        <v>200</v>
      </c>
      <c r="D35" s="13" t="s">
        <v>359</v>
      </c>
      <c r="E35" s="14" t="n">
        <v>8670</v>
      </c>
      <c r="F35" s="14" t="n">
        <v>7417</v>
      </c>
      <c r="G35" s="13" t="n">
        <v>86</v>
      </c>
      <c r="H35" s="16" t="n">
        <f aca="false">IF(E35=0,0,ROUND(F35/E35*100,2))</f>
        <v>85.55</v>
      </c>
    </row>
    <row r="36" customFormat="false" ht="15" hidden="false" customHeight="true" outlineLevel="0" collapsed="false">
      <c r="A36" s="13" t="n">
        <v>2026</v>
      </c>
      <c r="B36" s="13" t="s">
        <v>349</v>
      </c>
      <c r="C36" s="13" t="s">
        <v>201</v>
      </c>
      <c r="D36" s="13" t="s">
        <v>366</v>
      </c>
      <c r="E36" s="14" t="n">
        <v>1516</v>
      </c>
      <c r="F36" s="14" t="n">
        <v>1283</v>
      </c>
      <c r="G36" s="13" t="n">
        <v>85</v>
      </c>
      <c r="H36" s="16" t="n">
        <f aca="false">IF(E36=0,0,ROUND(F36/E36*100,2))</f>
        <v>84.63</v>
      </c>
    </row>
    <row r="37" customFormat="false" ht="15" hidden="false" customHeight="true" outlineLevel="0" collapsed="false">
      <c r="A37" s="13" t="n">
        <v>2026</v>
      </c>
      <c r="B37" s="13" t="s">
        <v>349</v>
      </c>
      <c r="C37" s="13" t="s">
        <v>201</v>
      </c>
      <c r="D37" s="13" t="s">
        <v>367</v>
      </c>
      <c r="E37" s="14" t="n">
        <v>136</v>
      </c>
      <c r="F37" s="14" t="n">
        <v>108</v>
      </c>
      <c r="G37" s="13" t="n">
        <v>79</v>
      </c>
      <c r="H37" s="16" t="n">
        <f aca="false">IF(E37=0,0,ROUND(F37/E37*100,2))</f>
        <v>79.41</v>
      </c>
    </row>
    <row r="38" customFormat="false" ht="15" hidden="false" customHeight="true" outlineLevel="0" collapsed="false">
      <c r="A38" s="13" t="n">
        <v>2026</v>
      </c>
      <c r="B38" s="13" t="s">
        <v>349</v>
      </c>
      <c r="C38" s="13" t="s">
        <v>201</v>
      </c>
      <c r="D38" s="13" t="s">
        <v>368</v>
      </c>
      <c r="E38" s="14" t="n">
        <v>0</v>
      </c>
      <c r="F38" s="14" t="n">
        <v>0</v>
      </c>
      <c r="G38" s="13" t="n">
        <v>0</v>
      </c>
      <c r="H38" s="16" t="n">
        <f aca="false">IF(E38=0,0,ROUND(F38/E38*100,2))</f>
        <v>0</v>
      </c>
    </row>
    <row r="39" customFormat="false" ht="15" hidden="false" customHeight="true" outlineLevel="0" collapsed="false">
      <c r="A39" s="13" t="n">
        <v>2026</v>
      </c>
      <c r="B39" s="13" t="s">
        <v>349</v>
      </c>
      <c r="C39" s="13" t="s">
        <v>201</v>
      </c>
      <c r="D39" s="13" t="s">
        <v>369</v>
      </c>
      <c r="E39" s="14" t="n">
        <v>0</v>
      </c>
      <c r="F39" s="14" t="n">
        <v>0</v>
      </c>
      <c r="G39" s="13" t="n">
        <v>0</v>
      </c>
      <c r="H39" s="16" t="n">
        <f aca="false">IF(E39=0,0,ROUND(F39/E39*100,2))</f>
        <v>0</v>
      </c>
    </row>
    <row r="40" customFormat="false" ht="15" hidden="false" customHeight="true" outlineLevel="0" collapsed="false">
      <c r="A40" s="13" t="n">
        <v>2026</v>
      </c>
      <c r="B40" s="13" t="s">
        <v>349</v>
      </c>
      <c r="C40" s="13" t="s">
        <v>201</v>
      </c>
      <c r="D40" s="13" t="s">
        <v>359</v>
      </c>
      <c r="E40" s="14" t="n">
        <v>1652</v>
      </c>
      <c r="F40" s="14" t="n">
        <v>1391</v>
      </c>
      <c r="G40" s="13" t="n">
        <v>84</v>
      </c>
      <c r="H40" s="16" t="n">
        <f aca="false">IF(E40=0,0,ROUND(F40/E40*100,2))</f>
        <v>84.2</v>
      </c>
    </row>
    <row r="41" customFormat="false" ht="15" hidden="false" customHeight="true" outlineLevel="0" collapsed="false">
      <c r="A41" s="13" t="n">
        <v>2026</v>
      </c>
      <c r="B41" s="13" t="s">
        <v>349</v>
      </c>
      <c r="C41" s="13" t="s">
        <v>363</v>
      </c>
      <c r="D41" s="13" t="s">
        <v>366</v>
      </c>
      <c r="E41" s="14" t="n">
        <v>3375</v>
      </c>
      <c r="F41" s="14" t="n">
        <v>2819</v>
      </c>
      <c r="G41" s="13" t="n">
        <v>84</v>
      </c>
      <c r="H41" s="16" t="n">
        <f aca="false">IF(E41=0,0,ROUND(F41/E41*100,2))</f>
        <v>83.53</v>
      </c>
    </row>
    <row r="42" customFormat="false" ht="15" hidden="false" customHeight="true" outlineLevel="0" collapsed="false">
      <c r="A42" s="13" t="n">
        <v>2026</v>
      </c>
      <c r="B42" s="13" t="s">
        <v>349</v>
      </c>
      <c r="C42" s="13" t="s">
        <v>363</v>
      </c>
      <c r="D42" s="13" t="s">
        <v>367</v>
      </c>
      <c r="E42" s="14" t="n">
        <v>327</v>
      </c>
      <c r="F42" s="14" t="n">
        <v>261</v>
      </c>
      <c r="G42" s="13" t="n">
        <v>80</v>
      </c>
      <c r="H42" s="16" t="n">
        <f aca="false">IF(E42=0,0,ROUND(F42/E42*100,2))</f>
        <v>79.82</v>
      </c>
    </row>
    <row r="43" customFormat="false" ht="15" hidden="false" customHeight="true" outlineLevel="0" collapsed="false">
      <c r="A43" s="13" t="n">
        <v>2026</v>
      </c>
      <c r="B43" s="13" t="s">
        <v>349</v>
      </c>
      <c r="C43" s="13" t="s">
        <v>363</v>
      </c>
      <c r="D43" s="13" t="s">
        <v>368</v>
      </c>
      <c r="E43" s="14" t="n">
        <v>4</v>
      </c>
      <c r="F43" s="14" t="n">
        <v>2</v>
      </c>
      <c r="G43" s="13" t="n">
        <v>50</v>
      </c>
      <c r="H43" s="16" t="n">
        <f aca="false">IF(E43=0,0,ROUND(F43/E43*100,2))</f>
        <v>50</v>
      </c>
    </row>
    <row r="44" customFormat="false" ht="15" hidden="false" customHeight="true" outlineLevel="0" collapsed="false">
      <c r="A44" s="13" t="n">
        <v>2026</v>
      </c>
      <c r="B44" s="13" t="s">
        <v>349</v>
      </c>
      <c r="C44" s="13" t="s">
        <v>363</v>
      </c>
      <c r="D44" s="13" t="s">
        <v>369</v>
      </c>
      <c r="E44" s="14" t="n">
        <v>0</v>
      </c>
      <c r="F44" s="14" t="n">
        <v>0</v>
      </c>
      <c r="G44" s="13" t="n">
        <v>0</v>
      </c>
      <c r="H44" s="16" t="n">
        <f aca="false">IF(E44=0,0,ROUND(F44/E44*100,2))</f>
        <v>0</v>
      </c>
    </row>
    <row r="45" customFormat="false" ht="15" hidden="false" customHeight="true" outlineLevel="0" collapsed="false">
      <c r="A45" s="13" t="n">
        <v>2026</v>
      </c>
      <c r="B45" s="13" t="s">
        <v>349</v>
      </c>
      <c r="C45" s="13" t="s">
        <v>363</v>
      </c>
      <c r="D45" s="13" t="s">
        <v>359</v>
      </c>
      <c r="E45" s="14" t="n">
        <v>3706</v>
      </c>
      <c r="F45" s="14" t="n">
        <v>3082</v>
      </c>
      <c r="G45" s="13" t="n">
        <v>83</v>
      </c>
      <c r="H45" s="16" t="n">
        <f aca="false">IF(E45=0,0,ROUND(F45/E45*100,2))</f>
        <v>83.16</v>
      </c>
    </row>
    <row r="46" customFormat="false" ht="15" hidden="false" customHeight="true" outlineLevel="0" collapsed="false">
      <c r="A46" s="13" t="n">
        <v>2026</v>
      </c>
      <c r="B46" s="13" t="s">
        <v>349</v>
      </c>
      <c r="C46" s="13" t="s">
        <v>202</v>
      </c>
      <c r="D46" s="13" t="s">
        <v>366</v>
      </c>
      <c r="E46" s="14" t="n">
        <v>193</v>
      </c>
      <c r="F46" s="14" t="n">
        <v>159</v>
      </c>
      <c r="G46" s="13" t="n">
        <v>82</v>
      </c>
      <c r="H46" s="16" t="n">
        <f aca="false">IF(E46=0,0,ROUND(F46/E46*100,2))</f>
        <v>82.38</v>
      </c>
    </row>
    <row r="47" customFormat="false" ht="15" hidden="false" customHeight="true" outlineLevel="0" collapsed="false">
      <c r="A47" s="13" t="n">
        <v>2026</v>
      </c>
      <c r="B47" s="13" t="s">
        <v>349</v>
      </c>
      <c r="C47" s="13" t="s">
        <v>202</v>
      </c>
      <c r="D47" s="13" t="s">
        <v>367</v>
      </c>
      <c r="E47" s="14" t="n">
        <v>6</v>
      </c>
      <c r="F47" s="14" t="n">
        <v>6</v>
      </c>
      <c r="G47" s="13" t="n">
        <v>100</v>
      </c>
      <c r="H47" s="16" t="n">
        <f aca="false">IF(E47=0,0,ROUND(F47/E47*100,2))</f>
        <v>100</v>
      </c>
    </row>
    <row r="48" customFormat="false" ht="15" hidden="false" customHeight="true" outlineLevel="0" collapsed="false">
      <c r="A48" s="13" t="n">
        <v>2026</v>
      </c>
      <c r="B48" s="13" t="s">
        <v>349</v>
      </c>
      <c r="C48" s="13" t="s">
        <v>202</v>
      </c>
      <c r="D48" s="13" t="s">
        <v>368</v>
      </c>
      <c r="E48" s="14" t="n">
        <v>0</v>
      </c>
      <c r="F48" s="14" t="n">
        <v>0</v>
      </c>
      <c r="G48" s="13" t="n">
        <v>0</v>
      </c>
      <c r="H48" s="16" t="n">
        <f aca="false">IF(E48=0,0,ROUND(F48/E48*100,2))</f>
        <v>0</v>
      </c>
    </row>
    <row r="49" customFormat="false" ht="15" hidden="false" customHeight="true" outlineLevel="0" collapsed="false">
      <c r="A49" s="13" t="n">
        <v>2026</v>
      </c>
      <c r="B49" s="13" t="s">
        <v>349</v>
      </c>
      <c r="C49" s="13" t="s">
        <v>202</v>
      </c>
      <c r="D49" s="13" t="s">
        <v>369</v>
      </c>
      <c r="E49" s="14" t="n">
        <v>0</v>
      </c>
      <c r="F49" s="14" t="n">
        <v>0</v>
      </c>
      <c r="G49" s="13" t="n">
        <v>0</v>
      </c>
      <c r="H49" s="16" t="n">
        <f aca="false">IF(E49=0,0,ROUND(F49/E49*100,2))</f>
        <v>0</v>
      </c>
    </row>
    <row r="50" customFormat="false" ht="15" hidden="false" customHeight="true" outlineLevel="0" collapsed="false">
      <c r="A50" s="13" t="n">
        <v>2026</v>
      </c>
      <c r="B50" s="13" t="s">
        <v>349</v>
      </c>
      <c r="C50" s="13" t="s">
        <v>202</v>
      </c>
      <c r="D50" s="13" t="s">
        <v>359</v>
      </c>
      <c r="E50" s="14" t="n">
        <v>199</v>
      </c>
      <c r="F50" s="14" t="n">
        <v>165</v>
      </c>
      <c r="G50" s="13" t="n">
        <v>83</v>
      </c>
      <c r="H50" s="16" t="n">
        <f aca="false">IF(E50=0,0,ROUND(F50/E50*100,2))</f>
        <v>82.91</v>
      </c>
    </row>
    <row r="51" customFormat="false" ht="15" hidden="false" customHeight="true" outlineLevel="0" collapsed="false">
      <c r="A51" s="13" t="n">
        <v>2026</v>
      </c>
      <c r="B51" s="13" t="s">
        <v>349</v>
      </c>
      <c r="C51" s="13" t="s">
        <v>128</v>
      </c>
      <c r="D51" s="13" t="s">
        <v>366</v>
      </c>
      <c r="E51" s="14" t="n">
        <v>1393</v>
      </c>
      <c r="F51" s="14" t="n">
        <v>1101</v>
      </c>
      <c r="G51" s="13" t="n">
        <v>79</v>
      </c>
      <c r="H51" s="16" t="n">
        <f aca="false">IF(E51=0,0,ROUND(F51/E51*100,2))</f>
        <v>79.04</v>
      </c>
    </row>
    <row r="52" customFormat="false" ht="15" hidden="false" customHeight="true" outlineLevel="0" collapsed="false">
      <c r="A52" s="13" t="n">
        <v>2026</v>
      </c>
      <c r="B52" s="13" t="s">
        <v>349</v>
      </c>
      <c r="C52" s="13" t="s">
        <v>128</v>
      </c>
      <c r="D52" s="13" t="s">
        <v>367</v>
      </c>
      <c r="E52" s="14" t="n">
        <v>813</v>
      </c>
      <c r="F52" s="14" t="n">
        <v>632</v>
      </c>
      <c r="G52" s="13" t="n">
        <v>78</v>
      </c>
      <c r="H52" s="16" t="n">
        <f aca="false">IF(E52=0,0,ROUND(F52/E52*100,2))</f>
        <v>77.74</v>
      </c>
    </row>
    <row r="53" customFormat="false" ht="15" hidden="false" customHeight="true" outlineLevel="0" collapsed="false">
      <c r="A53" s="13" t="n">
        <v>2026</v>
      </c>
      <c r="B53" s="13" t="s">
        <v>349</v>
      </c>
      <c r="C53" s="13" t="s">
        <v>128</v>
      </c>
      <c r="D53" s="13" t="s">
        <v>368</v>
      </c>
      <c r="E53" s="14" t="n">
        <v>933</v>
      </c>
      <c r="F53" s="14" t="n">
        <v>643</v>
      </c>
      <c r="G53" s="13" t="n">
        <v>69</v>
      </c>
      <c r="H53" s="16" t="n">
        <f aca="false">IF(E53=0,0,ROUND(F53/E53*100,2))</f>
        <v>68.92</v>
      </c>
    </row>
    <row r="54" customFormat="false" ht="15" hidden="false" customHeight="true" outlineLevel="0" collapsed="false">
      <c r="A54" s="13" t="n">
        <v>2026</v>
      </c>
      <c r="B54" s="13" t="s">
        <v>349</v>
      </c>
      <c r="C54" s="13" t="s">
        <v>128</v>
      </c>
      <c r="D54" s="13" t="s">
        <v>369</v>
      </c>
      <c r="E54" s="14" t="n">
        <v>491</v>
      </c>
      <c r="F54" s="14" t="n">
        <v>414</v>
      </c>
      <c r="G54" s="13" t="n">
        <v>84</v>
      </c>
      <c r="H54" s="16" t="n">
        <f aca="false">IF(E54=0,0,ROUND(F54/E54*100,2))</f>
        <v>84.32</v>
      </c>
    </row>
    <row r="55" customFormat="false" ht="15" hidden="false" customHeight="true" outlineLevel="0" collapsed="false">
      <c r="A55" s="13" t="n">
        <v>2026</v>
      </c>
      <c r="B55" s="13" t="s">
        <v>349</v>
      </c>
      <c r="C55" s="13" t="s">
        <v>128</v>
      </c>
      <c r="D55" s="13" t="s">
        <v>359</v>
      </c>
      <c r="E55" s="14" t="n">
        <v>3630</v>
      </c>
      <c r="F55" s="14" t="n">
        <v>2790</v>
      </c>
      <c r="G55" s="13" t="n">
        <v>77</v>
      </c>
      <c r="H55" s="16" t="n">
        <f aca="false">IF(E55=0,0,ROUND(F55/E55*100,2))</f>
        <v>76.86</v>
      </c>
    </row>
    <row r="56" customFormat="false" ht="15" hidden="false" customHeight="true" outlineLevel="0" collapsed="false">
      <c r="A56" s="13" t="n">
        <v>2026</v>
      </c>
      <c r="B56" s="13" t="s">
        <v>349</v>
      </c>
      <c r="C56" s="13" t="s">
        <v>370</v>
      </c>
      <c r="D56" s="13" t="s">
        <v>362</v>
      </c>
      <c r="E56" s="14" t="n">
        <v>17857</v>
      </c>
      <c r="F56" s="14" t="n">
        <v>14845</v>
      </c>
      <c r="G56" s="13" t="n">
        <v>83</v>
      </c>
      <c r="H56" s="16" t="n">
        <f aca="false">IF(E56=0,0,ROUND(F56/E56*100,2))</f>
        <v>83.13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3" width="14"/>
  </cols>
  <sheetData>
    <row r="1" customFormat="false" ht="15" hidden="false" customHeight="true" outlineLevel="0" collapsed="false">
      <c r="A1" s="13" t="s">
        <v>371</v>
      </c>
    </row>
    <row r="2" customFormat="false" ht="15" hidden="false" customHeight="true" outlineLevel="0" collapsed="false">
      <c r="A2" s="13" t="s">
        <v>372</v>
      </c>
    </row>
    <row r="4" customFormat="false" ht="15" hidden="false" customHeight="true" outlineLevel="0" collapsed="false">
      <c r="A4" s="13" t="s">
        <v>3</v>
      </c>
      <c r="B4" s="13" t="s">
        <v>373</v>
      </c>
      <c r="C4" s="13" t="s">
        <v>4</v>
      </c>
      <c r="D4" s="13" t="s">
        <v>5</v>
      </c>
      <c r="E4" s="13" t="s">
        <v>374</v>
      </c>
      <c r="F4" s="13" t="s">
        <v>6</v>
      </c>
    </row>
    <row r="5" customFormat="false" ht="15" hidden="false" customHeight="true" outlineLevel="0" collapsed="false">
      <c r="A5" s="13" t="n">
        <v>2024</v>
      </c>
      <c r="B5" s="14" t="n">
        <v>60539</v>
      </c>
      <c r="C5" s="14" t="n">
        <v>60102</v>
      </c>
      <c r="D5" s="14" t="n">
        <v>42341</v>
      </c>
      <c r="E5" s="14" t="n">
        <f aca="false">C5-D5</f>
        <v>17761</v>
      </c>
      <c r="F5" s="15" t="n">
        <v>0.7045</v>
      </c>
    </row>
    <row r="6" customFormat="false" ht="15" hidden="false" customHeight="true" outlineLevel="0" collapsed="false">
      <c r="A6" s="13" t="n">
        <v>2025</v>
      </c>
      <c r="B6" s="14" t="n">
        <v>56655</v>
      </c>
      <c r="C6" s="14" t="n">
        <v>56083</v>
      </c>
      <c r="D6" s="14" t="n">
        <v>41985</v>
      </c>
      <c r="E6" s="14" t="n">
        <f aca="false">C6-D6</f>
        <v>14098</v>
      </c>
      <c r="F6" s="15" t="n">
        <v>0.7486</v>
      </c>
    </row>
    <row r="7" customFormat="false" ht="15" hidden="false" customHeight="true" outlineLevel="0" collapsed="false">
      <c r="A7" s="13" t="n">
        <v>2026</v>
      </c>
      <c r="B7" s="14" t="n">
        <v>59629</v>
      </c>
      <c r="C7" s="14" t="n">
        <v>59243</v>
      </c>
      <c r="D7" s="14" t="n">
        <v>43332</v>
      </c>
      <c r="E7" s="14" t="n">
        <f aca="false">C7-D7</f>
        <v>15911</v>
      </c>
      <c r="F7" s="15" t="n">
        <v>0.7314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3" width="14"/>
  </cols>
  <sheetData>
    <row r="1" customFormat="false" ht="15" hidden="false" customHeight="true" outlineLevel="0" collapsed="false">
      <c r="A1" s="13" t="s">
        <v>375</v>
      </c>
    </row>
    <row r="2" customFormat="false" ht="15" hidden="false" customHeight="true" outlineLevel="0" collapsed="false">
      <c r="A2" s="13" t="s">
        <v>376</v>
      </c>
    </row>
    <row r="4" customFormat="false" ht="15" hidden="false" customHeight="true" outlineLevel="0" collapsed="false">
      <c r="A4" s="13" t="s">
        <v>3</v>
      </c>
      <c r="B4" s="13" t="s">
        <v>113</v>
      </c>
      <c r="C4" s="13" t="s">
        <v>4</v>
      </c>
      <c r="D4" s="13" t="s">
        <v>5</v>
      </c>
      <c r="E4" s="13" t="s">
        <v>374</v>
      </c>
      <c r="F4" s="13" t="s">
        <v>6</v>
      </c>
    </row>
    <row r="5" customFormat="false" ht="15" hidden="false" customHeight="true" outlineLevel="0" collapsed="false">
      <c r="A5" s="13" t="n">
        <v>2024</v>
      </c>
      <c r="B5" s="13" t="s">
        <v>124</v>
      </c>
      <c r="C5" s="14" t="n">
        <v>31810</v>
      </c>
      <c r="D5" s="14" t="n">
        <v>20558</v>
      </c>
      <c r="E5" s="14" t="n">
        <f aca="false">C5-D5</f>
        <v>11252</v>
      </c>
      <c r="F5" s="15" t="n">
        <v>0.6463</v>
      </c>
    </row>
    <row r="6" customFormat="false" ht="15" hidden="false" customHeight="true" outlineLevel="0" collapsed="false">
      <c r="A6" s="13" t="n">
        <v>2024</v>
      </c>
      <c r="B6" s="13" t="s">
        <v>122</v>
      </c>
      <c r="C6" s="14" t="n">
        <v>28292</v>
      </c>
      <c r="D6" s="14" t="n">
        <v>21783</v>
      </c>
      <c r="E6" s="14" t="n">
        <f aca="false">C6-D6</f>
        <v>6509</v>
      </c>
      <c r="F6" s="15" t="n">
        <v>0.7699</v>
      </c>
    </row>
    <row r="7" customFormat="false" ht="15" hidden="false" customHeight="true" outlineLevel="0" collapsed="false">
      <c r="A7" s="13" t="n">
        <v>2025</v>
      </c>
      <c r="B7" s="13" t="s">
        <v>124</v>
      </c>
      <c r="C7" s="14" t="n">
        <v>28061</v>
      </c>
      <c r="D7" s="14" t="n">
        <v>18993</v>
      </c>
      <c r="E7" s="14" t="n">
        <f aca="false">C7-D7</f>
        <v>9068</v>
      </c>
      <c r="F7" s="15" t="n">
        <v>0.6768</v>
      </c>
    </row>
    <row r="8" customFormat="false" ht="15" hidden="false" customHeight="true" outlineLevel="0" collapsed="false">
      <c r="A8" s="13" t="n">
        <v>2025</v>
      </c>
      <c r="B8" s="13" t="s">
        <v>122</v>
      </c>
      <c r="C8" s="14" t="n">
        <v>28022</v>
      </c>
      <c r="D8" s="14" t="n">
        <v>22992</v>
      </c>
      <c r="E8" s="14" t="n">
        <f aca="false">C8-D8</f>
        <v>5030</v>
      </c>
      <c r="F8" s="15" t="n">
        <v>0.8205</v>
      </c>
    </row>
    <row r="9" customFormat="false" ht="15" hidden="false" customHeight="true" outlineLevel="0" collapsed="false">
      <c r="A9" s="13" t="n">
        <v>2026</v>
      </c>
      <c r="B9" s="13" t="s">
        <v>124</v>
      </c>
      <c r="C9" s="14" t="n">
        <v>29794</v>
      </c>
      <c r="D9" s="14" t="n">
        <v>19023</v>
      </c>
      <c r="E9" s="14" t="n">
        <f aca="false">C9-D9</f>
        <v>10771</v>
      </c>
      <c r="F9" s="15" t="n">
        <v>0.6385</v>
      </c>
    </row>
    <row r="10" customFormat="false" ht="15" hidden="false" customHeight="true" outlineLevel="0" collapsed="false">
      <c r="A10" s="13" t="n">
        <v>2026</v>
      </c>
      <c r="B10" s="13" t="s">
        <v>122</v>
      </c>
      <c r="C10" s="14" t="n">
        <v>29449</v>
      </c>
      <c r="D10" s="14" t="n">
        <v>24309</v>
      </c>
      <c r="E10" s="14" t="n">
        <f aca="false">C10-D10</f>
        <v>5140</v>
      </c>
      <c r="F10" s="15" t="n">
        <v>0.8255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4"/>
    <col collapsed="false" customWidth="true" hidden="false" outlineLevel="0" max="2" min="2" style="13" width="16"/>
    <col collapsed="false" customWidth="true" hidden="false" outlineLevel="0" max="3" min="3" style="13" width="18"/>
    <col collapsed="false" customWidth="true" hidden="false" outlineLevel="0" max="8" min="4" style="13" width="14"/>
  </cols>
  <sheetData>
    <row r="1" customFormat="false" ht="15" hidden="false" customHeight="true" outlineLevel="0" collapsed="false">
      <c r="A1" s="13" t="s">
        <v>377</v>
      </c>
    </row>
    <row r="2" customFormat="false" ht="15" hidden="false" customHeight="true" outlineLevel="0" collapsed="false">
      <c r="A2" s="13" t="s">
        <v>376</v>
      </c>
    </row>
    <row r="4" customFormat="false" ht="15" hidden="false" customHeight="true" outlineLevel="0" collapsed="false">
      <c r="A4" s="13" t="s">
        <v>3</v>
      </c>
      <c r="B4" s="13" t="s">
        <v>112</v>
      </c>
      <c r="C4" s="13" t="s">
        <v>114</v>
      </c>
      <c r="D4" s="13" t="s">
        <v>113</v>
      </c>
      <c r="E4" s="13" t="s">
        <v>4</v>
      </c>
      <c r="F4" s="13" t="s">
        <v>5</v>
      </c>
      <c r="G4" s="13" t="s">
        <v>374</v>
      </c>
      <c r="H4" s="13" t="s">
        <v>6</v>
      </c>
    </row>
    <row r="5" customFormat="false" ht="15" hidden="false" customHeight="true" outlineLevel="0" collapsed="false">
      <c r="A5" s="13" t="n">
        <v>2024</v>
      </c>
      <c r="B5" s="13" t="s">
        <v>121</v>
      </c>
      <c r="C5" s="13" t="s">
        <v>123</v>
      </c>
      <c r="D5" s="13" t="s">
        <v>124</v>
      </c>
      <c r="E5" s="14" t="n">
        <v>11649</v>
      </c>
      <c r="F5" s="14" t="n">
        <v>9419</v>
      </c>
      <c r="G5" s="14" t="n">
        <f aca="false">E5-F5</f>
        <v>2230</v>
      </c>
      <c r="H5" s="15" t="n">
        <v>0.8086</v>
      </c>
    </row>
    <row r="6" customFormat="false" ht="15" hidden="false" customHeight="true" outlineLevel="0" collapsed="false">
      <c r="A6" s="13" t="n">
        <v>2024</v>
      </c>
      <c r="B6" s="13" t="s">
        <v>121</v>
      </c>
      <c r="C6" s="13" t="s">
        <v>123</v>
      </c>
      <c r="D6" s="13" t="s">
        <v>122</v>
      </c>
      <c r="E6" s="14" t="n">
        <v>14486</v>
      </c>
      <c r="F6" s="14" t="n">
        <v>12161</v>
      </c>
      <c r="G6" s="14" t="n">
        <f aca="false">E6-F6</f>
        <v>2325</v>
      </c>
      <c r="H6" s="15" t="n">
        <v>0.8395</v>
      </c>
    </row>
    <row r="7" customFormat="false" ht="15" hidden="false" customHeight="true" outlineLevel="0" collapsed="false">
      <c r="A7" s="13" t="n">
        <v>2024</v>
      </c>
      <c r="B7" s="13" t="s">
        <v>121</v>
      </c>
      <c r="C7" s="13" t="s">
        <v>123</v>
      </c>
      <c r="D7" s="13" t="s">
        <v>192</v>
      </c>
      <c r="E7" s="14" t="n">
        <v>26135</v>
      </c>
      <c r="F7" s="14" t="n">
        <v>21580</v>
      </c>
      <c r="G7" s="14" t="n">
        <f aca="false">E7-F7</f>
        <v>4555</v>
      </c>
      <c r="H7" s="15" t="n">
        <v>0.8257</v>
      </c>
    </row>
    <row r="8" customFormat="false" ht="15" hidden="false" customHeight="true" outlineLevel="0" collapsed="false">
      <c r="A8" s="13" t="n">
        <v>2024</v>
      </c>
      <c r="B8" s="13" t="s">
        <v>121</v>
      </c>
      <c r="C8" s="13" t="s">
        <v>126</v>
      </c>
      <c r="D8" s="13" t="s">
        <v>124</v>
      </c>
      <c r="E8" s="14" t="n">
        <v>1717</v>
      </c>
      <c r="F8" s="14" t="n">
        <v>1320</v>
      </c>
      <c r="G8" s="14" t="n">
        <f aca="false">E8-F8</f>
        <v>397</v>
      </c>
      <c r="H8" s="15" t="n">
        <v>0.7688</v>
      </c>
    </row>
    <row r="9" customFormat="false" ht="15" hidden="false" customHeight="true" outlineLevel="0" collapsed="false">
      <c r="A9" s="13" t="n">
        <v>2024</v>
      </c>
      <c r="B9" s="13" t="s">
        <v>121</v>
      </c>
      <c r="C9" s="13" t="s">
        <v>126</v>
      </c>
      <c r="D9" s="13" t="s">
        <v>122</v>
      </c>
      <c r="E9" s="14" t="n">
        <v>672</v>
      </c>
      <c r="F9" s="14" t="n">
        <v>524</v>
      </c>
      <c r="G9" s="14" t="n">
        <f aca="false">E9-F9</f>
        <v>148</v>
      </c>
      <c r="H9" s="15" t="n">
        <v>0.7798</v>
      </c>
    </row>
    <row r="10" customFormat="false" ht="15" hidden="false" customHeight="true" outlineLevel="0" collapsed="false">
      <c r="A10" s="13" t="n">
        <v>2024</v>
      </c>
      <c r="B10" s="13" t="s">
        <v>121</v>
      </c>
      <c r="C10" s="13" t="s">
        <v>126</v>
      </c>
      <c r="D10" s="13" t="s">
        <v>192</v>
      </c>
      <c r="E10" s="14" t="n">
        <v>2389</v>
      </c>
      <c r="F10" s="14" t="n">
        <v>1844</v>
      </c>
      <c r="G10" s="14" t="n">
        <f aca="false">E10-F10</f>
        <v>545</v>
      </c>
      <c r="H10" s="15" t="n">
        <v>0.7719</v>
      </c>
    </row>
    <row r="11" customFormat="false" ht="15" hidden="false" customHeight="true" outlineLevel="0" collapsed="false">
      <c r="A11" s="13" t="n">
        <v>2024</v>
      </c>
      <c r="B11" s="13" t="s">
        <v>121</v>
      </c>
      <c r="C11" s="13" t="s">
        <v>128</v>
      </c>
      <c r="D11" s="13" t="s">
        <v>124</v>
      </c>
      <c r="E11" s="14" t="n">
        <v>5286</v>
      </c>
      <c r="F11" s="14" t="n">
        <v>2752</v>
      </c>
      <c r="G11" s="14" t="n">
        <f aca="false">E11-F11</f>
        <v>2534</v>
      </c>
      <c r="H11" s="15" t="n">
        <v>0.5206</v>
      </c>
    </row>
    <row r="12" customFormat="false" ht="15" hidden="false" customHeight="true" outlineLevel="0" collapsed="false">
      <c r="A12" s="13" t="n">
        <v>2024</v>
      </c>
      <c r="B12" s="13" t="s">
        <v>121</v>
      </c>
      <c r="C12" s="13" t="s">
        <v>128</v>
      </c>
      <c r="D12" s="13" t="s">
        <v>122</v>
      </c>
      <c r="E12" s="14" t="n">
        <v>4641</v>
      </c>
      <c r="F12" s="14" t="n">
        <v>3418</v>
      </c>
      <c r="G12" s="14" t="n">
        <f aca="false">E12-F12</f>
        <v>1223</v>
      </c>
      <c r="H12" s="15" t="n">
        <v>0.7365</v>
      </c>
    </row>
    <row r="13" customFormat="false" ht="15" hidden="false" customHeight="true" outlineLevel="0" collapsed="false">
      <c r="A13" s="13" t="n">
        <v>2024</v>
      </c>
      <c r="B13" s="13" t="s">
        <v>121</v>
      </c>
      <c r="C13" s="13" t="s">
        <v>128</v>
      </c>
      <c r="D13" s="13" t="s">
        <v>192</v>
      </c>
      <c r="E13" s="14" t="n">
        <v>9927</v>
      </c>
      <c r="F13" s="14" t="n">
        <v>6170</v>
      </c>
      <c r="G13" s="14" t="n">
        <f aca="false">E13-F13</f>
        <v>3757</v>
      </c>
      <c r="H13" s="15" t="n">
        <v>0.6215</v>
      </c>
    </row>
    <row r="14" customFormat="false" ht="15" hidden="false" customHeight="true" outlineLevel="0" collapsed="false">
      <c r="A14" s="13" t="n">
        <v>2024</v>
      </c>
      <c r="B14" s="13" t="s">
        <v>121</v>
      </c>
      <c r="C14" s="13" t="s">
        <v>202</v>
      </c>
      <c r="D14" s="13" t="s">
        <v>124</v>
      </c>
      <c r="E14" s="14" t="n">
        <v>5336</v>
      </c>
      <c r="F14" s="14" t="n">
        <v>3352</v>
      </c>
      <c r="G14" s="14" t="n">
        <f aca="false">E14-F14</f>
        <v>1984</v>
      </c>
      <c r="H14" s="15" t="n">
        <v>0.6282</v>
      </c>
    </row>
    <row r="15" customFormat="false" ht="15" hidden="false" customHeight="true" outlineLevel="0" collapsed="false">
      <c r="A15" s="13" t="n">
        <v>2024</v>
      </c>
      <c r="B15" s="13" t="s">
        <v>121</v>
      </c>
      <c r="C15" s="13" t="s">
        <v>202</v>
      </c>
      <c r="D15" s="13" t="s">
        <v>122</v>
      </c>
      <c r="E15" s="14" t="n">
        <v>2223</v>
      </c>
      <c r="F15" s="14" t="n">
        <v>1635</v>
      </c>
      <c r="G15" s="14" t="n">
        <f aca="false">E15-F15</f>
        <v>588</v>
      </c>
      <c r="H15" s="15" t="n">
        <v>0.7355</v>
      </c>
    </row>
    <row r="16" customFormat="false" ht="15" hidden="false" customHeight="true" outlineLevel="0" collapsed="false">
      <c r="A16" s="13" t="n">
        <v>2024</v>
      </c>
      <c r="B16" s="13" t="s">
        <v>121</v>
      </c>
      <c r="C16" s="13" t="s">
        <v>202</v>
      </c>
      <c r="D16" s="13" t="s">
        <v>192</v>
      </c>
      <c r="E16" s="14" t="n">
        <v>7559</v>
      </c>
      <c r="F16" s="14" t="n">
        <v>4987</v>
      </c>
      <c r="G16" s="14" t="n">
        <f aca="false">E16-F16</f>
        <v>2572</v>
      </c>
      <c r="H16" s="15" t="n">
        <v>0.6597</v>
      </c>
    </row>
    <row r="17" customFormat="false" ht="15" hidden="false" customHeight="true" outlineLevel="0" collapsed="false">
      <c r="A17" s="13" t="n">
        <v>2024</v>
      </c>
      <c r="B17" s="13" t="s">
        <v>121</v>
      </c>
      <c r="C17" s="13" t="s">
        <v>203</v>
      </c>
      <c r="D17" s="13" t="s">
        <v>124</v>
      </c>
      <c r="E17" s="14" t="n">
        <v>106</v>
      </c>
      <c r="F17" s="14" t="n">
        <v>79</v>
      </c>
      <c r="G17" s="14" t="n">
        <f aca="false">E17-F17</f>
        <v>27</v>
      </c>
      <c r="H17" s="15" t="n">
        <v>0.7453</v>
      </c>
    </row>
    <row r="18" customFormat="false" ht="15" hidden="false" customHeight="true" outlineLevel="0" collapsed="false">
      <c r="A18" s="13" t="n">
        <v>2024</v>
      </c>
      <c r="B18" s="13" t="s">
        <v>121</v>
      </c>
      <c r="C18" s="13" t="s">
        <v>203</v>
      </c>
      <c r="D18" s="13" t="s">
        <v>122</v>
      </c>
      <c r="E18" s="14" t="n">
        <v>32</v>
      </c>
      <c r="F18" s="14" t="n">
        <v>27</v>
      </c>
      <c r="G18" s="14" t="n">
        <f aca="false">E18-F18</f>
        <v>5</v>
      </c>
      <c r="H18" s="15" t="n">
        <v>0.8438</v>
      </c>
    </row>
    <row r="19" customFormat="false" ht="15" hidden="false" customHeight="true" outlineLevel="0" collapsed="false">
      <c r="A19" s="13" t="n">
        <v>2024</v>
      </c>
      <c r="B19" s="13" t="s">
        <v>121</v>
      </c>
      <c r="C19" s="13" t="s">
        <v>203</v>
      </c>
      <c r="D19" s="13" t="s">
        <v>192</v>
      </c>
      <c r="E19" s="14" t="n">
        <v>138</v>
      </c>
      <c r="F19" s="14" t="n">
        <v>106</v>
      </c>
      <c r="G19" s="14" t="n">
        <f aca="false">E19-F19</f>
        <v>32</v>
      </c>
      <c r="H19" s="15" t="n">
        <v>0.7681</v>
      </c>
    </row>
    <row r="20" customFormat="false" ht="15" hidden="false" customHeight="true" outlineLevel="0" collapsed="false">
      <c r="A20" s="13" t="n">
        <v>2024</v>
      </c>
      <c r="B20" s="13" t="s">
        <v>121</v>
      </c>
      <c r="C20" s="13" t="s">
        <v>192</v>
      </c>
      <c r="D20" s="13" t="s">
        <v>124</v>
      </c>
      <c r="E20" s="14" t="n">
        <v>24094</v>
      </c>
      <c r="F20" s="14" t="n">
        <v>16922</v>
      </c>
      <c r="G20" s="14" t="n">
        <f aca="false">E20-F20</f>
        <v>7172</v>
      </c>
      <c r="H20" s="15" t="n">
        <v>0.7023</v>
      </c>
    </row>
    <row r="21" customFormat="false" ht="15" hidden="false" customHeight="true" outlineLevel="0" collapsed="false">
      <c r="A21" s="13" t="n">
        <v>2024</v>
      </c>
      <c r="B21" s="13" t="s">
        <v>121</v>
      </c>
      <c r="C21" s="13" t="s">
        <v>192</v>
      </c>
      <c r="D21" s="13" t="s">
        <v>122</v>
      </c>
      <c r="E21" s="14" t="n">
        <v>22054</v>
      </c>
      <c r="F21" s="14" t="n">
        <v>17765</v>
      </c>
      <c r="G21" s="14" t="n">
        <f aca="false">E21-F21</f>
        <v>4289</v>
      </c>
      <c r="H21" s="15" t="n">
        <v>0.8055</v>
      </c>
    </row>
    <row r="22" customFormat="false" ht="15" hidden="false" customHeight="true" outlineLevel="0" collapsed="false">
      <c r="A22" s="13" t="n">
        <v>2024</v>
      </c>
      <c r="B22" s="13" t="s">
        <v>121</v>
      </c>
      <c r="C22" s="13" t="s">
        <v>192</v>
      </c>
      <c r="D22" s="13" t="s">
        <v>192</v>
      </c>
      <c r="E22" s="14" t="n">
        <v>46148</v>
      </c>
      <c r="F22" s="14" t="n">
        <v>34687</v>
      </c>
      <c r="G22" s="14" t="n">
        <f aca="false">E22-F22</f>
        <v>11461</v>
      </c>
      <c r="H22" s="15" t="n">
        <v>0.7516</v>
      </c>
    </row>
    <row r="23" customFormat="false" ht="15" hidden="false" customHeight="true" outlineLevel="0" collapsed="false">
      <c r="A23" s="13" t="n">
        <v>2024</v>
      </c>
      <c r="B23" s="13" t="s">
        <v>125</v>
      </c>
      <c r="C23" s="13" t="s">
        <v>123</v>
      </c>
      <c r="D23" s="13" t="s">
        <v>124</v>
      </c>
      <c r="E23" s="14" t="n">
        <v>2097</v>
      </c>
      <c r="F23" s="14" t="n">
        <v>1377</v>
      </c>
      <c r="G23" s="14" t="n">
        <f aca="false">E23-F23</f>
        <v>720</v>
      </c>
      <c r="H23" s="15" t="n">
        <v>0.6567</v>
      </c>
    </row>
    <row r="24" customFormat="false" ht="15" hidden="false" customHeight="true" outlineLevel="0" collapsed="false">
      <c r="A24" s="13" t="n">
        <v>2024</v>
      </c>
      <c r="B24" s="13" t="s">
        <v>125</v>
      </c>
      <c r="C24" s="13" t="s">
        <v>123</v>
      </c>
      <c r="D24" s="13" t="s">
        <v>122</v>
      </c>
      <c r="E24" s="14" t="n">
        <v>2988</v>
      </c>
      <c r="F24" s="14" t="n">
        <v>2159</v>
      </c>
      <c r="G24" s="14" t="n">
        <f aca="false">E24-F24</f>
        <v>829</v>
      </c>
      <c r="H24" s="15" t="n">
        <v>0.7226</v>
      </c>
    </row>
    <row r="25" customFormat="false" ht="15" hidden="false" customHeight="true" outlineLevel="0" collapsed="false">
      <c r="A25" s="13" t="n">
        <v>2024</v>
      </c>
      <c r="B25" s="13" t="s">
        <v>125</v>
      </c>
      <c r="C25" s="13" t="s">
        <v>123</v>
      </c>
      <c r="D25" s="13" t="s">
        <v>192</v>
      </c>
      <c r="E25" s="14" t="n">
        <v>5085</v>
      </c>
      <c r="F25" s="14" t="n">
        <v>3536</v>
      </c>
      <c r="G25" s="14" t="n">
        <f aca="false">E25-F25</f>
        <v>1549</v>
      </c>
      <c r="H25" s="15" t="n">
        <v>0.6954</v>
      </c>
    </row>
    <row r="26" customFormat="false" ht="15" hidden="false" customHeight="true" outlineLevel="0" collapsed="false">
      <c r="A26" s="13" t="n">
        <v>2024</v>
      </c>
      <c r="B26" s="13" t="s">
        <v>125</v>
      </c>
      <c r="C26" s="13" t="s">
        <v>126</v>
      </c>
      <c r="D26" s="13" t="s">
        <v>124</v>
      </c>
      <c r="E26" s="14" t="n">
        <v>404</v>
      </c>
      <c r="F26" s="14" t="n">
        <v>201</v>
      </c>
      <c r="G26" s="14" t="n">
        <f aca="false">E26-F26</f>
        <v>203</v>
      </c>
      <c r="H26" s="15" t="n">
        <v>0.4975</v>
      </c>
    </row>
    <row r="27" customFormat="false" ht="15" hidden="false" customHeight="true" outlineLevel="0" collapsed="false">
      <c r="A27" s="13" t="n">
        <v>2024</v>
      </c>
      <c r="B27" s="13" t="s">
        <v>125</v>
      </c>
      <c r="C27" s="13" t="s">
        <v>126</v>
      </c>
      <c r="D27" s="13" t="s">
        <v>122</v>
      </c>
      <c r="E27" s="14" t="n">
        <v>131</v>
      </c>
      <c r="F27" s="14" t="n">
        <v>71</v>
      </c>
      <c r="G27" s="14" t="n">
        <f aca="false">E27-F27</f>
        <v>60</v>
      </c>
      <c r="H27" s="15" t="n">
        <v>0.542</v>
      </c>
    </row>
    <row r="28" customFormat="false" ht="15" hidden="false" customHeight="true" outlineLevel="0" collapsed="false">
      <c r="A28" s="13" t="n">
        <v>2024</v>
      </c>
      <c r="B28" s="13" t="s">
        <v>125</v>
      </c>
      <c r="C28" s="13" t="s">
        <v>126</v>
      </c>
      <c r="D28" s="13" t="s">
        <v>192</v>
      </c>
      <c r="E28" s="14" t="n">
        <v>535</v>
      </c>
      <c r="F28" s="14" t="n">
        <v>272</v>
      </c>
      <c r="G28" s="14" t="n">
        <f aca="false">E28-F28</f>
        <v>263</v>
      </c>
      <c r="H28" s="15" t="n">
        <v>0.5084</v>
      </c>
    </row>
    <row r="29" customFormat="false" ht="15" hidden="false" customHeight="true" outlineLevel="0" collapsed="false">
      <c r="A29" s="13" t="n">
        <v>2024</v>
      </c>
      <c r="B29" s="13" t="s">
        <v>125</v>
      </c>
      <c r="C29" s="13" t="s">
        <v>128</v>
      </c>
      <c r="D29" s="13" t="s">
        <v>124</v>
      </c>
      <c r="E29" s="14" t="n">
        <v>4407</v>
      </c>
      <c r="F29" s="14" t="n">
        <v>1755</v>
      </c>
      <c r="G29" s="14" t="n">
        <f aca="false">E29-F29</f>
        <v>2652</v>
      </c>
      <c r="H29" s="15" t="n">
        <v>0.3982</v>
      </c>
    </row>
    <row r="30" customFormat="false" ht="15" hidden="false" customHeight="true" outlineLevel="0" collapsed="false">
      <c r="A30" s="13" t="n">
        <v>2024</v>
      </c>
      <c r="B30" s="13" t="s">
        <v>125</v>
      </c>
      <c r="C30" s="13" t="s">
        <v>128</v>
      </c>
      <c r="D30" s="13" t="s">
        <v>122</v>
      </c>
      <c r="E30" s="14" t="n">
        <v>2838</v>
      </c>
      <c r="F30" s="14" t="n">
        <v>1650</v>
      </c>
      <c r="G30" s="14" t="n">
        <f aca="false">E30-F30</f>
        <v>1188</v>
      </c>
      <c r="H30" s="15" t="n">
        <v>0.5814</v>
      </c>
    </row>
    <row r="31" customFormat="false" ht="15" hidden="false" customHeight="true" outlineLevel="0" collapsed="false">
      <c r="A31" s="13" t="n">
        <v>2024</v>
      </c>
      <c r="B31" s="13" t="s">
        <v>125</v>
      </c>
      <c r="C31" s="13" t="s">
        <v>128</v>
      </c>
      <c r="D31" s="13" t="s">
        <v>192</v>
      </c>
      <c r="E31" s="14" t="n">
        <v>7245</v>
      </c>
      <c r="F31" s="14" t="n">
        <v>3405</v>
      </c>
      <c r="G31" s="14" t="n">
        <f aca="false">E31-F31</f>
        <v>3840</v>
      </c>
      <c r="H31" s="15" t="n">
        <v>0.47</v>
      </c>
    </row>
    <row r="32" customFormat="false" ht="15" hidden="false" customHeight="true" outlineLevel="0" collapsed="false">
      <c r="A32" s="13" t="n">
        <v>2024</v>
      </c>
      <c r="B32" s="13" t="s">
        <v>125</v>
      </c>
      <c r="C32" s="13" t="s">
        <v>202</v>
      </c>
      <c r="D32" s="13" t="s">
        <v>124</v>
      </c>
      <c r="E32" s="14" t="n">
        <v>749</v>
      </c>
      <c r="F32" s="14" t="n">
        <v>272</v>
      </c>
      <c r="G32" s="14" t="n">
        <f aca="false">E32-F32</f>
        <v>477</v>
      </c>
      <c r="H32" s="15" t="n">
        <v>0.3632</v>
      </c>
    </row>
    <row r="33" customFormat="false" ht="15" hidden="false" customHeight="true" outlineLevel="0" collapsed="false">
      <c r="A33" s="13" t="n">
        <v>2024</v>
      </c>
      <c r="B33" s="13" t="s">
        <v>125</v>
      </c>
      <c r="C33" s="13" t="s">
        <v>202</v>
      </c>
      <c r="D33" s="13" t="s">
        <v>122</v>
      </c>
      <c r="E33" s="14" t="n">
        <v>270</v>
      </c>
      <c r="F33" s="14" t="n">
        <v>129</v>
      </c>
      <c r="G33" s="14" t="n">
        <f aca="false">E33-F33</f>
        <v>141</v>
      </c>
      <c r="H33" s="15" t="n">
        <v>0.4778</v>
      </c>
    </row>
    <row r="34" customFormat="false" ht="15" hidden="false" customHeight="true" outlineLevel="0" collapsed="false">
      <c r="A34" s="13" t="n">
        <v>2024</v>
      </c>
      <c r="B34" s="13" t="s">
        <v>125</v>
      </c>
      <c r="C34" s="13" t="s">
        <v>202</v>
      </c>
      <c r="D34" s="13" t="s">
        <v>192</v>
      </c>
      <c r="E34" s="14" t="n">
        <v>1019</v>
      </c>
      <c r="F34" s="14" t="n">
        <v>401</v>
      </c>
      <c r="G34" s="14" t="n">
        <f aca="false">E34-F34</f>
        <v>618</v>
      </c>
      <c r="H34" s="15" t="n">
        <v>0.3935</v>
      </c>
    </row>
    <row r="35" customFormat="false" ht="15" hidden="false" customHeight="true" outlineLevel="0" collapsed="false">
      <c r="A35" s="13" t="n">
        <v>2024</v>
      </c>
      <c r="B35" s="13" t="s">
        <v>125</v>
      </c>
      <c r="C35" s="13" t="s">
        <v>203</v>
      </c>
      <c r="D35" s="13" t="s">
        <v>124</v>
      </c>
      <c r="E35" s="14" t="n">
        <v>59</v>
      </c>
      <c r="F35" s="14" t="n">
        <v>31</v>
      </c>
      <c r="G35" s="14" t="n">
        <f aca="false">E35-F35</f>
        <v>28</v>
      </c>
      <c r="H35" s="15" t="n">
        <v>0.5254</v>
      </c>
    </row>
    <row r="36" customFormat="false" ht="15" hidden="false" customHeight="true" outlineLevel="0" collapsed="false">
      <c r="A36" s="13" t="n">
        <v>2024</v>
      </c>
      <c r="B36" s="13" t="s">
        <v>125</v>
      </c>
      <c r="C36" s="13" t="s">
        <v>203</v>
      </c>
      <c r="D36" s="13" t="s">
        <v>122</v>
      </c>
      <c r="E36" s="14" t="n">
        <v>11</v>
      </c>
      <c r="F36" s="14" t="n">
        <v>9</v>
      </c>
      <c r="G36" s="14" t="n">
        <f aca="false">E36-F36</f>
        <v>2</v>
      </c>
      <c r="H36" s="15" t="n">
        <v>0.8182</v>
      </c>
    </row>
    <row r="37" customFormat="false" ht="15" hidden="false" customHeight="true" outlineLevel="0" collapsed="false">
      <c r="A37" s="13" t="n">
        <v>2024</v>
      </c>
      <c r="B37" s="13" t="s">
        <v>125</v>
      </c>
      <c r="C37" s="13" t="s">
        <v>203</v>
      </c>
      <c r="D37" s="13" t="s">
        <v>192</v>
      </c>
      <c r="E37" s="14" t="n">
        <v>70</v>
      </c>
      <c r="F37" s="14" t="n">
        <v>40</v>
      </c>
      <c r="G37" s="14" t="n">
        <f aca="false">E37-F37</f>
        <v>30</v>
      </c>
      <c r="H37" s="15" t="n">
        <v>0.5714</v>
      </c>
    </row>
    <row r="38" customFormat="false" ht="15" hidden="false" customHeight="true" outlineLevel="0" collapsed="false">
      <c r="A38" s="13" t="n">
        <v>2024</v>
      </c>
      <c r="B38" s="13" t="s">
        <v>125</v>
      </c>
      <c r="C38" s="13" t="s">
        <v>192</v>
      </c>
      <c r="D38" s="13" t="s">
        <v>124</v>
      </c>
      <c r="E38" s="14" t="n">
        <v>7716</v>
      </c>
      <c r="F38" s="14" t="n">
        <v>3636</v>
      </c>
      <c r="G38" s="14" t="n">
        <f aca="false">E38-F38</f>
        <v>4080</v>
      </c>
      <c r="H38" s="15" t="n">
        <v>0.4712</v>
      </c>
    </row>
    <row r="39" customFormat="false" ht="15" hidden="false" customHeight="true" outlineLevel="0" collapsed="false">
      <c r="A39" s="13" t="n">
        <v>2024</v>
      </c>
      <c r="B39" s="13" t="s">
        <v>125</v>
      </c>
      <c r="C39" s="13" t="s">
        <v>192</v>
      </c>
      <c r="D39" s="13" t="s">
        <v>122</v>
      </c>
      <c r="E39" s="14" t="n">
        <v>6238</v>
      </c>
      <c r="F39" s="14" t="n">
        <v>4018</v>
      </c>
      <c r="G39" s="14" t="n">
        <f aca="false">E39-F39</f>
        <v>2220</v>
      </c>
      <c r="H39" s="15" t="n">
        <v>0.6441</v>
      </c>
    </row>
    <row r="40" customFormat="false" ht="15" hidden="false" customHeight="true" outlineLevel="0" collapsed="false">
      <c r="A40" s="13" t="n">
        <v>2024</v>
      </c>
      <c r="B40" s="13" t="s">
        <v>125</v>
      </c>
      <c r="C40" s="13" t="s">
        <v>192</v>
      </c>
      <c r="D40" s="13" t="s">
        <v>192</v>
      </c>
      <c r="E40" s="14" t="n">
        <v>13954</v>
      </c>
      <c r="F40" s="14" t="n">
        <v>7654</v>
      </c>
      <c r="G40" s="14" t="n">
        <f aca="false">E40-F40</f>
        <v>6300</v>
      </c>
      <c r="H40" s="15" t="n">
        <v>0.5485</v>
      </c>
    </row>
    <row r="41" customFormat="false" ht="15" hidden="false" customHeight="true" outlineLevel="0" collapsed="false">
      <c r="A41" s="13" t="n">
        <v>2024</v>
      </c>
      <c r="B41" s="13" t="s">
        <v>195</v>
      </c>
      <c r="C41" s="13" t="s">
        <v>137</v>
      </c>
      <c r="D41" s="13" t="s">
        <v>124</v>
      </c>
      <c r="E41" s="14" t="n">
        <v>31810</v>
      </c>
      <c r="F41" s="14" t="n">
        <v>20558</v>
      </c>
      <c r="G41" s="14" t="n">
        <f aca="false">E41-F41</f>
        <v>11252</v>
      </c>
      <c r="H41" s="15" t="n">
        <v>0.6463</v>
      </c>
    </row>
    <row r="42" customFormat="false" ht="15" hidden="false" customHeight="true" outlineLevel="0" collapsed="false">
      <c r="A42" s="13" t="n">
        <v>2024</v>
      </c>
      <c r="B42" s="13" t="s">
        <v>195</v>
      </c>
      <c r="C42" s="13" t="s">
        <v>137</v>
      </c>
      <c r="D42" s="13" t="s">
        <v>122</v>
      </c>
      <c r="E42" s="14" t="n">
        <v>28292</v>
      </c>
      <c r="F42" s="14" t="n">
        <v>21783</v>
      </c>
      <c r="G42" s="14" t="n">
        <f aca="false">E42-F42</f>
        <v>6509</v>
      </c>
      <c r="H42" s="15" t="n">
        <v>0.7699</v>
      </c>
    </row>
    <row r="43" customFormat="false" ht="15" hidden="false" customHeight="true" outlineLevel="0" collapsed="false">
      <c r="A43" s="13" t="n">
        <v>2024</v>
      </c>
      <c r="B43" s="13" t="s">
        <v>195</v>
      </c>
      <c r="C43" s="13" t="s">
        <v>137</v>
      </c>
      <c r="D43" s="13" t="s">
        <v>192</v>
      </c>
      <c r="E43" s="14" t="n">
        <v>60102</v>
      </c>
      <c r="F43" s="14" t="n">
        <v>42341</v>
      </c>
      <c r="G43" s="14" t="n">
        <f aca="false">E43-F43</f>
        <v>17761</v>
      </c>
      <c r="H43" s="15" t="n">
        <v>0.7045</v>
      </c>
    </row>
    <row r="44" customFormat="false" ht="15" hidden="false" customHeight="true" outlineLevel="0" collapsed="false">
      <c r="A44" s="13" t="n">
        <v>2025</v>
      </c>
      <c r="B44" s="13" t="s">
        <v>121</v>
      </c>
      <c r="C44" s="13" t="s">
        <v>123</v>
      </c>
      <c r="D44" s="13" t="s">
        <v>124</v>
      </c>
      <c r="E44" s="14" t="n">
        <v>7716</v>
      </c>
      <c r="F44" s="14" t="n">
        <v>6533</v>
      </c>
      <c r="G44" s="14" t="n">
        <f aca="false">E44-F44</f>
        <v>1183</v>
      </c>
      <c r="H44" s="15" t="n">
        <v>0.8467</v>
      </c>
    </row>
    <row r="45" customFormat="false" ht="15" hidden="false" customHeight="true" outlineLevel="0" collapsed="false">
      <c r="A45" s="13" t="n">
        <v>2025</v>
      </c>
      <c r="B45" s="13" t="s">
        <v>121</v>
      </c>
      <c r="C45" s="13" t="s">
        <v>123</v>
      </c>
      <c r="D45" s="13" t="s">
        <v>122</v>
      </c>
      <c r="E45" s="14" t="n">
        <v>12538</v>
      </c>
      <c r="F45" s="14" t="n">
        <v>10904</v>
      </c>
      <c r="G45" s="14" t="n">
        <f aca="false">E45-F45</f>
        <v>1634</v>
      </c>
      <c r="H45" s="15" t="n">
        <v>0.8697</v>
      </c>
    </row>
    <row r="46" customFormat="false" ht="15" hidden="false" customHeight="true" outlineLevel="0" collapsed="false">
      <c r="A46" s="13" t="n">
        <v>2025</v>
      </c>
      <c r="B46" s="13" t="s">
        <v>121</v>
      </c>
      <c r="C46" s="13" t="s">
        <v>123</v>
      </c>
      <c r="D46" s="13" t="s">
        <v>192</v>
      </c>
      <c r="E46" s="14" t="n">
        <v>20254</v>
      </c>
      <c r="F46" s="14" t="n">
        <v>17437</v>
      </c>
      <c r="G46" s="14" t="n">
        <f aca="false">E46-F46</f>
        <v>2817</v>
      </c>
      <c r="H46" s="15" t="n">
        <v>0.8609</v>
      </c>
    </row>
    <row r="47" customFormat="false" ht="15" hidden="false" customHeight="true" outlineLevel="0" collapsed="false">
      <c r="A47" s="13" t="n">
        <v>2025</v>
      </c>
      <c r="B47" s="13" t="s">
        <v>121</v>
      </c>
      <c r="C47" s="13" t="s">
        <v>126</v>
      </c>
      <c r="D47" s="13" t="s">
        <v>124</v>
      </c>
      <c r="E47" s="14" t="n">
        <v>1323</v>
      </c>
      <c r="F47" s="14" t="n">
        <v>1097</v>
      </c>
      <c r="G47" s="14" t="n">
        <f aca="false">E47-F47</f>
        <v>226</v>
      </c>
      <c r="H47" s="15" t="n">
        <v>0.8292</v>
      </c>
    </row>
    <row r="48" customFormat="false" ht="15" hidden="false" customHeight="true" outlineLevel="0" collapsed="false">
      <c r="A48" s="13" t="n">
        <v>2025</v>
      </c>
      <c r="B48" s="13" t="s">
        <v>121</v>
      </c>
      <c r="C48" s="13" t="s">
        <v>126</v>
      </c>
      <c r="D48" s="13" t="s">
        <v>122</v>
      </c>
      <c r="E48" s="14" t="n">
        <v>566</v>
      </c>
      <c r="F48" s="14" t="n">
        <v>473</v>
      </c>
      <c r="G48" s="14" t="n">
        <f aca="false">E48-F48</f>
        <v>93</v>
      </c>
      <c r="H48" s="15" t="n">
        <v>0.8357</v>
      </c>
    </row>
    <row r="49" customFormat="false" ht="15" hidden="false" customHeight="true" outlineLevel="0" collapsed="false">
      <c r="A49" s="13" t="n">
        <v>2025</v>
      </c>
      <c r="B49" s="13" t="s">
        <v>121</v>
      </c>
      <c r="C49" s="13" t="s">
        <v>126</v>
      </c>
      <c r="D49" s="13" t="s">
        <v>192</v>
      </c>
      <c r="E49" s="14" t="n">
        <v>1889</v>
      </c>
      <c r="F49" s="14" t="n">
        <v>1570</v>
      </c>
      <c r="G49" s="14" t="n">
        <f aca="false">E49-F49</f>
        <v>319</v>
      </c>
      <c r="H49" s="15" t="n">
        <v>0.8311</v>
      </c>
    </row>
    <row r="50" customFormat="false" ht="15" hidden="false" customHeight="true" outlineLevel="0" collapsed="false">
      <c r="A50" s="13" t="n">
        <v>2025</v>
      </c>
      <c r="B50" s="13" t="s">
        <v>121</v>
      </c>
      <c r="C50" s="13" t="s">
        <v>128</v>
      </c>
      <c r="D50" s="13" t="s">
        <v>124</v>
      </c>
      <c r="E50" s="14" t="n">
        <v>5306</v>
      </c>
      <c r="F50" s="14" t="n">
        <v>2786</v>
      </c>
      <c r="G50" s="14" t="n">
        <f aca="false">E50-F50</f>
        <v>2520</v>
      </c>
      <c r="H50" s="15" t="n">
        <v>0.5251</v>
      </c>
    </row>
    <row r="51" customFormat="false" ht="15" hidden="false" customHeight="true" outlineLevel="0" collapsed="false">
      <c r="A51" s="13" t="n">
        <v>2025</v>
      </c>
      <c r="B51" s="13" t="s">
        <v>121</v>
      </c>
      <c r="C51" s="13" t="s">
        <v>128</v>
      </c>
      <c r="D51" s="13" t="s">
        <v>122</v>
      </c>
      <c r="E51" s="14" t="n">
        <v>5133</v>
      </c>
      <c r="F51" s="14" t="n">
        <v>4051</v>
      </c>
      <c r="G51" s="14" t="n">
        <f aca="false">E51-F51</f>
        <v>1082</v>
      </c>
      <c r="H51" s="15" t="n">
        <v>0.7892</v>
      </c>
    </row>
    <row r="52" customFormat="false" ht="15" hidden="false" customHeight="true" outlineLevel="0" collapsed="false">
      <c r="A52" s="13" t="n">
        <v>2025</v>
      </c>
      <c r="B52" s="13" t="s">
        <v>121</v>
      </c>
      <c r="C52" s="13" t="s">
        <v>128</v>
      </c>
      <c r="D52" s="13" t="s">
        <v>192</v>
      </c>
      <c r="E52" s="14" t="n">
        <v>10439</v>
      </c>
      <c r="F52" s="14" t="n">
        <v>6837</v>
      </c>
      <c r="G52" s="14" t="n">
        <f aca="false">E52-F52</f>
        <v>3602</v>
      </c>
      <c r="H52" s="15" t="n">
        <v>0.6549</v>
      </c>
    </row>
    <row r="53" customFormat="false" ht="15" hidden="false" customHeight="true" outlineLevel="0" collapsed="false">
      <c r="A53" s="13" t="n">
        <v>2025</v>
      </c>
      <c r="B53" s="13" t="s">
        <v>121</v>
      </c>
      <c r="C53" s="13" t="s">
        <v>202</v>
      </c>
      <c r="D53" s="13" t="s">
        <v>124</v>
      </c>
      <c r="E53" s="14" t="n">
        <v>7018</v>
      </c>
      <c r="F53" s="14" t="n">
        <v>5058</v>
      </c>
      <c r="G53" s="14" t="n">
        <f aca="false">E53-F53</f>
        <v>1960</v>
      </c>
      <c r="H53" s="15" t="n">
        <v>0.7207</v>
      </c>
    </row>
    <row r="54" customFormat="false" ht="15" hidden="false" customHeight="true" outlineLevel="0" collapsed="false">
      <c r="A54" s="13" t="n">
        <v>2025</v>
      </c>
      <c r="B54" s="13" t="s">
        <v>121</v>
      </c>
      <c r="C54" s="13" t="s">
        <v>202</v>
      </c>
      <c r="D54" s="13" t="s">
        <v>122</v>
      </c>
      <c r="E54" s="14" t="n">
        <v>3694</v>
      </c>
      <c r="F54" s="14" t="n">
        <v>3162</v>
      </c>
      <c r="G54" s="14" t="n">
        <f aca="false">E54-F54</f>
        <v>532</v>
      </c>
      <c r="H54" s="15" t="n">
        <v>0.856</v>
      </c>
    </row>
    <row r="55" customFormat="false" ht="15" hidden="false" customHeight="true" outlineLevel="0" collapsed="false">
      <c r="A55" s="13" t="n">
        <v>2025</v>
      </c>
      <c r="B55" s="13" t="s">
        <v>121</v>
      </c>
      <c r="C55" s="13" t="s">
        <v>202</v>
      </c>
      <c r="D55" s="13" t="s">
        <v>192</v>
      </c>
      <c r="E55" s="14" t="n">
        <v>10712</v>
      </c>
      <c r="F55" s="14" t="n">
        <v>8220</v>
      </c>
      <c r="G55" s="14" t="n">
        <f aca="false">E55-F55</f>
        <v>2492</v>
      </c>
      <c r="H55" s="15" t="n">
        <v>0.7674</v>
      </c>
    </row>
    <row r="56" customFormat="false" ht="15" hidden="false" customHeight="true" outlineLevel="0" collapsed="false">
      <c r="A56" s="13" t="n">
        <v>2025</v>
      </c>
      <c r="B56" s="13" t="s">
        <v>121</v>
      </c>
      <c r="C56" s="13" t="s">
        <v>203</v>
      </c>
      <c r="D56" s="13" t="s">
        <v>124</v>
      </c>
      <c r="E56" s="14" t="n">
        <v>91</v>
      </c>
      <c r="F56" s="14" t="n">
        <v>77</v>
      </c>
      <c r="G56" s="14" t="n">
        <f aca="false">E56-F56</f>
        <v>14</v>
      </c>
      <c r="H56" s="15" t="n">
        <v>0.8462</v>
      </c>
    </row>
    <row r="57" customFormat="false" ht="15" hidden="false" customHeight="true" outlineLevel="0" collapsed="false">
      <c r="A57" s="13" t="n">
        <v>2025</v>
      </c>
      <c r="B57" s="13" t="s">
        <v>121</v>
      </c>
      <c r="C57" s="13" t="s">
        <v>203</v>
      </c>
      <c r="D57" s="13" t="s">
        <v>122</v>
      </c>
      <c r="E57" s="14" t="n">
        <v>27</v>
      </c>
      <c r="F57" s="14" t="n">
        <v>26</v>
      </c>
      <c r="G57" s="14" t="n">
        <f aca="false">E57-F57</f>
        <v>1</v>
      </c>
      <c r="H57" s="15" t="n">
        <v>0.963</v>
      </c>
    </row>
    <row r="58" customFormat="false" ht="15" hidden="false" customHeight="true" outlineLevel="0" collapsed="false">
      <c r="A58" s="13" t="n">
        <v>2025</v>
      </c>
      <c r="B58" s="13" t="s">
        <v>121</v>
      </c>
      <c r="C58" s="13" t="s">
        <v>203</v>
      </c>
      <c r="D58" s="13" t="s">
        <v>192</v>
      </c>
      <c r="E58" s="14" t="n">
        <v>118</v>
      </c>
      <c r="F58" s="14" t="n">
        <v>103</v>
      </c>
      <c r="G58" s="14" t="n">
        <f aca="false">E58-F58</f>
        <v>15</v>
      </c>
      <c r="H58" s="15" t="n">
        <v>0.8729</v>
      </c>
    </row>
    <row r="59" customFormat="false" ht="15" hidden="false" customHeight="true" outlineLevel="0" collapsed="false">
      <c r="A59" s="13" t="n">
        <v>2025</v>
      </c>
      <c r="B59" s="13" t="s">
        <v>121</v>
      </c>
      <c r="C59" s="13" t="s">
        <v>192</v>
      </c>
      <c r="D59" s="13" t="s">
        <v>124</v>
      </c>
      <c r="E59" s="14" t="n">
        <v>21454</v>
      </c>
      <c r="F59" s="14" t="n">
        <v>15551</v>
      </c>
      <c r="G59" s="14" t="n">
        <f aca="false">E59-F59</f>
        <v>5903</v>
      </c>
      <c r="H59" s="15" t="n">
        <v>0.7249</v>
      </c>
    </row>
    <row r="60" customFormat="false" ht="15" hidden="false" customHeight="true" outlineLevel="0" collapsed="false">
      <c r="A60" s="13" t="n">
        <v>2025</v>
      </c>
      <c r="B60" s="13" t="s">
        <v>121</v>
      </c>
      <c r="C60" s="13" t="s">
        <v>192</v>
      </c>
      <c r="D60" s="13" t="s">
        <v>122</v>
      </c>
      <c r="E60" s="14" t="n">
        <v>21958</v>
      </c>
      <c r="F60" s="14" t="n">
        <v>18616</v>
      </c>
      <c r="G60" s="14" t="n">
        <f aca="false">E60-F60</f>
        <v>3342</v>
      </c>
      <c r="H60" s="15" t="n">
        <v>0.8478</v>
      </c>
    </row>
    <row r="61" customFormat="false" ht="15" hidden="false" customHeight="true" outlineLevel="0" collapsed="false">
      <c r="A61" s="13" t="n">
        <v>2025</v>
      </c>
      <c r="B61" s="13" t="s">
        <v>121</v>
      </c>
      <c r="C61" s="13" t="s">
        <v>192</v>
      </c>
      <c r="D61" s="13" t="s">
        <v>192</v>
      </c>
      <c r="E61" s="14" t="n">
        <v>43412</v>
      </c>
      <c r="F61" s="14" t="n">
        <v>34167</v>
      </c>
      <c r="G61" s="14" t="n">
        <f aca="false">E61-F61</f>
        <v>9245</v>
      </c>
      <c r="H61" s="15" t="n">
        <v>0.787</v>
      </c>
    </row>
    <row r="62" customFormat="false" ht="15" hidden="false" customHeight="true" outlineLevel="0" collapsed="false">
      <c r="A62" s="13" t="n">
        <v>2025</v>
      </c>
      <c r="B62" s="13" t="s">
        <v>125</v>
      </c>
      <c r="C62" s="13" t="s">
        <v>123</v>
      </c>
      <c r="D62" s="13" t="s">
        <v>124</v>
      </c>
      <c r="E62" s="14" t="n">
        <v>2238</v>
      </c>
      <c r="F62" s="14" t="n">
        <v>1520</v>
      </c>
      <c r="G62" s="14" t="n">
        <f aca="false">E62-F62</f>
        <v>718</v>
      </c>
      <c r="H62" s="15" t="n">
        <v>0.6792</v>
      </c>
    </row>
    <row r="63" customFormat="false" ht="15" hidden="false" customHeight="true" outlineLevel="0" collapsed="false">
      <c r="A63" s="13" t="n">
        <v>2025</v>
      </c>
      <c r="B63" s="13" t="s">
        <v>125</v>
      </c>
      <c r="C63" s="13" t="s">
        <v>123</v>
      </c>
      <c r="D63" s="13" t="s">
        <v>122</v>
      </c>
      <c r="E63" s="14" t="n">
        <v>3361</v>
      </c>
      <c r="F63" s="14" t="n">
        <v>2629</v>
      </c>
      <c r="G63" s="14" t="n">
        <f aca="false">E63-F63</f>
        <v>732</v>
      </c>
      <c r="H63" s="15" t="n">
        <v>0.7822</v>
      </c>
    </row>
    <row r="64" customFormat="false" ht="15" hidden="false" customHeight="true" outlineLevel="0" collapsed="false">
      <c r="A64" s="13" t="n">
        <v>2025</v>
      </c>
      <c r="B64" s="13" t="s">
        <v>125</v>
      </c>
      <c r="C64" s="13" t="s">
        <v>123</v>
      </c>
      <c r="D64" s="13" t="s">
        <v>192</v>
      </c>
      <c r="E64" s="14" t="n">
        <v>5599</v>
      </c>
      <c r="F64" s="14" t="n">
        <v>4149</v>
      </c>
      <c r="G64" s="14" t="n">
        <f aca="false">E64-F64</f>
        <v>1450</v>
      </c>
      <c r="H64" s="15" t="n">
        <v>0.741</v>
      </c>
    </row>
    <row r="65" customFormat="false" ht="15" hidden="false" customHeight="true" outlineLevel="0" collapsed="false">
      <c r="A65" s="13" t="n">
        <v>2025</v>
      </c>
      <c r="B65" s="13" t="s">
        <v>125</v>
      </c>
      <c r="C65" s="13" t="s">
        <v>126</v>
      </c>
      <c r="D65" s="13" t="s">
        <v>124</v>
      </c>
      <c r="E65" s="14" t="n">
        <v>292</v>
      </c>
      <c r="F65" s="14" t="n">
        <v>170</v>
      </c>
      <c r="G65" s="14" t="n">
        <f aca="false">E65-F65</f>
        <v>122</v>
      </c>
      <c r="H65" s="15" t="n">
        <v>0.5822</v>
      </c>
    </row>
    <row r="66" customFormat="false" ht="15" hidden="false" customHeight="true" outlineLevel="0" collapsed="false">
      <c r="A66" s="13" t="n">
        <v>2025</v>
      </c>
      <c r="B66" s="13" t="s">
        <v>125</v>
      </c>
      <c r="C66" s="13" t="s">
        <v>126</v>
      </c>
      <c r="D66" s="13" t="s">
        <v>122</v>
      </c>
      <c r="E66" s="14" t="n">
        <v>111</v>
      </c>
      <c r="F66" s="14" t="n">
        <v>60</v>
      </c>
      <c r="G66" s="14" t="n">
        <f aca="false">E66-F66</f>
        <v>51</v>
      </c>
      <c r="H66" s="15" t="n">
        <v>0.5405</v>
      </c>
    </row>
    <row r="67" customFormat="false" ht="15" hidden="false" customHeight="true" outlineLevel="0" collapsed="false">
      <c r="A67" s="13" t="n">
        <v>2025</v>
      </c>
      <c r="B67" s="13" t="s">
        <v>125</v>
      </c>
      <c r="C67" s="13" t="s">
        <v>126</v>
      </c>
      <c r="D67" s="13" t="s">
        <v>192</v>
      </c>
      <c r="E67" s="14" t="n">
        <v>403</v>
      </c>
      <c r="F67" s="14" t="n">
        <v>230</v>
      </c>
      <c r="G67" s="14" t="n">
        <f aca="false">E67-F67</f>
        <v>173</v>
      </c>
      <c r="H67" s="15" t="n">
        <v>0.5707</v>
      </c>
    </row>
    <row r="68" customFormat="false" ht="15" hidden="false" customHeight="true" outlineLevel="0" collapsed="false">
      <c r="A68" s="13" t="n">
        <v>2025</v>
      </c>
      <c r="B68" s="13" t="s">
        <v>125</v>
      </c>
      <c r="C68" s="13" t="s">
        <v>128</v>
      </c>
      <c r="D68" s="13" t="s">
        <v>124</v>
      </c>
      <c r="E68" s="14" t="n">
        <v>3227</v>
      </c>
      <c r="F68" s="14" t="n">
        <v>1393</v>
      </c>
      <c r="G68" s="14" t="n">
        <f aca="false">E68-F68</f>
        <v>1834</v>
      </c>
      <c r="H68" s="15" t="n">
        <v>0.4317</v>
      </c>
    </row>
    <row r="69" customFormat="false" ht="15" hidden="false" customHeight="true" outlineLevel="0" collapsed="false">
      <c r="A69" s="13" t="n">
        <v>2025</v>
      </c>
      <c r="B69" s="13" t="s">
        <v>125</v>
      </c>
      <c r="C69" s="13" t="s">
        <v>128</v>
      </c>
      <c r="D69" s="13" t="s">
        <v>122</v>
      </c>
      <c r="E69" s="14" t="n">
        <v>2327</v>
      </c>
      <c r="F69" s="14" t="n">
        <v>1565</v>
      </c>
      <c r="G69" s="14" t="n">
        <f aca="false">E69-F69</f>
        <v>762</v>
      </c>
      <c r="H69" s="15" t="n">
        <v>0.6725</v>
      </c>
    </row>
    <row r="70" customFormat="false" ht="15" hidden="false" customHeight="true" outlineLevel="0" collapsed="false">
      <c r="A70" s="13" t="n">
        <v>2025</v>
      </c>
      <c r="B70" s="13" t="s">
        <v>125</v>
      </c>
      <c r="C70" s="13" t="s">
        <v>128</v>
      </c>
      <c r="D70" s="13" t="s">
        <v>192</v>
      </c>
      <c r="E70" s="14" t="n">
        <v>5554</v>
      </c>
      <c r="F70" s="14" t="n">
        <v>2958</v>
      </c>
      <c r="G70" s="14" t="n">
        <f aca="false">E70-F70</f>
        <v>2596</v>
      </c>
      <c r="H70" s="15" t="n">
        <v>0.5326</v>
      </c>
    </row>
    <row r="71" customFormat="false" ht="15" hidden="false" customHeight="true" outlineLevel="0" collapsed="false">
      <c r="A71" s="13" t="n">
        <v>2025</v>
      </c>
      <c r="B71" s="13" t="s">
        <v>125</v>
      </c>
      <c r="C71" s="13" t="s">
        <v>202</v>
      </c>
      <c r="D71" s="13" t="s">
        <v>124</v>
      </c>
      <c r="E71" s="14" t="n">
        <v>816</v>
      </c>
      <c r="F71" s="14" t="n">
        <v>344</v>
      </c>
      <c r="G71" s="14" t="n">
        <f aca="false">E71-F71</f>
        <v>472</v>
      </c>
      <c r="H71" s="15" t="n">
        <v>0.4216</v>
      </c>
    </row>
    <row r="72" customFormat="false" ht="15" hidden="false" customHeight="true" outlineLevel="0" collapsed="false">
      <c r="A72" s="13" t="n">
        <v>2025</v>
      </c>
      <c r="B72" s="13" t="s">
        <v>125</v>
      </c>
      <c r="C72" s="13" t="s">
        <v>202</v>
      </c>
      <c r="D72" s="13" t="s">
        <v>122</v>
      </c>
      <c r="E72" s="14" t="n">
        <v>250</v>
      </c>
      <c r="F72" s="14" t="n">
        <v>114</v>
      </c>
      <c r="G72" s="14" t="n">
        <f aca="false">E72-F72</f>
        <v>136</v>
      </c>
      <c r="H72" s="15" t="n">
        <v>0.456</v>
      </c>
    </row>
    <row r="73" customFormat="false" ht="15" hidden="false" customHeight="true" outlineLevel="0" collapsed="false">
      <c r="A73" s="13" t="n">
        <v>2025</v>
      </c>
      <c r="B73" s="13" t="s">
        <v>125</v>
      </c>
      <c r="C73" s="13" t="s">
        <v>202</v>
      </c>
      <c r="D73" s="13" t="s">
        <v>192</v>
      </c>
      <c r="E73" s="14" t="n">
        <v>1066</v>
      </c>
      <c r="F73" s="14" t="n">
        <v>458</v>
      </c>
      <c r="G73" s="14" t="n">
        <f aca="false">E73-F73</f>
        <v>608</v>
      </c>
      <c r="H73" s="15" t="n">
        <v>0.4296</v>
      </c>
    </row>
    <row r="74" customFormat="false" ht="15" hidden="false" customHeight="true" outlineLevel="0" collapsed="false">
      <c r="A74" s="13" t="n">
        <v>2025</v>
      </c>
      <c r="B74" s="13" t="s">
        <v>125</v>
      </c>
      <c r="C74" s="13" t="s">
        <v>203</v>
      </c>
      <c r="D74" s="13" t="s">
        <v>124</v>
      </c>
      <c r="E74" s="14" t="n">
        <v>34</v>
      </c>
      <c r="F74" s="14" t="n">
        <v>15</v>
      </c>
      <c r="G74" s="14" t="n">
        <f aca="false">E74-F74</f>
        <v>19</v>
      </c>
      <c r="H74" s="15" t="n">
        <v>0.4412</v>
      </c>
    </row>
    <row r="75" customFormat="false" ht="15" hidden="false" customHeight="true" outlineLevel="0" collapsed="false">
      <c r="A75" s="13" t="n">
        <v>2025</v>
      </c>
      <c r="B75" s="13" t="s">
        <v>125</v>
      </c>
      <c r="C75" s="13" t="s">
        <v>203</v>
      </c>
      <c r="D75" s="13" t="s">
        <v>122</v>
      </c>
      <c r="E75" s="14" t="n">
        <v>15</v>
      </c>
      <c r="F75" s="14" t="n">
        <v>8</v>
      </c>
      <c r="G75" s="14" t="n">
        <f aca="false">E75-F75</f>
        <v>7</v>
      </c>
      <c r="H75" s="15" t="n">
        <v>0.5333</v>
      </c>
    </row>
    <row r="76" customFormat="false" ht="15" hidden="false" customHeight="true" outlineLevel="0" collapsed="false">
      <c r="A76" s="13" t="n">
        <v>2025</v>
      </c>
      <c r="B76" s="13" t="s">
        <v>125</v>
      </c>
      <c r="C76" s="13" t="s">
        <v>203</v>
      </c>
      <c r="D76" s="13" t="s">
        <v>192</v>
      </c>
      <c r="E76" s="14" t="n">
        <v>49</v>
      </c>
      <c r="F76" s="14" t="n">
        <v>23</v>
      </c>
      <c r="G76" s="14" t="n">
        <f aca="false">E76-F76</f>
        <v>26</v>
      </c>
      <c r="H76" s="15" t="n">
        <v>0.4694</v>
      </c>
    </row>
    <row r="77" customFormat="false" ht="15" hidden="false" customHeight="true" outlineLevel="0" collapsed="false">
      <c r="A77" s="13" t="n">
        <v>2025</v>
      </c>
      <c r="B77" s="13" t="s">
        <v>125</v>
      </c>
      <c r="C77" s="13" t="s">
        <v>192</v>
      </c>
      <c r="D77" s="13" t="s">
        <v>124</v>
      </c>
      <c r="E77" s="14" t="n">
        <v>6607</v>
      </c>
      <c r="F77" s="14" t="n">
        <v>3442</v>
      </c>
      <c r="G77" s="14" t="n">
        <f aca="false">E77-F77</f>
        <v>3165</v>
      </c>
      <c r="H77" s="15" t="n">
        <v>0.521</v>
      </c>
    </row>
    <row r="78" customFormat="false" ht="15" hidden="false" customHeight="true" outlineLevel="0" collapsed="false">
      <c r="A78" s="13" t="n">
        <v>2025</v>
      </c>
      <c r="B78" s="13" t="s">
        <v>125</v>
      </c>
      <c r="C78" s="13" t="s">
        <v>192</v>
      </c>
      <c r="D78" s="13" t="s">
        <v>122</v>
      </c>
      <c r="E78" s="14" t="n">
        <v>6064</v>
      </c>
      <c r="F78" s="14" t="n">
        <v>4376</v>
      </c>
      <c r="G78" s="14" t="n">
        <f aca="false">E78-F78</f>
        <v>1688</v>
      </c>
      <c r="H78" s="15" t="n">
        <v>0.7216</v>
      </c>
    </row>
    <row r="79" customFormat="false" ht="15" hidden="false" customHeight="true" outlineLevel="0" collapsed="false">
      <c r="A79" s="13" t="n">
        <v>2025</v>
      </c>
      <c r="B79" s="13" t="s">
        <v>125</v>
      </c>
      <c r="C79" s="13" t="s">
        <v>192</v>
      </c>
      <c r="D79" s="13" t="s">
        <v>192</v>
      </c>
      <c r="E79" s="14" t="n">
        <v>12671</v>
      </c>
      <c r="F79" s="14" t="n">
        <v>7818</v>
      </c>
      <c r="G79" s="14" t="n">
        <f aca="false">E79-F79</f>
        <v>4853</v>
      </c>
      <c r="H79" s="15" t="n">
        <v>0.617</v>
      </c>
    </row>
    <row r="80" customFormat="false" ht="15" hidden="false" customHeight="true" outlineLevel="0" collapsed="false">
      <c r="A80" s="13" t="n">
        <v>2025</v>
      </c>
      <c r="B80" s="13" t="s">
        <v>195</v>
      </c>
      <c r="C80" s="13" t="s">
        <v>137</v>
      </c>
      <c r="D80" s="13" t="s">
        <v>124</v>
      </c>
      <c r="E80" s="14" t="n">
        <v>28061</v>
      </c>
      <c r="F80" s="14" t="n">
        <v>18993</v>
      </c>
      <c r="G80" s="14" t="n">
        <f aca="false">E80-F80</f>
        <v>9068</v>
      </c>
      <c r="H80" s="15" t="n">
        <v>0.6768</v>
      </c>
    </row>
    <row r="81" customFormat="false" ht="15" hidden="false" customHeight="true" outlineLevel="0" collapsed="false">
      <c r="A81" s="13" t="n">
        <v>2025</v>
      </c>
      <c r="B81" s="13" t="s">
        <v>195</v>
      </c>
      <c r="C81" s="13" t="s">
        <v>137</v>
      </c>
      <c r="D81" s="13" t="s">
        <v>122</v>
      </c>
      <c r="E81" s="14" t="n">
        <v>28022</v>
      </c>
      <c r="F81" s="14" t="n">
        <v>22992</v>
      </c>
      <c r="G81" s="14" t="n">
        <f aca="false">E81-F81</f>
        <v>5030</v>
      </c>
      <c r="H81" s="15" t="n">
        <v>0.8205</v>
      </c>
    </row>
    <row r="82" customFormat="false" ht="15" hidden="false" customHeight="true" outlineLevel="0" collapsed="false">
      <c r="A82" s="13" t="n">
        <v>2025</v>
      </c>
      <c r="B82" s="13" t="s">
        <v>195</v>
      </c>
      <c r="C82" s="13" t="s">
        <v>137</v>
      </c>
      <c r="D82" s="13" t="s">
        <v>192</v>
      </c>
      <c r="E82" s="14" t="n">
        <v>56083</v>
      </c>
      <c r="F82" s="14" t="n">
        <v>41985</v>
      </c>
      <c r="G82" s="14" t="n">
        <f aca="false">E82-F82</f>
        <v>14098</v>
      </c>
      <c r="H82" s="15" t="n">
        <v>0.7486</v>
      </c>
    </row>
    <row r="83" customFormat="false" ht="15" hidden="false" customHeight="true" outlineLevel="0" collapsed="false">
      <c r="A83" s="13" t="n">
        <v>2026</v>
      </c>
      <c r="B83" s="13" t="s">
        <v>121</v>
      </c>
      <c r="C83" s="13" t="s">
        <v>123</v>
      </c>
      <c r="D83" s="13" t="s">
        <v>124</v>
      </c>
      <c r="E83" s="14" t="n">
        <v>7547</v>
      </c>
      <c r="F83" s="14" t="n">
        <v>5973</v>
      </c>
      <c r="G83" s="14" t="n">
        <f aca="false">E83-F83</f>
        <v>1574</v>
      </c>
      <c r="H83" s="15" t="n">
        <v>0.7914</v>
      </c>
    </row>
    <row r="84" customFormat="false" ht="15" hidden="false" customHeight="true" outlineLevel="0" collapsed="false">
      <c r="A84" s="13" t="n">
        <v>2026</v>
      </c>
      <c r="B84" s="13" t="s">
        <v>121</v>
      </c>
      <c r="C84" s="13" t="s">
        <v>123</v>
      </c>
      <c r="D84" s="13" t="s">
        <v>122</v>
      </c>
      <c r="E84" s="14" t="n">
        <v>13994</v>
      </c>
      <c r="F84" s="14" t="n">
        <v>11980</v>
      </c>
      <c r="G84" s="14" t="n">
        <f aca="false">E84-F84</f>
        <v>2014</v>
      </c>
      <c r="H84" s="15" t="n">
        <v>0.8561</v>
      </c>
    </row>
    <row r="85" customFormat="false" ht="15" hidden="false" customHeight="true" outlineLevel="0" collapsed="false">
      <c r="A85" s="13" t="n">
        <v>2026</v>
      </c>
      <c r="B85" s="13" t="s">
        <v>121</v>
      </c>
      <c r="C85" s="13" t="s">
        <v>123</v>
      </c>
      <c r="D85" s="13" t="s">
        <v>192</v>
      </c>
      <c r="E85" s="14" t="n">
        <v>21541</v>
      </c>
      <c r="F85" s="14" t="n">
        <v>17953</v>
      </c>
      <c r="G85" s="14" t="n">
        <f aca="false">E85-F85</f>
        <v>3588</v>
      </c>
      <c r="H85" s="15" t="n">
        <v>0.8334</v>
      </c>
    </row>
    <row r="86" customFormat="false" ht="15" hidden="false" customHeight="true" outlineLevel="0" collapsed="false">
      <c r="A86" s="13" t="n">
        <v>2026</v>
      </c>
      <c r="B86" s="13" t="s">
        <v>121</v>
      </c>
      <c r="C86" s="13" t="s">
        <v>126</v>
      </c>
      <c r="D86" s="13" t="s">
        <v>124</v>
      </c>
      <c r="E86" s="14" t="n">
        <v>1160</v>
      </c>
      <c r="F86" s="14" t="n">
        <v>901</v>
      </c>
      <c r="G86" s="14" t="n">
        <f aca="false">E86-F86</f>
        <v>259</v>
      </c>
      <c r="H86" s="15" t="n">
        <v>0.7767</v>
      </c>
    </row>
    <row r="87" customFormat="false" ht="15" hidden="false" customHeight="true" outlineLevel="0" collapsed="false">
      <c r="A87" s="13" t="n">
        <v>2026</v>
      </c>
      <c r="B87" s="13" t="s">
        <v>121</v>
      </c>
      <c r="C87" s="13" t="s">
        <v>126</v>
      </c>
      <c r="D87" s="13" t="s">
        <v>122</v>
      </c>
      <c r="E87" s="14" t="n">
        <v>377</v>
      </c>
      <c r="F87" s="14" t="n">
        <v>316</v>
      </c>
      <c r="G87" s="14" t="n">
        <f aca="false">E87-F87</f>
        <v>61</v>
      </c>
      <c r="H87" s="15" t="n">
        <v>0.8382</v>
      </c>
    </row>
    <row r="88" customFormat="false" ht="15" hidden="false" customHeight="true" outlineLevel="0" collapsed="false">
      <c r="A88" s="13" t="n">
        <v>2026</v>
      </c>
      <c r="B88" s="13" t="s">
        <v>121</v>
      </c>
      <c r="C88" s="13" t="s">
        <v>126</v>
      </c>
      <c r="D88" s="13" t="s">
        <v>192</v>
      </c>
      <c r="E88" s="14" t="n">
        <v>1537</v>
      </c>
      <c r="F88" s="14" t="n">
        <v>1217</v>
      </c>
      <c r="G88" s="14" t="n">
        <f aca="false">E88-F88</f>
        <v>320</v>
      </c>
      <c r="H88" s="15" t="n">
        <v>0.7918</v>
      </c>
    </row>
    <row r="89" customFormat="false" ht="15" hidden="false" customHeight="true" outlineLevel="0" collapsed="false">
      <c r="A89" s="13" t="n">
        <v>2026</v>
      </c>
      <c r="B89" s="13" t="s">
        <v>121</v>
      </c>
      <c r="C89" s="13" t="s">
        <v>128</v>
      </c>
      <c r="D89" s="13" t="s">
        <v>124</v>
      </c>
      <c r="E89" s="14" t="n">
        <v>5888</v>
      </c>
      <c r="F89" s="14" t="n">
        <v>3063</v>
      </c>
      <c r="G89" s="14" t="n">
        <f aca="false">E89-F89</f>
        <v>2825</v>
      </c>
      <c r="H89" s="15" t="n">
        <v>0.5202</v>
      </c>
    </row>
    <row r="90" customFormat="false" ht="15" hidden="false" customHeight="true" outlineLevel="0" collapsed="false">
      <c r="A90" s="13" t="n">
        <v>2026</v>
      </c>
      <c r="B90" s="13" t="s">
        <v>121</v>
      </c>
      <c r="C90" s="13" t="s">
        <v>128</v>
      </c>
      <c r="D90" s="13" t="s">
        <v>122</v>
      </c>
      <c r="E90" s="14" t="n">
        <v>5361</v>
      </c>
      <c r="F90" s="14" t="n">
        <v>4383</v>
      </c>
      <c r="G90" s="14" t="n">
        <f aca="false">E90-F90</f>
        <v>978</v>
      </c>
      <c r="H90" s="15" t="n">
        <v>0.8176</v>
      </c>
    </row>
    <row r="91" customFormat="false" ht="15" hidden="false" customHeight="true" outlineLevel="0" collapsed="false">
      <c r="A91" s="13" t="n">
        <v>2026</v>
      </c>
      <c r="B91" s="13" t="s">
        <v>121</v>
      </c>
      <c r="C91" s="13" t="s">
        <v>128</v>
      </c>
      <c r="D91" s="13" t="s">
        <v>192</v>
      </c>
      <c r="E91" s="14" t="n">
        <v>11249</v>
      </c>
      <c r="F91" s="14" t="n">
        <v>7446</v>
      </c>
      <c r="G91" s="14" t="n">
        <f aca="false">E91-F91</f>
        <v>3803</v>
      </c>
      <c r="H91" s="15" t="n">
        <v>0.6619</v>
      </c>
    </row>
    <row r="92" customFormat="false" ht="15" hidden="false" customHeight="true" outlineLevel="0" collapsed="false">
      <c r="A92" s="13" t="n">
        <v>2026</v>
      </c>
      <c r="B92" s="13" t="s">
        <v>121</v>
      </c>
      <c r="C92" s="13" t="s">
        <v>202</v>
      </c>
      <c r="D92" s="13" t="s">
        <v>124</v>
      </c>
      <c r="E92" s="14" t="n">
        <v>9325</v>
      </c>
      <c r="F92" s="14" t="n">
        <v>5911</v>
      </c>
      <c r="G92" s="14" t="n">
        <f aca="false">E92-F92</f>
        <v>3414</v>
      </c>
      <c r="H92" s="15" t="n">
        <v>0.6339</v>
      </c>
    </row>
    <row r="93" customFormat="false" ht="15" hidden="false" customHeight="true" outlineLevel="0" collapsed="false">
      <c r="A93" s="13" t="n">
        <v>2026</v>
      </c>
      <c r="B93" s="13" t="s">
        <v>121</v>
      </c>
      <c r="C93" s="13" t="s">
        <v>202</v>
      </c>
      <c r="D93" s="13" t="s">
        <v>122</v>
      </c>
      <c r="E93" s="14" t="n">
        <v>4924</v>
      </c>
      <c r="F93" s="14" t="n">
        <v>4041</v>
      </c>
      <c r="G93" s="14" t="n">
        <f aca="false">E93-F93</f>
        <v>883</v>
      </c>
      <c r="H93" s="15" t="n">
        <v>0.8207</v>
      </c>
    </row>
    <row r="94" customFormat="false" ht="15" hidden="false" customHeight="true" outlineLevel="0" collapsed="false">
      <c r="A94" s="13" t="n">
        <v>2026</v>
      </c>
      <c r="B94" s="13" t="s">
        <v>121</v>
      </c>
      <c r="C94" s="13" t="s">
        <v>202</v>
      </c>
      <c r="D94" s="13" t="s">
        <v>192</v>
      </c>
      <c r="E94" s="14" t="n">
        <v>14249</v>
      </c>
      <c r="F94" s="14" t="n">
        <v>9952</v>
      </c>
      <c r="G94" s="14" t="n">
        <f aca="false">E94-F94</f>
        <v>4297</v>
      </c>
      <c r="H94" s="15" t="n">
        <v>0.6984</v>
      </c>
    </row>
    <row r="95" customFormat="false" ht="15" hidden="false" customHeight="true" outlineLevel="0" collapsed="false">
      <c r="A95" s="13" t="n">
        <v>2026</v>
      </c>
      <c r="B95" s="13" t="s">
        <v>121</v>
      </c>
      <c r="C95" s="13" t="s">
        <v>203</v>
      </c>
      <c r="D95" s="13" t="s">
        <v>124</v>
      </c>
      <c r="E95" s="14" t="n">
        <v>71</v>
      </c>
      <c r="F95" s="14" t="n">
        <v>62</v>
      </c>
      <c r="G95" s="14" t="n">
        <f aca="false">E95-F95</f>
        <v>9</v>
      </c>
      <c r="H95" s="15" t="n">
        <v>0.8732</v>
      </c>
    </row>
    <row r="96" customFormat="false" ht="15" hidden="false" customHeight="true" outlineLevel="0" collapsed="false">
      <c r="A96" s="13" t="n">
        <v>2026</v>
      </c>
      <c r="B96" s="13" t="s">
        <v>121</v>
      </c>
      <c r="C96" s="13" t="s">
        <v>203</v>
      </c>
      <c r="D96" s="13" t="s">
        <v>122</v>
      </c>
      <c r="E96" s="14" t="n">
        <v>42</v>
      </c>
      <c r="F96" s="14" t="n">
        <v>39</v>
      </c>
      <c r="G96" s="14" t="n">
        <f aca="false">E96-F96</f>
        <v>3</v>
      </c>
      <c r="H96" s="15" t="n">
        <v>0.9286</v>
      </c>
    </row>
    <row r="97" customFormat="false" ht="15" hidden="false" customHeight="true" outlineLevel="0" collapsed="false">
      <c r="A97" s="13" t="n">
        <v>2026</v>
      </c>
      <c r="B97" s="13" t="s">
        <v>121</v>
      </c>
      <c r="C97" s="13" t="s">
        <v>203</v>
      </c>
      <c r="D97" s="13" t="s">
        <v>192</v>
      </c>
      <c r="E97" s="14" t="n">
        <v>113</v>
      </c>
      <c r="F97" s="14" t="n">
        <v>101</v>
      </c>
      <c r="G97" s="14" t="n">
        <f aca="false">E97-F97</f>
        <v>12</v>
      </c>
      <c r="H97" s="15" t="n">
        <v>0.8938</v>
      </c>
    </row>
    <row r="98" customFormat="false" ht="15" hidden="false" customHeight="true" outlineLevel="0" collapsed="false">
      <c r="A98" s="13" t="n">
        <v>2026</v>
      </c>
      <c r="B98" s="13" t="s">
        <v>121</v>
      </c>
      <c r="C98" s="13" t="s">
        <v>192</v>
      </c>
      <c r="D98" s="13" t="s">
        <v>124</v>
      </c>
      <c r="E98" s="14" t="n">
        <v>23991</v>
      </c>
      <c r="F98" s="14" t="n">
        <v>15910</v>
      </c>
      <c r="G98" s="14" t="n">
        <f aca="false">E98-F98</f>
        <v>8081</v>
      </c>
      <c r="H98" s="15" t="n">
        <v>0.6632</v>
      </c>
    </row>
    <row r="99" customFormat="false" ht="15" hidden="false" customHeight="true" outlineLevel="0" collapsed="false">
      <c r="A99" s="13" t="n">
        <v>2026</v>
      </c>
      <c r="B99" s="13" t="s">
        <v>121</v>
      </c>
      <c r="C99" s="13" t="s">
        <v>192</v>
      </c>
      <c r="D99" s="13" t="s">
        <v>122</v>
      </c>
      <c r="E99" s="14" t="n">
        <v>24698</v>
      </c>
      <c r="F99" s="14" t="n">
        <v>20759</v>
      </c>
      <c r="G99" s="14" t="n">
        <f aca="false">E99-F99</f>
        <v>3939</v>
      </c>
      <c r="H99" s="15" t="n">
        <v>0.8405</v>
      </c>
    </row>
    <row r="100" customFormat="false" ht="15" hidden="false" customHeight="true" outlineLevel="0" collapsed="false">
      <c r="A100" s="13" t="n">
        <v>2026</v>
      </c>
      <c r="B100" s="13" t="s">
        <v>121</v>
      </c>
      <c r="C100" s="13" t="s">
        <v>192</v>
      </c>
      <c r="D100" s="13" t="s">
        <v>192</v>
      </c>
      <c r="E100" s="14" t="n">
        <v>48689</v>
      </c>
      <c r="F100" s="14" t="n">
        <v>36669</v>
      </c>
      <c r="G100" s="14" t="n">
        <f aca="false">E100-F100</f>
        <v>12020</v>
      </c>
      <c r="H100" s="15" t="n">
        <v>0.7531</v>
      </c>
    </row>
    <row r="101" customFormat="false" ht="15" hidden="false" customHeight="true" outlineLevel="0" collapsed="false">
      <c r="A101" s="13" t="n">
        <v>2026</v>
      </c>
      <c r="B101" s="13" t="s">
        <v>125</v>
      </c>
      <c r="C101" s="13" t="s">
        <v>123</v>
      </c>
      <c r="D101" s="13" t="s">
        <v>124</v>
      </c>
      <c r="E101" s="14" t="n">
        <v>1383</v>
      </c>
      <c r="F101" s="14" t="n">
        <v>879</v>
      </c>
      <c r="G101" s="14" t="n">
        <f aca="false">E101-F101</f>
        <v>504</v>
      </c>
      <c r="H101" s="15" t="n">
        <v>0.6356</v>
      </c>
    </row>
    <row r="102" customFormat="false" ht="15" hidden="false" customHeight="true" outlineLevel="0" collapsed="false">
      <c r="A102" s="13" t="n">
        <v>2026</v>
      </c>
      <c r="B102" s="13" t="s">
        <v>125</v>
      </c>
      <c r="C102" s="13" t="s">
        <v>123</v>
      </c>
      <c r="D102" s="13" t="s">
        <v>122</v>
      </c>
      <c r="E102" s="14" t="n">
        <v>2235</v>
      </c>
      <c r="F102" s="14" t="n">
        <v>1702</v>
      </c>
      <c r="G102" s="14" t="n">
        <f aca="false">E102-F102</f>
        <v>533</v>
      </c>
      <c r="H102" s="15" t="n">
        <v>0.7615</v>
      </c>
    </row>
    <row r="103" customFormat="false" ht="15" hidden="false" customHeight="true" outlineLevel="0" collapsed="false">
      <c r="A103" s="13" t="n">
        <v>2026</v>
      </c>
      <c r="B103" s="13" t="s">
        <v>125</v>
      </c>
      <c r="C103" s="13" t="s">
        <v>123</v>
      </c>
      <c r="D103" s="13" t="s">
        <v>192</v>
      </c>
      <c r="E103" s="14" t="n">
        <v>3618</v>
      </c>
      <c r="F103" s="14" t="n">
        <v>2581</v>
      </c>
      <c r="G103" s="14" t="n">
        <f aca="false">E103-F103</f>
        <v>1037</v>
      </c>
      <c r="H103" s="15" t="n">
        <v>0.7134</v>
      </c>
    </row>
    <row r="104" customFormat="false" ht="15" hidden="false" customHeight="true" outlineLevel="0" collapsed="false">
      <c r="A104" s="13" t="n">
        <v>2026</v>
      </c>
      <c r="B104" s="13" t="s">
        <v>125</v>
      </c>
      <c r="C104" s="13" t="s">
        <v>126</v>
      </c>
      <c r="D104" s="13" t="s">
        <v>124</v>
      </c>
      <c r="E104" s="14" t="n">
        <v>198</v>
      </c>
      <c r="F104" s="14" t="n">
        <v>88</v>
      </c>
      <c r="G104" s="14" t="n">
        <f aca="false">E104-F104</f>
        <v>110</v>
      </c>
      <c r="H104" s="15" t="n">
        <v>0.4444</v>
      </c>
    </row>
    <row r="105" customFormat="false" ht="15" hidden="false" customHeight="true" outlineLevel="0" collapsed="false">
      <c r="A105" s="13" t="n">
        <v>2026</v>
      </c>
      <c r="B105" s="13" t="s">
        <v>125</v>
      </c>
      <c r="C105" s="13" t="s">
        <v>126</v>
      </c>
      <c r="D105" s="13" t="s">
        <v>122</v>
      </c>
      <c r="E105" s="14" t="n">
        <v>73</v>
      </c>
      <c r="F105" s="14" t="n">
        <v>37</v>
      </c>
      <c r="G105" s="14" t="n">
        <f aca="false">E105-F105</f>
        <v>36</v>
      </c>
      <c r="H105" s="15" t="n">
        <v>0.5068</v>
      </c>
    </row>
    <row r="106" customFormat="false" ht="15" hidden="false" customHeight="true" outlineLevel="0" collapsed="false">
      <c r="A106" s="13" t="n">
        <v>2026</v>
      </c>
      <c r="B106" s="13" t="s">
        <v>125</v>
      </c>
      <c r="C106" s="13" t="s">
        <v>126</v>
      </c>
      <c r="D106" s="13" t="s">
        <v>192</v>
      </c>
      <c r="E106" s="14" t="n">
        <v>271</v>
      </c>
      <c r="F106" s="14" t="n">
        <v>125</v>
      </c>
      <c r="G106" s="14" t="n">
        <f aca="false">E106-F106</f>
        <v>146</v>
      </c>
      <c r="H106" s="15" t="n">
        <v>0.4613</v>
      </c>
    </row>
    <row r="107" customFormat="false" ht="15" hidden="false" customHeight="true" outlineLevel="0" collapsed="false">
      <c r="A107" s="13" t="n">
        <v>2026</v>
      </c>
      <c r="B107" s="13" t="s">
        <v>125</v>
      </c>
      <c r="C107" s="13" t="s">
        <v>128</v>
      </c>
      <c r="D107" s="13" t="s">
        <v>124</v>
      </c>
      <c r="E107" s="14" t="n">
        <v>3343</v>
      </c>
      <c r="F107" s="14" t="n">
        <v>1869</v>
      </c>
      <c r="G107" s="14" t="n">
        <f aca="false">E107-F107</f>
        <v>1474</v>
      </c>
      <c r="H107" s="15" t="n">
        <v>0.5591</v>
      </c>
    </row>
    <row r="108" customFormat="false" ht="15" hidden="false" customHeight="true" outlineLevel="0" collapsed="false">
      <c r="A108" s="13" t="n">
        <v>2026</v>
      </c>
      <c r="B108" s="13" t="s">
        <v>125</v>
      </c>
      <c r="C108" s="13" t="s">
        <v>128</v>
      </c>
      <c r="D108" s="13" t="s">
        <v>122</v>
      </c>
      <c r="E108" s="14" t="n">
        <v>2230</v>
      </c>
      <c r="F108" s="14" t="n">
        <v>1710</v>
      </c>
      <c r="G108" s="14" t="n">
        <f aca="false">E108-F108</f>
        <v>520</v>
      </c>
      <c r="H108" s="15" t="n">
        <v>0.7668</v>
      </c>
    </row>
    <row r="109" customFormat="false" ht="15" hidden="false" customHeight="true" outlineLevel="0" collapsed="false">
      <c r="A109" s="13" t="n">
        <v>2026</v>
      </c>
      <c r="B109" s="13" t="s">
        <v>125</v>
      </c>
      <c r="C109" s="13" t="s">
        <v>128</v>
      </c>
      <c r="D109" s="13" t="s">
        <v>192</v>
      </c>
      <c r="E109" s="14" t="n">
        <v>5573</v>
      </c>
      <c r="F109" s="14" t="n">
        <v>3579</v>
      </c>
      <c r="G109" s="14" t="n">
        <f aca="false">E109-F109</f>
        <v>1994</v>
      </c>
      <c r="H109" s="15" t="n">
        <v>0.6422</v>
      </c>
    </row>
    <row r="110" customFormat="false" ht="15" hidden="false" customHeight="true" outlineLevel="0" collapsed="false">
      <c r="A110" s="13" t="n">
        <v>2026</v>
      </c>
      <c r="B110" s="13" t="s">
        <v>125</v>
      </c>
      <c r="C110" s="13" t="s">
        <v>202</v>
      </c>
      <c r="D110" s="13" t="s">
        <v>124</v>
      </c>
      <c r="E110" s="14" t="n">
        <v>840</v>
      </c>
      <c r="F110" s="14" t="n">
        <v>251</v>
      </c>
      <c r="G110" s="14" t="n">
        <f aca="false">E110-F110</f>
        <v>589</v>
      </c>
      <c r="H110" s="15" t="n">
        <v>0.2988</v>
      </c>
    </row>
    <row r="111" customFormat="false" ht="15" hidden="false" customHeight="true" outlineLevel="0" collapsed="false">
      <c r="A111" s="13" t="n">
        <v>2026</v>
      </c>
      <c r="B111" s="13" t="s">
        <v>125</v>
      </c>
      <c r="C111" s="13" t="s">
        <v>202</v>
      </c>
      <c r="D111" s="13" t="s">
        <v>122</v>
      </c>
      <c r="E111" s="14" t="n">
        <v>203</v>
      </c>
      <c r="F111" s="14" t="n">
        <v>92</v>
      </c>
      <c r="G111" s="14" t="n">
        <f aca="false">E111-F111</f>
        <v>111</v>
      </c>
      <c r="H111" s="15" t="n">
        <v>0.4532</v>
      </c>
    </row>
    <row r="112" customFormat="false" ht="15" hidden="false" customHeight="true" outlineLevel="0" collapsed="false">
      <c r="A112" s="13" t="n">
        <v>2026</v>
      </c>
      <c r="B112" s="13" t="s">
        <v>125</v>
      </c>
      <c r="C112" s="13" t="s">
        <v>202</v>
      </c>
      <c r="D112" s="13" t="s">
        <v>192</v>
      </c>
      <c r="E112" s="14" t="n">
        <v>1043</v>
      </c>
      <c r="F112" s="14" t="n">
        <v>343</v>
      </c>
      <c r="G112" s="14" t="n">
        <f aca="false">E112-F112</f>
        <v>700</v>
      </c>
      <c r="H112" s="15" t="n">
        <v>0.3289</v>
      </c>
    </row>
    <row r="113" customFormat="false" ht="15" hidden="false" customHeight="true" outlineLevel="0" collapsed="false">
      <c r="A113" s="13" t="n">
        <v>2026</v>
      </c>
      <c r="B113" s="13" t="s">
        <v>125</v>
      </c>
      <c r="C113" s="13" t="s">
        <v>203</v>
      </c>
      <c r="D113" s="13" t="s">
        <v>124</v>
      </c>
      <c r="E113" s="14" t="n">
        <v>39</v>
      </c>
      <c r="F113" s="14" t="n">
        <v>26</v>
      </c>
      <c r="G113" s="14" t="n">
        <f aca="false">E113-F113</f>
        <v>13</v>
      </c>
      <c r="H113" s="15" t="n">
        <v>0.6667</v>
      </c>
    </row>
    <row r="114" customFormat="false" ht="15" hidden="false" customHeight="true" outlineLevel="0" collapsed="false">
      <c r="A114" s="13" t="n">
        <v>2026</v>
      </c>
      <c r="B114" s="13" t="s">
        <v>125</v>
      </c>
      <c r="C114" s="13" t="s">
        <v>203</v>
      </c>
      <c r="D114" s="13" t="s">
        <v>122</v>
      </c>
      <c r="E114" s="14" t="n">
        <v>10</v>
      </c>
      <c r="F114" s="14" t="n">
        <v>9</v>
      </c>
      <c r="G114" s="14" t="n">
        <f aca="false">E114-F114</f>
        <v>1</v>
      </c>
      <c r="H114" s="15" t="n">
        <v>0.9</v>
      </c>
    </row>
    <row r="115" customFormat="false" ht="15" hidden="false" customHeight="true" outlineLevel="0" collapsed="false">
      <c r="A115" s="13" t="n">
        <v>2026</v>
      </c>
      <c r="B115" s="13" t="s">
        <v>125</v>
      </c>
      <c r="C115" s="13" t="s">
        <v>203</v>
      </c>
      <c r="D115" s="13" t="s">
        <v>192</v>
      </c>
      <c r="E115" s="14" t="n">
        <v>49</v>
      </c>
      <c r="F115" s="14" t="n">
        <v>35</v>
      </c>
      <c r="G115" s="14" t="n">
        <f aca="false">E115-F115</f>
        <v>14</v>
      </c>
      <c r="H115" s="15" t="n">
        <v>0.7143</v>
      </c>
    </row>
    <row r="116" customFormat="false" ht="15" hidden="false" customHeight="true" outlineLevel="0" collapsed="false">
      <c r="A116" s="13" t="n">
        <v>2026</v>
      </c>
      <c r="B116" s="13" t="s">
        <v>125</v>
      </c>
      <c r="C116" s="13" t="s">
        <v>192</v>
      </c>
      <c r="D116" s="13" t="s">
        <v>124</v>
      </c>
      <c r="E116" s="14" t="n">
        <v>5803</v>
      </c>
      <c r="F116" s="14" t="n">
        <v>3113</v>
      </c>
      <c r="G116" s="14" t="n">
        <f aca="false">E116-F116</f>
        <v>2690</v>
      </c>
      <c r="H116" s="15" t="n">
        <v>0.5364</v>
      </c>
    </row>
    <row r="117" customFormat="false" ht="15" hidden="false" customHeight="true" outlineLevel="0" collapsed="false">
      <c r="A117" s="13" t="n">
        <v>2026</v>
      </c>
      <c r="B117" s="13" t="s">
        <v>125</v>
      </c>
      <c r="C117" s="13" t="s">
        <v>192</v>
      </c>
      <c r="D117" s="13" t="s">
        <v>122</v>
      </c>
      <c r="E117" s="14" t="n">
        <v>4751</v>
      </c>
      <c r="F117" s="14" t="n">
        <v>3550</v>
      </c>
      <c r="G117" s="14" t="n">
        <f aca="false">E117-F117</f>
        <v>1201</v>
      </c>
      <c r="H117" s="15" t="n">
        <v>0.7472</v>
      </c>
    </row>
    <row r="118" customFormat="false" ht="15" hidden="false" customHeight="true" outlineLevel="0" collapsed="false">
      <c r="A118" s="13" t="n">
        <v>2026</v>
      </c>
      <c r="B118" s="13" t="s">
        <v>125</v>
      </c>
      <c r="C118" s="13" t="s">
        <v>192</v>
      </c>
      <c r="D118" s="13" t="s">
        <v>192</v>
      </c>
      <c r="E118" s="14" t="n">
        <v>10554</v>
      </c>
      <c r="F118" s="14" t="n">
        <v>6663</v>
      </c>
      <c r="G118" s="14" t="n">
        <f aca="false">E118-F118</f>
        <v>3891</v>
      </c>
      <c r="H118" s="15" t="n">
        <v>0.6313</v>
      </c>
    </row>
    <row r="119" customFormat="false" ht="15" hidden="false" customHeight="true" outlineLevel="0" collapsed="false">
      <c r="A119" s="13" t="n">
        <v>2026</v>
      </c>
      <c r="B119" s="13" t="s">
        <v>195</v>
      </c>
      <c r="C119" s="13" t="s">
        <v>137</v>
      </c>
      <c r="D119" s="13" t="s">
        <v>124</v>
      </c>
      <c r="E119" s="14" t="n">
        <v>29794</v>
      </c>
      <c r="F119" s="14" t="n">
        <v>19023</v>
      </c>
      <c r="G119" s="14" t="n">
        <f aca="false">E119-F119</f>
        <v>10771</v>
      </c>
      <c r="H119" s="15" t="n">
        <v>0.6385</v>
      </c>
    </row>
    <row r="120" customFormat="false" ht="15" hidden="false" customHeight="true" outlineLevel="0" collapsed="false">
      <c r="A120" s="13" t="n">
        <v>2026</v>
      </c>
      <c r="B120" s="13" t="s">
        <v>195</v>
      </c>
      <c r="C120" s="13" t="s">
        <v>137</v>
      </c>
      <c r="D120" s="13" t="s">
        <v>122</v>
      </c>
      <c r="E120" s="14" t="n">
        <v>29449</v>
      </c>
      <c r="F120" s="14" t="n">
        <v>24309</v>
      </c>
      <c r="G120" s="14" t="n">
        <f aca="false">E120-F120</f>
        <v>5140</v>
      </c>
      <c r="H120" s="15" t="n">
        <v>0.8255</v>
      </c>
    </row>
    <row r="121" customFormat="false" ht="15" hidden="false" customHeight="true" outlineLevel="0" collapsed="false">
      <c r="A121" s="13" t="n">
        <v>2026</v>
      </c>
      <c r="B121" s="13" t="s">
        <v>195</v>
      </c>
      <c r="C121" s="13" t="s">
        <v>137</v>
      </c>
      <c r="D121" s="13" t="s">
        <v>192</v>
      </c>
      <c r="E121" s="14" t="n">
        <v>59243</v>
      </c>
      <c r="F121" s="14" t="n">
        <v>43332</v>
      </c>
      <c r="G121" s="14" t="n">
        <f aca="false">E121-F121</f>
        <v>15911</v>
      </c>
      <c r="H121" s="15" t="n">
        <v>0.7314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4"/>
    <col collapsed="false" customWidth="true" hidden="false" outlineLevel="0" max="2" min="2" style="13" width="28"/>
    <col collapsed="false" customWidth="true" hidden="false" outlineLevel="0" max="8" min="3" style="13" width="14"/>
  </cols>
  <sheetData>
    <row r="1" customFormat="false" ht="15" hidden="false" customHeight="true" outlineLevel="0" collapsed="false">
      <c r="A1" s="13" t="s">
        <v>378</v>
      </c>
    </row>
    <row r="2" customFormat="false" ht="15" hidden="false" customHeight="true" outlineLevel="0" collapsed="false">
      <c r="A2" s="13" t="s">
        <v>379</v>
      </c>
    </row>
    <row r="4" customFormat="false" ht="15" hidden="false" customHeight="true" outlineLevel="0" collapsed="false">
      <c r="A4" s="13" t="s">
        <v>3</v>
      </c>
      <c r="B4" s="13" t="s">
        <v>114</v>
      </c>
      <c r="C4" s="13" t="s">
        <v>211</v>
      </c>
      <c r="D4" s="13" t="s">
        <v>212</v>
      </c>
      <c r="E4" s="13" t="s">
        <v>380</v>
      </c>
      <c r="F4" s="13" t="s">
        <v>214</v>
      </c>
      <c r="G4" s="13" t="s">
        <v>215</v>
      </c>
      <c r="H4" s="13" t="s">
        <v>381</v>
      </c>
    </row>
    <row r="5" customFormat="false" ht="15" hidden="false" customHeight="true" outlineLevel="0" collapsed="false">
      <c r="A5" s="13" t="n">
        <v>2024</v>
      </c>
      <c r="B5" s="13" t="s">
        <v>123</v>
      </c>
      <c r="C5" s="14" t="n">
        <v>13746</v>
      </c>
      <c r="D5" s="14" t="n">
        <v>10796</v>
      </c>
      <c r="E5" s="15" t="n">
        <v>0.7854</v>
      </c>
      <c r="F5" s="14" t="n">
        <v>17474</v>
      </c>
      <c r="G5" s="14" t="n">
        <v>14320</v>
      </c>
      <c r="H5" s="15" t="n">
        <v>0.8195</v>
      </c>
    </row>
    <row r="6" customFormat="false" ht="15" hidden="false" customHeight="true" outlineLevel="0" collapsed="false">
      <c r="A6" s="13" t="n">
        <v>2024</v>
      </c>
      <c r="B6" s="13" t="s">
        <v>126</v>
      </c>
      <c r="C6" s="14" t="n">
        <v>2121</v>
      </c>
      <c r="D6" s="14" t="n">
        <v>1521</v>
      </c>
      <c r="E6" s="15" t="n">
        <v>0.7171</v>
      </c>
      <c r="F6" s="14" t="n">
        <v>803</v>
      </c>
      <c r="G6" s="14" t="n">
        <v>595</v>
      </c>
      <c r="H6" s="15" t="n">
        <v>0.741</v>
      </c>
    </row>
    <row r="7" customFormat="false" ht="15" hidden="false" customHeight="true" outlineLevel="0" collapsed="false">
      <c r="A7" s="13" t="n">
        <v>2024</v>
      </c>
      <c r="B7" s="13" t="s">
        <v>382</v>
      </c>
      <c r="C7" s="14" t="n">
        <v>9858</v>
      </c>
      <c r="D7" s="14" t="n">
        <v>4617</v>
      </c>
      <c r="E7" s="15" t="n">
        <v>0.4684</v>
      </c>
      <c r="F7" s="14" t="n">
        <v>7522</v>
      </c>
      <c r="G7" s="14" t="n">
        <v>5104</v>
      </c>
      <c r="H7" s="15" t="n">
        <v>0.6785</v>
      </c>
    </row>
    <row r="8" customFormat="false" ht="15" hidden="false" customHeight="true" outlineLevel="0" collapsed="false">
      <c r="A8" s="13" t="n">
        <v>2024</v>
      </c>
      <c r="B8" s="13" t="s">
        <v>202</v>
      </c>
      <c r="C8" s="14" t="n">
        <v>6085</v>
      </c>
      <c r="D8" s="14" t="n">
        <v>3624</v>
      </c>
      <c r="E8" s="15" t="n">
        <v>0.5956</v>
      </c>
      <c r="F8" s="14" t="n">
        <v>2493</v>
      </c>
      <c r="G8" s="14" t="n">
        <v>1764</v>
      </c>
      <c r="H8" s="15" t="n">
        <v>0.7076</v>
      </c>
    </row>
    <row r="9" customFormat="false" ht="15" hidden="false" customHeight="true" outlineLevel="0" collapsed="false">
      <c r="A9" s="13" t="n">
        <v>2025</v>
      </c>
      <c r="B9" s="13" t="s">
        <v>123</v>
      </c>
      <c r="C9" s="14" t="n">
        <v>9954</v>
      </c>
      <c r="D9" s="14" t="n">
        <v>8053</v>
      </c>
      <c r="E9" s="15" t="n">
        <v>0.809</v>
      </c>
      <c r="F9" s="14" t="n">
        <v>15899</v>
      </c>
      <c r="G9" s="14" t="n">
        <v>13533</v>
      </c>
      <c r="H9" s="15" t="n">
        <v>0.8512</v>
      </c>
    </row>
    <row r="10" customFormat="false" ht="15" hidden="false" customHeight="true" outlineLevel="0" collapsed="false">
      <c r="A10" s="13" t="n">
        <v>2025</v>
      </c>
      <c r="B10" s="13" t="s">
        <v>126</v>
      </c>
      <c r="C10" s="14" t="n">
        <v>1615</v>
      </c>
      <c r="D10" s="14" t="n">
        <v>1267</v>
      </c>
      <c r="E10" s="15" t="n">
        <v>0.7845</v>
      </c>
      <c r="F10" s="14" t="n">
        <v>677</v>
      </c>
      <c r="G10" s="14" t="n">
        <v>533</v>
      </c>
      <c r="H10" s="15" t="n">
        <v>0.7873</v>
      </c>
    </row>
    <row r="11" customFormat="false" ht="15" hidden="false" customHeight="true" outlineLevel="0" collapsed="false">
      <c r="A11" s="13" t="n">
        <v>2025</v>
      </c>
      <c r="B11" s="13" t="s">
        <v>382</v>
      </c>
      <c r="C11" s="14" t="n">
        <v>8658</v>
      </c>
      <c r="D11" s="14" t="n">
        <v>4271</v>
      </c>
      <c r="E11" s="15" t="n">
        <v>0.4933</v>
      </c>
      <c r="F11" s="14" t="n">
        <v>7502</v>
      </c>
      <c r="G11" s="14" t="n">
        <v>5650</v>
      </c>
      <c r="H11" s="15" t="n">
        <v>0.7531</v>
      </c>
    </row>
    <row r="12" customFormat="false" ht="15" hidden="false" customHeight="true" outlineLevel="0" collapsed="false">
      <c r="A12" s="13" t="n">
        <v>2025</v>
      </c>
      <c r="B12" s="13" t="s">
        <v>202</v>
      </c>
      <c r="C12" s="14" t="n">
        <v>7834</v>
      </c>
      <c r="D12" s="14" t="n">
        <v>5402</v>
      </c>
      <c r="E12" s="15" t="n">
        <v>0.6896</v>
      </c>
      <c r="F12" s="14" t="n">
        <v>3944</v>
      </c>
      <c r="G12" s="14" t="n">
        <v>3276</v>
      </c>
      <c r="H12" s="15" t="n">
        <v>0.8306</v>
      </c>
    </row>
    <row r="13" customFormat="false" ht="15" hidden="false" customHeight="true" outlineLevel="0" collapsed="false">
      <c r="A13" s="13" t="n">
        <v>2026</v>
      </c>
      <c r="B13" s="13" t="s">
        <v>123</v>
      </c>
      <c r="C13" s="14" t="n">
        <v>8930</v>
      </c>
      <c r="D13" s="14" t="n">
        <v>6852</v>
      </c>
      <c r="E13" s="15" t="n">
        <v>0.7673</v>
      </c>
      <c r="F13" s="14" t="n">
        <v>16229</v>
      </c>
      <c r="G13" s="14" t="n">
        <v>13682</v>
      </c>
      <c r="H13" s="15" t="n">
        <v>0.8431</v>
      </c>
    </row>
    <row r="14" customFormat="false" ht="15" hidden="false" customHeight="true" outlineLevel="0" collapsed="false">
      <c r="A14" s="13" t="n">
        <v>2026</v>
      </c>
      <c r="B14" s="13" t="s">
        <v>126</v>
      </c>
      <c r="C14" s="14" t="n">
        <v>1358</v>
      </c>
      <c r="D14" s="14" t="n">
        <v>989</v>
      </c>
      <c r="E14" s="15" t="n">
        <v>0.7283</v>
      </c>
      <c r="F14" s="14" t="n">
        <v>450</v>
      </c>
      <c r="G14" s="14" t="n">
        <v>353</v>
      </c>
      <c r="H14" s="15" t="n">
        <v>0.7844</v>
      </c>
    </row>
    <row r="15" customFormat="false" ht="15" hidden="false" customHeight="true" outlineLevel="0" collapsed="false">
      <c r="A15" s="13" t="n">
        <v>2026</v>
      </c>
      <c r="B15" s="13" t="s">
        <v>382</v>
      </c>
      <c r="C15" s="14" t="n">
        <v>9341</v>
      </c>
      <c r="D15" s="14" t="n">
        <v>5020</v>
      </c>
      <c r="E15" s="15" t="n">
        <v>0.5374</v>
      </c>
      <c r="F15" s="14" t="n">
        <v>7643</v>
      </c>
      <c r="G15" s="14" t="n">
        <v>6141</v>
      </c>
      <c r="H15" s="15" t="n">
        <v>0.8035</v>
      </c>
    </row>
    <row r="16" customFormat="false" ht="15" hidden="false" customHeight="true" outlineLevel="0" collapsed="false">
      <c r="A16" s="13" t="n">
        <v>2026</v>
      </c>
      <c r="B16" s="13" t="s">
        <v>202</v>
      </c>
      <c r="C16" s="14" t="n">
        <v>10165</v>
      </c>
      <c r="D16" s="14" t="n">
        <v>6162</v>
      </c>
      <c r="E16" s="15" t="n">
        <v>0.6062</v>
      </c>
      <c r="F16" s="14" t="n">
        <v>5127</v>
      </c>
      <c r="G16" s="14" t="n">
        <v>4133</v>
      </c>
      <c r="H16" s="15" t="n">
        <v>0.8061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6" min="2" style="13" width="14"/>
  </cols>
  <sheetData>
    <row r="1" customFormat="false" ht="15" hidden="false" customHeight="true" outlineLevel="0" collapsed="false">
      <c r="A1" s="13" t="s">
        <v>383</v>
      </c>
    </row>
    <row r="2" customFormat="false" ht="15" hidden="false" customHeight="true" outlineLevel="0" collapsed="false">
      <c r="A2" s="13" t="s">
        <v>384</v>
      </c>
    </row>
    <row r="4" customFormat="false" ht="15" hidden="false" customHeight="true" outlineLevel="0" collapsed="false">
      <c r="A4" s="13" t="s">
        <v>210</v>
      </c>
      <c r="B4" s="13" t="s">
        <v>3</v>
      </c>
      <c r="C4" s="13" t="s">
        <v>4</v>
      </c>
      <c r="D4" s="13" t="s">
        <v>5</v>
      </c>
      <c r="E4" s="13" t="s">
        <v>374</v>
      </c>
      <c r="F4" s="13" t="s">
        <v>6</v>
      </c>
    </row>
    <row r="5" customFormat="false" ht="15" hidden="false" customHeight="true" outlineLevel="0" collapsed="false">
      <c r="A5" s="13" t="s">
        <v>385</v>
      </c>
      <c r="B5" s="13" t="n">
        <v>2024</v>
      </c>
      <c r="C5" s="14" t="n">
        <v>9151</v>
      </c>
      <c r="D5" s="14" t="n">
        <v>7038</v>
      </c>
      <c r="E5" s="14" t="n">
        <f aca="false">C5-D5</f>
        <v>2113</v>
      </c>
      <c r="F5" s="15" t="n">
        <v>0.7691</v>
      </c>
    </row>
    <row r="6" customFormat="false" ht="15" hidden="false" customHeight="true" outlineLevel="0" collapsed="false">
      <c r="A6" s="13" t="s">
        <v>386</v>
      </c>
      <c r="B6" s="13" t="n">
        <v>2024</v>
      </c>
      <c r="C6" s="14" t="n">
        <v>16268</v>
      </c>
      <c r="D6" s="14" t="n">
        <v>12367</v>
      </c>
      <c r="E6" s="14" t="n">
        <f aca="false">C6-D6</f>
        <v>3901</v>
      </c>
      <c r="F6" s="15" t="n">
        <v>0.7602</v>
      </c>
    </row>
    <row r="7" customFormat="false" ht="15" hidden="false" customHeight="true" outlineLevel="0" collapsed="false">
      <c r="A7" s="13" t="s">
        <v>387</v>
      </c>
      <c r="B7" s="13" t="n">
        <v>2024</v>
      </c>
      <c r="C7" s="14" t="n">
        <v>13232</v>
      </c>
      <c r="D7" s="14" t="n">
        <v>8756</v>
      </c>
      <c r="E7" s="14" t="n">
        <f aca="false">C7-D7</f>
        <v>4476</v>
      </c>
      <c r="F7" s="15" t="n">
        <v>0.6617</v>
      </c>
    </row>
    <row r="8" customFormat="false" ht="15" hidden="false" customHeight="true" outlineLevel="0" collapsed="false">
      <c r="A8" s="13" t="s">
        <v>388</v>
      </c>
      <c r="B8" s="13" t="n">
        <v>2024</v>
      </c>
      <c r="C8" s="14" t="n">
        <v>7985</v>
      </c>
      <c r="D8" s="14" t="n">
        <v>5280</v>
      </c>
      <c r="E8" s="14" t="n">
        <f aca="false">C8-D8</f>
        <v>2705</v>
      </c>
      <c r="F8" s="15" t="n">
        <v>0.6612</v>
      </c>
    </row>
    <row r="9" customFormat="false" ht="15" hidden="false" customHeight="true" outlineLevel="0" collapsed="false">
      <c r="A9" s="13" t="s">
        <v>389</v>
      </c>
      <c r="B9" s="13" t="n">
        <v>2024</v>
      </c>
      <c r="C9" s="14" t="n">
        <v>13466</v>
      </c>
      <c r="D9" s="14" t="n">
        <v>8900</v>
      </c>
      <c r="E9" s="14" t="n">
        <f aca="false">C9-D9</f>
        <v>4566</v>
      </c>
      <c r="F9" s="15" t="n">
        <v>0.6609</v>
      </c>
    </row>
    <row r="10" customFormat="false" ht="15" hidden="false" customHeight="true" outlineLevel="0" collapsed="false">
      <c r="A10" s="13" t="s">
        <v>385</v>
      </c>
      <c r="B10" s="13" t="n">
        <v>2025</v>
      </c>
      <c r="C10" s="14" t="n">
        <v>8260</v>
      </c>
      <c r="D10" s="14" t="n">
        <v>6528</v>
      </c>
      <c r="E10" s="14" t="n">
        <f aca="false">C10-D10</f>
        <v>1732</v>
      </c>
      <c r="F10" s="15" t="n">
        <v>0.7903</v>
      </c>
    </row>
    <row r="11" customFormat="false" ht="15" hidden="false" customHeight="true" outlineLevel="0" collapsed="false">
      <c r="A11" s="13" t="s">
        <v>386</v>
      </c>
      <c r="B11" s="13" t="n">
        <v>2025</v>
      </c>
      <c r="C11" s="14" t="n">
        <v>15664</v>
      </c>
      <c r="D11" s="14" t="n">
        <v>12254</v>
      </c>
      <c r="E11" s="14" t="n">
        <f aca="false">C11-D11</f>
        <v>3410</v>
      </c>
      <c r="F11" s="15" t="n">
        <v>0.7823</v>
      </c>
    </row>
    <row r="12" customFormat="false" ht="15" hidden="false" customHeight="true" outlineLevel="0" collapsed="false">
      <c r="A12" s="13" t="s">
        <v>390</v>
      </c>
      <c r="B12" s="13" t="n">
        <v>2025</v>
      </c>
      <c r="C12" s="14" t="n">
        <v>4451</v>
      </c>
      <c r="D12" s="14" t="n">
        <v>3410</v>
      </c>
      <c r="E12" s="14" t="n">
        <f aca="false">C12-D12</f>
        <v>1041</v>
      </c>
      <c r="F12" s="15" t="n">
        <v>0.7661</v>
      </c>
    </row>
    <row r="13" customFormat="false" ht="15" hidden="false" customHeight="true" outlineLevel="0" collapsed="false">
      <c r="A13" s="13" t="s">
        <v>387</v>
      </c>
      <c r="B13" s="13" t="n">
        <v>2025</v>
      </c>
      <c r="C13" s="14" t="n">
        <v>12579</v>
      </c>
      <c r="D13" s="14" t="n">
        <v>9316</v>
      </c>
      <c r="E13" s="14" t="n">
        <f aca="false">C13-D13</f>
        <v>3263</v>
      </c>
      <c r="F13" s="15" t="n">
        <v>0.7406</v>
      </c>
    </row>
    <row r="14" customFormat="false" ht="15" hidden="false" customHeight="true" outlineLevel="0" collapsed="false">
      <c r="A14" s="13" t="s">
        <v>389</v>
      </c>
      <c r="B14" s="13" t="n">
        <v>2025</v>
      </c>
      <c r="C14" s="14" t="n">
        <v>8182</v>
      </c>
      <c r="D14" s="14" t="n">
        <v>5755</v>
      </c>
      <c r="E14" s="14" t="n">
        <f aca="false">C14-D14</f>
        <v>2427</v>
      </c>
      <c r="F14" s="15" t="n">
        <v>0.7034</v>
      </c>
    </row>
    <row r="15" customFormat="false" ht="15" hidden="false" customHeight="true" outlineLevel="0" collapsed="false">
      <c r="A15" s="13" t="s">
        <v>388</v>
      </c>
      <c r="B15" s="13" t="n">
        <v>2025</v>
      </c>
      <c r="C15" s="14" t="n">
        <v>6947</v>
      </c>
      <c r="D15" s="14" t="n">
        <v>4722</v>
      </c>
      <c r="E15" s="14" t="n">
        <f aca="false">C15-D15</f>
        <v>2225</v>
      </c>
      <c r="F15" s="15" t="n">
        <v>0.6797</v>
      </c>
    </row>
    <row r="16" customFormat="false" ht="15" hidden="false" customHeight="true" outlineLevel="0" collapsed="false">
      <c r="A16" s="13" t="s">
        <v>385</v>
      </c>
      <c r="B16" s="13" t="n">
        <v>2026</v>
      </c>
      <c r="C16" s="14" t="n">
        <v>8601</v>
      </c>
      <c r="D16" s="14" t="n">
        <v>6650</v>
      </c>
      <c r="E16" s="14" t="n">
        <f aca="false">C16-D16</f>
        <v>1951</v>
      </c>
      <c r="F16" s="15" t="n">
        <v>0.7732</v>
      </c>
    </row>
    <row r="17" customFormat="false" ht="15" hidden="false" customHeight="true" outlineLevel="0" collapsed="false">
      <c r="A17" s="13" t="s">
        <v>386</v>
      </c>
      <c r="B17" s="13" t="n">
        <v>2026</v>
      </c>
      <c r="C17" s="14" t="n">
        <v>16378</v>
      </c>
      <c r="D17" s="14" t="n">
        <v>12615</v>
      </c>
      <c r="E17" s="14" t="n">
        <f aca="false">C17-D17</f>
        <v>3763</v>
      </c>
      <c r="F17" s="15" t="n">
        <v>0.7702</v>
      </c>
    </row>
    <row r="18" customFormat="false" ht="15" hidden="false" customHeight="true" outlineLevel="0" collapsed="false">
      <c r="A18" s="13" t="s">
        <v>387</v>
      </c>
      <c r="B18" s="13" t="n">
        <v>2026</v>
      </c>
      <c r="C18" s="14" t="n">
        <v>13374</v>
      </c>
      <c r="D18" s="14" t="n">
        <v>9715</v>
      </c>
      <c r="E18" s="14" t="n">
        <f aca="false">C18-D18</f>
        <v>3659</v>
      </c>
      <c r="F18" s="15" t="n">
        <v>0.7264</v>
      </c>
    </row>
    <row r="19" customFormat="false" ht="15" hidden="false" customHeight="true" outlineLevel="0" collapsed="false">
      <c r="A19" s="13" t="s">
        <v>390</v>
      </c>
      <c r="B19" s="13" t="n">
        <v>2026</v>
      </c>
      <c r="C19" s="14" t="n">
        <v>4454</v>
      </c>
      <c r="D19" s="14" t="n">
        <v>3110</v>
      </c>
      <c r="E19" s="14" t="n">
        <f aca="false">C19-D19</f>
        <v>1344</v>
      </c>
      <c r="F19" s="15" t="n">
        <v>0.6982</v>
      </c>
    </row>
    <row r="20" customFormat="false" ht="15" hidden="false" customHeight="true" outlineLevel="0" collapsed="false">
      <c r="A20" s="13" t="s">
        <v>389</v>
      </c>
      <c r="B20" s="13" t="n">
        <v>2026</v>
      </c>
      <c r="C20" s="14" t="n">
        <v>8521</v>
      </c>
      <c r="D20" s="14" t="n">
        <v>5927</v>
      </c>
      <c r="E20" s="14" t="n">
        <f aca="false">C20-D20</f>
        <v>2594</v>
      </c>
      <c r="F20" s="15" t="n">
        <v>0.6956</v>
      </c>
    </row>
    <row r="21" customFormat="false" ht="15" hidden="false" customHeight="true" outlineLevel="0" collapsed="false">
      <c r="A21" s="13" t="s">
        <v>388</v>
      </c>
      <c r="B21" s="13" t="n">
        <v>2026</v>
      </c>
      <c r="C21" s="14" t="n">
        <v>7915</v>
      </c>
      <c r="D21" s="14" t="n">
        <v>5315</v>
      </c>
      <c r="E21" s="14" t="n">
        <f aca="false">C21-D21</f>
        <v>2600</v>
      </c>
      <c r="F21" s="15" t="n">
        <v>0.6715</v>
      </c>
    </row>
    <row r="22" customFormat="false" ht="15" hidden="false" customHeight="true" outlineLevel="0" collapsed="false">
      <c r="C22" s="14"/>
      <c r="D22" s="14"/>
      <c r="E22" s="14"/>
      <c r="F2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6" min="2" style="13" width="14"/>
  </cols>
  <sheetData>
    <row r="1" customFormat="false" ht="15" hidden="false" customHeight="true" outlineLevel="0" collapsed="false">
      <c r="A1" s="13" t="s">
        <v>391</v>
      </c>
    </row>
    <row r="2" customFormat="false" ht="15" hidden="false" customHeight="true" outlineLevel="0" collapsed="false">
      <c r="A2" s="13" t="s">
        <v>392</v>
      </c>
    </row>
    <row r="4" customFormat="false" ht="15" hidden="false" customHeight="true" outlineLevel="0" collapsed="false">
      <c r="A4" s="13" t="s">
        <v>210</v>
      </c>
      <c r="B4" s="13" t="s">
        <v>187</v>
      </c>
      <c r="C4" s="13" t="s">
        <v>4</v>
      </c>
      <c r="D4" s="13" t="s">
        <v>5</v>
      </c>
      <c r="E4" s="13" t="s">
        <v>374</v>
      </c>
      <c r="F4" s="13" t="s">
        <v>6</v>
      </c>
    </row>
    <row r="5" customFormat="false" ht="15" hidden="false" customHeight="true" outlineLevel="0" collapsed="false">
      <c r="A5" s="13" t="s">
        <v>389</v>
      </c>
      <c r="B5" s="13" t="s">
        <v>393</v>
      </c>
      <c r="C5" s="14" t="n">
        <v>5430</v>
      </c>
      <c r="D5" s="14" t="n">
        <v>3976</v>
      </c>
      <c r="E5" s="14" t="n">
        <f aca="false">C5-D5</f>
        <v>1454</v>
      </c>
      <c r="F5" s="15" t="n">
        <v>0.7322</v>
      </c>
    </row>
    <row r="6" customFormat="false" ht="15" hidden="false" customHeight="true" outlineLevel="0" collapsed="false">
      <c r="A6" s="13" t="s">
        <v>389</v>
      </c>
      <c r="B6" s="13" t="s">
        <v>394</v>
      </c>
      <c r="C6" s="14" t="n">
        <v>1256</v>
      </c>
      <c r="D6" s="14" t="n">
        <v>912</v>
      </c>
      <c r="E6" s="14" t="n">
        <f aca="false">C6-D6</f>
        <v>344</v>
      </c>
      <c r="F6" s="15" t="n">
        <v>0.7261</v>
      </c>
    </row>
    <row r="7" customFormat="false" ht="15" hidden="false" customHeight="true" outlineLevel="0" collapsed="false">
      <c r="A7" s="13" t="s">
        <v>389</v>
      </c>
      <c r="B7" s="13" t="s">
        <v>395</v>
      </c>
      <c r="C7" s="14" t="n">
        <v>1835</v>
      </c>
      <c r="D7" s="14" t="n">
        <v>1039</v>
      </c>
      <c r="E7" s="14" t="n">
        <f aca="false">C7-D7</f>
        <v>796</v>
      </c>
      <c r="F7" s="15" t="n">
        <v>0.5662</v>
      </c>
    </row>
    <row r="8" customFormat="false" ht="15" hidden="false" customHeight="true" outlineLevel="0" collapsed="false">
      <c r="A8" s="13" t="s">
        <v>385</v>
      </c>
      <c r="B8" s="13" t="s">
        <v>393</v>
      </c>
      <c r="C8" s="14" t="n">
        <v>2421</v>
      </c>
      <c r="D8" s="14" t="n">
        <v>1805</v>
      </c>
      <c r="E8" s="14" t="n">
        <f aca="false">C8-D8</f>
        <v>616</v>
      </c>
      <c r="F8" s="15" t="n">
        <v>0.7456</v>
      </c>
    </row>
    <row r="9" customFormat="false" ht="15" hidden="false" customHeight="true" outlineLevel="0" collapsed="false">
      <c r="A9" s="13" t="s">
        <v>385</v>
      </c>
      <c r="B9" s="13" t="s">
        <v>394</v>
      </c>
      <c r="C9" s="14" t="n">
        <v>4672</v>
      </c>
      <c r="D9" s="14" t="n">
        <v>3858</v>
      </c>
      <c r="E9" s="14" t="n">
        <f aca="false">C9-D9</f>
        <v>814</v>
      </c>
      <c r="F9" s="15" t="n">
        <v>0.8258</v>
      </c>
    </row>
    <row r="10" customFormat="false" ht="15" hidden="false" customHeight="true" outlineLevel="0" collapsed="false">
      <c r="A10" s="13" t="s">
        <v>385</v>
      </c>
      <c r="B10" s="13" t="s">
        <v>395</v>
      </c>
      <c r="C10" s="14" t="n">
        <v>1508</v>
      </c>
      <c r="D10" s="14" t="n">
        <v>987</v>
      </c>
      <c r="E10" s="14" t="n">
        <f aca="false">C10-D10</f>
        <v>521</v>
      </c>
      <c r="F10" s="15" t="n">
        <v>0.6545</v>
      </c>
    </row>
    <row r="11" customFormat="false" ht="15" hidden="false" customHeight="true" outlineLevel="0" collapsed="false">
      <c r="A11" s="13" t="s">
        <v>387</v>
      </c>
      <c r="B11" s="13" t="s">
        <v>393</v>
      </c>
      <c r="C11" s="14" t="n">
        <v>9476</v>
      </c>
      <c r="D11" s="14" t="n">
        <v>6865</v>
      </c>
      <c r="E11" s="14" t="n">
        <f aca="false">C11-D11</f>
        <v>2611</v>
      </c>
      <c r="F11" s="15" t="n">
        <v>0.7245</v>
      </c>
    </row>
    <row r="12" customFormat="false" ht="15" hidden="false" customHeight="true" outlineLevel="0" collapsed="false">
      <c r="A12" s="13" t="s">
        <v>387</v>
      </c>
      <c r="B12" s="13" t="s">
        <v>394</v>
      </c>
      <c r="C12" s="14" t="n">
        <v>1910</v>
      </c>
      <c r="D12" s="14" t="n">
        <v>1572</v>
      </c>
      <c r="E12" s="14" t="n">
        <f aca="false">C12-D12</f>
        <v>338</v>
      </c>
      <c r="F12" s="15" t="n">
        <v>0.823</v>
      </c>
    </row>
    <row r="13" customFormat="false" ht="15" hidden="false" customHeight="true" outlineLevel="0" collapsed="false">
      <c r="A13" s="13" t="s">
        <v>387</v>
      </c>
      <c r="B13" s="13" t="s">
        <v>395</v>
      </c>
      <c r="C13" s="14" t="n">
        <v>1988</v>
      </c>
      <c r="D13" s="14" t="n">
        <v>1278</v>
      </c>
      <c r="E13" s="14" t="n">
        <f aca="false">C13-D13</f>
        <v>710</v>
      </c>
      <c r="F13" s="15" t="n">
        <v>0.6429</v>
      </c>
    </row>
    <row r="14" customFormat="false" ht="15" hidden="false" customHeight="true" outlineLevel="0" collapsed="false">
      <c r="A14" s="13" t="s">
        <v>386</v>
      </c>
      <c r="B14" s="13" t="s">
        <v>393</v>
      </c>
      <c r="C14" s="14" t="n">
        <v>6632</v>
      </c>
      <c r="D14" s="14" t="n">
        <v>5035</v>
      </c>
      <c r="E14" s="14" t="n">
        <f aca="false">C14-D14</f>
        <v>1597</v>
      </c>
      <c r="F14" s="15" t="n">
        <v>0.7592</v>
      </c>
    </row>
    <row r="15" customFormat="false" ht="15" hidden="false" customHeight="true" outlineLevel="0" collapsed="false">
      <c r="A15" s="13" t="s">
        <v>386</v>
      </c>
      <c r="B15" s="13" t="s">
        <v>394</v>
      </c>
      <c r="C15" s="14" t="n">
        <v>6814</v>
      </c>
      <c r="D15" s="14" t="n">
        <v>5586</v>
      </c>
      <c r="E15" s="14" t="n">
        <f aca="false">C15-D15</f>
        <v>1228</v>
      </c>
      <c r="F15" s="15" t="n">
        <v>0.8198</v>
      </c>
    </row>
    <row r="16" customFormat="false" ht="15" hidden="false" customHeight="true" outlineLevel="0" collapsed="false">
      <c r="A16" s="13" t="s">
        <v>386</v>
      </c>
      <c r="B16" s="13" t="s">
        <v>395</v>
      </c>
      <c r="C16" s="14" t="n">
        <v>2932</v>
      </c>
      <c r="D16" s="14" t="n">
        <v>1994</v>
      </c>
      <c r="E16" s="14" t="n">
        <f aca="false">C16-D16</f>
        <v>938</v>
      </c>
      <c r="F16" s="15" t="n">
        <v>0.6801</v>
      </c>
    </row>
    <row r="17" customFormat="false" ht="15" hidden="false" customHeight="true" outlineLevel="0" collapsed="false">
      <c r="A17" s="13" t="s">
        <v>388</v>
      </c>
      <c r="B17" s="13" t="s">
        <v>393</v>
      </c>
      <c r="C17" s="14" t="n">
        <v>6061</v>
      </c>
      <c r="D17" s="14" t="n">
        <v>4210</v>
      </c>
      <c r="E17" s="14" t="n">
        <f aca="false">C17-D17</f>
        <v>1851</v>
      </c>
      <c r="F17" s="15" t="n">
        <v>0.6946</v>
      </c>
    </row>
    <row r="18" customFormat="false" ht="15" hidden="false" customHeight="true" outlineLevel="0" collapsed="false">
      <c r="A18" s="13" t="s">
        <v>388</v>
      </c>
      <c r="B18" s="13" t="s">
        <v>394</v>
      </c>
      <c r="C18" s="14" t="n">
        <v>413</v>
      </c>
      <c r="D18" s="14" t="n">
        <v>255</v>
      </c>
      <c r="E18" s="14" t="n">
        <f aca="false">C18-D18</f>
        <v>158</v>
      </c>
      <c r="F18" s="15" t="n">
        <v>0.6174</v>
      </c>
    </row>
    <row r="19" customFormat="false" ht="15" hidden="false" customHeight="true" outlineLevel="0" collapsed="false">
      <c r="A19" s="13" t="s">
        <v>388</v>
      </c>
      <c r="B19" s="13" t="s">
        <v>395</v>
      </c>
      <c r="C19" s="14" t="n">
        <v>1441</v>
      </c>
      <c r="D19" s="14" t="n">
        <v>850</v>
      </c>
      <c r="E19" s="14" t="n">
        <f aca="false">C19-D19</f>
        <v>591</v>
      </c>
      <c r="F19" s="15" t="n">
        <v>0.5899</v>
      </c>
    </row>
    <row r="20" customFormat="false" ht="15" hidden="false" customHeight="true" outlineLevel="0" collapsed="false">
      <c r="A20" s="13" t="s">
        <v>390</v>
      </c>
      <c r="B20" s="13" t="s">
        <v>393</v>
      </c>
      <c r="C20" s="14" t="n">
        <v>3171</v>
      </c>
      <c r="D20" s="14" t="n">
        <v>2268</v>
      </c>
      <c r="E20" s="14" t="n">
        <f aca="false">C20-D20</f>
        <v>903</v>
      </c>
      <c r="F20" s="15" t="n">
        <v>0.7152</v>
      </c>
    </row>
    <row r="21" customFormat="false" ht="15" hidden="false" customHeight="true" outlineLevel="0" collapsed="false">
      <c r="A21" s="13" t="s">
        <v>390</v>
      </c>
      <c r="B21" s="13" t="s">
        <v>394</v>
      </c>
      <c r="C21" s="14" t="n">
        <v>433</v>
      </c>
      <c r="D21" s="14" t="n">
        <v>327</v>
      </c>
      <c r="E21" s="14" t="n">
        <f aca="false">C21-D21</f>
        <v>106</v>
      </c>
      <c r="F21" s="15" t="n">
        <v>0.7552</v>
      </c>
    </row>
    <row r="22" customFormat="false" ht="15" hidden="false" customHeight="true" outlineLevel="0" collapsed="false">
      <c r="A22" s="13" t="s">
        <v>390</v>
      </c>
      <c r="B22" s="13" t="s">
        <v>395</v>
      </c>
      <c r="C22" s="13" t="n">
        <v>850</v>
      </c>
      <c r="D22" s="13" t="n">
        <v>515</v>
      </c>
      <c r="E22" s="13" t="n">
        <f aca="false">C22-D22</f>
        <v>335</v>
      </c>
      <c r="F22" s="13" t="n">
        <v>0.6059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3" width="14"/>
    <col collapsed="false" customWidth="true" hidden="false" outlineLevel="0" max="3" min="3" style="13" width="18"/>
  </cols>
  <sheetData>
    <row r="1" customFormat="false" ht="15" hidden="false" customHeight="true" outlineLevel="0" collapsed="false">
      <c r="A1" s="13" t="s">
        <v>396</v>
      </c>
    </row>
    <row r="2" customFormat="false" ht="15" hidden="false" customHeight="true" outlineLevel="0" collapsed="false">
      <c r="A2" s="13" t="s">
        <v>397</v>
      </c>
    </row>
    <row r="4" customFormat="false" ht="15" hidden="false" customHeight="true" outlineLevel="0" collapsed="false">
      <c r="A4" s="13" t="s">
        <v>3</v>
      </c>
      <c r="B4" s="13" t="s">
        <v>6</v>
      </c>
      <c r="C4" s="13" t="s">
        <v>398</v>
      </c>
    </row>
    <row r="5" customFormat="false" ht="15" hidden="false" customHeight="true" outlineLevel="0" collapsed="false">
      <c r="A5" s="13" t="n">
        <v>2020</v>
      </c>
      <c r="B5" s="15" t="n">
        <v>0.8889</v>
      </c>
      <c r="C5" s="13" t="s">
        <v>399</v>
      </c>
    </row>
    <row r="6" customFormat="false" ht="15" hidden="false" customHeight="true" outlineLevel="0" collapsed="false">
      <c r="A6" s="13" t="n">
        <v>2021</v>
      </c>
      <c r="B6" s="15" t="n">
        <v>0.9879</v>
      </c>
      <c r="C6" s="13" t="s">
        <v>399</v>
      </c>
    </row>
    <row r="7" customFormat="false" ht="15" hidden="false" customHeight="true" outlineLevel="0" collapsed="false">
      <c r="A7" s="13" t="n">
        <v>2022</v>
      </c>
      <c r="B7" s="15" t="n">
        <v>0.8237</v>
      </c>
      <c r="C7" s="13" t="s">
        <v>399</v>
      </c>
    </row>
    <row r="8" customFormat="false" ht="15" hidden="false" customHeight="true" outlineLevel="0" collapsed="false">
      <c r="A8" s="13" t="n">
        <v>2023</v>
      </c>
      <c r="B8" s="15" t="n">
        <v>0.6683</v>
      </c>
      <c r="C8" s="13" t="s">
        <v>399</v>
      </c>
    </row>
    <row r="9" customFormat="false" ht="15" hidden="false" customHeight="true" outlineLevel="0" collapsed="false">
      <c r="A9" s="13" t="n">
        <v>2024</v>
      </c>
      <c r="B9" s="15" t="n">
        <v>0.7045</v>
      </c>
      <c r="C9" s="13" t="s">
        <v>399</v>
      </c>
    </row>
    <row r="10" customFormat="false" ht="15" hidden="false" customHeight="true" outlineLevel="0" collapsed="false">
      <c r="A10" s="13" t="n">
        <v>2025</v>
      </c>
      <c r="B10" s="15" t="n">
        <v>0.7486</v>
      </c>
      <c r="C10" s="13" t="s">
        <v>400</v>
      </c>
    </row>
    <row r="11" customFormat="false" ht="15" hidden="false" customHeight="true" outlineLevel="0" collapsed="false">
      <c r="A11" s="13" t="n">
        <v>2026</v>
      </c>
      <c r="B11" s="15" t="n">
        <v>0.7314</v>
      </c>
      <c r="C11" s="13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8"/>
    <col collapsed="false" customWidth="true" hidden="false" outlineLevel="0" max="2" min="2" style="13" width="44"/>
    <col collapsed="false" customWidth="true" hidden="false" outlineLevel="0" max="5" min="3" style="13" width="13"/>
    <col collapsed="false" customWidth="true" hidden="false" outlineLevel="0" max="6" min="6" style="13" width="14"/>
    <col collapsed="false" customWidth="true" hidden="false" outlineLevel="0" max="8" min="7" style="13" width="13"/>
  </cols>
  <sheetData>
    <row r="1" customFormat="false" ht="15" hidden="false" customHeight="true" outlineLevel="0" collapsed="false">
      <c r="A1" s="13" t="s">
        <v>402</v>
      </c>
    </row>
    <row r="2" customFormat="false" ht="15" hidden="false" customHeight="true" outlineLevel="0" collapsed="false">
      <c r="A2" s="13" t="s">
        <v>403</v>
      </c>
    </row>
    <row r="4" customFormat="false" ht="15" hidden="false" customHeight="true" outlineLevel="0" collapsed="false">
      <c r="A4" s="13" t="s">
        <v>114</v>
      </c>
      <c r="B4" s="13" t="s">
        <v>141</v>
      </c>
      <c r="C4" s="13" t="s">
        <v>404</v>
      </c>
      <c r="D4" s="13" t="s">
        <v>405</v>
      </c>
      <c r="E4" s="13" t="s">
        <v>406</v>
      </c>
      <c r="F4" s="13" t="s">
        <v>407</v>
      </c>
      <c r="G4" s="13" t="s">
        <v>408</v>
      </c>
      <c r="H4" s="13" t="s">
        <v>409</v>
      </c>
    </row>
    <row r="5" customFormat="false" ht="15" hidden="false" customHeight="true" outlineLevel="0" collapsed="false">
      <c r="A5" s="13" t="s">
        <v>126</v>
      </c>
      <c r="B5" s="13" t="s">
        <v>166</v>
      </c>
      <c r="C5" s="14" t="n">
        <v>3122</v>
      </c>
      <c r="D5" s="14" t="n">
        <v>2332</v>
      </c>
      <c r="E5" s="15" t="n">
        <v>0.7469</v>
      </c>
      <c r="F5" s="14" t="n">
        <v>2676</v>
      </c>
      <c r="G5" s="14" t="n">
        <v>1891</v>
      </c>
      <c r="H5" s="15" t="n">
        <v>0.7066</v>
      </c>
    </row>
    <row r="6" customFormat="false" ht="15" hidden="false" customHeight="true" outlineLevel="0" collapsed="false">
      <c r="A6" s="13" t="s">
        <v>126</v>
      </c>
      <c r="B6" s="13" t="s">
        <v>142</v>
      </c>
      <c r="C6" s="14" t="n">
        <v>3108</v>
      </c>
      <c r="D6" s="14" t="n">
        <v>2780</v>
      </c>
      <c r="E6" s="15" t="n">
        <v>0.8944</v>
      </c>
      <c r="F6" s="14" t="n">
        <v>2531</v>
      </c>
      <c r="G6" s="14" t="n">
        <v>2320</v>
      </c>
      <c r="H6" s="15" t="n">
        <v>0.9166</v>
      </c>
    </row>
    <row r="7" customFormat="false" ht="15" hidden="false" customHeight="true" outlineLevel="0" collapsed="false">
      <c r="A7" s="13" t="s">
        <v>126</v>
      </c>
      <c r="B7" s="13" t="s">
        <v>265</v>
      </c>
      <c r="C7" s="14" t="n">
        <v>221</v>
      </c>
      <c r="D7" s="14" t="n">
        <v>211</v>
      </c>
      <c r="E7" s="15" t="n">
        <v>0.9547</v>
      </c>
      <c r="F7" s="14" t="n">
        <v>70</v>
      </c>
      <c r="G7" s="14" t="n">
        <v>64</v>
      </c>
      <c r="H7" s="15" t="n">
        <v>0.9142</v>
      </c>
    </row>
    <row r="8" customFormat="false" ht="15" hidden="false" customHeight="true" outlineLevel="0" collapsed="false">
      <c r="A8" s="13" t="s">
        <v>126</v>
      </c>
      <c r="B8" s="13" t="s">
        <v>156</v>
      </c>
      <c r="C8" s="14" t="n">
        <v>3221</v>
      </c>
      <c r="D8" s="14" t="n">
        <v>2495</v>
      </c>
      <c r="E8" s="15" t="n">
        <v>0.7746</v>
      </c>
      <c r="F8" s="14" t="n">
        <v>2753</v>
      </c>
      <c r="G8" s="14" t="n">
        <v>2162</v>
      </c>
      <c r="H8" s="15" t="n">
        <v>0.7853</v>
      </c>
    </row>
    <row r="9" customFormat="false" ht="15" hidden="false" customHeight="true" outlineLevel="0" collapsed="false">
      <c r="A9" s="13" t="s">
        <v>126</v>
      </c>
      <c r="B9" s="13" t="s">
        <v>165</v>
      </c>
      <c r="C9" s="14" t="n">
        <v>3045</v>
      </c>
      <c r="D9" s="14" t="n">
        <v>2610</v>
      </c>
      <c r="E9" s="15" t="n">
        <v>0.8571</v>
      </c>
      <c r="F9" s="14" t="n">
        <v>2588</v>
      </c>
      <c r="G9" s="14" t="n">
        <v>2253</v>
      </c>
      <c r="H9" s="15" t="n">
        <v>0.8705</v>
      </c>
    </row>
    <row r="10" customFormat="false" ht="15" hidden="false" customHeight="true" outlineLevel="0" collapsed="false">
      <c r="A10" s="13" t="s">
        <v>126</v>
      </c>
      <c r="B10" s="13" t="s">
        <v>149</v>
      </c>
      <c r="C10" s="14" t="n">
        <v>3004</v>
      </c>
      <c r="D10" s="14" t="n">
        <v>2961</v>
      </c>
      <c r="E10" s="15" t="n">
        <v>0.9856</v>
      </c>
      <c r="F10" s="14" t="n">
        <v>2434</v>
      </c>
      <c r="G10" s="14" t="n">
        <v>2395</v>
      </c>
      <c r="H10" s="15" t="n">
        <v>0.9839</v>
      </c>
    </row>
    <row r="11" customFormat="false" ht="15" hidden="false" customHeight="true" outlineLevel="0" collapsed="false">
      <c r="A11" s="13" t="s">
        <v>126</v>
      </c>
      <c r="B11" s="13" t="s">
        <v>410</v>
      </c>
      <c r="C11" s="14" t="n">
        <v>3056</v>
      </c>
      <c r="D11" s="14" t="n">
        <v>3010</v>
      </c>
      <c r="E11" s="15" t="n">
        <v>0.9849</v>
      </c>
      <c r="F11" s="14" t="n">
        <v>2484</v>
      </c>
      <c r="G11" s="14" t="n">
        <v>2451</v>
      </c>
      <c r="H11" s="15" t="n">
        <v>0.9867</v>
      </c>
    </row>
    <row r="12" customFormat="false" ht="15" hidden="false" customHeight="true" outlineLevel="0" collapsed="false">
      <c r="A12" s="13" t="s">
        <v>123</v>
      </c>
      <c r="B12" s="13" t="s">
        <v>167</v>
      </c>
      <c r="C12" s="14" t="n">
        <v>28395</v>
      </c>
      <c r="D12" s="14" t="n">
        <v>23529</v>
      </c>
      <c r="E12" s="15" t="n">
        <v>0.8286</v>
      </c>
      <c r="F12" s="14" t="n">
        <v>29443</v>
      </c>
      <c r="G12" s="14" t="n">
        <v>24498</v>
      </c>
      <c r="H12" s="15" t="n">
        <v>0.832</v>
      </c>
    </row>
    <row r="13" customFormat="false" ht="15" hidden="false" customHeight="true" outlineLevel="0" collapsed="false">
      <c r="A13" s="13" t="s">
        <v>123</v>
      </c>
      <c r="B13" s="13" t="s">
        <v>166</v>
      </c>
      <c r="C13" s="14" t="n">
        <v>28553</v>
      </c>
      <c r="D13" s="14" t="n">
        <v>23527</v>
      </c>
      <c r="E13" s="15" t="n">
        <v>0.8239</v>
      </c>
      <c r="F13" s="14" t="n">
        <v>29753</v>
      </c>
      <c r="G13" s="14" t="n">
        <v>24166</v>
      </c>
      <c r="H13" s="15" t="n">
        <v>0.8122</v>
      </c>
    </row>
    <row r="14" customFormat="false" ht="15" hidden="false" customHeight="true" outlineLevel="0" collapsed="false">
      <c r="A14" s="13" t="s">
        <v>123</v>
      </c>
      <c r="B14" s="13" t="s">
        <v>142</v>
      </c>
      <c r="C14" s="14" t="n">
        <v>27968</v>
      </c>
      <c r="D14" s="14" t="n">
        <v>25901</v>
      </c>
      <c r="E14" s="15" t="n">
        <v>0.926</v>
      </c>
      <c r="F14" s="14" t="n">
        <v>28277</v>
      </c>
      <c r="G14" s="14" t="n">
        <v>26737</v>
      </c>
      <c r="H14" s="15" t="n">
        <v>0.9455</v>
      </c>
    </row>
    <row r="15" customFormat="false" ht="15" hidden="false" customHeight="true" outlineLevel="0" collapsed="false">
      <c r="A15" s="13" t="s">
        <v>123</v>
      </c>
      <c r="B15" s="13" t="s">
        <v>265</v>
      </c>
      <c r="C15" s="14" t="n">
        <v>901</v>
      </c>
      <c r="D15" s="14" t="n">
        <v>869</v>
      </c>
      <c r="E15" s="15" t="n">
        <v>0.9644</v>
      </c>
      <c r="F15" s="14" t="n">
        <v>763</v>
      </c>
      <c r="G15" s="14" t="n">
        <v>742</v>
      </c>
      <c r="H15" s="15" t="n">
        <v>0.9724</v>
      </c>
    </row>
    <row r="16" customFormat="false" ht="15" hidden="false" customHeight="true" outlineLevel="0" collapsed="false">
      <c r="A16" s="13" t="s">
        <v>123</v>
      </c>
      <c r="B16" s="13" t="s">
        <v>165</v>
      </c>
      <c r="C16" s="14" t="n">
        <v>28369</v>
      </c>
      <c r="D16" s="14" t="n">
        <v>25397</v>
      </c>
      <c r="E16" s="15" t="n">
        <v>0.8952</v>
      </c>
      <c r="F16" s="14" t="n">
        <v>29144</v>
      </c>
      <c r="G16" s="14" t="n">
        <v>26058</v>
      </c>
      <c r="H16" s="15" t="n">
        <v>0.8941</v>
      </c>
    </row>
    <row r="17" customFormat="false" ht="15" hidden="false" customHeight="true" outlineLevel="0" collapsed="false">
      <c r="A17" s="13" t="s">
        <v>123</v>
      </c>
      <c r="B17" s="13" t="s">
        <v>149</v>
      </c>
      <c r="C17" s="14" t="n">
        <v>27438</v>
      </c>
      <c r="D17" s="14" t="n">
        <v>27131</v>
      </c>
      <c r="E17" s="15" t="n">
        <v>0.9888</v>
      </c>
      <c r="F17" s="14" t="n">
        <v>26658</v>
      </c>
      <c r="G17" s="14" t="n">
        <v>26328</v>
      </c>
      <c r="H17" s="15" t="n">
        <v>0.9876</v>
      </c>
    </row>
    <row r="18" customFormat="false" ht="15" hidden="false" customHeight="true" outlineLevel="0" collapsed="false">
      <c r="A18" s="13" t="s">
        <v>123</v>
      </c>
      <c r="B18" s="13" t="s">
        <v>410</v>
      </c>
      <c r="C18" s="14" t="n">
        <v>27675</v>
      </c>
      <c r="D18" s="14" t="n">
        <v>27332</v>
      </c>
      <c r="E18" s="15" t="n">
        <v>0.9876</v>
      </c>
      <c r="F18" s="14" t="n">
        <v>27730</v>
      </c>
      <c r="G18" s="14" t="n">
        <v>27471</v>
      </c>
      <c r="H18" s="15" t="n">
        <v>0.9906</v>
      </c>
    </row>
    <row r="19" customFormat="false" ht="15" hidden="false" customHeight="true" outlineLevel="0" collapsed="false">
      <c r="A19" s="13" t="s">
        <v>382</v>
      </c>
      <c r="B19" s="13" t="s">
        <v>162</v>
      </c>
      <c r="C19" s="14" t="n">
        <v>794</v>
      </c>
      <c r="D19" s="14" t="n">
        <v>657</v>
      </c>
      <c r="E19" s="15" t="n">
        <v>0.8274</v>
      </c>
      <c r="F19" s="14" t="n">
        <v>572</v>
      </c>
      <c r="G19" s="14" t="n">
        <v>518</v>
      </c>
      <c r="H19" s="15" t="n">
        <v>0.9055</v>
      </c>
    </row>
    <row r="20" customFormat="false" ht="15" hidden="false" customHeight="true" outlineLevel="0" collapsed="false">
      <c r="A20" s="13" t="s">
        <v>382</v>
      </c>
      <c r="B20" s="13" t="s">
        <v>411</v>
      </c>
      <c r="C20" s="14" t="n">
        <v>262</v>
      </c>
      <c r="D20" s="14" t="n">
        <v>242</v>
      </c>
      <c r="E20" s="15" t="n">
        <v>0.9236</v>
      </c>
      <c r="F20" s="14" t="n">
        <v>183</v>
      </c>
      <c r="G20" s="14" t="n">
        <v>167</v>
      </c>
      <c r="H20" s="15" t="n">
        <v>0.9125</v>
      </c>
    </row>
    <row r="21" customFormat="false" ht="15" hidden="false" customHeight="true" outlineLevel="0" collapsed="false">
      <c r="A21" s="13" t="s">
        <v>382</v>
      </c>
      <c r="B21" s="13" t="s">
        <v>154</v>
      </c>
      <c r="C21" s="14" t="n">
        <v>4664</v>
      </c>
      <c r="D21" s="14" t="n">
        <v>4436</v>
      </c>
      <c r="E21" s="15" t="n">
        <v>0.9511</v>
      </c>
      <c r="F21" s="14" t="n">
        <v>3777</v>
      </c>
      <c r="G21" s="14" t="n">
        <v>3614</v>
      </c>
      <c r="H21" s="15" t="n">
        <v>0.9568</v>
      </c>
    </row>
    <row r="22" customFormat="false" ht="15" hidden="false" customHeight="true" outlineLevel="0" collapsed="false">
      <c r="A22" s="13" t="s">
        <v>382</v>
      </c>
      <c r="B22" s="13" t="s">
        <v>170</v>
      </c>
      <c r="C22" s="14" t="n">
        <v>2626</v>
      </c>
      <c r="D22" s="14" t="n">
        <v>1607</v>
      </c>
      <c r="E22" s="15" t="n">
        <v>0.6119</v>
      </c>
      <c r="F22" s="14" t="n">
        <v>3099</v>
      </c>
      <c r="G22" s="14" t="n">
        <v>2083</v>
      </c>
      <c r="H22" s="15" t="n">
        <v>0.6721</v>
      </c>
    </row>
    <row r="23" customFormat="false" ht="15" hidden="false" customHeight="true" outlineLevel="0" collapsed="false">
      <c r="A23" s="13" t="s">
        <v>382</v>
      </c>
      <c r="B23" s="13" t="s">
        <v>152</v>
      </c>
      <c r="C23" s="14" t="n">
        <v>3770</v>
      </c>
      <c r="D23" s="14" t="n">
        <v>3217</v>
      </c>
      <c r="E23" s="15" t="n">
        <v>0.8533</v>
      </c>
      <c r="F23" s="14" t="n">
        <v>3155</v>
      </c>
      <c r="G23" s="14" t="n">
        <v>2972</v>
      </c>
      <c r="H23" s="15" t="n">
        <v>0.9419</v>
      </c>
    </row>
    <row r="24" customFormat="false" ht="15" hidden="false" customHeight="true" outlineLevel="0" collapsed="false">
      <c r="A24" s="13" t="s">
        <v>382</v>
      </c>
      <c r="B24" s="13" t="s">
        <v>150</v>
      </c>
      <c r="C24" s="14" t="n">
        <v>9716</v>
      </c>
      <c r="D24" s="14" t="n">
        <v>8997</v>
      </c>
      <c r="E24" s="15" t="n">
        <v>0.9259</v>
      </c>
      <c r="F24" s="14" t="n">
        <v>8362</v>
      </c>
      <c r="G24" s="14" t="n">
        <v>7891</v>
      </c>
      <c r="H24" s="15" t="n">
        <v>0.9436</v>
      </c>
    </row>
    <row r="25" customFormat="false" ht="15" hidden="false" customHeight="true" outlineLevel="0" collapsed="false">
      <c r="A25" s="13" t="s">
        <v>382</v>
      </c>
      <c r="B25" s="13" t="s">
        <v>142</v>
      </c>
      <c r="C25" s="14" t="n">
        <v>17941</v>
      </c>
      <c r="D25" s="14" t="n">
        <v>7216</v>
      </c>
      <c r="E25" s="15" t="n">
        <v>0.4022</v>
      </c>
      <c r="F25" s="14" t="n">
        <v>17138</v>
      </c>
      <c r="G25" s="14" t="n">
        <v>7945</v>
      </c>
      <c r="H25" s="15" t="n">
        <v>0.4635</v>
      </c>
    </row>
    <row r="26" customFormat="false" ht="15" hidden="false" customHeight="true" outlineLevel="0" collapsed="false">
      <c r="A26" s="13" t="s">
        <v>382</v>
      </c>
      <c r="B26" s="13" t="s">
        <v>412</v>
      </c>
      <c r="C26" s="14" t="n">
        <v>268</v>
      </c>
      <c r="D26" s="14" t="n">
        <v>247</v>
      </c>
      <c r="E26" s="15" t="n">
        <v>0.9216</v>
      </c>
      <c r="F26" s="14" t="n">
        <v>187</v>
      </c>
      <c r="G26" s="14" t="n">
        <v>171</v>
      </c>
      <c r="H26" s="15" t="n">
        <v>0.9144</v>
      </c>
    </row>
    <row r="27" customFormat="false" ht="15" hidden="false" customHeight="true" outlineLevel="0" collapsed="false">
      <c r="A27" s="13" t="s">
        <v>382</v>
      </c>
      <c r="B27" s="13" t="s">
        <v>413</v>
      </c>
      <c r="C27" s="14" t="n">
        <v>270</v>
      </c>
      <c r="D27" s="14" t="n">
        <v>249</v>
      </c>
      <c r="E27" s="15" t="n">
        <v>0.9222</v>
      </c>
      <c r="F27" s="14" t="n">
        <v>195</v>
      </c>
      <c r="G27" s="14" t="n">
        <v>178</v>
      </c>
      <c r="H27" s="15" t="n">
        <v>0.9128</v>
      </c>
    </row>
    <row r="28" customFormat="false" ht="15" hidden="false" customHeight="true" outlineLevel="0" collapsed="false">
      <c r="A28" s="13" t="s">
        <v>382</v>
      </c>
      <c r="B28" s="13" t="s">
        <v>161</v>
      </c>
      <c r="C28" s="14" t="n">
        <v>1616</v>
      </c>
      <c r="D28" s="14" t="n">
        <v>1555</v>
      </c>
      <c r="E28" s="15" t="n">
        <v>0.9622</v>
      </c>
      <c r="F28" s="14" t="n">
        <v>1347</v>
      </c>
      <c r="G28" s="14" t="n">
        <v>1323</v>
      </c>
      <c r="H28" s="15" t="n">
        <v>0.9821</v>
      </c>
    </row>
    <row r="29" customFormat="false" ht="15" hidden="false" customHeight="true" outlineLevel="0" collapsed="false">
      <c r="A29" s="13" t="s">
        <v>382</v>
      </c>
      <c r="B29" s="13" t="s">
        <v>414</v>
      </c>
      <c r="C29" s="14" t="n">
        <v>515</v>
      </c>
      <c r="D29" s="14" t="n">
        <v>489</v>
      </c>
      <c r="E29" s="15" t="n">
        <v>0.9495</v>
      </c>
      <c r="F29" s="14" t="n">
        <v>344</v>
      </c>
      <c r="G29" s="14" t="n">
        <v>326</v>
      </c>
      <c r="H29" s="15" t="n">
        <v>0.9476</v>
      </c>
    </row>
    <row r="30" customFormat="false" ht="15" hidden="false" customHeight="true" outlineLevel="0" collapsed="false">
      <c r="A30" s="13" t="s">
        <v>382</v>
      </c>
      <c r="B30" s="13" t="s">
        <v>415</v>
      </c>
      <c r="C30" s="14" t="n">
        <v>958</v>
      </c>
      <c r="D30" s="14" t="n">
        <v>841</v>
      </c>
      <c r="E30" s="15" t="n">
        <v>0.8778</v>
      </c>
      <c r="F30" s="14" t="n">
        <v>629</v>
      </c>
      <c r="G30" s="14" t="n">
        <v>554</v>
      </c>
      <c r="H30" s="15" t="n">
        <v>0.8807</v>
      </c>
    </row>
    <row r="31" customFormat="false" ht="15" hidden="false" customHeight="true" outlineLevel="0" collapsed="false">
      <c r="A31" s="13" t="s">
        <v>382</v>
      </c>
      <c r="B31" s="13" t="s">
        <v>416</v>
      </c>
      <c r="C31" s="14" t="n">
        <v>263</v>
      </c>
      <c r="D31" s="14" t="n">
        <v>243</v>
      </c>
      <c r="E31" s="15" t="n">
        <v>0.9239</v>
      </c>
      <c r="F31" s="14" t="n">
        <v>0</v>
      </c>
      <c r="G31" s="14" t="n">
        <v>0</v>
      </c>
      <c r="H31" s="15" t="n">
        <v>0</v>
      </c>
    </row>
    <row r="32" customFormat="false" ht="15" hidden="false" customHeight="true" outlineLevel="0" collapsed="false">
      <c r="A32" s="13" t="s">
        <v>382</v>
      </c>
      <c r="B32" s="13" t="s">
        <v>417</v>
      </c>
      <c r="C32" s="14" t="n">
        <v>0</v>
      </c>
      <c r="D32" s="14" t="n">
        <v>0</v>
      </c>
      <c r="E32" s="15" t="n">
        <v>0</v>
      </c>
      <c r="F32" s="14" t="n">
        <v>184</v>
      </c>
      <c r="G32" s="14" t="n">
        <v>168</v>
      </c>
      <c r="H32" s="15" t="n">
        <v>0.913</v>
      </c>
    </row>
    <row r="33" customFormat="false" ht="15" hidden="false" customHeight="true" outlineLevel="0" collapsed="false">
      <c r="A33" s="13" t="s">
        <v>382</v>
      </c>
      <c r="B33" s="13" t="s">
        <v>418</v>
      </c>
      <c r="C33" s="14" t="n">
        <v>919</v>
      </c>
      <c r="D33" s="14" t="n">
        <v>818</v>
      </c>
      <c r="E33" s="15" t="n">
        <v>0.89</v>
      </c>
      <c r="F33" s="14" t="n">
        <v>733</v>
      </c>
      <c r="G33" s="14" t="n">
        <v>641</v>
      </c>
      <c r="H33" s="15" t="n">
        <v>0.8744</v>
      </c>
    </row>
    <row r="34" customFormat="false" ht="15" hidden="false" customHeight="true" outlineLevel="0" collapsed="false">
      <c r="A34" s="13" t="s">
        <v>382</v>
      </c>
      <c r="B34" s="13" t="s">
        <v>158</v>
      </c>
      <c r="C34" s="14" t="n">
        <v>6943</v>
      </c>
      <c r="D34" s="14" t="n">
        <v>6578</v>
      </c>
      <c r="E34" s="15" t="n">
        <v>0.9474</v>
      </c>
      <c r="F34" s="14" t="n">
        <v>5491</v>
      </c>
      <c r="G34" s="14" t="n">
        <v>5338</v>
      </c>
      <c r="H34" s="15" t="n">
        <v>0.9721</v>
      </c>
    </row>
    <row r="35" customFormat="false" ht="15" hidden="false" customHeight="true" outlineLevel="0" collapsed="false">
      <c r="A35" s="13" t="s">
        <v>382</v>
      </c>
      <c r="B35" s="13" t="s">
        <v>265</v>
      </c>
      <c r="C35" s="14" t="n">
        <v>1603</v>
      </c>
      <c r="D35" s="14" t="n">
        <v>1515</v>
      </c>
      <c r="E35" s="15" t="n">
        <v>0.9451</v>
      </c>
      <c r="F35" s="14" t="n">
        <v>1350</v>
      </c>
      <c r="G35" s="14" t="n">
        <v>1274</v>
      </c>
      <c r="H35" s="15" t="n">
        <v>0.9437</v>
      </c>
    </row>
    <row r="36" customFormat="false" ht="15" hidden="false" customHeight="true" outlineLevel="0" collapsed="false">
      <c r="A36" s="13" t="s">
        <v>382</v>
      </c>
      <c r="B36" s="13" t="s">
        <v>419</v>
      </c>
      <c r="C36" s="14" t="n">
        <v>11817</v>
      </c>
      <c r="D36" s="14" t="n">
        <v>10903</v>
      </c>
      <c r="E36" s="15" t="n">
        <v>0.9226</v>
      </c>
      <c r="F36" s="14" t="n">
        <v>8832</v>
      </c>
      <c r="G36" s="14" t="n">
        <v>8542</v>
      </c>
      <c r="H36" s="15" t="n">
        <v>0.9671</v>
      </c>
    </row>
    <row r="37" customFormat="false" ht="15" hidden="false" customHeight="true" outlineLevel="0" collapsed="false">
      <c r="A37" s="13" t="s">
        <v>382</v>
      </c>
      <c r="B37" s="13" t="s">
        <v>159</v>
      </c>
      <c r="C37" s="14" t="n">
        <v>889</v>
      </c>
      <c r="D37" s="14" t="n">
        <v>869</v>
      </c>
      <c r="E37" s="15" t="n">
        <v>0.9775</v>
      </c>
      <c r="F37" s="14" t="n">
        <v>790</v>
      </c>
      <c r="G37" s="14" t="n">
        <v>773</v>
      </c>
      <c r="H37" s="15" t="n">
        <v>0.9784</v>
      </c>
    </row>
    <row r="38" customFormat="false" ht="15" hidden="false" customHeight="true" outlineLevel="0" collapsed="false">
      <c r="A38" s="13" t="s">
        <v>382</v>
      </c>
      <c r="B38" s="13" t="s">
        <v>156</v>
      </c>
      <c r="C38" s="14" t="n">
        <v>372</v>
      </c>
      <c r="D38" s="14" t="n">
        <v>296</v>
      </c>
      <c r="E38" s="15" t="n">
        <v>0.7956</v>
      </c>
      <c r="F38" s="14" t="n">
        <v>311</v>
      </c>
      <c r="G38" s="14" t="n">
        <v>252</v>
      </c>
      <c r="H38" s="15" t="n">
        <v>0.8102</v>
      </c>
    </row>
    <row r="39" customFormat="false" ht="15" hidden="false" customHeight="true" outlineLevel="0" collapsed="false">
      <c r="A39" s="13" t="s">
        <v>382</v>
      </c>
      <c r="B39" s="13" t="s">
        <v>420</v>
      </c>
      <c r="C39" s="14" t="n">
        <v>0</v>
      </c>
      <c r="D39" s="14" t="n">
        <v>0</v>
      </c>
      <c r="E39" s="15" t="n">
        <v>0</v>
      </c>
      <c r="F39" s="14" t="n">
        <v>0</v>
      </c>
      <c r="G39" s="14" t="n">
        <v>0</v>
      </c>
      <c r="H39" s="15" t="n">
        <v>0</v>
      </c>
    </row>
    <row r="40" customFormat="false" ht="15" hidden="false" customHeight="true" outlineLevel="0" collapsed="false">
      <c r="A40" s="13" t="s">
        <v>382</v>
      </c>
      <c r="B40" s="13" t="s">
        <v>421</v>
      </c>
      <c r="C40" s="14" t="n">
        <v>522</v>
      </c>
      <c r="D40" s="14" t="n">
        <v>486</v>
      </c>
      <c r="E40" s="15" t="n">
        <v>0.931</v>
      </c>
      <c r="F40" s="14" t="n">
        <v>368</v>
      </c>
      <c r="G40" s="14" t="n">
        <v>338</v>
      </c>
      <c r="H40" s="15" t="n">
        <v>0.9184</v>
      </c>
    </row>
    <row r="41" customFormat="false" ht="15" hidden="false" customHeight="true" outlineLevel="0" collapsed="false">
      <c r="A41" s="13" t="s">
        <v>382</v>
      </c>
      <c r="B41" s="13" t="s">
        <v>145</v>
      </c>
      <c r="C41" s="14" t="n">
        <v>523</v>
      </c>
      <c r="D41" s="14" t="n">
        <v>475</v>
      </c>
      <c r="E41" s="15" t="n">
        <v>0.9082</v>
      </c>
      <c r="F41" s="14" t="n">
        <v>366</v>
      </c>
      <c r="G41" s="14" t="n">
        <v>313</v>
      </c>
      <c r="H41" s="15" t="n">
        <v>0.8551</v>
      </c>
    </row>
    <row r="42" customFormat="false" ht="15" hidden="false" customHeight="true" outlineLevel="0" collapsed="false">
      <c r="A42" s="13" t="s">
        <v>382</v>
      </c>
      <c r="B42" s="13" t="s">
        <v>422</v>
      </c>
      <c r="C42" s="14" t="n">
        <v>523</v>
      </c>
      <c r="D42" s="14" t="n">
        <v>494</v>
      </c>
      <c r="E42" s="15" t="n">
        <v>0.9445</v>
      </c>
      <c r="F42" s="14" t="n">
        <v>366</v>
      </c>
      <c r="G42" s="14" t="n">
        <v>340</v>
      </c>
      <c r="H42" s="15" t="n">
        <v>0.9289</v>
      </c>
    </row>
    <row r="43" customFormat="false" ht="15" hidden="false" customHeight="true" outlineLevel="0" collapsed="false">
      <c r="A43" s="13" t="s">
        <v>382</v>
      </c>
      <c r="B43" s="13" t="s">
        <v>423</v>
      </c>
      <c r="C43" s="14" t="n">
        <v>522</v>
      </c>
      <c r="D43" s="14" t="n">
        <v>492</v>
      </c>
      <c r="E43" s="15" t="n">
        <v>0.9425</v>
      </c>
      <c r="F43" s="14" t="n">
        <v>366</v>
      </c>
      <c r="G43" s="14" t="n">
        <v>343</v>
      </c>
      <c r="H43" s="15" t="n">
        <v>0.9371</v>
      </c>
    </row>
    <row r="44" customFormat="false" ht="15" hidden="false" customHeight="true" outlineLevel="0" collapsed="false">
      <c r="A44" s="13" t="s">
        <v>382</v>
      </c>
      <c r="B44" s="13" t="s">
        <v>424</v>
      </c>
      <c r="C44" s="14" t="n">
        <v>520</v>
      </c>
      <c r="D44" s="14" t="n">
        <v>496</v>
      </c>
      <c r="E44" s="15" t="n">
        <v>0.9538</v>
      </c>
      <c r="F44" s="14" t="n">
        <v>314</v>
      </c>
      <c r="G44" s="14" t="n">
        <v>298</v>
      </c>
      <c r="H44" s="15" t="n">
        <v>0.949</v>
      </c>
    </row>
    <row r="45" customFormat="false" ht="15" hidden="false" customHeight="true" outlineLevel="0" collapsed="false">
      <c r="A45" s="13" t="s">
        <v>382</v>
      </c>
      <c r="B45" s="13" t="s">
        <v>425</v>
      </c>
      <c r="C45" s="14" t="n">
        <v>297</v>
      </c>
      <c r="D45" s="14" t="n">
        <v>276</v>
      </c>
      <c r="E45" s="15" t="n">
        <v>0.9292</v>
      </c>
      <c r="F45" s="14" t="n">
        <v>209</v>
      </c>
      <c r="G45" s="14" t="n">
        <v>193</v>
      </c>
      <c r="H45" s="15" t="n">
        <v>0.9234</v>
      </c>
    </row>
    <row r="46" customFormat="false" ht="15" hidden="false" customHeight="true" outlineLevel="0" collapsed="false">
      <c r="A46" s="13" t="s">
        <v>382</v>
      </c>
      <c r="B46" s="13" t="s">
        <v>149</v>
      </c>
      <c r="C46" s="14" t="n">
        <v>17379</v>
      </c>
      <c r="D46" s="14" t="n">
        <v>16846</v>
      </c>
      <c r="E46" s="15" t="n">
        <v>0.9693</v>
      </c>
      <c r="F46" s="14" t="n">
        <v>14285</v>
      </c>
      <c r="G46" s="14" t="n">
        <v>13692</v>
      </c>
      <c r="H46" s="15" t="n">
        <v>0.9584</v>
      </c>
    </row>
    <row r="47" customFormat="false" ht="15" hidden="false" customHeight="true" outlineLevel="0" collapsed="false">
      <c r="A47" s="13" t="s">
        <v>382</v>
      </c>
      <c r="B47" s="13" t="s">
        <v>153</v>
      </c>
      <c r="C47" s="14" t="n">
        <v>570</v>
      </c>
      <c r="D47" s="14" t="n">
        <v>480</v>
      </c>
      <c r="E47" s="15" t="n">
        <v>0.8421</v>
      </c>
      <c r="F47" s="14" t="n">
        <v>447</v>
      </c>
      <c r="G47" s="14" t="n">
        <v>360</v>
      </c>
      <c r="H47" s="15" t="n">
        <v>0.8053</v>
      </c>
    </row>
    <row r="48" customFormat="false" ht="15" hidden="false" customHeight="true" outlineLevel="0" collapsed="false">
      <c r="A48" s="13" t="s">
        <v>382</v>
      </c>
      <c r="B48" s="13" t="s">
        <v>426</v>
      </c>
      <c r="C48" s="14" t="n">
        <v>1327</v>
      </c>
      <c r="D48" s="14" t="n">
        <v>1284</v>
      </c>
      <c r="E48" s="15" t="n">
        <v>0.9675</v>
      </c>
      <c r="F48" s="14" t="n">
        <v>1050</v>
      </c>
      <c r="G48" s="14" t="n">
        <v>1015</v>
      </c>
      <c r="H48" s="15" t="n">
        <v>0.9666</v>
      </c>
    </row>
    <row r="49" customFormat="false" ht="15" hidden="false" customHeight="true" outlineLevel="0" collapsed="false">
      <c r="A49" s="13" t="s">
        <v>382</v>
      </c>
      <c r="B49" s="13" t="s">
        <v>427</v>
      </c>
      <c r="C49" s="14" t="n">
        <v>6331</v>
      </c>
      <c r="D49" s="14" t="n">
        <v>6081</v>
      </c>
      <c r="E49" s="15" t="n">
        <v>0.9605</v>
      </c>
      <c r="F49" s="14" t="n">
        <v>5279</v>
      </c>
      <c r="G49" s="14" t="n">
        <v>5084</v>
      </c>
      <c r="H49" s="15" t="n">
        <v>0.963</v>
      </c>
    </row>
    <row r="50" customFormat="false" ht="15" hidden="false" customHeight="true" outlineLevel="0" collapsed="false">
      <c r="A50" s="13" t="s">
        <v>382</v>
      </c>
      <c r="B50" s="13" t="s">
        <v>428</v>
      </c>
      <c r="C50" s="14" t="n">
        <v>1879</v>
      </c>
      <c r="D50" s="14" t="n">
        <v>1851</v>
      </c>
      <c r="E50" s="15" t="n">
        <v>0.985</v>
      </c>
      <c r="F50" s="14" t="n">
        <v>1609</v>
      </c>
      <c r="G50" s="14" t="n">
        <v>1583</v>
      </c>
      <c r="H50" s="15" t="n">
        <v>0.9838</v>
      </c>
    </row>
    <row r="51" customFormat="false" ht="15" hidden="false" customHeight="true" outlineLevel="0" collapsed="false">
      <c r="A51" s="13" t="s">
        <v>382</v>
      </c>
      <c r="B51" s="13" t="s">
        <v>155</v>
      </c>
      <c r="C51" s="14" t="n">
        <v>341</v>
      </c>
      <c r="D51" s="14" t="n">
        <v>300</v>
      </c>
      <c r="E51" s="15" t="n">
        <v>0.8797</v>
      </c>
      <c r="F51" s="14" t="n">
        <v>256</v>
      </c>
      <c r="G51" s="14" t="n">
        <v>238</v>
      </c>
      <c r="H51" s="15" t="n">
        <v>0.9296</v>
      </c>
    </row>
    <row r="52" customFormat="false" ht="15" hidden="false" customHeight="true" outlineLevel="0" collapsed="false">
      <c r="A52" s="13" t="s">
        <v>382</v>
      </c>
      <c r="B52" s="13" t="s">
        <v>429</v>
      </c>
      <c r="C52" s="14" t="n">
        <v>315</v>
      </c>
      <c r="D52" s="14" t="n">
        <v>263</v>
      </c>
      <c r="E52" s="15" t="n">
        <v>0.8349</v>
      </c>
      <c r="F52" s="14" t="n">
        <v>225</v>
      </c>
      <c r="G52" s="14" t="n">
        <v>208</v>
      </c>
      <c r="H52" s="15" t="n">
        <v>0.9244</v>
      </c>
    </row>
    <row r="53" customFormat="false" ht="15" hidden="false" customHeight="true" outlineLevel="0" collapsed="false">
      <c r="A53" s="13" t="s">
        <v>382</v>
      </c>
      <c r="B53" s="13" t="s">
        <v>410</v>
      </c>
      <c r="C53" s="14" t="n">
        <v>17435</v>
      </c>
      <c r="D53" s="14" t="n">
        <v>15472</v>
      </c>
      <c r="E53" s="15" t="n">
        <v>0.8874</v>
      </c>
      <c r="F53" s="14" t="n">
        <v>14584</v>
      </c>
      <c r="G53" s="14" t="n">
        <v>13155</v>
      </c>
      <c r="H53" s="15" t="n">
        <v>0.902</v>
      </c>
    </row>
    <row r="54" customFormat="false" ht="15" hidden="false" customHeight="true" outlineLevel="0" collapsed="false">
      <c r="A54" s="13" t="s">
        <v>202</v>
      </c>
      <c r="B54" s="13" t="s">
        <v>170</v>
      </c>
      <c r="C54" s="14" t="n">
        <v>5710</v>
      </c>
      <c r="D54" s="14" t="n">
        <v>4711</v>
      </c>
      <c r="E54" s="15" t="n">
        <v>0.825</v>
      </c>
      <c r="F54" s="14" t="n">
        <v>7904</v>
      </c>
      <c r="G54" s="14" t="n">
        <v>6410</v>
      </c>
      <c r="H54" s="15" t="n">
        <v>0.8109</v>
      </c>
    </row>
    <row r="55" customFormat="false" ht="15" hidden="false" customHeight="true" outlineLevel="0" collapsed="false">
      <c r="A55" s="13" t="s">
        <v>202</v>
      </c>
      <c r="B55" s="13" t="s">
        <v>152</v>
      </c>
      <c r="C55" s="14" t="n">
        <v>1773</v>
      </c>
      <c r="D55" s="14" t="n">
        <v>1607</v>
      </c>
      <c r="E55" s="15" t="n">
        <v>0.9063</v>
      </c>
      <c r="F55" s="14" t="n">
        <v>2292</v>
      </c>
      <c r="G55" s="14" t="n">
        <v>2064</v>
      </c>
      <c r="H55" s="15" t="n">
        <v>0.9005</v>
      </c>
    </row>
    <row r="56" customFormat="false" ht="15" hidden="false" customHeight="true" outlineLevel="0" collapsed="false">
      <c r="A56" s="13" t="s">
        <v>202</v>
      </c>
      <c r="B56" s="13" t="s">
        <v>142</v>
      </c>
      <c r="C56" s="14" t="n">
        <v>5849</v>
      </c>
      <c r="D56" s="14" t="n">
        <v>4604</v>
      </c>
      <c r="E56" s="15" t="n">
        <v>0.7871</v>
      </c>
      <c r="F56" s="14" t="n">
        <v>7907</v>
      </c>
      <c r="G56" s="14" t="n">
        <v>7059</v>
      </c>
      <c r="H56" s="15" t="n">
        <v>0.8927</v>
      </c>
    </row>
    <row r="57" customFormat="false" ht="15" hidden="false" customHeight="true" outlineLevel="0" collapsed="false">
      <c r="A57" s="13" t="s">
        <v>202</v>
      </c>
      <c r="B57" s="13" t="s">
        <v>265</v>
      </c>
      <c r="C57" s="14" t="n">
        <v>137</v>
      </c>
      <c r="D57" s="14" t="n">
        <v>131</v>
      </c>
      <c r="E57" s="15" t="n">
        <v>0.9562</v>
      </c>
      <c r="F57" s="14" t="n">
        <v>99</v>
      </c>
      <c r="G57" s="14" t="n">
        <v>92</v>
      </c>
      <c r="H57" s="15" t="n">
        <v>0.9292</v>
      </c>
    </row>
    <row r="58" customFormat="false" ht="15" hidden="false" customHeight="true" outlineLevel="0" collapsed="false">
      <c r="A58" s="13" t="s">
        <v>202</v>
      </c>
      <c r="B58" s="13" t="s">
        <v>156</v>
      </c>
      <c r="C58" s="14" t="n">
        <v>6004</v>
      </c>
      <c r="D58" s="14" t="n">
        <v>3501</v>
      </c>
      <c r="E58" s="15" t="n">
        <v>0.5831</v>
      </c>
      <c r="F58" s="14" t="n">
        <v>8343</v>
      </c>
      <c r="G58" s="14" t="n">
        <v>4913</v>
      </c>
      <c r="H58" s="15" t="n">
        <v>0.5888</v>
      </c>
    </row>
    <row r="59" customFormat="false" ht="15" hidden="false" customHeight="true" outlineLevel="0" collapsed="false">
      <c r="A59" s="13" t="s">
        <v>202</v>
      </c>
      <c r="B59" s="13" t="s">
        <v>165</v>
      </c>
      <c r="C59" s="14" t="n">
        <v>4118</v>
      </c>
      <c r="D59" s="14" t="n">
        <v>3062</v>
      </c>
      <c r="E59" s="15" t="n">
        <v>0.7435</v>
      </c>
      <c r="F59" s="14" t="n">
        <v>5533</v>
      </c>
      <c r="G59" s="14" t="n">
        <v>4369</v>
      </c>
      <c r="H59" s="15" t="n">
        <v>0.7896</v>
      </c>
    </row>
    <row r="60" customFormat="false" ht="15" hidden="false" customHeight="true" outlineLevel="0" collapsed="false">
      <c r="A60" s="13" t="s">
        <v>202</v>
      </c>
      <c r="B60" s="13" t="s">
        <v>149</v>
      </c>
      <c r="C60" s="14" t="n">
        <v>5595</v>
      </c>
      <c r="D60" s="14" t="n">
        <v>5462</v>
      </c>
      <c r="E60" s="15" t="n">
        <v>0.9762</v>
      </c>
      <c r="F60" s="14" t="n">
        <v>7612</v>
      </c>
      <c r="G60" s="14" t="n">
        <v>7479</v>
      </c>
      <c r="H60" s="15" t="n">
        <v>0.9825</v>
      </c>
    </row>
    <row r="61" customFormat="false" ht="15" hidden="false" customHeight="true" outlineLevel="0" collapsed="false">
      <c r="A61" s="13" t="s">
        <v>202</v>
      </c>
      <c r="B61" s="13" t="s">
        <v>155</v>
      </c>
      <c r="C61" s="14" t="n">
        <v>64</v>
      </c>
      <c r="D61" s="14" t="n">
        <v>45</v>
      </c>
      <c r="E61" s="15" t="n">
        <v>0.7031</v>
      </c>
      <c r="F61" s="14" t="n">
        <v>80</v>
      </c>
      <c r="G61" s="14" t="n">
        <v>52</v>
      </c>
      <c r="H61" s="15" t="n">
        <v>0.65</v>
      </c>
    </row>
    <row r="62" customFormat="false" ht="15" hidden="false" customHeight="true" outlineLevel="0" collapsed="false">
      <c r="A62" s="13" t="s">
        <v>202</v>
      </c>
      <c r="B62" s="13" t="s">
        <v>410</v>
      </c>
      <c r="C62" s="14" t="n">
        <v>5627</v>
      </c>
      <c r="D62" s="14" t="n">
        <v>5441</v>
      </c>
      <c r="E62" s="15" t="n">
        <v>0.9669</v>
      </c>
      <c r="F62" s="14" t="n">
        <v>7684</v>
      </c>
      <c r="G62" s="14" t="n">
        <v>7454</v>
      </c>
      <c r="H62" s="15" t="n">
        <v>0.97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8"/>
    <col collapsed="false" customWidth="true" hidden="false" outlineLevel="0" max="2" min="2" style="13" width="44"/>
    <col collapsed="false" customWidth="true" hidden="false" outlineLevel="0" max="5" min="3" style="13" width="13"/>
    <col collapsed="false" customWidth="true" hidden="false" outlineLevel="0" max="6" min="6" style="13" width="14"/>
    <col collapsed="false" customWidth="true" hidden="false" outlineLevel="0" max="8" min="7" style="13" width="13"/>
  </cols>
  <sheetData>
    <row r="1" customFormat="false" ht="15" hidden="false" customHeight="true" outlineLevel="0" collapsed="false">
      <c r="A1" s="13" t="s">
        <v>430</v>
      </c>
    </row>
    <row r="2" customFormat="false" ht="15" hidden="false" customHeight="true" outlineLevel="0" collapsed="false">
      <c r="A2" s="13" t="s">
        <v>431</v>
      </c>
    </row>
    <row r="4" customFormat="false" ht="15" hidden="false" customHeight="true" outlineLevel="0" collapsed="false">
      <c r="A4" s="13" t="s">
        <v>114</v>
      </c>
      <c r="B4" s="13" t="s">
        <v>141</v>
      </c>
      <c r="C4" s="13" t="s">
        <v>432</v>
      </c>
      <c r="D4" s="13" t="s">
        <v>408</v>
      </c>
      <c r="E4" s="13" t="s">
        <v>409</v>
      </c>
      <c r="F4" s="13" t="s">
        <v>433</v>
      </c>
      <c r="G4" s="13" t="s">
        <v>434</v>
      </c>
      <c r="H4" s="13" t="s">
        <v>435</v>
      </c>
    </row>
    <row r="5" customFormat="false" ht="15" hidden="false" customHeight="true" outlineLevel="0" collapsed="false">
      <c r="A5" s="13" t="s">
        <v>126</v>
      </c>
      <c r="B5" s="13" t="s">
        <v>166</v>
      </c>
      <c r="C5" s="14" t="n">
        <v>2676</v>
      </c>
      <c r="D5" s="14" t="n">
        <v>1891</v>
      </c>
      <c r="E5" s="15" t="n">
        <v>0.7066</v>
      </c>
      <c r="F5" s="14" t="n">
        <v>2129</v>
      </c>
      <c r="G5" s="14" t="n">
        <v>1653</v>
      </c>
      <c r="H5" s="15" t="n">
        <v>0.7764</v>
      </c>
    </row>
    <row r="6" customFormat="false" ht="15" hidden="false" customHeight="true" outlineLevel="0" collapsed="false">
      <c r="A6" s="13" t="s">
        <v>126</v>
      </c>
      <c r="B6" s="13" t="s">
        <v>142</v>
      </c>
      <c r="C6" s="14" t="n">
        <v>2531</v>
      </c>
      <c r="D6" s="14" t="n">
        <v>2320</v>
      </c>
      <c r="E6" s="15" t="n">
        <v>0.9166</v>
      </c>
      <c r="F6" s="14" t="n">
        <v>2029</v>
      </c>
      <c r="G6" s="14" t="n">
        <v>1860</v>
      </c>
      <c r="H6" s="15" t="n">
        <v>0.9167</v>
      </c>
    </row>
    <row r="7" customFormat="false" ht="15" hidden="false" customHeight="true" outlineLevel="0" collapsed="false">
      <c r="A7" s="13" t="s">
        <v>126</v>
      </c>
      <c r="B7" s="13" t="s">
        <v>265</v>
      </c>
      <c r="C7" s="14" t="n">
        <v>70</v>
      </c>
      <c r="D7" s="14" t="n">
        <v>64</v>
      </c>
      <c r="E7" s="15" t="n">
        <v>0.9142</v>
      </c>
      <c r="F7" s="14" t="n">
        <v>50</v>
      </c>
      <c r="G7" s="14" t="n">
        <v>46</v>
      </c>
      <c r="H7" s="15" t="n">
        <v>0.92</v>
      </c>
    </row>
    <row r="8" customFormat="false" ht="15" hidden="false" customHeight="true" outlineLevel="0" collapsed="false">
      <c r="A8" s="13" t="s">
        <v>126</v>
      </c>
      <c r="B8" s="13" t="s">
        <v>156</v>
      </c>
      <c r="C8" s="14" t="n">
        <v>2753</v>
      </c>
      <c r="D8" s="14" t="n">
        <v>2162</v>
      </c>
      <c r="E8" s="15" t="n">
        <v>0.7853</v>
      </c>
      <c r="F8" s="14" t="n">
        <v>2182</v>
      </c>
      <c r="G8" s="14" t="n">
        <v>1799</v>
      </c>
      <c r="H8" s="15" t="n">
        <v>0.8244</v>
      </c>
    </row>
    <row r="9" customFormat="false" ht="15" hidden="false" customHeight="true" outlineLevel="0" collapsed="false">
      <c r="A9" s="13" t="s">
        <v>126</v>
      </c>
      <c r="B9" s="13" t="s">
        <v>165</v>
      </c>
      <c r="C9" s="14" t="n">
        <v>2588</v>
      </c>
      <c r="D9" s="14" t="n">
        <v>2253</v>
      </c>
      <c r="E9" s="15" t="n">
        <v>0.8705</v>
      </c>
      <c r="F9" s="14" t="n">
        <v>2051</v>
      </c>
      <c r="G9" s="14" t="n">
        <v>1861</v>
      </c>
      <c r="H9" s="15" t="n">
        <v>0.9073</v>
      </c>
    </row>
    <row r="10" customFormat="false" ht="15" hidden="false" customHeight="true" outlineLevel="0" collapsed="false">
      <c r="A10" s="13" t="s">
        <v>126</v>
      </c>
      <c r="B10" s="13" t="s">
        <v>149</v>
      </c>
      <c r="C10" s="14" t="n">
        <v>2434</v>
      </c>
      <c r="D10" s="14" t="n">
        <v>2395</v>
      </c>
      <c r="E10" s="15" t="n">
        <v>0.9839</v>
      </c>
      <c r="F10" s="14" t="n">
        <v>1952</v>
      </c>
      <c r="G10" s="14" t="n">
        <v>1939</v>
      </c>
      <c r="H10" s="15" t="n">
        <v>0.9933</v>
      </c>
    </row>
    <row r="11" customFormat="false" ht="15" hidden="false" customHeight="true" outlineLevel="0" collapsed="false">
      <c r="A11" s="13" t="s">
        <v>126</v>
      </c>
      <c r="B11" s="13" t="s">
        <v>436</v>
      </c>
      <c r="C11" s="14" t="n">
        <v>0</v>
      </c>
      <c r="D11" s="14" t="n">
        <v>0</v>
      </c>
      <c r="E11" s="15" t="n">
        <v>0</v>
      </c>
      <c r="F11" s="14" t="n">
        <v>0</v>
      </c>
      <c r="G11" s="14" t="n">
        <v>0</v>
      </c>
      <c r="H11" s="15" t="n">
        <v>0</v>
      </c>
    </row>
    <row r="12" customFormat="false" ht="15" hidden="false" customHeight="true" outlineLevel="0" collapsed="false">
      <c r="A12" s="13" t="s">
        <v>126</v>
      </c>
      <c r="B12" s="13" t="s">
        <v>410</v>
      </c>
      <c r="C12" s="14" t="n">
        <v>2484</v>
      </c>
      <c r="D12" s="14" t="n">
        <v>2451</v>
      </c>
      <c r="E12" s="15" t="n">
        <v>0.9867</v>
      </c>
      <c r="F12" s="14" t="n">
        <v>1970</v>
      </c>
      <c r="G12" s="14" t="n">
        <v>1945</v>
      </c>
      <c r="H12" s="15" t="n">
        <v>0.9873</v>
      </c>
    </row>
    <row r="13" customFormat="false" ht="15" hidden="false" customHeight="true" outlineLevel="0" collapsed="false">
      <c r="A13" s="13" t="s">
        <v>123</v>
      </c>
      <c r="B13" s="13" t="s">
        <v>167</v>
      </c>
      <c r="C13" s="14" t="n">
        <v>29443</v>
      </c>
      <c r="D13" s="14" t="n">
        <v>24498</v>
      </c>
      <c r="E13" s="15" t="n">
        <v>0.832</v>
      </c>
      <c r="F13" s="14" t="n">
        <v>24264</v>
      </c>
      <c r="G13" s="14" t="n">
        <v>21385</v>
      </c>
      <c r="H13" s="15" t="n">
        <v>0.8813</v>
      </c>
    </row>
    <row r="14" customFormat="false" ht="15" hidden="false" customHeight="true" outlineLevel="0" collapsed="false">
      <c r="A14" s="13" t="s">
        <v>123</v>
      </c>
      <c r="B14" s="13" t="s">
        <v>166</v>
      </c>
      <c r="C14" s="14" t="n">
        <v>29753</v>
      </c>
      <c r="D14" s="14" t="n">
        <v>24166</v>
      </c>
      <c r="E14" s="15" t="n">
        <v>0.8122</v>
      </c>
      <c r="F14" s="14" t="n">
        <v>24271</v>
      </c>
      <c r="G14" s="14" t="n">
        <v>19770</v>
      </c>
      <c r="H14" s="15" t="n">
        <v>0.8145</v>
      </c>
    </row>
    <row r="15" customFormat="false" ht="15" hidden="false" customHeight="true" outlineLevel="0" collapsed="false">
      <c r="A15" s="13" t="s">
        <v>123</v>
      </c>
      <c r="B15" s="13" t="s">
        <v>142</v>
      </c>
      <c r="C15" s="14" t="n">
        <v>28277</v>
      </c>
      <c r="D15" s="14" t="n">
        <v>26737</v>
      </c>
      <c r="E15" s="15" t="n">
        <v>0.9455</v>
      </c>
      <c r="F15" s="14" t="n">
        <v>22503</v>
      </c>
      <c r="G15" s="14" t="n">
        <v>21164</v>
      </c>
      <c r="H15" s="15" t="n">
        <v>0.9404</v>
      </c>
    </row>
    <row r="16" customFormat="false" ht="15" hidden="false" customHeight="true" outlineLevel="0" collapsed="false">
      <c r="A16" s="13" t="s">
        <v>123</v>
      </c>
      <c r="B16" s="13" t="s">
        <v>265</v>
      </c>
      <c r="C16" s="14" t="n">
        <v>763</v>
      </c>
      <c r="D16" s="14" t="n">
        <v>742</v>
      </c>
      <c r="E16" s="15" t="n">
        <v>0.9724</v>
      </c>
      <c r="F16" s="14" t="n">
        <v>732</v>
      </c>
      <c r="G16" s="14" t="n">
        <v>709</v>
      </c>
      <c r="H16" s="15" t="n">
        <v>0.9685</v>
      </c>
    </row>
    <row r="17" customFormat="false" ht="15" hidden="false" customHeight="true" outlineLevel="0" collapsed="false">
      <c r="A17" s="13" t="s">
        <v>123</v>
      </c>
      <c r="B17" s="13" t="s">
        <v>165</v>
      </c>
      <c r="C17" s="14" t="n">
        <v>29144</v>
      </c>
      <c r="D17" s="14" t="n">
        <v>26058</v>
      </c>
      <c r="E17" s="15" t="n">
        <v>0.8941</v>
      </c>
      <c r="F17" s="14" t="n">
        <v>23819</v>
      </c>
      <c r="G17" s="14" t="n">
        <v>22378</v>
      </c>
      <c r="H17" s="15" t="n">
        <v>0.9395</v>
      </c>
    </row>
    <row r="18" customFormat="false" ht="15" hidden="false" customHeight="true" outlineLevel="0" collapsed="false">
      <c r="A18" s="13" t="s">
        <v>123</v>
      </c>
      <c r="B18" s="13" t="s">
        <v>149</v>
      </c>
      <c r="C18" s="14" t="n">
        <v>26658</v>
      </c>
      <c r="D18" s="14" t="n">
        <v>26328</v>
      </c>
      <c r="E18" s="15" t="n">
        <v>0.9876</v>
      </c>
      <c r="F18" s="14" t="n">
        <v>21225</v>
      </c>
      <c r="G18" s="14" t="n">
        <v>21085</v>
      </c>
      <c r="H18" s="15" t="n">
        <v>0.9934</v>
      </c>
    </row>
    <row r="19" customFormat="false" ht="15" hidden="false" customHeight="true" outlineLevel="0" collapsed="false">
      <c r="A19" s="13" t="s">
        <v>123</v>
      </c>
      <c r="B19" s="13" t="s">
        <v>436</v>
      </c>
      <c r="C19" s="14" t="n">
        <v>901</v>
      </c>
      <c r="D19" s="14" t="n">
        <v>869</v>
      </c>
      <c r="E19" s="15" t="n">
        <v>0.9644</v>
      </c>
      <c r="F19" s="14" t="n">
        <v>0</v>
      </c>
      <c r="G19" s="14" t="n">
        <v>0</v>
      </c>
      <c r="H19" s="15" t="n">
        <v>0</v>
      </c>
    </row>
    <row r="20" customFormat="false" ht="15" hidden="false" customHeight="true" outlineLevel="0" collapsed="false">
      <c r="A20" s="13" t="s">
        <v>123</v>
      </c>
      <c r="B20" s="13" t="s">
        <v>410</v>
      </c>
      <c r="C20" s="14" t="n">
        <v>27730</v>
      </c>
      <c r="D20" s="14" t="n">
        <v>27471</v>
      </c>
      <c r="E20" s="15" t="n">
        <v>0.9906</v>
      </c>
      <c r="F20" s="14" t="n">
        <v>22390</v>
      </c>
      <c r="G20" s="14" t="n">
        <v>22199</v>
      </c>
      <c r="H20" s="15" t="n">
        <v>0.9914</v>
      </c>
    </row>
    <row r="21" customFormat="false" ht="15" hidden="false" customHeight="true" outlineLevel="0" collapsed="false">
      <c r="A21" s="13" t="s">
        <v>382</v>
      </c>
      <c r="B21" s="13" t="s">
        <v>162</v>
      </c>
      <c r="C21" s="14" t="n">
        <v>572</v>
      </c>
      <c r="D21" s="14" t="n">
        <v>518</v>
      </c>
      <c r="E21" s="15" t="n">
        <v>0.9055</v>
      </c>
      <c r="F21" s="14" t="n">
        <v>513</v>
      </c>
      <c r="G21" s="14" t="n">
        <v>506</v>
      </c>
      <c r="H21" s="15" t="n">
        <v>0.9863</v>
      </c>
    </row>
    <row r="22" customFormat="false" ht="15" hidden="false" customHeight="true" outlineLevel="0" collapsed="false">
      <c r="A22" s="13" t="s">
        <v>382</v>
      </c>
      <c r="B22" s="13" t="s">
        <v>411</v>
      </c>
      <c r="C22" s="14" t="n">
        <v>183</v>
      </c>
      <c r="D22" s="14" t="n">
        <v>167</v>
      </c>
      <c r="E22" s="15" t="n">
        <v>0.9125</v>
      </c>
      <c r="F22" s="14" t="n">
        <v>156</v>
      </c>
      <c r="G22" s="14" t="n">
        <v>142</v>
      </c>
      <c r="H22" s="15" t="n">
        <v>0.9102</v>
      </c>
    </row>
    <row r="23" customFormat="false" ht="15" hidden="false" customHeight="true" outlineLevel="0" collapsed="false">
      <c r="A23" s="13" t="s">
        <v>382</v>
      </c>
      <c r="B23" s="13" t="s">
        <v>154</v>
      </c>
      <c r="C23" s="14" t="n">
        <v>3777</v>
      </c>
      <c r="D23" s="14" t="n">
        <v>3614</v>
      </c>
      <c r="E23" s="15" t="n">
        <v>0.9568</v>
      </c>
      <c r="F23" s="14" t="n">
        <v>3187</v>
      </c>
      <c r="G23" s="14" t="n">
        <v>3072</v>
      </c>
      <c r="H23" s="15" t="n">
        <v>0.9639</v>
      </c>
    </row>
    <row r="24" customFormat="false" ht="15" hidden="false" customHeight="true" outlineLevel="0" collapsed="false">
      <c r="A24" s="13" t="s">
        <v>382</v>
      </c>
      <c r="B24" s="13" t="s">
        <v>170</v>
      </c>
      <c r="C24" s="14" t="n">
        <v>3099</v>
      </c>
      <c r="D24" s="14" t="n">
        <v>2083</v>
      </c>
      <c r="E24" s="15" t="n">
        <v>0.6721</v>
      </c>
      <c r="F24" s="14" t="n">
        <v>4483</v>
      </c>
      <c r="G24" s="14" t="n">
        <v>2452</v>
      </c>
      <c r="H24" s="15" t="n">
        <v>0.5469</v>
      </c>
    </row>
    <row r="25" customFormat="false" ht="15" hidden="false" customHeight="true" outlineLevel="0" collapsed="false">
      <c r="A25" s="13" t="s">
        <v>382</v>
      </c>
      <c r="B25" s="13" t="s">
        <v>152</v>
      </c>
      <c r="C25" s="14" t="n">
        <v>3155</v>
      </c>
      <c r="D25" s="14" t="n">
        <v>2972</v>
      </c>
      <c r="E25" s="15" t="n">
        <v>0.9419</v>
      </c>
      <c r="F25" s="14" t="n">
        <v>3366</v>
      </c>
      <c r="G25" s="14" t="n">
        <v>3121</v>
      </c>
      <c r="H25" s="15" t="n">
        <v>0.9272</v>
      </c>
    </row>
    <row r="26" customFormat="false" ht="15" hidden="false" customHeight="true" outlineLevel="0" collapsed="false">
      <c r="A26" s="13" t="s">
        <v>382</v>
      </c>
      <c r="B26" s="13" t="s">
        <v>150</v>
      </c>
      <c r="C26" s="14" t="n">
        <v>8362</v>
      </c>
      <c r="D26" s="14" t="n">
        <v>7891</v>
      </c>
      <c r="E26" s="15" t="n">
        <v>0.9436</v>
      </c>
      <c r="F26" s="14" t="n">
        <v>7369</v>
      </c>
      <c r="G26" s="14" t="n">
        <v>7035</v>
      </c>
      <c r="H26" s="15" t="n">
        <v>0.9546</v>
      </c>
    </row>
    <row r="27" customFormat="false" ht="15" hidden="false" customHeight="true" outlineLevel="0" collapsed="false">
      <c r="A27" s="13" t="s">
        <v>382</v>
      </c>
      <c r="B27" s="13" t="s">
        <v>142</v>
      </c>
      <c r="C27" s="14" t="n">
        <v>17138</v>
      </c>
      <c r="D27" s="14" t="n">
        <v>7945</v>
      </c>
      <c r="E27" s="15" t="n">
        <v>0.4635</v>
      </c>
      <c r="F27" s="14" t="n">
        <v>15212</v>
      </c>
      <c r="G27" s="14" t="n">
        <v>8236</v>
      </c>
      <c r="H27" s="15" t="n">
        <v>0.5414</v>
      </c>
    </row>
    <row r="28" customFormat="false" ht="15" hidden="false" customHeight="true" outlineLevel="0" collapsed="false">
      <c r="A28" s="13" t="s">
        <v>382</v>
      </c>
      <c r="B28" s="13" t="s">
        <v>412</v>
      </c>
      <c r="C28" s="14" t="n">
        <v>187</v>
      </c>
      <c r="D28" s="14" t="n">
        <v>171</v>
      </c>
      <c r="E28" s="15" t="n">
        <v>0.9144</v>
      </c>
      <c r="F28" s="14" t="n">
        <v>38</v>
      </c>
      <c r="G28" s="14" t="n">
        <v>25</v>
      </c>
      <c r="H28" s="15" t="n">
        <v>0.6578</v>
      </c>
    </row>
    <row r="29" customFormat="false" ht="15" hidden="false" customHeight="true" outlineLevel="0" collapsed="false">
      <c r="A29" s="13" t="s">
        <v>382</v>
      </c>
      <c r="B29" s="13" t="s">
        <v>413</v>
      </c>
      <c r="C29" s="14" t="n">
        <v>195</v>
      </c>
      <c r="D29" s="14" t="n">
        <v>178</v>
      </c>
      <c r="E29" s="15" t="n">
        <v>0.9128</v>
      </c>
      <c r="F29" s="14" t="n">
        <v>50</v>
      </c>
      <c r="G29" s="14" t="n">
        <v>38</v>
      </c>
      <c r="H29" s="15" t="n">
        <v>0.76</v>
      </c>
    </row>
    <row r="30" customFormat="false" ht="15" hidden="false" customHeight="true" outlineLevel="0" collapsed="false">
      <c r="A30" s="13" t="s">
        <v>382</v>
      </c>
      <c r="B30" s="13" t="s">
        <v>161</v>
      </c>
      <c r="C30" s="14" t="n">
        <v>1347</v>
      </c>
      <c r="D30" s="14" t="n">
        <v>1323</v>
      </c>
      <c r="E30" s="15" t="n">
        <v>0.9821</v>
      </c>
      <c r="F30" s="14" t="n">
        <v>1019</v>
      </c>
      <c r="G30" s="14" t="n">
        <v>998</v>
      </c>
      <c r="H30" s="15" t="n">
        <v>0.9793</v>
      </c>
    </row>
    <row r="31" customFormat="false" ht="15" hidden="false" customHeight="true" outlineLevel="0" collapsed="false">
      <c r="A31" s="13" t="s">
        <v>382</v>
      </c>
      <c r="B31" s="13" t="s">
        <v>414</v>
      </c>
      <c r="C31" s="14" t="n">
        <v>344</v>
      </c>
      <c r="D31" s="14" t="n">
        <v>326</v>
      </c>
      <c r="E31" s="15" t="n">
        <v>0.9476</v>
      </c>
      <c r="F31" s="14" t="n">
        <v>296</v>
      </c>
      <c r="G31" s="14" t="n">
        <v>281</v>
      </c>
      <c r="H31" s="15" t="n">
        <v>0.9493</v>
      </c>
    </row>
    <row r="32" customFormat="false" ht="15" hidden="false" customHeight="true" outlineLevel="0" collapsed="false">
      <c r="A32" s="13" t="s">
        <v>382</v>
      </c>
      <c r="B32" s="13" t="s">
        <v>415</v>
      </c>
      <c r="C32" s="14" t="n">
        <v>629</v>
      </c>
      <c r="D32" s="14" t="n">
        <v>554</v>
      </c>
      <c r="E32" s="15" t="n">
        <v>0.8807</v>
      </c>
      <c r="F32" s="14" t="n">
        <v>474</v>
      </c>
      <c r="G32" s="14" t="n">
        <v>421</v>
      </c>
      <c r="H32" s="15" t="n">
        <v>0.8881</v>
      </c>
    </row>
    <row r="33" customFormat="false" ht="15" hidden="false" customHeight="true" outlineLevel="0" collapsed="false">
      <c r="A33" s="13" t="s">
        <v>382</v>
      </c>
      <c r="B33" s="13" t="s">
        <v>416</v>
      </c>
      <c r="C33" s="14" t="n">
        <v>0</v>
      </c>
      <c r="D33" s="14" t="n">
        <v>0</v>
      </c>
      <c r="E33" s="15" t="n">
        <v>0</v>
      </c>
      <c r="F33" s="14" t="n">
        <v>36</v>
      </c>
      <c r="G33" s="14" t="n">
        <v>24</v>
      </c>
      <c r="H33" s="15" t="n">
        <v>0.6666</v>
      </c>
    </row>
    <row r="34" customFormat="false" ht="15" hidden="false" customHeight="true" outlineLevel="0" collapsed="false">
      <c r="A34" s="13" t="s">
        <v>382</v>
      </c>
      <c r="B34" s="13" t="s">
        <v>417</v>
      </c>
      <c r="C34" s="14" t="n">
        <v>184</v>
      </c>
      <c r="D34" s="14" t="n">
        <v>168</v>
      </c>
      <c r="E34" s="15" t="n">
        <v>0.913</v>
      </c>
      <c r="F34" s="14" t="n">
        <v>0</v>
      </c>
      <c r="G34" s="14" t="n">
        <v>0</v>
      </c>
      <c r="H34" s="15" t="n">
        <v>0</v>
      </c>
    </row>
    <row r="35" customFormat="false" ht="15" hidden="false" customHeight="true" outlineLevel="0" collapsed="false">
      <c r="A35" s="13" t="s">
        <v>382</v>
      </c>
      <c r="B35" s="13" t="s">
        <v>418</v>
      </c>
      <c r="C35" s="14" t="n">
        <v>733</v>
      </c>
      <c r="D35" s="14" t="n">
        <v>641</v>
      </c>
      <c r="E35" s="15" t="n">
        <v>0.8744</v>
      </c>
      <c r="F35" s="14" t="n">
        <v>452</v>
      </c>
      <c r="G35" s="14" t="n">
        <v>359</v>
      </c>
      <c r="H35" s="15" t="n">
        <v>0.7942</v>
      </c>
    </row>
    <row r="36" customFormat="false" ht="15" hidden="false" customHeight="true" outlineLevel="0" collapsed="false">
      <c r="A36" s="13" t="s">
        <v>382</v>
      </c>
      <c r="B36" s="13" t="s">
        <v>158</v>
      </c>
      <c r="C36" s="14" t="n">
        <v>5491</v>
      </c>
      <c r="D36" s="14" t="n">
        <v>5338</v>
      </c>
      <c r="E36" s="15" t="n">
        <v>0.9721</v>
      </c>
      <c r="F36" s="14" t="n">
        <v>5151</v>
      </c>
      <c r="G36" s="14" t="n">
        <v>4892</v>
      </c>
      <c r="H36" s="15" t="n">
        <v>0.9497</v>
      </c>
    </row>
    <row r="37" customFormat="false" ht="15" hidden="false" customHeight="true" outlineLevel="0" collapsed="false">
      <c r="A37" s="13" t="s">
        <v>382</v>
      </c>
      <c r="B37" s="13" t="s">
        <v>265</v>
      </c>
      <c r="C37" s="14" t="n">
        <v>1350</v>
      </c>
      <c r="D37" s="14" t="n">
        <v>1274</v>
      </c>
      <c r="E37" s="15" t="n">
        <v>0.9437</v>
      </c>
      <c r="F37" s="14" t="n">
        <v>564</v>
      </c>
      <c r="G37" s="14" t="n">
        <v>514</v>
      </c>
      <c r="H37" s="15" t="n">
        <v>0.9113</v>
      </c>
    </row>
    <row r="38" customFormat="false" ht="15" hidden="false" customHeight="true" outlineLevel="0" collapsed="false">
      <c r="A38" s="13" t="s">
        <v>382</v>
      </c>
      <c r="B38" s="13" t="s">
        <v>419</v>
      </c>
      <c r="C38" s="14" t="n">
        <v>8832</v>
      </c>
      <c r="D38" s="14" t="n">
        <v>8542</v>
      </c>
      <c r="E38" s="15" t="n">
        <v>0.9671</v>
      </c>
      <c r="F38" s="14" t="n">
        <v>7316</v>
      </c>
      <c r="G38" s="14" t="n">
        <v>6944</v>
      </c>
      <c r="H38" s="15" t="n">
        <v>0.9491</v>
      </c>
    </row>
    <row r="39" customFormat="false" ht="15" hidden="false" customHeight="true" outlineLevel="0" collapsed="false">
      <c r="A39" s="13" t="s">
        <v>382</v>
      </c>
      <c r="B39" s="13" t="s">
        <v>159</v>
      </c>
      <c r="C39" s="14" t="n">
        <v>790</v>
      </c>
      <c r="D39" s="14" t="n">
        <v>773</v>
      </c>
      <c r="E39" s="15" t="n">
        <v>0.9784</v>
      </c>
      <c r="F39" s="14" t="n">
        <v>607</v>
      </c>
      <c r="G39" s="14" t="n">
        <v>594</v>
      </c>
      <c r="H39" s="15" t="n">
        <v>0.9785</v>
      </c>
    </row>
    <row r="40" customFormat="false" ht="15" hidden="false" customHeight="true" outlineLevel="0" collapsed="false">
      <c r="A40" s="13" t="s">
        <v>382</v>
      </c>
      <c r="B40" s="13" t="s">
        <v>156</v>
      </c>
      <c r="C40" s="14" t="n">
        <v>311</v>
      </c>
      <c r="D40" s="14" t="n">
        <v>252</v>
      </c>
      <c r="E40" s="15" t="n">
        <v>0.8102</v>
      </c>
      <c r="F40" s="14" t="n">
        <v>170</v>
      </c>
      <c r="G40" s="14" t="n">
        <v>105</v>
      </c>
      <c r="H40" s="15" t="n">
        <v>0.6176</v>
      </c>
    </row>
    <row r="41" customFormat="false" ht="15" hidden="false" customHeight="true" outlineLevel="0" collapsed="false">
      <c r="A41" s="13" t="s">
        <v>382</v>
      </c>
      <c r="B41" s="13" t="s">
        <v>420</v>
      </c>
      <c r="C41" s="14" t="n">
        <v>0</v>
      </c>
      <c r="D41" s="14" t="n">
        <v>0</v>
      </c>
      <c r="E41" s="15" t="n">
        <v>0</v>
      </c>
      <c r="F41" s="14" t="n">
        <v>0</v>
      </c>
      <c r="G41" s="14" t="n">
        <v>0</v>
      </c>
      <c r="H41" s="15" t="n">
        <v>0</v>
      </c>
    </row>
    <row r="42" customFormat="false" ht="15" hidden="false" customHeight="true" outlineLevel="0" collapsed="false">
      <c r="A42" s="13" t="s">
        <v>382</v>
      </c>
      <c r="B42" s="13" t="s">
        <v>421</v>
      </c>
      <c r="C42" s="14" t="n">
        <v>368</v>
      </c>
      <c r="D42" s="14" t="n">
        <v>338</v>
      </c>
      <c r="E42" s="15" t="n">
        <v>0.9184</v>
      </c>
      <c r="F42" s="14" t="n">
        <v>189</v>
      </c>
      <c r="G42" s="14" t="n">
        <v>157</v>
      </c>
      <c r="H42" s="15" t="n">
        <v>0.8306</v>
      </c>
    </row>
    <row r="43" customFormat="false" ht="15" hidden="false" customHeight="true" outlineLevel="0" collapsed="false">
      <c r="A43" s="13" t="s">
        <v>382</v>
      </c>
      <c r="B43" s="13" t="s">
        <v>145</v>
      </c>
      <c r="C43" s="14" t="n">
        <v>366</v>
      </c>
      <c r="D43" s="14" t="n">
        <v>313</v>
      </c>
      <c r="E43" s="15" t="n">
        <v>0.8551</v>
      </c>
      <c r="F43" s="14" t="n">
        <v>189</v>
      </c>
      <c r="G43" s="14" t="n">
        <v>139</v>
      </c>
      <c r="H43" s="15" t="n">
        <v>0.7354</v>
      </c>
    </row>
    <row r="44" customFormat="false" ht="15" hidden="false" customHeight="true" outlineLevel="0" collapsed="false">
      <c r="A44" s="13" t="s">
        <v>382</v>
      </c>
      <c r="B44" s="13" t="s">
        <v>422</v>
      </c>
      <c r="C44" s="14" t="n">
        <v>366</v>
      </c>
      <c r="D44" s="14" t="n">
        <v>340</v>
      </c>
      <c r="E44" s="15" t="n">
        <v>0.9289</v>
      </c>
      <c r="F44" s="14" t="n">
        <v>189</v>
      </c>
      <c r="G44" s="14" t="n">
        <v>171</v>
      </c>
      <c r="H44" s="15" t="n">
        <v>0.9047</v>
      </c>
    </row>
    <row r="45" customFormat="false" ht="15" hidden="false" customHeight="true" outlineLevel="0" collapsed="false">
      <c r="A45" s="13" t="s">
        <v>382</v>
      </c>
      <c r="B45" s="13" t="s">
        <v>423</v>
      </c>
      <c r="C45" s="14" t="n">
        <v>366</v>
      </c>
      <c r="D45" s="14" t="n">
        <v>343</v>
      </c>
      <c r="E45" s="15" t="n">
        <v>0.9371</v>
      </c>
      <c r="F45" s="14" t="n">
        <v>189</v>
      </c>
      <c r="G45" s="14" t="n">
        <v>158</v>
      </c>
      <c r="H45" s="15" t="n">
        <v>0.8359</v>
      </c>
    </row>
    <row r="46" customFormat="false" ht="15" hidden="false" customHeight="true" outlineLevel="0" collapsed="false">
      <c r="A46" s="13" t="s">
        <v>382</v>
      </c>
      <c r="B46" s="13" t="s">
        <v>424</v>
      </c>
      <c r="C46" s="14" t="n">
        <v>314</v>
      </c>
      <c r="D46" s="14" t="n">
        <v>298</v>
      </c>
      <c r="E46" s="15" t="n">
        <v>0.949</v>
      </c>
      <c r="F46" s="14" t="n">
        <v>288</v>
      </c>
      <c r="G46" s="14" t="n">
        <v>272</v>
      </c>
      <c r="H46" s="15" t="n">
        <v>0.9444</v>
      </c>
    </row>
    <row r="47" customFormat="false" ht="15" hidden="false" customHeight="true" outlineLevel="0" collapsed="false">
      <c r="A47" s="13" t="s">
        <v>382</v>
      </c>
      <c r="B47" s="13" t="s">
        <v>425</v>
      </c>
      <c r="C47" s="14" t="n">
        <v>209</v>
      </c>
      <c r="D47" s="14" t="n">
        <v>193</v>
      </c>
      <c r="E47" s="15" t="n">
        <v>0.9234</v>
      </c>
      <c r="F47" s="14" t="n">
        <v>186</v>
      </c>
      <c r="G47" s="14" t="n">
        <v>167</v>
      </c>
      <c r="H47" s="15" t="n">
        <v>0.8978</v>
      </c>
    </row>
    <row r="48" customFormat="false" ht="15" hidden="false" customHeight="true" outlineLevel="0" collapsed="false">
      <c r="A48" s="13" t="s">
        <v>382</v>
      </c>
      <c r="B48" s="13" t="s">
        <v>149</v>
      </c>
      <c r="C48" s="14" t="n">
        <v>14285</v>
      </c>
      <c r="D48" s="14" t="n">
        <v>13692</v>
      </c>
      <c r="E48" s="15" t="n">
        <v>0.9584</v>
      </c>
      <c r="F48" s="14" t="n">
        <v>13713</v>
      </c>
      <c r="G48" s="14" t="n">
        <v>13380</v>
      </c>
      <c r="H48" s="15" t="n">
        <v>0.9757</v>
      </c>
    </row>
    <row r="49" customFormat="false" ht="15" hidden="false" customHeight="true" outlineLevel="0" collapsed="false">
      <c r="A49" s="13" t="s">
        <v>382</v>
      </c>
      <c r="B49" s="13" t="s">
        <v>153</v>
      </c>
      <c r="C49" s="14" t="n">
        <v>447</v>
      </c>
      <c r="D49" s="14" t="n">
        <v>360</v>
      </c>
      <c r="E49" s="15" t="n">
        <v>0.8053</v>
      </c>
      <c r="F49" s="14" t="n">
        <v>381</v>
      </c>
      <c r="G49" s="14" t="n">
        <v>310</v>
      </c>
      <c r="H49" s="15" t="n">
        <v>0.8136</v>
      </c>
    </row>
    <row r="50" customFormat="false" ht="15" hidden="false" customHeight="true" outlineLevel="0" collapsed="false">
      <c r="A50" s="13" t="s">
        <v>382</v>
      </c>
      <c r="B50" s="13" t="s">
        <v>426</v>
      </c>
      <c r="C50" s="14" t="n">
        <v>1050</v>
      </c>
      <c r="D50" s="14" t="n">
        <v>1015</v>
      </c>
      <c r="E50" s="15" t="n">
        <v>0.9666</v>
      </c>
      <c r="F50" s="14" t="n">
        <v>799</v>
      </c>
      <c r="G50" s="14" t="n">
        <v>770</v>
      </c>
      <c r="H50" s="15" t="n">
        <v>0.9637</v>
      </c>
    </row>
    <row r="51" customFormat="false" ht="15" hidden="false" customHeight="true" outlineLevel="0" collapsed="false">
      <c r="A51" s="13" t="s">
        <v>382</v>
      </c>
      <c r="B51" s="13" t="s">
        <v>427</v>
      </c>
      <c r="C51" s="14" t="n">
        <v>5279</v>
      </c>
      <c r="D51" s="14" t="n">
        <v>5084</v>
      </c>
      <c r="E51" s="15" t="n">
        <v>0.963</v>
      </c>
      <c r="F51" s="14" t="n">
        <v>4673</v>
      </c>
      <c r="G51" s="14" t="n">
        <v>4533</v>
      </c>
      <c r="H51" s="15" t="n">
        <v>0.97</v>
      </c>
    </row>
    <row r="52" customFormat="false" ht="15" hidden="false" customHeight="true" outlineLevel="0" collapsed="false">
      <c r="A52" s="13" t="s">
        <v>382</v>
      </c>
      <c r="B52" s="13" t="s">
        <v>428</v>
      </c>
      <c r="C52" s="14" t="n">
        <v>1609</v>
      </c>
      <c r="D52" s="14" t="n">
        <v>1583</v>
      </c>
      <c r="E52" s="15" t="n">
        <v>0.9838</v>
      </c>
      <c r="F52" s="14" t="n">
        <v>1685</v>
      </c>
      <c r="G52" s="14" t="n">
        <v>1660</v>
      </c>
      <c r="H52" s="15" t="n">
        <v>0.9851</v>
      </c>
    </row>
    <row r="53" customFormat="false" ht="15" hidden="false" customHeight="true" outlineLevel="0" collapsed="false">
      <c r="A53" s="13" t="s">
        <v>382</v>
      </c>
      <c r="B53" s="13" t="s">
        <v>155</v>
      </c>
      <c r="C53" s="14" t="n">
        <v>256</v>
      </c>
      <c r="D53" s="14" t="n">
        <v>238</v>
      </c>
      <c r="E53" s="15" t="n">
        <v>0.9296</v>
      </c>
      <c r="F53" s="14" t="n">
        <v>214</v>
      </c>
      <c r="G53" s="14" t="n">
        <v>184</v>
      </c>
      <c r="H53" s="15" t="n">
        <v>0.8598</v>
      </c>
    </row>
    <row r="54" customFormat="false" ht="15" hidden="false" customHeight="true" outlineLevel="0" collapsed="false">
      <c r="A54" s="13" t="s">
        <v>382</v>
      </c>
      <c r="B54" s="13" t="s">
        <v>436</v>
      </c>
      <c r="C54" s="14" t="n">
        <v>0</v>
      </c>
      <c r="D54" s="14" t="n">
        <v>0</v>
      </c>
      <c r="E54" s="15" t="n">
        <v>0</v>
      </c>
      <c r="F54" s="14" t="n">
        <v>156</v>
      </c>
      <c r="G54" s="14" t="n">
        <v>140</v>
      </c>
      <c r="H54" s="15" t="n">
        <v>0.8974</v>
      </c>
    </row>
    <row r="55" customFormat="false" ht="15" hidden="false" customHeight="true" outlineLevel="0" collapsed="false">
      <c r="A55" s="13" t="s">
        <v>382</v>
      </c>
      <c r="B55" s="13" t="s">
        <v>429</v>
      </c>
      <c r="C55" s="14" t="n">
        <v>225</v>
      </c>
      <c r="D55" s="14" t="n">
        <v>208</v>
      </c>
      <c r="E55" s="15" t="n">
        <v>0.9244</v>
      </c>
      <c r="F55" s="14" t="n">
        <v>195</v>
      </c>
      <c r="G55" s="14" t="n">
        <v>177</v>
      </c>
      <c r="H55" s="15" t="n">
        <v>0.9076</v>
      </c>
    </row>
    <row r="56" customFormat="false" ht="15" hidden="false" customHeight="true" outlineLevel="0" collapsed="false">
      <c r="A56" s="13" t="s">
        <v>382</v>
      </c>
      <c r="B56" s="13" t="s">
        <v>410</v>
      </c>
      <c r="C56" s="14" t="n">
        <v>14584</v>
      </c>
      <c r="D56" s="14" t="n">
        <v>13155</v>
      </c>
      <c r="E56" s="15" t="n">
        <v>0.902</v>
      </c>
      <c r="F56" s="14" t="n">
        <v>13837</v>
      </c>
      <c r="G56" s="14" t="n">
        <v>12871</v>
      </c>
      <c r="H56" s="15" t="n">
        <v>0.9301</v>
      </c>
    </row>
    <row r="57" customFormat="false" ht="15" hidden="false" customHeight="true" outlineLevel="0" collapsed="false">
      <c r="A57" s="13" t="s">
        <v>202</v>
      </c>
      <c r="B57" s="13" t="s">
        <v>170</v>
      </c>
      <c r="C57" s="14" t="n">
        <v>7904</v>
      </c>
      <c r="D57" s="14" t="n">
        <v>6410</v>
      </c>
      <c r="E57" s="15" t="n">
        <v>0.8109</v>
      </c>
      <c r="F57" s="14" t="n">
        <v>11169</v>
      </c>
      <c r="G57" s="14" t="n">
        <v>9705</v>
      </c>
      <c r="H57" s="15" t="n">
        <v>0.8689</v>
      </c>
    </row>
    <row r="58" customFormat="false" ht="15" hidden="false" customHeight="true" outlineLevel="0" collapsed="false">
      <c r="A58" s="13" t="s">
        <v>202</v>
      </c>
      <c r="B58" s="13" t="s">
        <v>152</v>
      </c>
      <c r="C58" s="14" t="n">
        <v>2292</v>
      </c>
      <c r="D58" s="14" t="n">
        <v>2064</v>
      </c>
      <c r="E58" s="15" t="n">
        <v>0.9005</v>
      </c>
      <c r="F58" s="14" t="n">
        <v>3129</v>
      </c>
      <c r="G58" s="14" t="n">
        <v>2968</v>
      </c>
      <c r="H58" s="15" t="n">
        <v>0.9485</v>
      </c>
    </row>
    <row r="59" customFormat="false" ht="15" hidden="false" customHeight="true" outlineLevel="0" collapsed="false">
      <c r="A59" s="13" t="s">
        <v>202</v>
      </c>
      <c r="B59" s="13" t="s">
        <v>142</v>
      </c>
      <c r="C59" s="14" t="n">
        <v>7907</v>
      </c>
      <c r="D59" s="14" t="n">
        <v>7059</v>
      </c>
      <c r="E59" s="15" t="n">
        <v>0.8927</v>
      </c>
      <c r="F59" s="14" t="n">
        <v>10923</v>
      </c>
      <c r="G59" s="14" t="n">
        <v>10041</v>
      </c>
      <c r="H59" s="15" t="n">
        <v>0.9192</v>
      </c>
    </row>
    <row r="60" customFormat="false" ht="15" hidden="false" customHeight="true" outlineLevel="0" collapsed="false">
      <c r="A60" s="13" t="s">
        <v>202</v>
      </c>
      <c r="B60" s="13" t="s">
        <v>265</v>
      </c>
      <c r="C60" s="14" t="n">
        <v>99</v>
      </c>
      <c r="D60" s="14" t="n">
        <v>92</v>
      </c>
      <c r="E60" s="15" t="n">
        <v>0.9292</v>
      </c>
      <c r="F60" s="14" t="n">
        <v>72</v>
      </c>
      <c r="G60" s="14" t="n">
        <v>65</v>
      </c>
      <c r="H60" s="15" t="n">
        <v>0.9027</v>
      </c>
    </row>
    <row r="61" customFormat="false" ht="15" hidden="false" customHeight="true" outlineLevel="0" collapsed="false">
      <c r="A61" s="13" t="s">
        <v>202</v>
      </c>
      <c r="B61" s="13" t="s">
        <v>156</v>
      </c>
      <c r="C61" s="14" t="n">
        <v>8343</v>
      </c>
      <c r="D61" s="14" t="n">
        <v>4913</v>
      </c>
      <c r="E61" s="15" t="n">
        <v>0.5888</v>
      </c>
      <c r="F61" s="14" t="n">
        <v>11629</v>
      </c>
      <c r="G61" s="14" t="n">
        <v>8158</v>
      </c>
      <c r="H61" s="15" t="n">
        <v>0.7015</v>
      </c>
    </row>
    <row r="62" customFormat="false" ht="15" hidden="false" customHeight="true" outlineLevel="0" collapsed="false">
      <c r="A62" s="13" t="s">
        <v>202</v>
      </c>
      <c r="B62" s="13" t="s">
        <v>165</v>
      </c>
      <c r="C62" s="14" t="n">
        <v>5533</v>
      </c>
      <c r="D62" s="14" t="n">
        <v>4369</v>
      </c>
      <c r="E62" s="15" t="n">
        <v>0.7896</v>
      </c>
      <c r="F62" s="14" t="n">
        <v>7810</v>
      </c>
      <c r="G62" s="14" t="n">
        <v>6876</v>
      </c>
      <c r="H62" s="15" t="n">
        <v>0.8804</v>
      </c>
    </row>
    <row r="63" customFormat="false" ht="15" hidden="false" customHeight="true" outlineLevel="0" collapsed="false">
      <c r="A63" s="13" t="s">
        <v>202</v>
      </c>
      <c r="B63" s="13" t="s">
        <v>149</v>
      </c>
      <c r="C63" s="14" t="n">
        <v>7612</v>
      </c>
      <c r="D63" s="14" t="n">
        <v>7479</v>
      </c>
      <c r="E63" s="15" t="n">
        <v>0.9825</v>
      </c>
      <c r="F63" s="14" t="n">
        <v>10780</v>
      </c>
      <c r="G63" s="14" t="n">
        <v>10680</v>
      </c>
      <c r="H63" s="15" t="n">
        <v>0.9907</v>
      </c>
    </row>
    <row r="64" customFormat="false" ht="15" hidden="false" customHeight="true" outlineLevel="0" collapsed="false">
      <c r="A64" s="13" t="s">
        <v>202</v>
      </c>
      <c r="B64" s="13" t="s">
        <v>155</v>
      </c>
      <c r="C64" s="14" t="n">
        <v>80</v>
      </c>
      <c r="D64" s="14" t="n">
        <v>52</v>
      </c>
      <c r="E64" s="15" t="n">
        <v>0.65</v>
      </c>
      <c r="F64" s="14" t="n">
        <v>106</v>
      </c>
      <c r="G64" s="14" t="n">
        <v>84</v>
      </c>
      <c r="H64" s="15" t="n">
        <v>0.7924</v>
      </c>
    </row>
    <row r="65" customFormat="false" ht="15" hidden="false" customHeight="true" outlineLevel="0" collapsed="false">
      <c r="A65" s="13" t="s">
        <v>202</v>
      </c>
      <c r="B65" s="13" t="s">
        <v>436</v>
      </c>
      <c r="C65" s="14" t="n">
        <v>0</v>
      </c>
      <c r="D65" s="14" t="n">
        <v>0</v>
      </c>
      <c r="E65" s="15" t="n">
        <v>0</v>
      </c>
      <c r="F65" s="14" t="n">
        <v>0</v>
      </c>
      <c r="G65" s="14" t="n">
        <v>0</v>
      </c>
      <c r="H65" s="15" t="n">
        <v>0</v>
      </c>
    </row>
    <row r="66" customFormat="false" ht="15" hidden="false" customHeight="true" outlineLevel="0" collapsed="false">
      <c r="A66" s="13" t="s">
        <v>202</v>
      </c>
      <c r="B66" s="13" t="s">
        <v>410</v>
      </c>
      <c r="C66" s="14" t="n">
        <v>7684</v>
      </c>
      <c r="D66" s="14" t="n">
        <v>7454</v>
      </c>
      <c r="E66" s="15" t="n">
        <v>0.97</v>
      </c>
      <c r="F66" s="14" t="n">
        <v>10827</v>
      </c>
      <c r="G66" s="14" t="n">
        <v>10645</v>
      </c>
      <c r="H66" s="15" t="n">
        <v>0.9831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2" min="2" style="13" width="8"/>
    <col collapsed="false" customWidth="true" hidden="false" outlineLevel="0" max="5" min="3" style="13" width="38"/>
    <col collapsed="false" customWidth="true" hidden="false" outlineLevel="0" max="6" min="6" style="13" width="12"/>
    <col collapsed="false" customWidth="true" hidden="false" outlineLevel="0" max="8" min="7" style="13" width="13"/>
  </cols>
  <sheetData>
    <row r="1" customFormat="false" ht="15" hidden="false" customHeight="true" outlineLevel="0" collapsed="false">
      <c r="A1" s="13" t="s">
        <v>437</v>
      </c>
    </row>
    <row r="2" customFormat="false" ht="15" hidden="false" customHeight="true" outlineLevel="0" collapsed="false">
      <c r="A2" s="13" t="s">
        <v>438</v>
      </c>
    </row>
    <row r="4" customFormat="false" ht="15" hidden="false" customHeight="true" outlineLevel="0" collapsed="false">
      <c r="A4" s="13" t="s">
        <v>114</v>
      </c>
      <c r="B4" s="13" t="s">
        <v>439</v>
      </c>
      <c r="C4" s="13" t="s">
        <v>141</v>
      </c>
      <c r="D4" s="13" t="s">
        <v>440</v>
      </c>
      <c r="E4" s="13" t="s">
        <v>441</v>
      </c>
      <c r="F4" s="13" t="s">
        <v>442</v>
      </c>
    </row>
    <row r="5" customFormat="false" ht="15" hidden="false" customHeight="true" outlineLevel="0" collapsed="false">
      <c r="A5" s="13" t="s">
        <v>123</v>
      </c>
      <c r="B5" s="13" t="s">
        <v>443</v>
      </c>
      <c r="C5" s="13" t="s">
        <v>167</v>
      </c>
      <c r="D5" s="14" t="n">
        <v>23646</v>
      </c>
      <c r="E5" s="14" t="n">
        <v>22932</v>
      </c>
      <c r="F5" s="15" t="n">
        <v>0.9698</v>
      </c>
    </row>
    <row r="6" customFormat="false" ht="15" hidden="false" customHeight="true" outlineLevel="0" collapsed="false">
      <c r="A6" s="13" t="s">
        <v>123</v>
      </c>
      <c r="B6" s="13" t="s">
        <v>444</v>
      </c>
      <c r="C6" s="13" t="s">
        <v>166</v>
      </c>
      <c r="D6" s="14" t="n">
        <v>24056</v>
      </c>
      <c r="E6" s="14" t="n">
        <v>22217</v>
      </c>
      <c r="F6" s="15" t="n">
        <v>0.9236</v>
      </c>
    </row>
    <row r="7" customFormat="false" ht="15" hidden="false" customHeight="true" outlineLevel="0" collapsed="false">
      <c r="A7" s="13" t="s">
        <v>123</v>
      </c>
      <c r="B7" s="13" t="s">
        <v>445</v>
      </c>
      <c r="C7" s="13" t="s">
        <v>142</v>
      </c>
      <c r="D7" s="14" t="n">
        <v>23023</v>
      </c>
      <c r="E7" s="14" t="n">
        <v>22004</v>
      </c>
      <c r="F7" s="15" t="n">
        <v>0.9557</v>
      </c>
    </row>
    <row r="8" customFormat="false" ht="15" hidden="false" customHeight="true" outlineLevel="0" collapsed="false">
      <c r="A8" s="13" t="s">
        <v>123</v>
      </c>
      <c r="B8" s="13" t="s">
        <v>446</v>
      </c>
      <c r="C8" s="13" t="s">
        <v>143</v>
      </c>
      <c r="D8" s="14" t="n">
        <v>59</v>
      </c>
      <c r="E8" s="14" t="n">
        <v>59</v>
      </c>
      <c r="F8" s="15" t="n">
        <v>1</v>
      </c>
    </row>
    <row r="9" customFormat="false" ht="15" hidden="false" customHeight="true" outlineLevel="0" collapsed="false">
      <c r="A9" s="13" t="s">
        <v>123</v>
      </c>
      <c r="B9" s="13" t="s">
        <v>447</v>
      </c>
      <c r="C9" s="13" t="s">
        <v>265</v>
      </c>
      <c r="D9" s="14" t="n">
        <v>539</v>
      </c>
      <c r="E9" s="14" t="n">
        <v>535</v>
      </c>
      <c r="F9" s="15" t="n">
        <v>0.9926</v>
      </c>
    </row>
    <row r="10" customFormat="false" ht="15" hidden="false" customHeight="true" outlineLevel="0" collapsed="false">
      <c r="A10" s="13" t="s">
        <v>123</v>
      </c>
      <c r="B10" s="13" t="s">
        <v>448</v>
      </c>
      <c r="C10" s="13" t="s">
        <v>165</v>
      </c>
      <c r="D10" s="14" t="n">
        <v>23281</v>
      </c>
      <c r="E10" s="14" t="n">
        <v>22698</v>
      </c>
      <c r="F10" s="15" t="n">
        <v>0.975</v>
      </c>
    </row>
    <row r="11" customFormat="false" ht="15" hidden="false" customHeight="true" outlineLevel="0" collapsed="false">
      <c r="A11" s="13" t="s">
        <v>123</v>
      </c>
      <c r="B11" s="13" t="s">
        <v>449</v>
      </c>
      <c r="C11" s="13" t="s">
        <v>149</v>
      </c>
      <c r="D11" s="14" t="n">
        <v>21730</v>
      </c>
      <c r="E11" s="14" t="n">
        <v>21678</v>
      </c>
      <c r="F11" s="15" t="n">
        <v>0.9976</v>
      </c>
    </row>
    <row r="12" customFormat="false" ht="15" hidden="false" customHeight="true" outlineLevel="0" collapsed="false">
      <c r="A12" s="13" t="s">
        <v>123</v>
      </c>
      <c r="B12" s="13" t="s">
        <v>450</v>
      </c>
      <c r="C12" s="13" t="s">
        <v>436</v>
      </c>
      <c r="D12" s="14" t="n">
        <v>21738</v>
      </c>
      <c r="E12" s="14" t="n">
        <v>21738</v>
      </c>
      <c r="F12" s="15" t="n">
        <v>1</v>
      </c>
    </row>
    <row r="13" customFormat="false" ht="15" hidden="false" customHeight="true" outlineLevel="0" collapsed="false">
      <c r="A13" s="13" t="s">
        <v>123</v>
      </c>
      <c r="B13" s="13" t="s">
        <v>451</v>
      </c>
      <c r="C13" s="13" t="s">
        <v>410</v>
      </c>
      <c r="D13" s="14" t="n">
        <v>22709</v>
      </c>
      <c r="E13" s="14" t="n">
        <v>22672</v>
      </c>
      <c r="F13" s="15" t="n">
        <v>0.9984</v>
      </c>
    </row>
    <row r="14" customFormat="false" ht="15" hidden="false" customHeight="true" outlineLevel="0" collapsed="false">
      <c r="A14" s="13" t="s">
        <v>126</v>
      </c>
      <c r="B14" s="13" t="s">
        <v>444</v>
      </c>
      <c r="C14" s="13" t="s">
        <v>166</v>
      </c>
      <c r="D14" s="14" t="n">
        <v>1652</v>
      </c>
      <c r="E14" s="14" t="n">
        <v>1504</v>
      </c>
      <c r="F14" s="15" t="n">
        <v>0.9104</v>
      </c>
    </row>
    <row r="15" customFormat="false" ht="15" hidden="false" customHeight="true" outlineLevel="0" collapsed="false">
      <c r="A15" s="13" t="s">
        <v>126</v>
      </c>
      <c r="B15" s="13" t="s">
        <v>445</v>
      </c>
      <c r="C15" s="13" t="s">
        <v>142</v>
      </c>
      <c r="D15" s="14" t="n">
        <v>1599</v>
      </c>
      <c r="E15" s="14" t="n">
        <v>1498</v>
      </c>
      <c r="F15" s="15" t="n">
        <v>0.9368</v>
      </c>
    </row>
    <row r="16" customFormat="false" ht="15" hidden="false" customHeight="true" outlineLevel="0" collapsed="false">
      <c r="A16" s="13" t="s">
        <v>126</v>
      </c>
      <c r="B16" s="13" t="s">
        <v>446</v>
      </c>
      <c r="C16" s="13" t="s">
        <v>143</v>
      </c>
      <c r="D16" s="14" t="n">
        <v>3</v>
      </c>
      <c r="E16" s="14" t="n">
        <v>3</v>
      </c>
      <c r="F16" s="15" t="n">
        <v>1</v>
      </c>
    </row>
    <row r="17" customFormat="false" ht="15" hidden="false" customHeight="true" outlineLevel="0" collapsed="false">
      <c r="A17" s="13" t="s">
        <v>126</v>
      </c>
      <c r="B17" s="13" t="s">
        <v>447</v>
      </c>
      <c r="C17" s="13" t="s">
        <v>265</v>
      </c>
      <c r="D17" s="14" t="n">
        <v>17</v>
      </c>
      <c r="E17" s="14" t="n">
        <v>16</v>
      </c>
      <c r="F17" s="15" t="n">
        <v>0.9412</v>
      </c>
    </row>
    <row r="18" customFormat="false" ht="15" hidden="false" customHeight="true" outlineLevel="0" collapsed="false">
      <c r="A18" s="13" t="s">
        <v>126</v>
      </c>
      <c r="B18" s="13" t="s">
        <v>452</v>
      </c>
      <c r="C18" s="13" t="s">
        <v>156</v>
      </c>
      <c r="D18" s="14" t="n">
        <v>1712</v>
      </c>
      <c r="E18" s="14" t="n">
        <v>1356</v>
      </c>
      <c r="F18" s="15" t="n">
        <v>0.7921</v>
      </c>
    </row>
    <row r="19" customFormat="false" ht="15" hidden="false" customHeight="true" outlineLevel="0" collapsed="false">
      <c r="A19" s="13" t="s">
        <v>126</v>
      </c>
      <c r="B19" s="13" t="s">
        <v>448</v>
      </c>
      <c r="C19" s="13" t="s">
        <v>165</v>
      </c>
      <c r="D19" s="14" t="n">
        <v>1607</v>
      </c>
      <c r="E19" s="14" t="n">
        <v>1566</v>
      </c>
      <c r="F19" s="15" t="n">
        <v>0.9745</v>
      </c>
    </row>
    <row r="20" customFormat="false" ht="15" hidden="false" customHeight="true" outlineLevel="0" collapsed="false">
      <c r="A20" s="13" t="s">
        <v>126</v>
      </c>
      <c r="B20" s="13" t="s">
        <v>449</v>
      </c>
      <c r="C20" s="13" t="s">
        <v>149</v>
      </c>
      <c r="D20" s="14" t="n">
        <v>1542</v>
      </c>
      <c r="E20" s="14" t="n">
        <v>1537</v>
      </c>
      <c r="F20" s="15" t="n">
        <v>0.9968</v>
      </c>
    </row>
    <row r="21" customFormat="false" ht="15" hidden="false" customHeight="true" outlineLevel="0" collapsed="false">
      <c r="A21" s="13" t="s">
        <v>126</v>
      </c>
      <c r="B21" s="13" t="s">
        <v>450</v>
      </c>
      <c r="C21" s="13" t="s">
        <v>436</v>
      </c>
      <c r="D21" s="14" t="n">
        <v>1543</v>
      </c>
      <c r="E21" s="14" t="n">
        <v>1543</v>
      </c>
      <c r="F21" s="15" t="n">
        <v>1</v>
      </c>
    </row>
    <row r="22" customFormat="false" ht="15" hidden="false" customHeight="true" outlineLevel="0" collapsed="false">
      <c r="A22" s="13" t="s">
        <v>126</v>
      </c>
      <c r="B22" s="13" t="s">
        <v>451</v>
      </c>
      <c r="C22" s="13" t="s">
        <v>410</v>
      </c>
      <c r="D22" s="14" t="n">
        <v>1557</v>
      </c>
      <c r="E22" s="14" t="n">
        <v>1550</v>
      </c>
      <c r="F22" s="15" t="n">
        <v>0.9955</v>
      </c>
    </row>
    <row r="23" customFormat="false" ht="15" hidden="false" customHeight="true" outlineLevel="0" collapsed="false">
      <c r="A23" s="13" t="s">
        <v>202</v>
      </c>
      <c r="B23" s="13" t="s">
        <v>453</v>
      </c>
      <c r="C23" s="13" t="s">
        <v>170</v>
      </c>
      <c r="D23" s="14" t="n">
        <v>14298</v>
      </c>
      <c r="E23" s="14" t="n">
        <v>14070</v>
      </c>
      <c r="F23" s="15" t="n">
        <v>0.9841</v>
      </c>
    </row>
    <row r="24" customFormat="false" ht="15" hidden="false" customHeight="true" outlineLevel="0" collapsed="false">
      <c r="A24" s="13" t="s">
        <v>202</v>
      </c>
      <c r="B24" s="13" t="s">
        <v>454</v>
      </c>
      <c r="C24" s="13" t="s">
        <v>152</v>
      </c>
      <c r="D24" s="14" t="n">
        <v>3699</v>
      </c>
      <c r="E24" s="14" t="n">
        <v>3412</v>
      </c>
      <c r="F24" s="15" t="n">
        <v>0.9224</v>
      </c>
    </row>
    <row r="25" customFormat="false" ht="15" hidden="false" customHeight="true" outlineLevel="0" collapsed="false">
      <c r="A25" s="13" t="s">
        <v>202</v>
      </c>
      <c r="B25" s="13" t="s">
        <v>445</v>
      </c>
      <c r="C25" s="13" t="s">
        <v>142</v>
      </c>
      <c r="D25" s="14" t="n">
        <v>14352</v>
      </c>
      <c r="E25" s="14" t="n">
        <v>13522</v>
      </c>
      <c r="F25" s="15" t="n">
        <v>0.9422</v>
      </c>
    </row>
    <row r="26" customFormat="false" ht="15" hidden="false" customHeight="true" outlineLevel="0" collapsed="false">
      <c r="A26" s="13" t="s">
        <v>202</v>
      </c>
      <c r="B26" s="13" t="s">
        <v>446</v>
      </c>
      <c r="C26" s="13" t="s">
        <v>143</v>
      </c>
      <c r="D26" s="14" t="n">
        <v>23</v>
      </c>
      <c r="E26" s="14" t="n">
        <v>23</v>
      </c>
      <c r="F26" s="15" t="n">
        <v>1</v>
      </c>
    </row>
    <row r="27" customFormat="false" ht="15" hidden="false" customHeight="true" outlineLevel="0" collapsed="false">
      <c r="A27" s="13" t="s">
        <v>202</v>
      </c>
      <c r="B27" s="13" t="s">
        <v>447</v>
      </c>
      <c r="C27" s="13" t="s">
        <v>265</v>
      </c>
      <c r="D27" s="14" t="n">
        <v>49</v>
      </c>
      <c r="E27" s="14" t="n">
        <v>48</v>
      </c>
      <c r="F27" s="15" t="n">
        <v>0.9796</v>
      </c>
    </row>
    <row r="28" customFormat="false" ht="15" hidden="false" customHeight="true" outlineLevel="0" collapsed="false">
      <c r="A28" s="13" t="s">
        <v>202</v>
      </c>
      <c r="B28" s="13" t="s">
        <v>452</v>
      </c>
      <c r="C28" s="13" t="s">
        <v>156</v>
      </c>
      <c r="D28" s="14" t="n">
        <v>14820</v>
      </c>
      <c r="E28" s="14" t="n">
        <v>9687</v>
      </c>
      <c r="F28" s="15" t="n">
        <v>0.6536</v>
      </c>
    </row>
    <row r="29" customFormat="false" ht="15" hidden="false" customHeight="true" outlineLevel="0" collapsed="false">
      <c r="A29" s="13" t="s">
        <v>202</v>
      </c>
      <c r="B29" s="13" t="s">
        <v>448</v>
      </c>
      <c r="C29" s="13" t="s">
        <v>165</v>
      </c>
      <c r="D29" s="14" t="n">
        <v>10503</v>
      </c>
      <c r="E29" s="14" t="n">
        <v>9959</v>
      </c>
      <c r="F29" s="15" t="n">
        <v>0.9482</v>
      </c>
    </row>
    <row r="30" customFormat="false" ht="15" hidden="false" customHeight="true" outlineLevel="0" collapsed="false">
      <c r="A30" s="13" t="s">
        <v>202</v>
      </c>
      <c r="B30" s="13" t="s">
        <v>449</v>
      </c>
      <c r="C30" s="13" t="s">
        <v>149</v>
      </c>
      <c r="D30" s="14" t="n">
        <v>14146</v>
      </c>
      <c r="E30" s="14" t="n">
        <v>14069</v>
      </c>
      <c r="F30" s="15" t="n">
        <v>0.9946</v>
      </c>
    </row>
    <row r="31" customFormat="false" ht="15" hidden="false" customHeight="true" outlineLevel="0" collapsed="false">
      <c r="A31" s="13" t="s">
        <v>202</v>
      </c>
      <c r="B31" s="13" t="s">
        <v>455</v>
      </c>
      <c r="C31" s="13" t="s">
        <v>155</v>
      </c>
      <c r="D31" s="14" t="n">
        <v>66</v>
      </c>
      <c r="E31" s="14" t="n">
        <v>59</v>
      </c>
      <c r="F31" s="15" t="n">
        <v>0.8939</v>
      </c>
    </row>
    <row r="32" customFormat="false" ht="15" hidden="false" customHeight="true" outlineLevel="0" collapsed="false">
      <c r="A32" s="13" t="s">
        <v>202</v>
      </c>
      <c r="B32" s="13" t="s">
        <v>450</v>
      </c>
      <c r="C32" s="13" t="s">
        <v>436</v>
      </c>
      <c r="D32" s="14" t="n">
        <v>14157</v>
      </c>
      <c r="E32" s="14" t="n">
        <v>14154</v>
      </c>
      <c r="F32" s="15" t="n">
        <v>0.9998</v>
      </c>
    </row>
    <row r="33" customFormat="false" ht="15" hidden="false" customHeight="true" outlineLevel="0" collapsed="false">
      <c r="A33" s="13" t="s">
        <v>202</v>
      </c>
      <c r="B33" s="13" t="s">
        <v>451</v>
      </c>
      <c r="C33" s="13" t="s">
        <v>410</v>
      </c>
      <c r="D33" s="14" t="n">
        <v>14171</v>
      </c>
      <c r="E33" s="14" t="n">
        <v>14063</v>
      </c>
      <c r="F33" s="15" t="n">
        <v>0.9924</v>
      </c>
    </row>
    <row r="34" customFormat="false" ht="15" hidden="false" customHeight="true" outlineLevel="0" collapsed="false">
      <c r="A34" s="13" t="s">
        <v>128</v>
      </c>
      <c r="B34" s="13" t="s">
        <v>456</v>
      </c>
      <c r="C34" s="13" t="s">
        <v>162</v>
      </c>
      <c r="D34" s="14" t="n">
        <v>494</v>
      </c>
      <c r="E34" s="14" t="n">
        <v>491</v>
      </c>
      <c r="F34" s="15" t="n">
        <v>0.9939</v>
      </c>
    </row>
    <row r="35" customFormat="false" ht="15" hidden="false" customHeight="true" outlineLevel="0" collapsed="false">
      <c r="A35" s="13" t="s">
        <v>128</v>
      </c>
      <c r="B35" s="13" t="s">
        <v>457</v>
      </c>
      <c r="C35" s="13" t="s">
        <v>154</v>
      </c>
      <c r="D35" s="14" t="n">
        <v>2822</v>
      </c>
      <c r="E35" s="14" t="n">
        <v>2730</v>
      </c>
      <c r="F35" s="15" t="n">
        <v>0.9674</v>
      </c>
    </row>
    <row r="36" customFormat="false" ht="15" hidden="false" customHeight="true" outlineLevel="0" collapsed="false">
      <c r="A36" s="13" t="s">
        <v>128</v>
      </c>
      <c r="B36" s="13" t="s">
        <v>453</v>
      </c>
      <c r="C36" s="13" t="s">
        <v>170</v>
      </c>
      <c r="D36" s="14" t="n">
        <v>6632</v>
      </c>
      <c r="E36" s="14" t="n">
        <v>5984</v>
      </c>
      <c r="F36" s="15" t="n">
        <v>0.9023</v>
      </c>
    </row>
    <row r="37" customFormat="false" ht="15" hidden="false" customHeight="true" outlineLevel="0" collapsed="false">
      <c r="A37" s="13" t="s">
        <v>128</v>
      </c>
      <c r="B37" s="13" t="s">
        <v>454</v>
      </c>
      <c r="C37" s="13" t="s">
        <v>152</v>
      </c>
      <c r="D37" s="14" t="n">
        <v>3585</v>
      </c>
      <c r="E37" s="14" t="n">
        <v>3407</v>
      </c>
      <c r="F37" s="15" t="n">
        <v>0.9503</v>
      </c>
    </row>
    <row r="38" customFormat="false" ht="15" hidden="false" customHeight="true" outlineLevel="0" collapsed="false">
      <c r="A38" s="13" t="s">
        <v>128</v>
      </c>
      <c r="B38" s="13" t="s">
        <v>458</v>
      </c>
      <c r="C38" s="13" t="s">
        <v>150</v>
      </c>
      <c r="D38" s="14" t="n">
        <v>7470</v>
      </c>
      <c r="E38" s="14" t="n">
        <v>7203</v>
      </c>
      <c r="F38" s="15" t="n">
        <v>0.9643</v>
      </c>
    </row>
    <row r="39" customFormat="false" ht="15" hidden="false" customHeight="true" outlineLevel="0" collapsed="false">
      <c r="A39" s="13" t="s">
        <v>128</v>
      </c>
      <c r="B39" s="13" t="s">
        <v>445</v>
      </c>
      <c r="C39" s="13" t="s">
        <v>142</v>
      </c>
      <c r="D39" s="14" t="n">
        <v>16080</v>
      </c>
      <c r="E39" s="14" t="n">
        <v>10960</v>
      </c>
      <c r="F39" s="15" t="n">
        <v>0.6816</v>
      </c>
    </row>
    <row r="40" customFormat="false" ht="15" hidden="false" customHeight="true" outlineLevel="0" collapsed="false">
      <c r="A40" s="13" t="s">
        <v>128</v>
      </c>
      <c r="B40" s="13" t="s">
        <v>459</v>
      </c>
      <c r="C40" s="13" t="s">
        <v>412</v>
      </c>
      <c r="D40" s="14" t="n">
        <v>5</v>
      </c>
      <c r="E40" s="14" t="n">
        <v>5</v>
      </c>
      <c r="F40" s="15" t="n">
        <v>1</v>
      </c>
    </row>
    <row r="41" customFormat="false" ht="15" hidden="false" customHeight="true" outlineLevel="0" collapsed="false">
      <c r="A41" s="13" t="s">
        <v>128</v>
      </c>
      <c r="B41" s="13" t="s">
        <v>446</v>
      </c>
      <c r="C41" s="13" t="s">
        <v>143</v>
      </c>
      <c r="D41" s="14" t="n">
        <v>28</v>
      </c>
      <c r="E41" s="14" t="n">
        <v>28</v>
      </c>
      <c r="F41" s="15" t="n">
        <v>1</v>
      </c>
    </row>
    <row r="42" customFormat="false" ht="15" hidden="false" customHeight="true" outlineLevel="0" collapsed="false">
      <c r="A42" s="13" t="s">
        <v>128</v>
      </c>
      <c r="B42" s="13" t="s">
        <v>460</v>
      </c>
      <c r="C42" s="13" t="s">
        <v>413</v>
      </c>
      <c r="D42" s="14" t="n">
        <v>20</v>
      </c>
      <c r="E42" s="14" t="n">
        <v>20</v>
      </c>
      <c r="F42" s="15" t="n">
        <v>1</v>
      </c>
    </row>
    <row r="43" customFormat="false" ht="15" hidden="false" customHeight="true" outlineLevel="0" collapsed="false">
      <c r="A43" s="13" t="s">
        <v>128</v>
      </c>
      <c r="B43" s="13" t="s">
        <v>461</v>
      </c>
      <c r="C43" s="13" t="s">
        <v>161</v>
      </c>
      <c r="D43" s="14" t="n">
        <v>1070</v>
      </c>
      <c r="E43" s="14" t="n">
        <v>1070</v>
      </c>
      <c r="F43" s="15" t="n">
        <v>1</v>
      </c>
    </row>
    <row r="44" customFormat="false" ht="15" hidden="false" customHeight="true" outlineLevel="0" collapsed="false">
      <c r="A44" s="13" t="s">
        <v>128</v>
      </c>
      <c r="B44" s="13" t="s">
        <v>462</v>
      </c>
      <c r="C44" s="13" t="s">
        <v>414</v>
      </c>
      <c r="D44" s="14" t="n">
        <v>189</v>
      </c>
      <c r="E44" s="14" t="n">
        <v>189</v>
      </c>
      <c r="F44" s="15" t="n">
        <v>1</v>
      </c>
    </row>
    <row r="45" customFormat="false" ht="15" hidden="false" customHeight="true" outlineLevel="0" collapsed="false">
      <c r="A45" s="13" t="s">
        <v>128</v>
      </c>
      <c r="B45" s="13" t="s">
        <v>463</v>
      </c>
      <c r="C45" s="13" t="s">
        <v>415</v>
      </c>
      <c r="D45" s="14" t="n">
        <v>335</v>
      </c>
      <c r="E45" s="14" t="n">
        <v>318</v>
      </c>
      <c r="F45" s="15" t="n">
        <v>0.9493</v>
      </c>
    </row>
    <row r="46" customFormat="false" ht="15" hidden="false" customHeight="true" outlineLevel="0" collapsed="false">
      <c r="A46" s="13" t="s">
        <v>128</v>
      </c>
      <c r="B46" s="13" t="s">
        <v>464</v>
      </c>
      <c r="C46" s="13" t="s">
        <v>418</v>
      </c>
      <c r="D46" s="14" t="n">
        <v>284</v>
      </c>
      <c r="E46" s="14" t="n">
        <v>184</v>
      </c>
      <c r="F46" s="15" t="n">
        <v>0.6479</v>
      </c>
    </row>
    <row r="47" customFormat="false" ht="15" hidden="false" customHeight="true" outlineLevel="0" collapsed="false">
      <c r="A47" s="13" t="s">
        <v>128</v>
      </c>
      <c r="B47" s="13" t="s">
        <v>465</v>
      </c>
      <c r="C47" s="13" t="s">
        <v>158</v>
      </c>
      <c r="D47" s="14" t="n">
        <v>5255</v>
      </c>
      <c r="E47" s="14" t="n">
        <v>5241</v>
      </c>
      <c r="F47" s="15" t="n">
        <v>0.9973</v>
      </c>
    </row>
    <row r="48" customFormat="false" ht="15" hidden="false" customHeight="true" outlineLevel="0" collapsed="false">
      <c r="A48" s="13" t="s">
        <v>128</v>
      </c>
      <c r="B48" s="13" t="s">
        <v>447</v>
      </c>
      <c r="C48" s="13" t="s">
        <v>265</v>
      </c>
      <c r="D48" s="14" t="n">
        <v>1241</v>
      </c>
      <c r="E48" s="14" t="n">
        <v>1239</v>
      </c>
      <c r="F48" s="15" t="n">
        <v>0.9984</v>
      </c>
    </row>
    <row r="49" customFormat="false" ht="15" hidden="false" customHeight="true" outlineLevel="0" collapsed="false">
      <c r="A49" s="13" t="s">
        <v>128</v>
      </c>
      <c r="B49" s="13" t="s">
        <v>466</v>
      </c>
      <c r="C49" s="13" t="s">
        <v>419</v>
      </c>
      <c r="D49" s="14" t="n">
        <v>8085</v>
      </c>
      <c r="E49" s="14" t="n">
        <v>7877</v>
      </c>
      <c r="F49" s="15" t="n">
        <v>0.9743</v>
      </c>
    </row>
    <row r="50" customFormat="false" ht="15" hidden="false" customHeight="true" outlineLevel="0" collapsed="false">
      <c r="A50" s="13" t="s">
        <v>128</v>
      </c>
      <c r="B50" s="13" t="s">
        <v>467</v>
      </c>
      <c r="C50" s="13" t="s">
        <v>159</v>
      </c>
      <c r="D50" s="14" t="n">
        <v>630</v>
      </c>
      <c r="E50" s="14" t="n">
        <v>630</v>
      </c>
      <c r="F50" s="15" t="n">
        <v>1</v>
      </c>
    </row>
    <row r="51" customFormat="false" ht="15" hidden="false" customHeight="true" outlineLevel="0" collapsed="false">
      <c r="A51" s="13" t="s">
        <v>128</v>
      </c>
      <c r="B51" s="13" t="s">
        <v>452</v>
      </c>
      <c r="C51" s="13" t="s">
        <v>156</v>
      </c>
      <c r="D51" s="14" t="n">
        <v>143</v>
      </c>
      <c r="E51" s="14" t="n">
        <v>82</v>
      </c>
      <c r="F51" s="15" t="n">
        <v>0.5734</v>
      </c>
    </row>
    <row r="52" customFormat="false" ht="15" hidden="false" customHeight="true" outlineLevel="0" collapsed="false">
      <c r="A52" s="13" t="s">
        <v>128</v>
      </c>
      <c r="B52" s="13" t="s">
        <v>468</v>
      </c>
      <c r="C52" s="13" t="s">
        <v>424</v>
      </c>
      <c r="D52" s="14" t="n">
        <v>51</v>
      </c>
      <c r="E52" s="14" t="n">
        <v>51</v>
      </c>
      <c r="F52" s="15" t="n">
        <v>1</v>
      </c>
    </row>
    <row r="53" customFormat="false" ht="15" hidden="false" customHeight="true" outlineLevel="0" collapsed="false">
      <c r="A53" s="13" t="s">
        <v>128</v>
      </c>
      <c r="B53" s="13" t="s">
        <v>469</v>
      </c>
      <c r="C53" s="13" t="s">
        <v>425</v>
      </c>
      <c r="D53" s="14" t="n">
        <v>19</v>
      </c>
      <c r="E53" s="14" t="n">
        <v>15</v>
      </c>
      <c r="F53" s="15" t="n">
        <v>0.7895</v>
      </c>
    </row>
    <row r="54" customFormat="false" ht="15" hidden="false" customHeight="true" outlineLevel="0" collapsed="false">
      <c r="A54" s="13" t="s">
        <v>128</v>
      </c>
      <c r="B54" s="13" t="s">
        <v>449</v>
      </c>
      <c r="C54" s="13" t="s">
        <v>149</v>
      </c>
      <c r="D54" s="14" t="n">
        <v>14663</v>
      </c>
      <c r="E54" s="14" t="n">
        <v>14363</v>
      </c>
      <c r="F54" s="15" t="n">
        <v>0.9795</v>
      </c>
    </row>
    <row r="55" customFormat="false" ht="15" hidden="false" customHeight="true" outlineLevel="0" collapsed="false">
      <c r="A55" s="13" t="s">
        <v>128</v>
      </c>
      <c r="B55" s="13" t="s">
        <v>470</v>
      </c>
      <c r="C55" s="13" t="s">
        <v>153</v>
      </c>
      <c r="D55" s="14" t="n">
        <v>157</v>
      </c>
      <c r="E55" s="14" t="n">
        <v>157</v>
      </c>
      <c r="F55" s="15" t="n">
        <v>1</v>
      </c>
    </row>
    <row r="56" customFormat="false" ht="15" hidden="false" customHeight="true" outlineLevel="0" collapsed="false">
      <c r="A56" s="13" t="s">
        <v>128</v>
      </c>
      <c r="B56" s="13" t="s">
        <v>471</v>
      </c>
      <c r="C56" s="13" t="s">
        <v>426</v>
      </c>
      <c r="D56" s="14" t="n">
        <v>524</v>
      </c>
      <c r="E56" s="14" t="n">
        <v>522</v>
      </c>
      <c r="F56" s="15" t="n">
        <v>0.9962</v>
      </c>
    </row>
    <row r="57" customFormat="false" ht="15" hidden="false" customHeight="true" outlineLevel="0" collapsed="false">
      <c r="A57" s="13" t="s">
        <v>128</v>
      </c>
      <c r="B57" s="13" t="s">
        <v>472</v>
      </c>
      <c r="C57" s="13" t="s">
        <v>427</v>
      </c>
      <c r="D57" s="14" t="n">
        <v>4714</v>
      </c>
      <c r="E57" s="14" t="n">
        <v>4580</v>
      </c>
      <c r="F57" s="15" t="n">
        <v>0.9716</v>
      </c>
    </row>
    <row r="58" customFormat="false" ht="15" hidden="false" customHeight="true" outlineLevel="0" collapsed="false">
      <c r="A58" s="13" t="s">
        <v>128</v>
      </c>
      <c r="B58" s="13" t="s">
        <v>473</v>
      </c>
      <c r="C58" s="13" t="s">
        <v>428</v>
      </c>
      <c r="D58" s="14" t="n">
        <v>1545</v>
      </c>
      <c r="E58" s="14" t="n">
        <v>1545</v>
      </c>
      <c r="F58" s="15" t="n">
        <v>1</v>
      </c>
    </row>
    <row r="59" customFormat="false" ht="15" hidden="false" customHeight="true" outlineLevel="0" collapsed="false">
      <c r="A59" s="13" t="s">
        <v>128</v>
      </c>
      <c r="B59" s="13" t="s">
        <v>455</v>
      </c>
      <c r="C59" s="13" t="s">
        <v>155</v>
      </c>
      <c r="D59" s="14" t="n">
        <v>129</v>
      </c>
      <c r="E59" s="14" t="n">
        <v>129</v>
      </c>
      <c r="F59" s="15" t="n">
        <v>1</v>
      </c>
    </row>
    <row r="60" customFormat="false" ht="15" hidden="false" customHeight="true" outlineLevel="0" collapsed="false">
      <c r="A60" s="13" t="s">
        <v>128</v>
      </c>
      <c r="B60" s="13" t="s">
        <v>450</v>
      </c>
      <c r="C60" s="13" t="s">
        <v>436</v>
      </c>
      <c r="D60" s="14" t="n">
        <v>14659</v>
      </c>
      <c r="E60" s="14" t="n">
        <v>14628</v>
      </c>
      <c r="F60" s="15" t="n">
        <v>0.9979</v>
      </c>
    </row>
    <row r="61" customFormat="false" ht="15" hidden="false" customHeight="true" outlineLevel="0" collapsed="false">
      <c r="A61" s="13" t="s">
        <v>128</v>
      </c>
      <c r="B61" s="13" t="s">
        <v>474</v>
      </c>
      <c r="C61" s="13" t="s">
        <v>429</v>
      </c>
      <c r="D61" s="14" t="n">
        <v>23</v>
      </c>
      <c r="E61" s="14" t="n">
        <v>23</v>
      </c>
      <c r="F61" s="15" t="n">
        <v>1</v>
      </c>
    </row>
    <row r="62" customFormat="false" ht="15" hidden="false" customHeight="true" outlineLevel="0" collapsed="false">
      <c r="A62" s="13" t="s">
        <v>128</v>
      </c>
      <c r="B62" s="13" t="s">
        <v>451</v>
      </c>
      <c r="C62" s="13" t="s">
        <v>410</v>
      </c>
      <c r="D62" s="14" t="n">
        <v>14754</v>
      </c>
      <c r="E62" s="14" t="n">
        <v>13917</v>
      </c>
      <c r="F62" s="15" t="n">
        <v>0.9433</v>
      </c>
    </row>
    <row r="63" customFormat="false" ht="15" hidden="false" customHeight="true" outlineLevel="0" collapsed="false">
      <c r="A63" s="13" t="s">
        <v>203</v>
      </c>
      <c r="B63" s="13" t="s">
        <v>475</v>
      </c>
      <c r="C63" s="13" t="s">
        <v>411</v>
      </c>
      <c r="D63" s="14" t="n">
        <v>143</v>
      </c>
      <c r="E63" s="14" t="n">
        <v>134</v>
      </c>
      <c r="F63" s="15" t="n">
        <v>0.9371</v>
      </c>
    </row>
    <row r="64" customFormat="false" ht="15" hidden="false" customHeight="true" outlineLevel="0" collapsed="false">
      <c r="A64" s="13" t="s">
        <v>203</v>
      </c>
      <c r="B64" s="13" t="s">
        <v>445</v>
      </c>
      <c r="C64" s="13" t="s">
        <v>142</v>
      </c>
      <c r="D64" s="14" t="n">
        <v>151</v>
      </c>
      <c r="E64" s="14" t="n">
        <v>132</v>
      </c>
      <c r="F64" s="15" t="n">
        <v>0.8742</v>
      </c>
    </row>
    <row r="65" customFormat="false" ht="15" hidden="false" customHeight="true" outlineLevel="0" collapsed="false">
      <c r="A65" s="13" t="s">
        <v>203</v>
      </c>
      <c r="B65" s="13" t="s">
        <v>447</v>
      </c>
      <c r="C65" s="13" t="s">
        <v>265</v>
      </c>
      <c r="D65" s="14" t="n">
        <v>9</v>
      </c>
      <c r="E65" s="14" t="n">
        <v>9</v>
      </c>
      <c r="F65" s="15" t="n">
        <v>1</v>
      </c>
    </row>
    <row r="66" customFormat="false" ht="15" hidden="false" customHeight="true" outlineLevel="0" collapsed="false">
      <c r="A66" s="13" t="s">
        <v>203</v>
      </c>
      <c r="B66" s="13" t="s">
        <v>476</v>
      </c>
      <c r="C66" s="13" t="s">
        <v>477</v>
      </c>
      <c r="D66" s="14" t="n">
        <v>143</v>
      </c>
      <c r="E66" s="14" t="n">
        <v>139</v>
      </c>
      <c r="F66" s="15" t="n">
        <v>0.972</v>
      </c>
    </row>
    <row r="67" customFormat="false" ht="15" hidden="false" customHeight="true" outlineLevel="0" collapsed="false">
      <c r="A67" s="13" t="s">
        <v>203</v>
      </c>
      <c r="B67" s="13" t="s">
        <v>478</v>
      </c>
      <c r="C67" s="13" t="s">
        <v>422</v>
      </c>
      <c r="D67" s="14" t="n">
        <v>138</v>
      </c>
      <c r="E67" s="14" t="n">
        <v>137</v>
      </c>
      <c r="F67" s="15" t="n">
        <v>0.9928</v>
      </c>
    </row>
    <row r="68" customFormat="false" ht="15" hidden="false" customHeight="true" outlineLevel="0" collapsed="false">
      <c r="A68" s="13" t="s">
        <v>203</v>
      </c>
      <c r="B68" s="13" t="s">
        <v>449</v>
      </c>
      <c r="C68" s="13" t="s">
        <v>149</v>
      </c>
      <c r="D68" s="14" t="n">
        <v>140</v>
      </c>
      <c r="E68" s="14" t="n">
        <v>139</v>
      </c>
      <c r="F68" s="15" t="n">
        <v>0.9929</v>
      </c>
    </row>
    <row r="69" customFormat="false" ht="15" hidden="false" customHeight="true" outlineLevel="0" collapsed="false">
      <c r="A69" s="13" t="s">
        <v>203</v>
      </c>
      <c r="B69" s="13" t="s">
        <v>450</v>
      </c>
      <c r="C69" s="13" t="s">
        <v>436</v>
      </c>
      <c r="D69" s="14" t="n">
        <v>140</v>
      </c>
      <c r="E69" s="14" t="n">
        <v>140</v>
      </c>
      <c r="F69" s="15" t="n">
        <v>1</v>
      </c>
    </row>
    <row r="70" customFormat="false" ht="15" hidden="false" customHeight="true" outlineLevel="0" collapsed="false">
      <c r="A70" s="13" t="s">
        <v>203</v>
      </c>
      <c r="B70" s="13" t="s">
        <v>451</v>
      </c>
      <c r="C70" s="13" t="s">
        <v>410</v>
      </c>
      <c r="D70" s="14" t="n">
        <v>137</v>
      </c>
      <c r="E70" s="14" t="n">
        <v>134</v>
      </c>
      <c r="F70" s="15" t="n">
        <v>0.9781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3" width="12"/>
  </cols>
  <sheetData>
    <row r="1" customFormat="false" ht="15" hidden="false" customHeight="true" outlineLevel="0" collapsed="false">
      <c r="A1" s="13" t="s">
        <v>3</v>
      </c>
      <c r="B1" s="13" t="s">
        <v>187</v>
      </c>
      <c r="C1" s="13" t="s">
        <v>4</v>
      </c>
      <c r="D1" s="13" t="s">
        <v>198</v>
      </c>
      <c r="E1" s="13" t="s">
        <v>479</v>
      </c>
      <c r="F1" s="13" t="s">
        <v>480</v>
      </c>
      <c r="G1" s="13" t="s">
        <v>481</v>
      </c>
    </row>
    <row r="2" customFormat="false" ht="15" hidden="false" customHeight="true" outlineLevel="0" collapsed="false">
      <c r="A2" s="13" t="n">
        <v>2024</v>
      </c>
      <c r="B2" s="13" t="s">
        <v>121</v>
      </c>
      <c r="C2" s="14" t="n">
        <v>79459</v>
      </c>
      <c r="D2" s="14" t="n">
        <v>62776</v>
      </c>
      <c r="E2" s="14" t="n">
        <f aca="false">C2-D2</f>
        <v>16683</v>
      </c>
      <c r="F2" s="15" t="n">
        <f aca="false">D2/C2</f>
        <v>0.790042663512</v>
      </c>
      <c r="G2" s="15" t="n">
        <f aca="false">E2/C2</f>
        <v>0.209957336488</v>
      </c>
    </row>
    <row r="3" customFormat="false" ht="15" hidden="false" customHeight="true" outlineLevel="0" collapsed="false">
      <c r="A3" s="13" t="n">
        <v>2024</v>
      </c>
      <c r="B3" s="13" t="s">
        <v>125</v>
      </c>
      <c r="C3" s="14" t="n">
        <v>23810</v>
      </c>
      <c r="D3" s="14" t="n">
        <v>11378</v>
      </c>
      <c r="E3" s="14" t="n">
        <f aca="false">C3-D3</f>
        <v>12432</v>
      </c>
      <c r="F3" s="15" t="n">
        <f aca="false">D3/C3</f>
        <v>0.477866442671147</v>
      </c>
      <c r="G3" s="15" t="n">
        <f aca="false">E3/C3</f>
        <v>0.522133557328854</v>
      </c>
    </row>
    <row r="4" customFormat="false" ht="15" hidden="false" customHeight="true" outlineLevel="0" collapsed="false">
      <c r="A4" s="13" t="n">
        <v>2024</v>
      </c>
      <c r="B4" s="13" t="s">
        <v>195</v>
      </c>
      <c r="C4" s="14" t="n">
        <f aca="false">C2+C3</f>
        <v>103269</v>
      </c>
      <c r="D4" s="14" t="n">
        <f aca="false">D2+D3</f>
        <v>74154</v>
      </c>
      <c r="E4" s="14" t="n">
        <f aca="false">C4-D4</f>
        <v>29115</v>
      </c>
      <c r="F4" s="15" t="n">
        <f aca="false">D4/C4</f>
        <v>0.718066409086948</v>
      </c>
      <c r="G4" s="15" t="n">
        <f aca="false">E4/C4</f>
        <v>0.281933590913052</v>
      </c>
    </row>
    <row r="5" customFormat="false" ht="15" hidden="false" customHeight="true" outlineLevel="0" collapsed="false">
      <c r="A5" s="13" t="n">
        <v>2025</v>
      </c>
      <c r="B5" s="13" t="s">
        <v>121</v>
      </c>
      <c r="C5" s="14" t="n">
        <v>81260</v>
      </c>
      <c r="D5" s="14" t="n">
        <v>65249</v>
      </c>
      <c r="E5" s="14" t="n">
        <f aca="false">C5-D5</f>
        <v>16011</v>
      </c>
      <c r="F5" s="15" t="n">
        <f aca="false">D5/C5</f>
        <v>0.802965788825991</v>
      </c>
      <c r="G5" s="15" t="n">
        <f aca="false">E5/C5</f>
        <v>0.197034211174009</v>
      </c>
    </row>
    <row r="6" customFormat="false" ht="15" hidden="false" customHeight="true" outlineLevel="0" collapsed="false">
      <c r="A6" s="13" t="n">
        <v>2025</v>
      </c>
      <c r="B6" s="13" t="s">
        <v>125</v>
      </c>
      <c r="C6" s="14" t="n">
        <v>22749</v>
      </c>
      <c r="D6" s="14" t="n">
        <v>11412</v>
      </c>
      <c r="E6" s="14" t="n">
        <f aca="false">C6-D6</f>
        <v>11337</v>
      </c>
      <c r="F6" s="15" t="n">
        <f aca="false">D6/C6</f>
        <v>0.501648424106554</v>
      </c>
      <c r="G6" s="15" t="n">
        <f aca="false">E6/C6</f>
        <v>0.498351575893446</v>
      </c>
    </row>
    <row r="7" customFormat="false" ht="15" hidden="false" customHeight="true" outlineLevel="0" collapsed="false">
      <c r="A7" s="13" t="n">
        <v>2025</v>
      </c>
      <c r="B7" s="13" t="s">
        <v>195</v>
      </c>
      <c r="C7" s="14" t="n">
        <f aca="false">C5+C6</f>
        <v>104009</v>
      </c>
      <c r="D7" s="14" t="n">
        <f aca="false">D5+D6</f>
        <v>76661</v>
      </c>
      <c r="E7" s="14" t="n">
        <f aca="false">C7-D7</f>
        <v>27348</v>
      </c>
      <c r="F7" s="15" t="n">
        <f aca="false">D7/C7</f>
        <v>0.73706121585632</v>
      </c>
      <c r="G7" s="15" t="n">
        <f aca="false">E7/C7</f>
        <v>0.26293878414368</v>
      </c>
    </row>
    <row r="8" customFormat="false" ht="15" hidden="false" customHeight="true" outlineLevel="0" collapsed="false">
      <c r="A8" s="13" t="n">
        <v>2026</v>
      </c>
      <c r="B8" s="13" t="s">
        <v>121</v>
      </c>
      <c r="C8" s="14" t="n">
        <v>86873</v>
      </c>
      <c r="D8" s="14" t="n">
        <v>68017</v>
      </c>
      <c r="E8" s="14" t="n">
        <f aca="false">C8-D8</f>
        <v>18856</v>
      </c>
      <c r="F8" s="15" t="n">
        <f aca="false">D8/C8</f>
        <v>0.782947521094011</v>
      </c>
      <c r="G8" s="15" t="n">
        <f aca="false">E8/C8</f>
        <v>0.217052478905989</v>
      </c>
    </row>
    <row r="9" customFormat="false" ht="15" hidden="false" customHeight="true" outlineLevel="0" collapsed="false">
      <c r="A9" s="13" t="n">
        <v>2026</v>
      </c>
      <c r="B9" s="13" t="s">
        <v>125</v>
      </c>
      <c r="C9" s="14" t="n">
        <v>22371</v>
      </c>
      <c r="D9" s="14" t="n">
        <v>9691</v>
      </c>
      <c r="E9" s="14" t="n">
        <f aca="false">C9-D9</f>
        <v>12680</v>
      </c>
      <c r="F9" s="15" t="n">
        <f aca="false">D9/C9</f>
        <v>0.433194761074606</v>
      </c>
      <c r="G9" s="15" t="n">
        <f aca="false">E9/C9</f>
        <v>0.566805238925395</v>
      </c>
    </row>
    <row r="10" customFormat="false" ht="15" hidden="false" customHeight="true" outlineLevel="0" collapsed="false">
      <c r="A10" s="13" t="n">
        <v>2026</v>
      </c>
      <c r="B10" s="13" t="s">
        <v>195</v>
      </c>
      <c r="C10" s="14" t="n">
        <f aca="false">C8+C9</f>
        <v>109244</v>
      </c>
      <c r="D10" s="14" t="n">
        <f aca="false">D8+D9</f>
        <v>77708</v>
      </c>
      <c r="E10" s="14" t="n">
        <f aca="false">C10-D10</f>
        <v>31536</v>
      </c>
      <c r="F10" s="15" t="n">
        <f aca="false">D10/C10</f>
        <v>0.711325107099703</v>
      </c>
      <c r="G10" s="15" t="n">
        <f aca="false">E10/C10</f>
        <v>0.288674892900297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5"/>
    <col collapsed="false" customWidth="true" hidden="false" outlineLevel="0" max="3" min="3" style="13" width="16"/>
    <col collapsed="false" customWidth="true" hidden="false" outlineLevel="0" max="4" min="4" style="13" width="30"/>
    <col collapsed="false" customWidth="true" hidden="false" outlineLevel="0" max="5" min="5" style="13" width="14"/>
    <col collapsed="false" customWidth="true" hidden="false" outlineLevel="0" max="14" min="6" style="13" width="12"/>
  </cols>
  <sheetData>
    <row r="1" customFormat="false" ht="15" hidden="false" customHeight="true" outlineLevel="0" collapsed="false">
      <c r="A1" s="13" t="s">
        <v>3</v>
      </c>
      <c r="B1" s="13" t="s">
        <v>482</v>
      </c>
      <c r="C1" s="13" t="s">
        <v>210</v>
      </c>
      <c r="D1" s="13" t="s">
        <v>114</v>
      </c>
      <c r="E1" s="13" t="s">
        <v>483</v>
      </c>
      <c r="F1" s="13" t="s">
        <v>4</v>
      </c>
      <c r="G1" s="13" t="s">
        <v>198</v>
      </c>
      <c r="H1" s="13" t="s">
        <v>199</v>
      </c>
      <c r="I1" s="13" t="s">
        <v>116</v>
      </c>
      <c r="J1" s="13" t="s">
        <v>117</v>
      </c>
      <c r="K1" s="13" t="s">
        <v>118</v>
      </c>
      <c r="L1" s="13" t="s">
        <v>119</v>
      </c>
      <c r="M1" s="13" t="s">
        <v>120</v>
      </c>
      <c r="N1" s="13" t="s">
        <v>479</v>
      </c>
    </row>
    <row r="2" customFormat="false" ht="15" hidden="false" customHeight="true" outlineLevel="0" collapsed="false">
      <c r="A2" s="13" t="n">
        <v>2024</v>
      </c>
      <c r="B2" s="13" t="s">
        <v>121</v>
      </c>
      <c r="C2" s="13" t="s">
        <v>484</v>
      </c>
      <c r="D2" s="13" t="s">
        <v>123</v>
      </c>
      <c r="E2" s="13" t="s">
        <v>357</v>
      </c>
      <c r="F2" s="14" t="n">
        <v>1493</v>
      </c>
      <c r="G2" s="14" t="n">
        <v>1307</v>
      </c>
      <c r="H2" s="14" t="n">
        <v>225</v>
      </c>
      <c r="I2" s="14" t="n">
        <v>349</v>
      </c>
      <c r="J2" s="14" t="n">
        <v>448</v>
      </c>
      <c r="K2" s="14" t="n">
        <v>267</v>
      </c>
      <c r="L2" s="14" t="n">
        <v>18</v>
      </c>
      <c r="M2" s="14" t="n">
        <v>0</v>
      </c>
      <c r="N2" s="14" t="n">
        <v>186</v>
      </c>
    </row>
    <row r="3" customFormat="false" ht="15" hidden="false" customHeight="true" outlineLevel="0" collapsed="false">
      <c r="A3" s="13" t="n">
        <v>2024</v>
      </c>
      <c r="B3" s="13" t="s">
        <v>121</v>
      </c>
      <c r="C3" s="13" t="s">
        <v>484</v>
      </c>
      <c r="D3" s="13" t="s">
        <v>126</v>
      </c>
      <c r="E3" s="13" t="s">
        <v>357</v>
      </c>
      <c r="F3" s="14" t="n">
        <v>292</v>
      </c>
      <c r="G3" s="14" t="n">
        <v>267</v>
      </c>
      <c r="H3" s="14" t="n">
        <v>26</v>
      </c>
      <c r="I3" s="14" t="n">
        <v>67</v>
      </c>
      <c r="J3" s="14" t="n">
        <v>84</v>
      </c>
      <c r="K3" s="14" t="n">
        <v>85</v>
      </c>
      <c r="L3" s="14" t="n">
        <v>5</v>
      </c>
      <c r="M3" s="14" t="n">
        <v>0</v>
      </c>
      <c r="N3" s="14" t="n">
        <v>25</v>
      </c>
    </row>
    <row r="4" customFormat="false" ht="15" hidden="false" customHeight="true" outlineLevel="0" collapsed="false">
      <c r="A4" s="13" t="n">
        <v>2024</v>
      </c>
      <c r="B4" s="13" t="s">
        <v>121</v>
      </c>
      <c r="C4" s="13" t="s">
        <v>484</v>
      </c>
      <c r="D4" s="13" t="s">
        <v>202</v>
      </c>
      <c r="E4" s="13" t="s">
        <v>357</v>
      </c>
      <c r="F4" s="14" t="n">
        <v>1044</v>
      </c>
      <c r="G4" s="14" t="n">
        <v>812</v>
      </c>
      <c r="H4" s="14" t="n">
        <v>45</v>
      </c>
      <c r="I4" s="14" t="n">
        <v>154</v>
      </c>
      <c r="J4" s="14" t="n">
        <v>266</v>
      </c>
      <c r="K4" s="14" t="n">
        <v>293</v>
      </c>
      <c r="L4" s="14" t="n">
        <v>53</v>
      </c>
      <c r="M4" s="14" t="n">
        <v>1</v>
      </c>
      <c r="N4" s="14" t="n">
        <v>232</v>
      </c>
    </row>
    <row r="5" customFormat="false" ht="15" hidden="false" customHeight="true" outlineLevel="0" collapsed="false">
      <c r="A5" s="13" t="n">
        <v>2024</v>
      </c>
      <c r="B5" s="13" t="s">
        <v>121</v>
      </c>
      <c r="C5" s="13" t="s">
        <v>484</v>
      </c>
      <c r="D5" s="13" t="s">
        <v>128</v>
      </c>
      <c r="E5" s="13" t="s">
        <v>357</v>
      </c>
      <c r="F5" s="14" t="n">
        <v>2917</v>
      </c>
      <c r="G5" s="14" t="n">
        <v>2179</v>
      </c>
      <c r="H5" s="14" t="n">
        <v>64</v>
      </c>
      <c r="I5" s="14" t="n">
        <v>433</v>
      </c>
      <c r="J5" s="14" t="n">
        <v>857</v>
      </c>
      <c r="K5" s="14" t="n">
        <v>673</v>
      </c>
      <c r="L5" s="14" t="n">
        <v>150</v>
      </c>
      <c r="M5" s="14" t="n">
        <v>2</v>
      </c>
      <c r="N5" s="14" t="n">
        <v>738</v>
      </c>
    </row>
    <row r="6" customFormat="false" ht="15" hidden="false" customHeight="true" outlineLevel="0" collapsed="false">
      <c r="A6" s="13" t="n">
        <v>2024</v>
      </c>
      <c r="B6" s="13" t="s">
        <v>121</v>
      </c>
      <c r="C6" s="13" t="s">
        <v>484</v>
      </c>
      <c r="D6" s="13" t="s">
        <v>203</v>
      </c>
      <c r="E6" s="13" t="s">
        <v>357</v>
      </c>
      <c r="F6" s="14" t="n">
        <v>61</v>
      </c>
      <c r="G6" s="14" t="n">
        <v>52</v>
      </c>
      <c r="H6" s="14" t="n">
        <v>2</v>
      </c>
      <c r="I6" s="14" t="n">
        <v>11</v>
      </c>
      <c r="J6" s="14" t="n">
        <v>8</v>
      </c>
      <c r="K6" s="14" t="n">
        <v>24</v>
      </c>
      <c r="L6" s="14" t="n">
        <v>7</v>
      </c>
      <c r="M6" s="14" t="n">
        <v>0</v>
      </c>
      <c r="N6" s="14" t="n">
        <v>9</v>
      </c>
    </row>
    <row r="7" customFormat="false" ht="15" hidden="false" customHeight="true" outlineLevel="0" collapsed="false">
      <c r="A7" s="13" t="n">
        <v>2024</v>
      </c>
      <c r="B7" s="13" t="s">
        <v>121</v>
      </c>
      <c r="C7" s="13" t="s">
        <v>484</v>
      </c>
      <c r="D7" s="13" t="s">
        <v>485</v>
      </c>
      <c r="E7" s="13" t="s">
        <v>486</v>
      </c>
      <c r="F7" s="14" t="n">
        <v>5807</v>
      </c>
      <c r="G7" s="14" t="n">
        <v>4617</v>
      </c>
      <c r="H7" s="14" t="n">
        <v>362</v>
      </c>
      <c r="I7" s="14" t="n">
        <v>1014</v>
      </c>
      <c r="J7" s="14" t="n">
        <v>1663</v>
      </c>
      <c r="K7" s="14" t="n">
        <v>1342</v>
      </c>
      <c r="L7" s="14" t="n">
        <v>233</v>
      </c>
      <c r="M7" s="14" t="n">
        <v>3</v>
      </c>
      <c r="N7" s="14" t="n">
        <v>1190</v>
      </c>
    </row>
    <row r="8" customFormat="false" ht="15" hidden="false" customHeight="true" outlineLevel="0" collapsed="false">
      <c r="A8" s="13" t="n">
        <v>2024</v>
      </c>
      <c r="B8" s="13" t="s">
        <v>121</v>
      </c>
      <c r="C8" s="13" t="s">
        <v>24</v>
      </c>
      <c r="D8" s="13" t="s">
        <v>123</v>
      </c>
      <c r="E8" s="13" t="s">
        <v>357</v>
      </c>
      <c r="F8" s="14" t="n">
        <v>16034</v>
      </c>
      <c r="G8" s="14" t="n">
        <v>14186</v>
      </c>
      <c r="H8" s="14" t="n">
        <v>3052</v>
      </c>
      <c r="I8" s="14" t="n">
        <v>3521</v>
      </c>
      <c r="J8" s="14" t="n">
        <v>4151</v>
      </c>
      <c r="K8" s="14" t="n">
        <v>3108</v>
      </c>
      <c r="L8" s="14" t="n">
        <v>354</v>
      </c>
      <c r="M8" s="14" t="n">
        <v>0</v>
      </c>
      <c r="N8" s="14" t="n">
        <v>1848</v>
      </c>
    </row>
    <row r="9" customFormat="false" ht="15" hidden="false" customHeight="true" outlineLevel="0" collapsed="false">
      <c r="A9" s="13" t="n">
        <v>2024</v>
      </c>
      <c r="B9" s="13" t="s">
        <v>121</v>
      </c>
      <c r="C9" s="13" t="s">
        <v>24</v>
      </c>
      <c r="D9" s="13" t="s">
        <v>126</v>
      </c>
      <c r="E9" s="13" t="s">
        <v>357</v>
      </c>
      <c r="F9" s="14" t="n">
        <v>4010</v>
      </c>
      <c r="G9" s="14" t="n">
        <v>3442</v>
      </c>
      <c r="H9" s="14" t="n">
        <v>428</v>
      </c>
      <c r="I9" s="14" t="n">
        <v>761</v>
      </c>
      <c r="J9" s="14" t="n">
        <v>1175</v>
      </c>
      <c r="K9" s="14" t="n">
        <v>926</v>
      </c>
      <c r="L9" s="14" t="n">
        <v>152</v>
      </c>
      <c r="M9" s="14" t="n">
        <v>0</v>
      </c>
      <c r="N9" s="14" t="n">
        <v>568</v>
      </c>
    </row>
    <row r="10" customFormat="false" ht="15" hidden="false" customHeight="true" outlineLevel="0" collapsed="false">
      <c r="A10" s="13" t="n">
        <v>2024</v>
      </c>
      <c r="B10" s="13" t="s">
        <v>121</v>
      </c>
      <c r="C10" s="13" t="s">
        <v>24</v>
      </c>
      <c r="D10" s="13" t="s">
        <v>202</v>
      </c>
      <c r="E10" s="13" t="s">
        <v>357</v>
      </c>
      <c r="F10" s="14" t="n">
        <v>11335</v>
      </c>
      <c r="G10" s="14" t="n">
        <v>7863</v>
      </c>
      <c r="H10" s="14" t="n">
        <v>506</v>
      </c>
      <c r="I10" s="14" t="n">
        <v>1263</v>
      </c>
      <c r="J10" s="14" t="n">
        <v>2683</v>
      </c>
      <c r="K10" s="14" t="n">
        <v>2841</v>
      </c>
      <c r="L10" s="14" t="n">
        <v>569</v>
      </c>
      <c r="M10" s="14" t="n">
        <v>1</v>
      </c>
      <c r="N10" s="14" t="n">
        <v>3472</v>
      </c>
    </row>
    <row r="11" customFormat="false" ht="15" hidden="false" customHeight="true" outlineLevel="0" collapsed="false">
      <c r="A11" s="13" t="n">
        <v>2024</v>
      </c>
      <c r="B11" s="13" t="s">
        <v>121</v>
      </c>
      <c r="C11" s="13" t="s">
        <v>24</v>
      </c>
      <c r="D11" s="13" t="s">
        <v>128</v>
      </c>
      <c r="E11" s="13" t="s">
        <v>357</v>
      </c>
      <c r="F11" s="14" t="n">
        <v>14334</v>
      </c>
      <c r="G11" s="14" t="n">
        <v>10204</v>
      </c>
      <c r="H11" s="14" t="n">
        <v>176</v>
      </c>
      <c r="I11" s="14" t="n">
        <v>1411</v>
      </c>
      <c r="J11" s="14" t="n">
        <v>3678</v>
      </c>
      <c r="K11" s="14" t="n">
        <v>3938</v>
      </c>
      <c r="L11" s="14" t="n">
        <v>995</v>
      </c>
      <c r="M11" s="14" t="n">
        <v>6</v>
      </c>
      <c r="N11" s="14" t="n">
        <v>4130</v>
      </c>
    </row>
    <row r="12" customFormat="false" ht="15" hidden="false" customHeight="true" outlineLevel="0" collapsed="false">
      <c r="A12" s="13" t="n">
        <v>2024</v>
      </c>
      <c r="B12" s="13" t="s">
        <v>121</v>
      </c>
      <c r="C12" s="13" t="s">
        <v>24</v>
      </c>
      <c r="D12" s="13" t="s">
        <v>203</v>
      </c>
      <c r="E12" s="13" t="s">
        <v>357</v>
      </c>
      <c r="F12" s="14" t="n">
        <v>2175</v>
      </c>
      <c r="G12" s="14" t="n">
        <v>1603</v>
      </c>
      <c r="H12" s="14" t="n">
        <v>61</v>
      </c>
      <c r="I12" s="14" t="n">
        <v>199</v>
      </c>
      <c r="J12" s="14" t="n">
        <v>482</v>
      </c>
      <c r="K12" s="14" t="n">
        <v>637</v>
      </c>
      <c r="L12" s="14" t="n">
        <v>217</v>
      </c>
      <c r="M12" s="14" t="n">
        <v>7</v>
      </c>
      <c r="N12" s="14" t="n">
        <v>572</v>
      </c>
    </row>
    <row r="13" customFormat="false" ht="15" hidden="false" customHeight="true" outlineLevel="0" collapsed="false">
      <c r="A13" s="13" t="n">
        <v>2024</v>
      </c>
      <c r="B13" s="13" t="s">
        <v>121</v>
      </c>
      <c r="C13" s="13" t="s">
        <v>24</v>
      </c>
      <c r="D13" s="13" t="s">
        <v>485</v>
      </c>
      <c r="E13" s="13" t="s">
        <v>486</v>
      </c>
      <c r="F13" s="14" t="n">
        <v>47888</v>
      </c>
      <c r="G13" s="14" t="n">
        <v>37298</v>
      </c>
      <c r="H13" s="14" t="n">
        <v>4223</v>
      </c>
      <c r="I13" s="14" t="n">
        <v>7155</v>
      </c>
      <c r="J13" s="14" t="n">
        <v>12169</v>
      </c>
      <c r="K13" s="14" t="n">
        <v>11450</v>
      </c>
      <c r="L13" s="14" t="n">
        <v>2287</v>
      </c>
      <c r="M13" s="14" t="n">
        <v>14</v>
      </c>
      <c r="N13" s="14" t="n">
        <v>10590</v>
      </c>
    </row>
    <row r="14" customFormat="false" ht="15" hidden="false" customHeight="true" outlineLevel="0" collapsed="false">
      <c r="A14" s="13" t="n">
        <v>2024</v>
      </c>
      <c r="B14" s="13" t="s">
        <v>121</v>
      </c>
      <c r="C14" s="13" t="s">
        <v>487</v>
      </c>
      <c r="D14" s="13" t="s">
        <v>123</v>
      </c>
      <c r="E14" s="13" t="s">
        <v>357</v>
      </c>
      <c r="F14" s="14" t="n">
        <v>5210</v>
      </c>
      <c r="G14" s="14" t="n">
        <v>4875</v>
      </c>
      <c r="H14" s="14" t="n">
        <v>916</v>
      </c>
      <c r="I14" s="14" t="n">
        <v>1258</v>
      </c>
      <c r="J14" s="14" t="n">
        <v>1707</v>
      </c>
      <c r="K14" s="14" t="n">
        <v>928</v>
      </c>
      <c r="L14" s="14" t="n">
        <v>66</v>
      </c>
      <c r="M14" s="14" t="n">
        <v>0</v>
      </c>
      <c r="N14" s="14" t="n">
        <v>335</v>
      </c>
    </row>
    <row r="15" customFormat="false" ht="15" hidden="false" customHeight="true" outlineLevel="0" collapsed="false">
      <c r="A15" s="13" t="n">
        <v>2024</v>
      </c>
      <c r="B15" s="13" t="s">
        <v>121</v>
      </c>
      <c r="C15" s="13" t="s">
        <v>487</v>
      </c>
      <c r="D15" s="13" t="s">
        <v>126</v>
      </c>
      <c r="E15" s="13" t="s">
        <v>357</v>
      </c>
      <c r="F15" s="14" t="n">
        <v>1043</v>
      </c>
      <c r="G15" s="14" t="n">
        <v>971</v>
      </c>
      <c r="H15" s="14" t="n">
        <v>111</v>
      </c>
      <c r="I15" s="14" t="n">
        <v>244</v>
      </c>
      <c r="J15" s="14" t="n">
        <v>373</v>
      </c>
      <c r="K15" s="14" t="n">
        <v>215</v>
      </c>
      <c r="L15" s="14" t="n">
        <v>28</v>
      </c>
      <c r="M15" s="14" t="n">
        <v>0</v>
      </c>
      <c r="N15" s="14" t="n">
        <v>72</v>
      </c>
    </row>
    <row r="16" customFormat="false" ht="15" hidden="false" customHeight="true" outlineLevel="0" collapsed="false">
      <c r="A16" s="13" t="n">
        <v>2024</v>
      </c>
      <c r="B16" s="13" t="s">
        <v>121</v>
      </c>
      <c r="C16" s="13" t="s">
        <v>487</v>
      </c>
      <c r="D16" s="13" t="s">
        <v>202</v>
      </c>
      <c r="E16" s="13" t="s">
        <v>357</v>
      </c>
      <c r="F16" s="14" t="n">
        <v>2468</v>
      </c>
      <c r="G16" s="14" t="n">
        <v>1959</v>
      </c>
      <c r="H16" s="14" t="n">
        <v>112</v>
      </c>
      <c r="I16" s="14" t="n">
        <v>284</v>
      </c>
      <c r="J16" s="14" t="n">
        <v>672</v>
      </c>
      <c r="K16" s="14" t="n">
        <v>751</v>
      </c>
      <c r="L16" s="14" t="n">
        <v>140</v>
      </c>
      <c r="M16" s="14" t="n">
        <v>0</v>
      </c>
      <c r="N16" s="14" t="n">
        <v>509</v>
      </c>
    </row>
    <row r="17" customFormat="false" ht="15" hidden="false" customHeight="true" outlineLevel="0" collapsed="false">
      <c r="A17" s="13" t="n">
        <v>2024</v>
      </c>
      <c r="B17" s="13" t="s">
        <v>121</v>
      </c>
      <c r="C17" s="13" t="s">
        <v>487</v>
      </c>
      <c r="D17" s="13" t="s">
        <v>128</v>
      </c>
      <c r="E17" s="13" t="s">
        <v>357</v>
      </c>
      <c r="F17" s="14" t="n">
        <v>4487</v>
      </c>
      <c r="G17" s="14" t="n">
        <v>3207</v>
      </c>
      <c r="H17" s="14" t="n">
        <v>65</v>
      </c>
      <c r="I17" s="14" t="n">
        <v>521</v>
      </c>
      <c r="J17" s="14" t="n">
        <v>1302</v>
      </c>
      <c r="K17" s="14" t="n">
        <v>1122</v>
      </c>
      <c r="L17" s="14" t="n">
        <v>197</v>
      </c>
      <c r="M17" s="14" t="n">
        <v>0</v>
      </c>
      <c r="N17" s="14" t="n">
        <v>1280</v>
      </c>
    </row>
    <row r="18" customFormat="false" ht="15" hidden="false" customHeight="true" outlineLevel="0" collapsed="false">
      <c r="A18" s="13" t="n">
        <v>2024</v>
      </c>
      <c r="B18" s="13" t="s">
        <v>121</v>
      </c>
      <c r="C18" s="13" t="s">
        <v>487</v>
      </c>
      <c r="D18" s="13" t="s">
        <v>203</v>
      </c>
      <c r="E18" s="13" t="s">
        <v>357</v>
      </c>
      <c r="F18" s="14" t="n">
        <v>116</v>
      </c>
      <c r="G18" s="14" t="n">
        <v>86</v>
      </c>
      <c r="H18" s="14" t="n">
        <v>2</v>
      </c>
      <c r="I18" s="14" t="n">
        <v>8</v>
      </c>
      <c r="J18" s="14" t="n">
        <v>19</v>
      </c>
      <c r="K18" s="14" t="n">
        <v>48</v>
      </c>
      <c r="L18" s="14" t="n">
        <v>9</v>
      </c>
      <c r="M18" s="14" t="n">
        <v>0</v>
      </c>
      <c r="N18" s="14" t="n">
        <v>30</v>
      </c>
    </row>
    <row r="19" customFormat="false" ht="15" hidden="false" customHeight="true" outlineLevel="0" collapsed="false">
      <c r="A19" s="13" t="n">
        <v>2024</v>
      </c>
      <c r="B19" s="13" t="s">
        <v>121</v>
      </c>
      <c r="C19" s="13" t="s">
        <v>487</v>
      </c>
      <c r="D19" s="13" t="s">
        <v>485</v>
      </c>
      <c r="E19" s="13" t="s">
        <v>486</v>
      </c>
      <c r="F19" s="14" t="n">
        <v>13324</v>
      </c>
      <c r="G19" s="14" t="n">
        <v>11098</v>
      </c>
      <c r="H19" s="14" t="n">
        <v>1206</v>
      </c>
      <c r="I19" s="14" t="n">
        <v>2315</v>
      </c>
      <c r="J19" s="14" t="n">
        <v>4073</v>
      </c>
      <c r="K19" s="14" t="n">
        <v>3064</v>
      </c>
      <c r="L19" s="14" t="n">
        <v>440</v>
      </c>
      <c r="M19" s="14" t="n">
        <v>0</v>
      </c>
      <c r="N19" s="14" t="n">
        <v>2226</v>
      </c>
    </row>
    <row r="20" customFormat="false" ht="15" hidden="false" customHeight="true" outlineLevel="0" collapsed="false">
      <c r="A20" s="13" t="n">
        <v>2024</v>
      </c>
      <c r="B20" s="13" t="s">
        <v>121</v>
      </c>
      <c r="C20" s="13" t="s">
        <v>488</v>
      </c>
      <c r="D20" s="13" t="s">
        <v>123</v>
      </c>
      <c r="E20" s="13" t="s">
        <v>357</v>
      </c>
      <c r="F20" s="14" t="n">
        <v>4186</v>
      </c>
      <c r="G20" s="14" t="n">
        <v>3701</v>
      </c>
      <c r="H20" s="14" t="n">
        <v>925</v>
      </c>
      <c r="I20" s="14" t="n">
        <v>982</v>
      </c>
      <c r="J20" s="14" t="n">
        <v>1083</v>
      </c>
      <c r="K20" s="14" t="n">
        <v>653</v>
      </c>
      <c r="L20" s="14" t="n">
        <v>58</v>
      </c>
      <c r="M20" s="14" t="n">
        <v>0</v>
      </c>
      <c r="N20" s="14" t="n">
        <v>485</v>
      </c>
    </row>
    <row r="21" customFormat="false" ht="15" hidden="false" customHeight="true" outlineLevel="0" collapsed="false">
      <c r="A21" s="13" t="n">
        <v>2024</v>
      </c>
      <c r="B21" s="13" t="s">
        <v>121</v>
      </c>
      <c r="C21" s="13" t="s">
        <v>488</v>
      </c>
      <c r="D21" s="13" t="s">
        <v>126</v>
      </c>
      <c r="E21" s="13" t="s">
        <v>357</v>
      </c>
      <c r="F21" s="14" t="n">
        <v>1100</v>
      </c>
      <c r="G21" s="14" t="n">
        <v>992</v>
      </c>
      <c r="H21" s="14" t="n">
        <v>127</v>
      </c>
      <c r="I21" s="14" t="n">
        <v>202</v>
      </c>
      <c r="J21" s="14" t="n">
        <v>340</v>
      </c>
      <c r="K21" s="14" t="n">
        <v>281</v>
      </c>
      <c r="L21" s="14" t="n">
        <v>42</v>
      </c>
      <c r="M21" s="14" t="n">
        <v>0</v>
      </c>
      <c r="N21" s="14" t="n">
        <v>108</v>
      </c>
    </row>
    <row r="22" customFormat="false" ht="15" hidden="false" customHeight="true" outlineLevel="0" collapsed="false">
      <c r="A22" s="13" t="n">
        <v>2024</v>
      </c>
      <c r="B22" s="13" t="s">
        <v>121</v>
      </c>
      <c r="C22" s="13" t="s">
        <v>488</v>
      </c>
      <c r="D22" s="13" t="s">
        <v>202</v>
      </c>
      <c r="E22" s="13" t="s">
        <v>357</v>
      </c>
      <c r="F22" s="14" t="n">
        <v>2945</v>
      </c>
      <c r="G22" s="14" t="n">
        <v>2219</v>
      </c>
      <c r="H22" s="14" t="n">
        <v>99</v>
      </c>
      <c r="I22" s="14" t="n">
        <v>312</v>
      </c>
      <c r="J22" s="14" t="n">
        <v>820</v>
      </c>
      <c r="K22" s="14" t="n">
        <v>829</v>
      </c>
      <c r="L22" s="14" t="n">
        <v>156</v>
      </c>
      <c r="M22" s="14" t="n">
        <v>3</v>
      </c>
      <c r="N22" s="14" t="n">
        <v>726</v>
      </c>
    </row>
    <row r="23" customFormat="false" ht="15" hidden="false" customHeight="true" outlineLevel="0" collapsed="false">
      <c r="A23" s="13" t="n">
        <v>2024</v>
      </c>
      <c r="B23" s="13" t="s">
        <v>121</v>
      </c>
      <c r="C23" s="13" t="s">
        <v>488</v>
      </c>
      <c r="D23" s="13" t="s">
        <v>128</v>
      </c>
      <c r="E23" s="13" t="s">
        <v>357</v>
      </c>
      <c r="F23" s="14" t="n">
        <v>4135</v>
      </c>
      <c r="G23" s="14" t="n">
        <v>2816</v>
      </c>
      <c r="H23" s="14" t="n">
        <v>54</v>
      </c>
      <c r="I23" s="14" t="n">
        <v>409</v>
      </c>
      <c r="J23" s="14" t="n">
        <v>1157</v>
      </c>
      <c r="K23" s="14" t="n">
        <v>1010</v>
      </c>
      <c r="L23" s="14" t="n">
        <v>185</v>
      </c>
      <c r="M23" s="14" t="n">
        <v>1</v>
      </c>
      <c r="N23" s="14" t="n">
        <v>1319</v>
      </c>
    </row>
    <row r="24" customFormat="false" ht="15" hidden="false" customHeight="true" outlineLevel="0" collapsed="false">
      <c r="A24" s="13" t="n">
        <v>2024</v>
      </c>
      <c r="B24" s="13" t="s">
        <v>121</v>
      </c>
      <c r="C24" s="13" t="s">
        <v>488</v>
      </c>
      <c r="D24" s="13" t="s">
        <v>203</v>
      </c>
      <c r="E24" s="13" t="s">
        <v>357</v>
      </c>
      <c r="F24" s="14" t="n">
        <v>74</v>
      </c>
      <c r="G24" s="14" t="n">
        <v>35</v>
      </c>
      <c r="H24" s="14" t="n">
        <v>0</v>
      </c>
      <c r="I24" s="14" t="n">
        <v>4</v>
      </c>
      <c r="J24" s="14" t="n">
        <v>10</v>
      </c>
      <c r="K24" s="14" t="n">
        <v>18</v>
      </c>
      <c r="L24" s="14" t="n">
        <v>3</v>
      </c>
      <c r="M24" s="14" t="n">
        <v>0</v>
      </c>
      <c r="N24" s="14" t="n">
        <v>39</v>
      </c>
    </row>
    <row r="25" customFormat="false" ht="15" hidden="false" customHeight="true" outlineLevel="0" collapsed="false">
      <c r="A25" s="13" t="n">
        <v>2024</v>
      </c>
      <c r="B25" s="13" t="s">
        <v>121</v>
      </c>
      <c r="C25" s="13" t="s">
        <v>488</v>
      </c>
      <c r="D25" s="13" t="s">
        <v>485</v>
      </c>
      <c r="E25" s="13" t="s">
        <v>486</v>
      </c>
      <c r="F25" s="14" t="n">
        <v>12440</v>
      </c>
      <c r="G25" s="14" t="n">
        <v>9763</v>
      </c>
      <c r="H25" s="14" t="n">
        <v>1205</v>
      </c>
      <c r="I25" s="14" t="n">
        <v>1909</v>
      </c>
      <c r="J25" s="14" t="n">
        <v>3410</v>
      </c>
      <c r="K25" s="14" t="n">
        <v>2791</v>
      </c>
      <c r="L25" s="14" t="n">
        <v>444</v>
      </c>
      <c r="M25" s="14" t="n">
        <v>4</v>
      </c>
      <c r="N25" s="14" t="n">
        <v>2677</v>
      </c>
    </row>
    <row r="26" customFormat="false" ht="15" hidden="false" customHeight="true" outlineLevel="0" collapsed="false">
      <c r="A26" s="13" t="n">
        <v>2024</v>
      </c>
      <c r="B26" s="13" t="s">
        <v>121</v>
      </c>
      <c r="C26" s="13" t="s">
        <v>489</v>
      </c>
      <c r="D26" s="13" t="s">
        <v>490</v>
      </c>
      <c r="E26" s="13" t="s">
        <v>137</v>
      </c>
      <c r="F26" s="14" t="n">
        <v>79459</v>
      </c>
      <c r="G26" s="14" t="n">
        <v>62776</v>
      </c>
      <c r="H26" s="14" t="n">
        <v>6996</v>
      </c>
      <c r="I26" s="14" t="n">
        <v>12393</v>
      </c>
      <c r="J26" s="14" t="n">
        <v>21315</v>
      </c>
      <c r="K26" s="14" t="n">
        <v>18647</v>
      </c>
      <c r="L26" s="14" t="n">
        <v>3404</v>
      </c>
      <c r="M26" s="14" t="n">
        <v>21</v>
      </c>
      <c r="N26" s="14" t="n">
        <v>16683</v>
      </c>
    </row>
    <row r="27" customFormat="false" ht="15" hidden="false" customHeight="true" outlineLevel="0" collapsed="false">
      <c r="A27" s="13" t="n">
        <v>2025</v>
      </c>
      <c r="B27" s="13" t="s">
        <v>121</v>
      </c>
      <c r="C27" s="13" t="s">
        <v>484</v>
      </c>
      <c r="D27" s="13" t="s">
        <v>123</v>
      </c>
      <c r="E27" s="13" t="s">
        <v>357</v>
      </c>
      <c r="F27" s="14" t="n">
        <v>1296</v>
      </c>
      <c r="G27" s="14" t="n">
        <v>1176</v>
      </c>
      <c r="H27" s="14" t="n">
        <v>247</v>
      </c>
      <c r="I27" s="14" t="n">
        <v>338</v>
      </c>
      <c r="J27" s="14" t="n">
        <v>404</v>
      </c>
      <c r="K27" s="14" t="n">
        <v>182</v>
      </c>
      <c r="L27" s="14" t="n">
        <v>5</v>
      </c>
      <c r="M27" s="14" t="n">
        <v>0</v>
      </c>
      <c r="N27" s="14" t="n">
        <v>120</v>
      </c>
    </row>
    <row r="28" customFormat="false" ht="15" hidden="false" customHeight="true" outlineLevel="0" collapsed="false">
      <c r="A28" s="13" t="n">
        <v>2025</v>
      </c>
      <c r="B28" s="13" t="s">
        <v>121</v>
      </c>
      <c r="C28" s="13" t="s">
        <v>484</v>
      </c>
      <c r="D28" s="13" t="s">
        <v>126</v>
      </c>
      <c r="E28" s="13" t="s">
        <v>357</v>
      </c>
      <c r="F28" s="14" t="n">
        <v>207</v>
      </c>
      <c r="G28" s="14" t="n">
        <v>182</v>
      </c>
      <c r="H28" s="14" t="n">
        <v>36</v>
      </c>
      <c r="I28" s="14" t="n">
        <v>59</v>
      </c>
      <c r="J28" s="14" t="n">
        <v>55</v>
      </c>
      <c r="K28" s="14" t="n">
        <v>32</v>
      </c>
      <c r="L28" s="14" t="n">
        <v>0</v>
      </c>
      <c r="M28" s="14" t="n">
        <v>0</v>
      </c>
      <c r="N28" s="14" t="n">
        <v>25</v>
      </c>
    </row>
    <row r="29" customFormat="false" ht="15" hidden="false" customHeight="true" outlineLevel="0" collapsed="false">
      <c r="A29" s="13" t="n">
        <v>2025</v>
      </c>
      <c r="B29" s="13" t="s">
        <v>121</v>
      </c>
      <c r="C29" s="13" t="s">
        <v>484</v>
      </c>
      <c r="D29" s="13" t="s">
        <v>202</v>
      </c>
      <c r="E29" s="13" t="s">
        <v>357</v>
      </c>
      <c r="F29" s="14" t="n">
        <v>1210</v>
      </c>
      <c r="G29" s="14" t="n">
        <v>979</v>
      </c>
      <c r="H29" s="14" t="n">
        <v>92</v>
      </c>
      <c r="I29" s="14" t="n">
        <v>215</v>
      </c>
      <c r="J29" s="14" t="n">
        <v>366</v>
      </c>
      <c r="K29" s="14" t="n">
        <v>256</v>
      </c>
      <c r="L29" s="14" t="n">
        <v>50</v>
      </c>
      <c r="M29" s="14" t="n">
        <v>0</v>
      </c>
      <c r="N29" s="14" t="n">
        <v>231</v>
      </c>
    </row>
    <row r="30" customFormat="false" ht="15" hidden="false" customHeight="true" outlineLevel="0" collapsed="false">
      <c r="A30" s="13" t="n">
        <v>2025</v>
      </c>
      <c r="B30" s="13" t="s">
        <v>121</v>
      </c>
      <c r="C30" s="13" t="s">
        <v>484</v>
      </c>
      <c r="D30" s="13" t="s">
        <v>128</v>
      </c>
      <c r="E30" s="13" t="s">
        <v>357</v>
      </c>
      <c r="F30" s="14" t="n">
        <v>2960</v>
      </c>
      <c r="G30" s="14" t="n">
        <v>2210</v>
      </c>
      <c r="H30" s="14" t="n">
        <v>105</v>
      </c>
      <c r="I30" s="14" t="n">
        <v>532</v>
      </c>
      <c r="J30" s="14" t="n">
        <v>862</v>
      </c>
      <c r="K30" s="14" t="n">
        <v>625</v>
      </c>
      <c r="L30" s="14" t="n">
        <v>86</v>
      </c>
      <c r="M30" s="14" t="n">
        <v>0</v>
      </c>
      <c r="N30" s="14" t="n">
        <v>750</v>
      </c>
    </row>
    <row r="31" customFormat="false" ht="15" hidden="false" customHeight="true" outlineLevel="0" collapsed="false">
      <c r="A31" s="13" t="n">
        <v>2025</v>
      </c>
      <c r="B31" s="13" t="s">
        <v>121</v>
      </c>
      <c r="C31" s="13" t="s">
        <v>484</v>
      </c>
      <c r="D31" s="13" t="s">
        <v>203</v>
      </c>
      <c r="E31" s="13" t="s">
        <v>357</v>
      </c>
      <c r="F31" s="14" t="n">
        <v>30</v>
      </c>
      <c r="G31" s="14" t="n">
        <v>15</v>
      </c>
      <c r="H31" s="14" t="n">
        <v>0</v>
      </c>
      <c r="I31" s="14" t="n">
        <v>4</v>
      </c>
      <c r="J31" s="14" t="n">
        <v>5</v>
      </c>
      <c r="K31" s="14" t="n">
        <v>3</v>
      </c>
      <c r="L31" s="14" t="n">
        <v>3</v>
      </c>
      <c r="M31" s="14" t="n">
        <v>0</v>
      </c>
      <c r="N31" s="14" t="n">
        <v>15</v>
      </c>
    </row>
    <row r="32" customFormat="false" ht="15" hidden="false" customHeight="true" outlineLevel="0" collapsed="false">
      <c r="A32" s="13" t="n">
        <v>2025</v>
      </c>
      <c r="B32" s="13" t="s">
        <v>121</v>
      </c>
      <c r="C32" s="13" t="s">
        <v>484</v>
      </c>
      <c r="D32" s="13" t="s">
        <v>485</v>
      </c>
      <c r="E32" s="13" t="s">
        <v>486</v>
      </c>
      <c r="F32" s="14" t="n">
        <v>5703</v>
      </c>
      <c r="G32" s="14" t="n">
        <v>4562</v>
      </c>
      <c r="H32" s="14" t="n">
        <v>480</v>
      </c>
      <c r="I32" s="14" t="n">
        <v>1148</v>
      </c>
      <c r="J32" s="14" t="n">
        <v>1692</v>
      </c>
      <c r="K32" s="14" t="n">
        <v>1098</v>
      </c>
      <c r="L32" s="14" t="n">
        <v>144</v>
      </c>
      <c r="M32" s="14" t="n">
        <v>0</v>
      </c>
      <c r="N32" s="14" t="n">
        <v>1141</v>
      </c>
    </row>
    <row r="33" customFormat="false" ht="15" hidden="false" customHeight="true" outlineLevel="0" collapsed="false">
      <c r="A33" s="13" t="n">
        <v>2025</v>
      </c>
      <c r="B33" s="13" t="s">
        <v>121</v>
      </c>
      <c r="C33" s="13" t="s">
        <v>24</v>
      </c>
      <c r="D33" s="13" t="s">
        <v>123</v>
      </c>
      <c r="E33" s="13" t="s">
        <v>357</v>
      </c>
      <c r="F33" s="14" t="n">
        <v>13582</v>
      </c>
      <c r="G33" s="14" t="n">
        <v>12050</v>
      </c>
      <c r="H33" s="14" t="n">
        <v>3537</v>
      </c>
      <c r="I33" s="14" t="n">
        <v>3173</v>
      </c>
      <c r="J33" s="14" t="n">
        <v>3299</v>
      </c>
      <c r="K33" s="14" t="n">
        <v>1879</v>
      </c>
      <c r="L33" s="14" t="n">
        <v>162</v>
      </c>
      <c r="M33" s="14" t="n">
        <v>0</v>
      </c>
      <c r="N33" s="14" t="n">
        <v>1532</v>
      </c>
    </row>
    <row r="34" customFormat="false" ht="15" hidden="false" customHeight="true" outlineLevel="0" collapsed="false">
      <c r="A34" s="13" t="n">
        <v>2025</v>
      </c>
      <c r="B34" s="13" t="s">
        <v>121</v>
      </c>
      <c r="C34" s="13" t="s">
        <v>24</v>
      </c>
      <c r="D34" s="13" t="s">
        <v>126</v>
      </c>
      <c r="E34" s="13" t="s">
        <v>357</v>
      </c>
      <c r="F34" s="14" t="n">
        <v>3271</v>
      </c>
      <c r="G34" s="14" t="n">
        <v>2948</v>
      </c>
      <c r="H34" s="14" t="n">
        <v>751</v>
      </c>
      <c r="I34" s="14" t="n">
        <v>810</v>
      </c>
      <c r="J34" s="14" t="n">
        <v>830</v>
      </c>
      <c r="K34" s="14" t="n">
        <v>492</v>
      </c>
      <c r="L34" s="14" t="n">
        <v>65</v>
      </c>
      <c r="M34" s="14" t="n">
        <v>0</v>
      </c>
      <c r="N34" s="14" t="n">
        <v>323</v>
      </c>
    </row>
    <row r="35" customFormat="false" ht="15" hidden="false" customHeight="true" outlineLevel="0" collapsed="false">
      <c r="A35" s="13" t="n">
        <v>2025</v>
      </c>
      <c r="B35" s="13" t="s">
        <v>121</v>
      </c>
      <c r="C35" s="13" t="s">
        <v>24</v>
      </c>
      <c r="D35" s="13" t="s">
        <v>202</v>
      </c>
      <c r="E35" s="13" t="s">
        <v>357</v>
      </c>
      <c r="F35" s="14" t="n">
        <v>13944</v>
      </c>
      <c r="G35" s="14" t="n">
        <v>11138</v>
      </c>
      <c r="H35" s="14" t="n">
        <v>1023</v>
      </c>
      <c r="I35" s="14" t="n">
        <v>2302</v>
      </c>
      <c r="J35" s="14" t="n">
        <v>3808</v>
      </c>
      <c r="K35" s="14" t="n">
        <v>3348</v>
      </c>
      <c r="L35" s="14" t="n">
        <v>657</v>
      </c>
      <c r="M35" s="14" t="n">
        <v>0</v>
      </c>
      <c r="N35" s="14" t="n">
        <v>2806</v>
      </c>
    </row>
    <row r="36" customFormat="false" ht="15" hidden="false" customHeight="true" outlineLevel="0" collapsed="false">
      <c r="A36" s="13" t="n">
        <v>2025</v>
      </c>
      <c r="B36" s="13" t="s">
        <v>121</v>
      </c>
      <c r="C36" s="13" t="s">
        <v>24</v>
      </c>
      <c r="D36" s="13" t="s">
        <v>128</v>
      </c>
      <c r="E36" s="13" t="s">
        <v>357</v>
      </c>
      <c r="F36" s="14" t="n">
        <v>16175</v>
      </c>
      <c r="G36" s="14" t="n">
        <v>10882</v>
      </c>
      <c r="H36" s="14" t="n">
        <v>360</v>
      </c>
      <c r="I36" s="14" t="n">
        <v>1796</v>
      </c>
      <c r="J36" s="14" t="n">
        <v>3932</v>
      </c>
      <c r="K36" s="14" t="n">
        <v>3802</v>
      </c>
      <c r="L36" s="14" t="n">
        <v>980</v>
      </c>
      <c r="M36" s="14" t="n">
        <v>12</v>
      </c>
      <c r="N36" s="14" t="n">
        <v>5293</v>
      </c>
    </row>
    <row r="37" customFormat="false" ht="15" hidden="false" customHeight="true" outlineLevel="0" collapsed="false">
      <c r="A37" s="13" t="n">
        <v>2025</v>
      </c>
      <c r="B37" s="13" t="s">
        <v>121</v>
      </c>
      <c r="C37" s="13" t="s">
        <v>24</v>
      </c>
      <c r="D37" s="13" t="s">
        <v>203</v>
      </c>
      <c r="E37" s="13" t="s">
        <v>357</v>
      </c>
      <c r="F37" s="14" t="n">
        <v>2112</v>
      </c>
      <c r="G37" s="14" t="n">
        <v>1657</v>
      </c>
      <c r="H37" s="14" t="n">
        <v>82</v>
      </c>
      <c r="I37" s="14" t="n">
        <v>204</v>
      </c>
      <c r="J37" s="14" t="n">
        <v>434</v>
      </c>
      <c r="K37" s="14" t="n">
        <v>610</v>
      </c>
      <c r="L37" s="14" t="n">
        <v>314</v>
      </c>
      <c r="M37" s="14" t="n">
        <v>13</v>
      </c>
      <c r="N37" s="14" t="n">
        <v>455</v>
      </c>
    </row>
    <row r="38" customFormat="false" ht="15" hidden="false" customHeight="true" outlineLevel="0" collapsed="false">
      <c r="A38" s="13" t="n">
        <v>2025</v>
      </c>
      <c r="B38" s="13" t="s">
        <v>121</v>
      </c>
      <c r="C38" s="13" t="s">
        <v>24</v>
      </c>
      <c r="D38" s="13" t="s">
        <v>130</v>
      </c>
      <c r="E38" s="13" t="s">
        <v>357</v>
      </c>
      <c r="F38" s="14" t="n">
        <v>6</v>
      </c>
      <c r="G38" s="14" t="n">
        <v>5</v>
      </c>
      <c r="H38" s="14" t="n">
        <v>0</v>
      </c>
      <c r="I38" s="14" t="n">
        <v>0</v>
      </c>
      <c r="J38" s="14" t="n">
        <v>4</v>
      </c>
      <c r="K38" s="14" t="n">
        <v>1</v>
      </c>
      <c r="L38" s="14" t="n">
        <v>0</v>
      </c>
      <c r="M38" s="14" t="n">
        <v>0</v>
      </c>
      <c r="N38" s="14" t="n">
        <v>1</v>
      </c>
    </row>
    <row r="39" customFormat="false" ht="15" hidden="false" customHeight="true" outlineLevel="0" collapsed="false">
      <c r="A39" s="13" t="n">
        <v>2025</v>
      </c>
      <c r="B39" s="13" t="s">
        <v>121</v>
      </c>
      <c r="C39" s="13" t="s">
        <v>24</v>
      </c>
      <c r="D39" s="13" t="s">
        <v>419</v>
      </c>
      <c r="E39" s="13" t="s">
        <v>357</v>
      </c>
      <c r="F39" s="14" t="n">
        <v>13</v>
      </c>
      <c r="G39" s="14" t="n">
        <v>5</v>
      </c>
      <c r="H39" s="14" t="n">
        <v>0</v>
      </c>
      <c r="I39" s="14" t="n">
        <v>2</v>
      </c>
      <c r="J39" s="14" t="n">
        <v>2</v>
      </c>
      <c r="K39" s="14" t="n">
        <v>1</v>
      </c>
      <c r="L39" s="14" t="n">
        <v>0</v>
      </c>
      <c r="M39" s="14" t="n">
        <v>0</v>
      </c>
      <c r="N39" s="14" t="n">
        <v>8</v>
      </c>
    </row>
    <row r="40" customFormat="false" ht="15" hidden="false" customHeight="true" outlineLevel="0" collapsed="false">
      <c r="A40" s="13" t="n">
        <v>2025</v>
      </c>
      <c r="B40" s="13" t="s">
        <v>121</v>
      </c>
      <c r="C40" s="13" t="s">
        <v>24</v>
      </c>
      <c r="D40" s="13" t="s">
        <v>485</v>
      </c>
      <c r="E40" s="13" t="s">
        <v>486</v>
      </c>
      <c r="F40" s="14" t="n">
        <v>49103</v>
      </c>
      <c r="G40" s="14" t="n">
        <v>38685</v>
      </c>
      <c r="H40" s="14" t="n">
        <v>5753</v>
      </c>
      <c r="I40" s="14" t="n">
        <v>8287</v>
      </c>
      <c r="J40" s="14" t="n">
        <v>12309</v>
      </c>
      <c r="K40" s="14" t="n">
        <v>10133</v>
      </c>
      <c r="L40" s="14" t="n">
        <v>2178</v>
      </c>
      <c r="M40" s="14" t="n">
        <v>25</v>
      </c>
      <c r="N40" s="14" t="n">
        <v>10418</v>
      </c>
    </row>
    <row r="41" customFormat="false" ht="15" hidden="false" customHeight="true" outlineLevel="0" collapsed="false">
      <c r="A41" s="13" t="n">
        <v>2025</v>
      </c>
      <c r="B41" s="13" t="s">
        <v>121</v>
      </c>
      <c r="C41" s="13" t="s">
        <v>487</v>
      </c>
      <c r="D41" s="13" t="s">
        <v>123</v>
      </c>
      <c r="E41" s="13" t="s">
        <v>357</v>
      </c>
      <c r="F41" s="14" t="n">
        <v>4456</v>
      </c>
      <c r="G41" s="14" t="n">
        <v>4194</v>
      </c>
      <c r="H41" s="14" t="n">
        <v>1263</v>
      </c>
      <c r="I41" s="14" t="n">
        <v>1326</v>
      </c>
      <c r="J41" s="14" t="n">
        <v>1165</v>
      </c>
      <c r="K41" s="14" t="n">
        <v>422</v>
      </c>
      <c r="L41" s="14" t="n">
        <v>18</v>
      </c>
      <c r="M41" s="14" t="n">
        <v>0</v>
      </c>
      <c r="N41" s="14" t="n">
        <v>262</v>
      </c>
    </row>
    <row r="42" customFormat="false" ht="15" hidden="false" customHeight="true" outlineLevel="0" collapsed="false">
      <c r="A42" s="13" t="n">
        <v>2025</v>
      </c>
      <c r="B42" s="13" t="s">
        <v>121</v>
      </c>
      <c r="C42" s="13" t="s">
        <v>487</v>
      </c>
      <c r="D42" s="13" t="s">
        <v>126</v>
      </c>
      <c r="E42" s="13" t="s">
        <v>357</v>
      </c>
      <c r="F42" s="14" t="n">
        <v>869</v>
      </c>
      <c r="G42" s="14" t="n">
        <v>818</v>
      </c>
      <c r="H42" s="14" t="n">
        <v>214</v>
      </c>
      <c r="I42" s="14" t="n">
        <v>254</v>
      </c>
      <c r="J42" s="14" t="n">
        <v>226</v>
      </c>
      <c r="K42" s="14" t="n">
        <v>112</v>
      </c>
      <c r="L42" s="14" t="n">
        <v>12</v>
      </c>
      <c r="M42" s="14" t="n">
        <v>0</v>
      </c>
      <c r="N42" s="14" t="n">
        <v>51</v>
      </c>
    </row>
    <row r="43" customFormat="false" ht="15" hidden="false" customHeight="true" outlineLevel="0" collapsed="false">
      <c r="A43" s="13" t="n">
        <v>2025</v>
      </c>
      <c r="B43" s="13" t="s">
        <v>121</v>
      </c>
      <c r="C43" s="13" t="s">
        <v>487</v>
      </c>
      <c r="D43" s="13" t="s">
        <v>202</v>
      </c>
      <c r="E43" s="13" t="s">
        <v>357</v>
      </c>
      <c r="F43" s="14" t="n">
        <v>3493</v>
      </c>
      <c r="G43" s="14" t="n">
        <v>3001</v>
      </c>
      <c r="H43" s="14" t="n">
        <v>250</v>
      </c>
      <c r="I43" s="14" t="n">
        <v>712</v>
      </c>
      <c r="J43" s="14" t="n">
        <v>1145</v>
      </c>
      <c r="K43" s="14" t="n">
        <v>791</v>
      </c>
      <c r="L43" s="14" t="n">
        <v>103</v>
      </c>
      <c r="M43" s="14" t="n">
        <v>0</v>
      </c>
      <c r="N43" s="14" t="n">
        <v>492</v>
      </c>
    </row>
    <row r="44" customFormat="false" ht="15" hidden="false" customHeight="true" outlineLevel="0" collapsed="false">
      <c r="A44" s="13" t="n">
        <v>2025</v>
      </c>
      <c r="B44" s="13" t="s">
        <v>121</v>
      </c>
      <c r="C44" s="13" t="s">
        <v>487</v>
      </c>
      <c r="D44" s="13" t="s">
        <v>128</v>
      </c>
      <c r="E44" s="13" t="s">
        <v>357</v>
      </c>
      <c r="F44" s="14" t="n">
        <v>4952</v>
      </c>
      <c r="G44" s="14" t="n">
        <v>3602</v>
      </c>
      <c r="H44" s="14" t="n">
        <v>114</v>
      </c>
      <c r="I44" s="14" t="n">
        <v>718</v>
      </c>
      <c r="J44" s="14" t="n">
        <v>1579</v>
      </c>
      <c r="K44" s="14" t="n">
        <v>1019</v>
      </c>
      <c r="L44" s="14" t="n">
        <v>171</v>
      </c>
      <c r="M44" s="14" t="n">
        <v>1</v>
      </c>
      <c r="N44" s="14" t="n">
        <v>1350</v>
      </c>
    </row>
    <row r="45" customFormat="false" ht="15" hidden="false" customHeight="true" outlineLevel="0" collapsed="false">
      <c r="A45" s="13" t="n">
        <v>2025</v>
      </c>
      <c r="B45" s="13" t="s">
        <v>121</v>
      </c>
      <c r="C45" s="13" t="s">
        <v>487</v>
      </c>
      <c r="D45" s="13" t="s">
        <v>203</v>
      </c>
      <c r="E45" s="13" t="s">
        <v>357</v>
      </c>
      <c r="F45" s="14" t="n">
        <v>76</v>
      </c>
      <c r="G45" s="14" t="n">
        <v>64</v>
      </c>
      <c r="H45" s="14" t="n">
        <v>3</v>
      </c>
      <c r="I45" s="14" t="n">
        <v>8</v>
      </c>
      <c r="J45" s="14" t="n">
        <v>14</v>
      </c>
      <c r="K45" s="14" t="n">
        <v>30</v>
      </c>
      <c r="L45" s="14" t="n">
        <v>7</v>
      </c>
      <c r="M45" s="14" t="n">
        <v>2</v>
      </c>
      <c r="N45" s="14" t="n">
        <v>12</v>
      </c>
    </row>
    <row r="46" customFormat="false" ht="15" hidden="false" customHeight="true" outlineLevel="0" collapsed="false">
      <c r="A46" s="13" t="n">
        <v>2025</v>
      </c>
      <c r="B46" s="13" t="s">
        <v>121</v>
      </c>
      <c r="C46" s="13" t="s">
        <v>487</v>
      </c>
      <c r="D46" s="13" t="s">
        <v>485</v>
      </c>
      <c r="E46" s="13" t="s">
        <v>486</v>
      </c>
      <c r="F46" s="14" t="n">
        <v>13846</v>
      </c>
      <c r="G46" s="14" t="n">
        <v>11679</v>
      </c>
      <c r="H46" s="14" t="n">
        <v>1844</v>
      </c>
      <c r="I46" s="14" t="n">
        <v>3018</v>
      </c>
      <c r="J46" s="14" t="n">
        <v>4129</v>
      </c>
      <c r="K46" s="14" t="n">
        <v>2374</v>
      </c>
      <c r="L46" s="14" t="n">
        <v>311</v>
      </c>
      <c r="M46" s="14" t="n">
        <v>3</v>
      </c>
      <c r="N46" s="14" t="n">
        <v>2167</v>
      </c>
    </row>
    <row r="47" customFormat="false" ht="15" hidden="false" customHeight="true" outlineLevel="0" collapsed="false">
      <c r="A47" s="13" t="n">
        <v>2025</v>
      </c>
      <c r="B47" s="13" t="s">
        <v>121</v>
      </c>
      <c r="C47" s="13" t="s">
        <v>488</v>
      </c>
      <c r="D47" s="13" t="s">
        <v>123</v>
      </c>
      <c r="E47" s="13" t="s">
        <v>357</v>
      </c>
      <c r="F47" s="14" t="n">
        <v>3551</v>
      </c>
      <c r="G47" s="14" t="n">
        <v>3286</v>
      </c>
      <c r="H47" s="14" t="n">
        <v>1072</v>
      </c>
      <c r="I47" s="14" t="n">
        <v>959</v>
      </c>
      <c r="J47" s="14" t="n">
        <v>822</v>
      </c>
      <c r="K47" s="14" t="n">
        <v>411</v>
      </c>
      <c r="L47" s="14" t="n">
        <v>22</v>
      </c>
      <c r="M47" s="14" t="n">
        <v>0</v>
      </c>
      <c r="N47" s="14" t="n">
        <v>265</v>
      </c>
    </row>
    <row r="48" customFormat="false" ht="15" hidden="false" customHeight="true" outlineLevel="0" collapsed="false">
      <c r="A48" s="13" t="n">
        <v>2025</v>
      </c>
      <c r="B48" s="13" t="s">
        <v>121</v>
      </c>
      <c r="C48" s="13" t="s">
        <v>488</v>
      </c>
      <c r="D48" s="13" t="s">
        <v>126</v>
      </c>
      <c r="E48" s="13" t="s">
        <v>357</v>
      </c>
      <c r="F48" s="14" t="n">
        <v>946</v>
      </c>
      <c r="G48" s="14" t="n">
        <v>882</v>
      </c>
      <c r="H48" s="14" t="n">
        <v>253</v>
      </c>
      <c r="I48" s="14" t="n">
        <v>239</v>
      </c>
      <c r="J48" s="14" t="n">
        <v>246</v>
      </c>
      <c r="K48" s="14" t="n">
        <v>135</v>
      </c>
      <c r="L48" s="14" t="n">
        <v>9</v>
      </c>
      <c r="M48" s="14" t="n">
        <v>0</v>
      </c>
      <c r="N48" s="14" t="n">
        <v>64</v>
      </c>
    </row>
    <row r="49" customFormat="false" ht="15" hidden="false" customHeight="true" outlineLevel="0" collapsed="false">
      <c r="A49" s="13" t="n">
        <v>2025</v>
      </c>
      <c r="B49" s="13" t="s">
        <v>121</v>
      </c>
      <c r="C49" s="13" t="s">
        <v>488</v>
      </c>
      <c r="D49" s="13" t="s">
        <v>202</v>
      </c>
      <c r="E49" s="13" t="s">
        <v>357</v>
      </c>
      <c r="F49" s="14" t="n">
        <v>3603</v>
      </c>
      <c r="G49" s="14" t="n">
        <v>3003</v>
      </c>
      <c r="H49" s="14" t="n">
        <v>257</v>
      </c>
      <c r="I49" s="14" t="n">
        <v>589</v>
      </c>
      <c r="J49" s="14" t="n">
        <v>1091</v>
      </c>
      <c r="K49" s="14" t="n">
        <v>915</v>
      </c>
      <c r="L49" s="14" t="n">
        <v>151</v>
      </c>
      <c r="M49" s="14" t="n">
        <v>0</v>
      </c>
      <c r="N49" s="14" t="n">
        <v>600</v>
      </c>
    </row>
    <row r="50" customFormat="false" ht="15" hidden="false" customHeight="true" outlineLevel="0" collapsed="false">
      <c r="A50" s="13" t="n">
        <v>2025</v>
      </c>
      <c r="B50" s="13" t="s">
        <v>121</v>
      </c>
      <c r="C50" s="13" t="s">
        <v>488</v>
      </c>
      <c r="D50" s="13" t="s">
        <v>128</v>
      </c>
      <c r="E50" s="13" t="s">
        <v>357</v>
      </c>
      <c r="F50" s="14" t="n">
        <v>4454</v>
      </c>
      <c r="G50" s="14" t="n">
        <v>3114</v>
      </c>
      <c r="H50" s="14" t="n">
        <v>81</v>
      </c>
      <c r="I50" s="14" t="n">
        <v>572</v>
      </c>
      <c r="J50" s="14" t="n">
        <v>1305</v>
      </c>
      <c r="K50" s="14" t="n">
        <v>950</v>
      </c>
      <c r="L50" s="14" t="n">
        <v>206</v>
      </c>
      <c r="M50" s="14" t="n">
        <v>0</v>
      </c>
      <c r="N50" s="14" t="n">
        <v>1340</v>
      </c>
    </row>
    <row r="51" customFormat="false" ht="15" hidden="false" customHeight="true" outlineLevel="0" collapsed="false">
      <c r="A51" s="13" t="n">
        <v>2025</v>
      </c>
      <c r="B51" s="13" t="s">
        <v>121</v>
      </c>
      <c r="C51" s="13" t="s">
        <v>488</v>
      </c>
      <c r="D51" s="13" t="s">
        <v>203</v>
      </c>
      <c r="E51" s="13" t="s">
        <v>357</v>
      </c>
      <c r="F51" s="14" t="n">
        <v>54</v>
      </c>
      <c r="G51" s="14" t="n">
        <v>38</v>
      </c>
      <c r="H51" s="14" t="n">
        <v>4</v>
      </c>
      <c r="I51" s="14" t="n">
        <v>6</v>
      </c>
      <c r="J51" s="14" t="n">
        <v>12</v>
      </c>
      <c r="K51" s="14" t="n">
        <v>15</v>
      </c>
      <c r="L51" s="14" t="n">
        <v>1</v>
      </c>
      <c r="M51" s="14" t="n">
        <v>0</v>
      </c>
      <c r="N51" s="14" t="n">
        <v>16</v>
      </c>
    </row>
    <row r="52" customFormat="false" ht="15" hidden="false" customHeight="true" outlineLevel="0" collapsed="false">
      <c r="A52" s="13" t="n">
        <v>2025</v>
      </c>
      <c r="B52" s="13" t="s">
        <v>121</v>
      </c>
      <c r="C52" s="13" t="s">
        <v>488</v>
      </c>
      <c r="D52" s="13" t="s">
        <v>485</v>
      </c>
      <c r="E52" s="13" t="s">
        <v>486</v>
      </c>
      <c r="F52" s="14" t="n">
        <v>12608</v>
      </c>
      <c r="G52" s="14" t="n">
        <v>10323</v>
      </c>
      <c r="H52" s="14" t="n">
        <v>1667</v>
      </c>
      <c r="I52" s="14" t="n">
        <v>2365</v>
      </c>
      <c r="J52" s="14" t="n">
        <v>3476</v>
      </c>
      <c r="K52" s="14" t="n">
        <v>2426</v>
      </c>
      <c r="L52" s="14" t="n">
        <v>389</v>
      </c>
      <c r="M52" s="14" t="n">
        <v>0</v>
      </c>
      <c r="N52" s="14" t="n">
        <v>2285</v>
      </c>
    </row>
    <row r="53" customFormat="false" ht="15" hidden="false" customHeight="true" outlineLevel="0" collapsed="false">
      <c r="A53" s="13" t="n">
        <v>2025</v>
      </c>
      <c r="B53" s="13" t="s">
        <v>121</v>
      </c>
      <c r="C53" s="13" t="s">
        <v>489</v>
      </c>
      <c r="D53" s="13" t="s">
        <v>490</v>
      </c>
      <c r="E53" s="13" t="s">
        <v>137</v>
      </c>
      <c r="F53" s="14" t="n">
        <v>81260</v>
      </c>
      <c r="G53" s="14" t="n">
        <v>65249</v>
      </c>
      <c r="H53" s="14" t="n">
        <v>9744</v>
      </c>
      <c r="I53" s="14" t="n">
        <v>14818</v>
      </c>
      <c r="J53" s="14" t="n">
        <v>21606</v>
      </c>
      <c r="K53" s="14" t="n">
        <v>16031</v>
      </c>
      <c r="L53" s="14" t="n">
        <v>3022</v>
      </c>
      <c r="M53" s="14" t="n">
        <v>28</v>
      </c>
      <c r="N53" s="14" t="n">
        <v>16011</v>
      </c>
    </row>
    <row r="54" customFormat="false" ht="15" hidden="false" customHeight="true" outlineLevel="0" collapsed="false">
      <c r="A54" s="13" t="n">
        <v>2026</v>
      </c>
      <c r="B54" s="13" t="s">
        <v>121</v>
      </c>
      <c r="C54" s="13" t="s">
        <v>484</v>
      </c>
      <c r="D54" s="13" t="s">
        <v>123</v>
      </c>
      <c r="E54" s="13" t="s">
        <v>357</v>
      </c>
      <c r="F54" s="14" t="n">
        <v>1212</v>
      </c>
      <c r="G54" s="14" t="n">
        <v>1084</v>
      </c>
      <c r="H54" s="14" t="n">
        <v>225</v>
      </c>
      <c r="I54" s="14" t="n">
        <v>297</v>
      </c>
      <c r="J54" s="14" t="n">
        <v>364</v>
      </c>
      <c r="K54" s="14" t="n">
        <v>185</v>
      </c>
      <c r="L54" s="14" t="n">
        <v>13</v>
      </c>
      <c r="M54" s="14" t="n">
        <v>0</v>
      </c>
      <c r="N54" s="14" t="n">
        <v>128</v>
      </c>
    </row>
    <row r="55" customFormat="false" ht="15" hidden="false" customHeight="true" outlineLevel="0" collapsed="false">
      <c r="A55" s="13" t="n">
        <v>2026</v>
      </c>
      <c r="B55" s="13" t="s">
        <v>121</v>
      </c>
      <c r="C55" s="13" t="s">
        <v>484</v>
      </c>
      <c r="D55" s="13" t="s">
        <v>126</v>
      </c>
      <c r="E55" s="13" t="s">
        <v>357</v>
      </c>
      <c r="F55" s="14" t="n">
        <v>154</v>
      </c>
      <c r="G55" s="14" t="n">
        <v>133</v>
      </c>
      <c r="H55" s="14" t="n">
        <v>21</v>
      </c>
      <c r="I55" s="14" t="n">
        <v>45</v>
      </c>
      <c r="J55" s="14" t="n">
        <v>41</v>
      </c>
      <c r="K55" s="14" t="n">
        <v>26</v>
      </c>
      <c r="L55" s="14" t="n">
        <v>0</v>
      </c>
      <c r="M55" s="14" t="n">
        <v>0</v>
      </c>
      <c r="N55" s="14" t="n">
        <v>21</v>
      </c>
    </row>
    <row r="56" customFormat="false" ht="15" hidden="false" customHeight="true" outlineLevel="0" collapsed="false">
      <c r="A56" s="13" t="n">
        <v>2026</v>
      </c>
      <c r="B56" s="13" t="s">
        <v>121</v>
      </c>
      <c r="C56" s="13" t="s">
        <v>484</v>
      </c>
      <c r="D56" s="13" t="s">
        <v>202</v>
      </c>
      <c r="E56" s="13" t="s">
        <v>357</v>
      </c>
      <c r="F56" s="14" t="n">
        <v>1464</v>
      </c>
      <c r="G56" s="14" t="n">
        <v>1159</v>
      </c>
      <c r="H56" s="14" t="n">
        <v>149</v>
      </c>
      <c r="I56" s="14" t="n">
        <v>276</v>
      </c>
      <c r="J56" s="14" t="n">
        <v>413</v>
      </c>
      <c r="K56" s="14" t="n">
        <v>283</v>
      </c>
      <c r="L56" s="14" t="n">
        <v>38</v>
      </c>
      <c r="M56" s="14" t="n">
        <v>0</v>
      </c>
      <c r="N56" s="14" t="n">
        <v>305</v>
      </c>
    </row>
    <row r="57" customFormat="false" ht="15" hidden="false" customHeight="true" outlineLevel="0" collapsed="false">
      <c r="A57" s="13" t="n">
        <v>2026</v>
      </c>
      <c r="B57" s="13" t="s">
        <v>121</v>
      </c>
      <c r="C57" s="13" t="s">
        <v>484</v>
      </c>
      <c r="D57" s="13" t="s">
        <v>128</v>
      </c>
      <c r="E57" s="13" t="s">
        <v>357</v>
      </c>
      <c r="F57" s="14" t="n">
        <v>3144</v>
      </c>
      <c r="G57" s="14" t="n">
        <v>1964</v>
      </c>
      <c r="H57" s="14" t="n">
        <v>102</v>
      </c>
      <c r="I57" s="14" t="n">
        <v>432</v>
      </c>
      <c r="J57" s="14" t="n">
        <v>800</v>
      </c>
      <c r="K57" s="14" t="n">
        <v>534</v>
      </c>
      <c r="L57" s="14" t="n">
        <v>93</v>
      </c>
      <c r="M57" s="14" t="n">
        <v>3</v>
      </c>
      <c r="N57" s="14" t="n">
        <v>1180</v>
      </c>
    </row>
    <row r="58" customFormat="false" ht="15" hidden="false" customHeight="true" outlineLevel="0" collapsed="false">
      <c r="A58" s="13" t="n">
        <v>2026</v>
      </c>
      <c r="B58" s="13" t="s">
        <v>121</v>
      </c>
      <c r="C58" s="13" t="s">
        <v>484</v>
      </c>
      <c r="D58" s="13" t="s">
        <v>203</v>
      </c>
      <c r="E58" s="13" t="s">
        <v>357</v>
      </c>
      <c r="F58" s="14" t="n">
        <v>22</v>
      </c>
      <c r="G58" s="14" t="n">
        <v>11</v>
      </c>
      <c r="H58" s="14" t="n">
        <v>0</v>
      </c>
      <c r="I58" s="14" t="n">
        <v>1</v>
      </c>
      <c r="J58" s="14" t="n">
        <v>4</v>
      </c>
      <c r="K58" s="14" t="n">
        <v>4</v>
      </c>
      <c r="L58" s="14" t="n">
        <v>1</v>
      </c>
      <c r="M58" s="14" t="n">
        <v>1</v>
      </c>
      <c r="N58" s="14" t="n">
        <v>11</v>
      </c>
    </row>
    <row r="59" customFormat="false" ht="15" hidden="false" customHeight="true" outlineLevel="0" collapsed="false">
      <c r="A59" s="13" t="n">
        <v>2026</v>
      </c>
      <c r="B59" s="13" t="s">
        <v>121</v>
      </c>
      <c r="C59" s="13" t="s">
        <v>484</v>
      </c>
      <c r="D59" s="13" t="s">
        <v>485</v>
      </c>
      <c r="E59" s="13" t="s">
        <v>486</v>
      </c>
      <c r="F59" s="14" t="n">
        <v>5996</v>
      </c>
      <c r="G59" s="14" t="n">
        <v>4351</v>
      </c>
      <c r="H59" s="14" t="n">
        <v>497</v>
      </c>
      <c r="I59" s="14" t="n">
        <v>1051</v>
      </c>
      <c r="J59" s="14" t="n">
        <v>1622</v>
      </c>
      <c r="K59" s="14" t="n">
        <v>1032</v>
      </c>
      <c r="L59" s="14" t="n">
        <v>145</v>
      </c>
      <c r="M59" s="14" t="n">
        <v>4</v>
      </c>
      <c r="N59" s="14" t="n">
        <v>1645</v>
      </c>
    </row>
    <row r="60" customFormat="false" ht="15" hidden="false" customHeight="true" outlineLevel="0" collapsed="false">
      <c r="A60" s="13" t="n">
        <v>2026</v>
      </c>
      <c r="B60" s="13" t="s">
        <v>121</v>
      </c>
      <c r="C60" s="13" t="s">
        <v>24</v>
      </c>
      <c r="D60" s="13" t="s">
        <v>123</v>
      </c>
      <c r="E60" s="13" t="s">
        <v>357</v>
      </c>
      <c r="F60" s="14" t="n">
        <v>13070</v>
      </c>
      <c r="G60" s="14" t="n">
        <v>11316</v>
      </c>
      <c r="H60" s="14" t="n">
        <v>3389</v>
      </c>
      <c r="I60" s="14" t="n">
        <v>2952</v>
      </c>
      <c r="J60" s="14" t="n">
        <v>3334</v>
      </c>
      <c r="K60" s="14" t="n">
        <v>1572</v>
      </c>
      <c r="L60" s="14" t="n">
        <v>69</v>
      </c>
      <c r="M60" s="14" t="n">
        <v>0</v>
      </c>
      <c r="N60" s="14" t="n">
        <v>1754</v>
      </c>
    </row>
    <row r="61" customFormat="false" ht="15" hidden="false" customHeight="true" outlineLevel="0" collapsed="false">
      <c r="A61" s="13" t="n">
        <v>2026</v>
      </c>
      <c r="B61" s="13" t="s">
        <v>121</v>
      </c>
      <c r="C61" s="13" t="s">
        <v>24</v>
      </c>
      <c r="D61" s="13" t="s">
        <v>126</v>
      </c>
      <c r="E61" s="13" t="s">
        <v>357</v>
      </c>
      <c r="F61" s="14" t="n">
        <v>2967</v>
      </c>
      <c r="G61" s="14" t="n">
        <v>2564</v>
      </c>
      <c r="H61" s="14" t="n">
        <v>578</v>
      </c>
      <c r="I61" s="14" t="n">
        <v>740</v>
      </c>
      <c r="J61" s="14" t="n">
        <v>750</v>
      </c>
      <c r="K61" s="14" t="n">
        <v>452</v>
      </c>
      <c r="L61" s="14" t="n">
        <v>44</v>
      </c>
      <c r="M61" s="14" t="n">
        <v>0</v>
      </c>
      <c r="N61" s="14" t="n">
        <v>403</v>
      </c>
    </row>
    <row r="62" customFormat="false" ht="15" hidden="false" customHeight="true" outlineLevel="0" collapsed="false">
      <c r="A62" s="13" t="n">
        <v>2026</v>
      </c>
      <c r="B62" s="13" t="s">
        <v>121</v>
      </c>
      <c r="C62" s="13" t="s">
        <v>24</v>
      </c>
      <c r="D62" s="13" t="s">
        <v>202</v>
      </c>
      <c r="E62" s="13" t="s">
        <v>357</v>
      </c>
      <c r="F62" s="14" t="n">
        <v>17137</v>
      </c>
      <c r="G62" s="14" t="n">
        <v>13014</v>
      </c>
      <c r="H62" s="14" t="n">
        <v>1397</v>
      </c>
      <c r="I62" s="14" t="n">
        <v>2679</v>
      </c>
      <c r="J62" s="14" t="n">
        <v>4304</v>
      </c>
      <c r="K62" s="14" t="n">
        <v>3909</v>
      </c>
      <c r="L62" s="14" t="n">
        <v>723</v>
      </c>
      <c r="M62" s="14" t="n">
        <v>2</v>
      </c>
      <c r="N62" s="14" t="n">
        <v>4123</v>
      </c>
    </row>
    <row r="63" customFormat="false" ht="15" hidden="false" customHeight="true" outlineLevel="0" collapsed="false">
      <c r="A63" s="13" t="n">
        <v>2026</v>
      </c>
      <c r="B63" s="13" t="s">
        <v>121</v>
      </c>
      <c r="C63" s="13" t="s">
        <v>24</v>
      </c>
      <c r="D63" s="13" t="s">
        <v>128</v>
      </c>
      <c r="E63" s="13" t="s">
        <v>357</v>
      </c>
      <c r="F63" s="14" t="n">
        <v>16974</v>
      </c>
      <c r="G63" s="14" t="n">
        <v>12694</v>
      </c>
      <c r="H63" s="14" t="n">
        <v>437</v>
      </c>
      <c r="I63" s="14" t="n">
        <v>2152</v>
      </c>
      <c r="J63" s="14" t="n">
        <v>4720</v>
      </c>
      <c r="K63" s="14" t="n">
        <v>4307</v>
      </c>
      <c r="L63" s="14" t="n">
        <v>1063</v>
      </c>
      <c r="M63" s="14" t="n">
        <v>15</v>
      </c>
      <c r="N63" s="14" t="n">
        <v>4280</v>
      </c>
    </row>
    <row r="64" customFormat="false" ht="15" hidden="false" customHeight="true" outlineLevel="0" collapsed="false">
      <c r="A64" s="13" t="n">
        <v>2026</v>
      </c>
      <c r="B64" s="13" t="s">
        <v>121</v>
      </c>
      <c r="C64" s="13" t="s">
        <v>24</v>
      </c>
      <c r="D64" s="13" t="s">
        <v>203</v>
      </c>
      <c r="E64" s="13" t="s">
        <v>357</v>
      </c>
      <c r="F64" s="14" t="n">
        <v>1772</v>
      </c>
      <c r="G64" s="14" t="n">
        <v>1266</v>
      </c>
      <c r="H64" s="14" t="n">
        <v>74</v>
      </c>
      <c r="I64" s="14" t="n">
        <v>194</v>
      </c>
      <c r="J64" s="14" t="n">
        <v>337</v>
      </c>
      <c r="K64" s="14" t="n">
        <v>445</v>
      </c>
      <c r="L64" s="14" t="n">
        <v>210</v>
      </c>
      <c r="M64" s="14" t="n">
        <v>6</v>
      </c>
      <c r="N64" s="14" t="n">
        <v>506</v>
      </c>
    </row>
    <row r="65" customFormat="false" ht="15" hidden="false" customHeight="true" outlineLevel="0" collapsed="false">
      <c r="A65" s="13" t="n">
        <v>2026</v>
      </c>
      <c r="B65" s="13" t="s">
        <v>121</v>
      </c>
      <c r="C65" s="13" t="s">
        <v>24</v>
      </c>
      <c r="D65" s="13" t="s">
        <v>130</v>
      </c>
      <c r="E65" s="13" t="s">
        <v>357</v>
      </c>
      <c r="F65" s="14" t="n">
        <v>8</v>
      </c>
      <c r="G65" s="14" t="n">
        <v>8</v>
      </c>
      <c r="H65" s="14" t="n">
        <v>2</v>
      </c>
      <c r="I65" s="14" t="n">
        <v>4</v>
      </c>
      <c r="J65" s="14" t="n">
        <v>2</v>
      </c>
      <c r="K65" s="14" t="n">
        <v>0</v>
      </c>
      <c r="L65" s="14" t="n">
        <v>0</v>
      </c>
      <c r="M65" s="14" t="n">
        <v>0</v>
      </c>
      <c r="N65" s="14" t="n">
        <v>0</v>
      </c>
    </row>
    <row r="66" customFormat="false" ht="15" hidden="false" customHeight="true" outlineLevel="0" collapsed="false">
      <c r="A66" s="13" t="n">
        <v>2026</v>
      </c>
      <c r="B66" s="13" t="s">
        <v>121</v>
      </c>
      <c r="C66" s="13" t="s">
        <v>24</v>
      </c>
      <c r="D66" s="13" t="s">
        <v>485</v>
      </c>
      <c r="E66" s="13" t="s">
        <v>486</v>
      </c>
      <c r="F66" s="14" t="n">
        <v>51928</v>
      </c>
      <c r="G66" s="14" t="n">
        <v>40862</v>
      </c>
      <c r="H66" s="14" t="n">
        <v>5877</v>
      </c>
      <c r="I66" s="14" t="n">
        <v>8721</v>
      </c>
      <c r="J66" s="14" t="n">
        <v>13447</v>
      </c>
      <c r="K66" s="14" t="n">
        <v>10685</v>
      </c>
      <c r="L66" s="14" t="n">
        <v>2109</v>
      </c>
      <c r="M66" s="14" t="n">
        <v>23</v>
      </c>
      <c r="N66" s="14" t="n">
        <v>11066</v>
      </c>
    </row>
    <row r="67" customFormat="false" ht="15" hidden="false" customHeight="true" outlineLevel="0" collapsed="false">
      <c r="A67" s="13" t="n">
        <v>2026</v>
      </c>
      <c r="B67" s="13" t="s">
        <v>121</v>
      </c>
      <c r="C67" s="13" t="s">
        <v>487</v>
      </c>
      <c r="D67" s="13" t="s">
        <v>123</v>
      </c>
      <c r="E67" s="13" t="s">
        <v>357</v>
      </c>
      <c r="F67" s="14" t="n">
        <v>4434</v>
      </c>
      <c r="G67" s="14" t="n">
        <v>3988</v>
      </c>
      <c r="H67" s="14" t="n">
        <v>1092</v>
      </c>
      <c r="I67" s="14" t="n">
        <v>1319</v>
      </c>
      <c r="J67" s="14" t="n">
        <v>1193</v>
      </c>
      <c r="K67" s="14" t="n">
        <v>375</v>
      </c>
      <c r="L67" s="14" t="n">
        <v>9</v>
      </c>
      <c r="M67" s="14" t="n">
        <v>0</v>
      </c>
      <c r="N67" s="14" t="n">
        <v>446</v>
      </c>
    </row>
    <row r="68" customFormat="false" ht="15" hidden="false" customHeight="true" outlineLevel="0" collapsed="false">
      <c r="A68" s="13" t="n">
        <v>2026</v>
      </c>
      <c r="B68" s="13" t="s">
        <v>121</v>
      </c>
      <c r="C68" s="13" t="s">
        <v>487</v>
      </c>
      <c r="D68" s="13" t="s">
        <v>126</v>
      </c>
      <c r="E68" s="13" t="s">
        <v>357</v>
      </c>
      <c r="F68" s="14" t="n">
        <v>685</v>
      </c>
      <c r="G68" s="14" t="n">
        <v>618</v>
      </c>
      <c r="H68" s="14" t="n">
        <v>127</v>
      </c>
      <c r="I68" s="14" t="n">
        <v>186</v>
      </c>
      <c r="J68" s="14" t="n">
        <v>205</v>
      </c>
      <c r="K68" s="14" t="n">
        <v>96</v>
      </c>
      <c r="L68" s="14" t="n">
        <v>4</v>
      </c>
      <c r="M68" s="14" t="n">
        <v>0</v>
      </c>
      <c r="N68" s="14" t="n">
        <v>67</v>
      </c>
    </row>
    <row r="69" customFormat="false" ht="15" hidden="false" customHeight="true" outlineLevel="0" collapsed="false">
      <c r="A69" s="13" t="n">
        <v>2026</v>
      </c>
      <c r="B69" s="13" t="s">
        <v>121</v>
      </c>
      <c r="C69" s="13" t="s">
        <v>487</v>
      </c>
      <c r="D69" s="13" t="s">
        <v>202</v>
      </c>
      <c r="E69" s="13" t="s">
        <v>357</v>
      </c>
      <c r="F69" s="14" t="n">
        <v>4267</v>
      </c>
      <c r="G69" s="14" t="n">
        <v>3523</v>
      </c>
      <c r="H69" s="14" t="n">
        <v>450</v>
      </c>
      <c r="I69" s="14" t="n">
        <v>801</v>
      </c>
      <c r="J69" s="14" t="n">
        <v>1166</v>
      </c>
      <c r="K69" s="14" t="n">
        <v>985</v>
      </c>
      <c r="L69" s="14" t="n">
        <v>121</v>
      </c>
      <c r="M69" s="14" t="n">
        <v>0</v>
      </c>
      <c r="N69" s="14" t="n">
        <v>744</v>
      </c>
    </row>
    <row r="70" customFormat="false" ht="15" hidden="false" customHeight="true" outlineLevel="0" collapsed="false">
      <c r="A70" s="13" t="n">
        <v>2026</v>
      </c>
      <c r="B70" s="13" t="s">
        <v>121</v>
      </c>
      <c r="C70" s="13" t="s">
        <v>487</v>
      </c>
      <c r="D70" s="13" t="s">
        <v>128</v>
      </c>
      <c r="E70" s="13" t="s">
        <v>357</v>
      </c>
      <c r="F70" s="14" t="n">
        <v>5430</v>
      </c>
      <c r="G70" s="14" t="n">
        <v>3936</v>
      </c>
      <c r="H70" s="14" t="n">
        <v>143</v>
      </c>
      <c r="I70" s="14" t="n">
        <v>826</v>
      </c>
      <c r="J70" s="14" t="n">
        <v>1630</v>
      </c>
      <c r="K70" s="14" t="n">
        <v>1098</v>
      </c>
      <c r="L70" s="14" t="n">
        <v>237</v>
      </c>
      <c r="M70" s="14" t="n">
        <v>2</v>
      </c>
      <c r="N70" s="14" t="n">
        <v>1494</v>
      </c>
    </row>
    <row r="71" customFormat="false" ht="15" hidden="false" customHeight="true" outlineLevel="0" collapsed="false">
      <c r="A71" s="13" t="n">
        <v>2026</v>
      </c>
      <c r="B71" s="13" t="s">
        <v>121</v>
      </c>
      <c r="C71" s="13" t="s">
        <v>487</v>
      </c>
      <c r="D71" s="13" t="s">
        <v>203</v>
      </c>
      <c r="E71" s="13" t="s">
        <v>357</v>
      </c>
      <c r="F71" s="14" t="n">
        <v>67</v>
      </c>
      <c r="G71" s="14" t="n">
        <v>39</v>
      </c>
      <c r="H71" s="14" t="n">
        <v>3</v>
      </c>
      <c r="I71" s="14" t="n">
        <v>11</v>
      </c>
      <c r="J71" s="14" t="n">
        <v>14</v>
      </c>
      <c r="K71" s="14" t="n">
        <v>7</v>
      </c>
      <c r="L71" s="14" t="n">
        <v>4</v>
      </c>
      <c r="M71" s="14" t="n">
        <v>0</v>
      </c>
      <c r="N71" s="14" t="n">
        <v>28</v>
      </c>
    </row>
    <row r="72" customFormat="false" ht="15" hidden="false" customHeight="true" outlineLevel="0" collapsed="false">
      <c r="A72" s="13" t="n">
        <v>2026</v>
      </c>
      <c r="B72" s="13" t="s">
        <v>121</v>
      </c>
      <c r="C72" s="13" t="s">
        <v>487</v>
      </c>
      <c r="D72" s="13" t="s">
        <v>485</v>
      </c>
      <c r="E72" s="13" t="s">
        <v>486</v>
      </c>
      <c r="F72" s="14" t="n">
        <v>14883</v>
      </c>
      <c r="G72" s="14" t="n">
        <v>12104</v>
      </c>
      <c r="H72" s="14" t="n">
        <v>1815</v>
      </c>
      <c r="I72" s="14" t="n">
        <v>3143</v>
      </c>
      <c r="J72" s="14" t="n">
        <v>4208</v>
      </c>
      <c r="K72" s="14" t="n">
        <v>2561</v>
      </c>
      <c r="L72" s="14" t="n">
        <v>375</v>
      </c>
      <c r="M72" s="14" t="n">
        <v>2</v>
      </c>
      <c r="N72" s="14" t="n">
        <v>2779</v>
      </c>
    </row>
    <row r="73" customFormat="false" ht="15" hidden="false" customHeight="true" outlineLevel="0" collapsed="false">
      <c r="A73" s="13" t="n">
        <v>2026</v>
      </c>
      <c r="B73" s="13" t="s">
        <v>121</v>
      </c>
      <c r="C73" s="13" t="s">
        <v>488</v>
      </c>
      <c r="D73" s="13" t="s">
        <v>123</v>
      </c>
      <c r="E73" s="13" t="s">
        <v>357</v>
      </c>
      <c r="F73" s="14" t="n">
        <v>3661</v>
      </c>
      <c r="G73" s="14" t="n">
        <v>3188</v>
      </c>
      <c r="H73" s="14" t="n">
        <v>1012</v>
      </c>
      <c r="I73" s="14" t="n">
        <v>904</v>
      </c>
      <c r="J73" s="14" t="n">
        <v>915</v>
      </c>
      <c r="K73" s="14" t="n">
        <v>350</v>
      </c>
      <c r="L73" s="14" t="n">
        <v>7</v>
      </c>
      <c r="M73" s="14" t="n">
        <v>0</v>
      </c>
      <c r="N73" s="14" t="n">
        <v>473</v>
      </c>
    </row>
    <row r="74" customFormat="false" ht="15" hidden="false" customHeight="true" outlineLevel="0" collapsed="false">
      <c r="A74" s="13" t="n">
        <v>2026</v>
      </c>
      <c r="B74" s="13" t="s">
        <v>121</v>
      </c>
      <c r="C74" s="13" t="s">
        <v>488</v>
      </c>
      <c r="D74" s="13" t="s">
        <v>126</v>
      </c>
      <c r="E74" s="13" t="s">
        <v>357</v>
      </c>
      <c r="F74" s="14" t="n">
        <v>816</v>
      </c>
      <c r="G74" s="14" t="n">
        <v>713</v>
      </c>
      <c r="H74" s="14" t="n">
        <v>163</v>
      </c>
      <c r="I74" s="14" t="n">
        <v>179</v>
      </c>
      <c r="J74" s="14" t="n">
        <v>249</v>
      </c>
      <c r="K74" s="14" t="n">
        <v>111</v>
      </c>
      <c r="L74" s="14" t="n">
        <v>11</v>
      </c>
      <c r="M74" s="14" t="n">
        <v>0</v>
      </c>
      <c r="N74" s="14" t="n">
        <v>103</v>
      </c>
    </row>
    <row r="75" customFormat="false" ht="15" hidden="false" customHeight="true" outlineLevel="0" collapsed="false">
      <c r="A75" s="13" t="n">
        <v>2026</v>
      </c>
      <c r="B75" s="13" t="s">
        <v>121</v>
      </c>
      <c r="C75" s="13" t="s">
        <v>488</v>
      </c>
      <c r="D75" s="13" t="s">
        <v>202</v>
      </c>
      <c r="E75" s="13" t="s">
        <v>357</v>
      </c>
      <c r="F75" s="14" t="n">
        <v>4544</v>
      </c>
      <c r="G75" s="14" t="n">
        <v>3469</v>
      </c>
      <c r="H75" s="14" t="n">
        <v>369</v>
      </c>
      <c r="I75" s="14" t="n">
        <v>663</v>
      </c>
      <c r="J75" s="14" t="n">
        <v>1155</v>
      </c>
      <c r="K75" s="14" t="n">
        <v>1091</v>
      </c>
      <c r="L75" s="14" t="n">
        <v>191</v>
      </c>
      <c r="M75" s="14" t="n">
        <v>0</v>
      </c>
      <c r="N75" s="14" t="n">
        <v>1075</v>
      </c>
    </row>
    <row r="76" customFormat="false" ht="15" hidden="false" customHeight="true" outlineLevel="0" collapsed="false">
      <c r="A76" s="13" t="n">
        <v>2026</v>
      </c>
      <c r="B76" s="13" t="s">
        <v>121</v>
      </c>
      <c r="C76" s="13" t="s">
        <v>488</v>
      </c>
      <c r="D76" s="13" t="s">
        <v>128</v>
      </c>
      <c r="E76" s="13" t="s">
        <v>357</v>
      </c>
      <c r="F76" s="14" t="n">
        <v>5011</v>
      </c>
      <c r="G76" s="14" t="n">
        <v>3306</v>
      </c>
      <c r="H76" s="14" t="n">
        <v>82</v>
      </c>
      <c r="I76" s="14" t="n">
        <v>667</v>
      </c>
      <c r="J76" s="14" t="n">
        <v>1347</v>
      </c>
      <c r="K76" s="14" t="n">
        <v>1020</v>
      </c>
      <c r="L76" s="14" t="n">
        <v>190</v>
      </c>
      <c r="M76" s="14" t="n">
        <v>0</v>
      </c>
      <c r="N76" s="14" t="n">
        <v>1705</v>
      </c>
    </row>
    <row r="77" customFormat="false" ht="15" hidden="false" customHeight="true" outlineLevel="0" collapsed="false">
      <c r="A77" s="13" t="n">
        <v>2026</v>
      </c>
      <c r="B77" s="13" t="s">
        <v>121</v>
      </c>
      <c r="C77" s="13" t="s">
        <v>488</v>
      </c>
      <c r="D77" s="13" t="s">
        <v>203</v>
      </c>
      <c r="E77" s="13" t="s">
        <v>357</v>
      </c>
      <c r="F77" s="14" t="n">
        <v>34</v>
      </c>
      <c r="G77" s="14" t="n">
        <v>24</v>
      </c>
      <c r="H77" s="14" t="n">
        <v>3</v>
      </c>
      <c r="I77" s="14" t="n">
        <v>3</v>
      </c>
      <c r="J77" s="14" t="n">
        <v>11</v>
      </c>
      <c r="K77" s="14" t="n">
        <v>5</v>
      </c>
      <c r="L77" s="14" t="n">
        <v>2</v>
      </c>
      <c r="M77" s="14" t="n">
        <v>0</v>
      </c>
      <c r="N77" s="14" t="n">
        <v>10</v>
      </c>
    </row>
    <row r="78" customFormat="false" ht="15" hidden="false" customHeight="true" outlineLevel="0" collapsed="false">
      <c r="A78" s="13" t="n">
        <v>2026</v>
      </c>
      <c r="B78" s="13" t="s">
        <v>121</v>
      </c>
      <c r="C78" s="13" t="s">
        <v>488</v>
      </c>
      <c r="D78" s="13" t="s">
        <v>485</v>
      </c>
      <c r="E78" s="13" t="s">
        <v>486</v>
      </c>
      <c r="F78" s="14" t="n">
        <v>14066</v>
      </c>
      <c r="G78" s="14" t="n">
        <v>10700</v>
      </c>
      <c r="H78" s="14" t="n">
        <v>1629</v>
      </c>
      <c r="I78" s="14" t="n">
        <v>2416</v>
      </c>
      <c r="J78" s="14" t="n">
        <v>3677</v>
      </c>
      <c r="K78" s="14" t="n">
        <v>2577</v>
      </c>
      <c r="L78" s="14" t="n">
        <v>401</v>
      </c>
      <c r="M78" s="14" t="n">
        <v>0</v>
      </c>
      <c r="N78" s="14" t="n">
        <v>3366</v>
      </c>
    </row>
    <row r="79" customFormat="false" ht="15" hidden="false" customHeight="true" outlineLevel="0" collapsed="false">
      <c r="A79" s="13" t="n">
        <v>2026</v>
      </c>
      <c r="B79" s="13" t="s">
        <v>121</v>
      </c>
      <c r="C79" s="13" t="s">
        <v>489</v>
      </c>
      <c r="D79" s="13" t="s">
        <v>490</v>
      </c>
      <c r="E79" s="13" t="s">
        <v>137</v>
      </c>
      <c r="F79" s="14" t="n">
        <v>86873</v>
      </c>
      <c r="G79" s="14" t="n">
        <v>68017</v>
      </c>
      <c r="H79" s="14" t="n">
        <v>9818</v>
      </c>
      <c r="I79" s="14" t="n">
        <v>15331</v>
      </c>
      <c r="J79" s="14" t="n">
        <v>22954</v>
      </c>
      <c r="K79" s="14" t="n">
        <v>16855</v>
      </c>
      <c r="L79" s="14" t="n">
        <v>3030</v>
      </c>
      <c r="M79" s="14" t="n">
        <v>29</v>
      </c>
      <c r="N79" s="14" t="n">
        <v>18856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6"/>
    <col collapsed="false" customWidth="true" hidden="false" outlineLevel="0" max="3" min="3" style="13" width="13"/>
    <col collapsed="false" customWidth="true" hidden="false" outlineLevel="0" max="4" min="4" style="13" width="12"/>
    <col collapsed="false" customWidth="true" hidden="false" outlineLevel="0" max="5" min="5" style="13" width="16"/>
    <col collapsed="false" customWidth="true" hidden="false" outlineLevel="0" max="15" min="6" style="13" width="12"/>
  </cols>
  <sheetData>
    <row r="1" customFormat="false" ht="15" hidden="false" customHeight="true" outlineLevel="0" collapsed="false">
      <c r="A1" s="13" t="s">
        <v>3</v>
      </c>
      <c r="B1" s="13" t="s">
        <v>210</v>
      </c>
      <c r="C1" s="13" t="s">
        <v>491</v>
      </c>
      <c r="D1" s="13" t="s">
        <v>113</v>
      </c>
      <c r="E1" s="13" t="s">
        <v>114</v>
      </c>
      <c r="F1" s="13" t="s">
        <v>483</v>
      </c>
      <c r="G1" s="13" t="s">
        <v>4</v>
      </c>
      <c r="H1" s="13" t="s">
        <v>198</v>
      </c>
      <c r="I1" s="13" t="s">
        <v>199</v>
      </c>
      <c r="J1" s="13" t="s">
        <v>116</v>
      </c>
      <c r="K1" s="13" t="s">
        <v>117</v>
      </c>
      <c r="L1" s="13" t="s">
        <v>118</v>
      </c>
      <c r="M1" s="13" t="s">
        <v>119</v>
      </c>
      <c r="N1" s="13" t="s">
        <v>120</v>
      </c>
      <c r="O1" s="13" t="s">
        <v>479</v>
      </c>
    </row>
    <row r="2" customFormat="false" ht="15" hidden="false" customHeight="true" outlineLevel="0" collapsed="false">
      <c r="A2" s="13" t="n">
        <v>2024</v>
      </c>
      <c r="B2" s="13" t="s">
        <v>484</v>
      </c>
      <c r="C2" s="13" t="s">
        <v>492</v>
      </c>
      <c r="D2" s="13" t="s">
        <v>124</v>
      </c>
      <c r="E2" s="13" t="s">
        <v>123</v>
      </c>
      <c r="F2" s="13" t="s">
        <v>357</v>
      </c>
      <c r="G2" s="14" t="n">
        <v>91</v>
      </c>
      <c r="H2" s="14" t="n">
        <v>74</v>
      </c>
      <c r="I2" s="14" t="n">
        <v>7</v>
      </c>
      <c r="J2" s="14" t="n">
        <v>12</v>
      </c>
      <c r="K2" s="14" t="n">
        <v>23</v>
      </c>
      <c r="L2" s="14" t="n">
        <v>28</v>
      </c>
      <c r="M2" s="14" t="n">
        <v>4</v>
      </c>
      <c r="N2" s="14" t="n">
        <v>0</v>
      </c>
      <c r="O2" s="14" t="n">
        <v>17</v>
      </c>
    </row>
    <row r="3" customFormat="false" ht="15" hidden="false" customHeight="true" outlineLevel="0" collapsed="false">
      <c r="A3" s="13" t="n">
        <v>2024</v>
      </c>
      <c r="B3" s="13" t="s">
        <v>484</v>
      </c>
      <c r="C3" s="13" t="s">
        <v>492</v>
      </c>
      <c r="D3" s="13" t="s">
        <v>124</v>
      </c>
      <c r="E3" s="13" t="s">
        <v>126</v>
      </c>
      <c r="F3" s="13" t="s">
        <v>357</v>
      </c>
      <c r="G3" s="14" t="n">
        <v>38</v>
      </c>
      <c r="H3" s="14" t="n">
        <v>32</v>
      </c>
      <c r="I3" s="14" t="n">
        <v>1</v>
      </c>
      <c r="J3" s="14" t="n">
        <v>7</v>
      </c>
      <c r="K3" s="14" t="n">
        <v>9</v>
      </c>
      <c r="L3" s="14" t="n">
        <v>13</v>
      </c>
      <c r="M3" s="14" t="n">
        <v>2</v>
      </c>
      <c r="N3" s="14" t="n">
        <v>0</v>
      </c>
      <c r="O3" s="14" t="n">
        <v>6</v>
      </c>
    </row>
    <row r="4" customFormat="false" ht="15" hidden="false" customHeight="true" outlineLevel="0" collapsed="false">
      <c r="A4" s="13" t="n">
        <v>2024</v>
      </c>
      <c r="B4" s="13" t="s">
        <v>484</v>
      </c>
      <c r="C4" s="13" t="s">
        <v>492</v>
      </c>
      <c r="D4" s="13" t="s">
        <v>124</v>
      </c>
      <c r="E4" s="13" t="s">
        <v>202</v>
      </c>
      <c r="F4" s="13" t="s">
        <v>357</v>
      </c>
      <c r="G4" s="14" t="n">
        <v>291</v>
      </c>
      <c r="H4" s="14" t="n">
        <v>163</v>
      </c>
      <c r="I4" s="14" t="n">
        <v>2</v>
      </c>
      <c r="J4" s="14" t="n">
        <v>12</v>
      </c>
      <c r="K4" s="14" t="n">
        <v>39</v>
      </c>
      <c r="L4" s="14" t="n">
        <v>90</v>
      </c>
      <c r="M4" s="14" t="n">
        <v>19</v>
      </c>
      <c r="N4" s="14" t="n">
        <v>1</v>
      </c>
      <c r="O4" s="14" t="n">
        <v>128</v>
      </c>
    </row>
    <row r="5" customFormat="false" ht="15" hidden="false" customHeight="true" outlineLevel="0" collapsed="false">
      <c r="A5" s="13" t="n">
        <v>2024</v>
      </c>
      <c r="B5" s="13" t="s">
        <v>484</v>
      </c>
      <c r="C5" s="13" t="s">
        <v>492</v>
      </c>
      <c r="D5" s="13" t="s">
        <v>124</v>
      </c>
      <c r="E5" s="13" t="s">
        <v>128</v>
      </c>
      <c r="F5" s="13" t="s">
        <v>357</v>
      </c>
      <c r="G5" s="14" t="n">
        <v>1125</v>
      </c>
      <c r="H5" s="14" t="n">
        <v>690</v>
      </c>
      <c r="I5" s="14" t="n">
        <v>7</v>
      </c>
      <c r="J5" s="14" t="n">
        <v>68</v>
      </c>
      <c r="K5" s="14" t="n">
        <v>225</v>
      </c>
      <c r="L5" s="14" t="n">
        <v>289</v>
      </c>
      <c r="M5" s="14" t="n">
        <v>99</v>
      </c>
      <c r="N5" s="14" t="n">
        <v>2</v>
      </c>
      <c r="O5" s="14" t="n">
        <v>435</v>
      </c>
    </row>
    <row r="6" customFormat="false" ht="15" hidden="false" customHeight="true" outlineLevel="0" collapsed="false">
      <c r="A6" s="13" t="n">
        <v>2024</v>
      </c>
      <c r="B6" s="13" t="s">
        <v>484</v>
      </c>
      <c r="C6" s="13" t="s">
        <v>492</v>
      </c>
      <c r="D6" s="13" t="s">
        <v>124</v>
      </c>
      <c r="E6" s="13" t="s">
        <v>203</v>
      </c>
      <c r="F6" s="13" t="s">
        <v>357</v>
      </c>
      <c r="G6" s="14" t="n">
        <v>28</v>
      </c>
      <c r="H6" s="14" t="n">
        <v>21</v>
      </c>
      <c r="I6" s="14" t="n">
        <v>1</v>
      </c>
      <c r="J6" s="14" t="n">
        <v>1</v>
      </c>
      <c r="K6" s="14" t="n">
        <v>2</v>
      </c>
      <c r="L6" s="14" t="n">
        <v>13</v>
      </c>
      <c r="M6" s="14" t="n">
        <v>4</v>
      </c>
      <c r="N6" s="14" t="n">
        <v>0</v>
      </c>
      <c r="O6" s="14" t="n">
        <v>7</v>
      </c>
    </row>
    <row r="7" customFormat="false" ht="15" hidden="false" customHeight="true" outlineLevel="0" collapsed="false">
      <c r="A7" s="13" t="n">
        <v>2024</v>
      </c>
      <c r="B7" s="13" t="s">
        <v>484</v>
      </c>
      <c r="C7" s="13" t="s">
        <v>492</v>
      </c>
      <c r="D7" s="13" t="s">
        <v>122</v>
      </c>
      <c r="E7" s="13" t="s">
        <v>123</v>
      </c>
      <c r="F7" s="13" t="s">
        <v>357</v>
      </c>
      <c r="G7" s="14" t="n">
        <v>189</v>
      </c>
      <c r="H7" s="14" t="n">
        <v>181</v>
      </c>
      <c r="I7" s="14" t="n">
        <v>10</v>
      </c>
      <c r="J7" s="14" t="n">
        <v>33</v>
      </c>
      <c r="K7" s="14" t="n">
        <v>79</v>
      </c>
      <c r="L7" s="14" t="n">
        <v>55</v>
      </c>
      <c r="M7" s="14" t="n">
        <v>4</v>
      </c>
      <c r="N7" s="14" t="n">
        <v>0</v>
      </c>
      <c r="O7" s="14" t="n">
        <v>8</v>
      </c>
    </row>
    <row r="8" customFormat="false" ht="15" hidden="false" customHeight="true" outlineLevel="0" collapsed="false">
      <c r="A8" s="13" t="n">
        <v>2024</v>
      </c>
      <c r="B8" s="13" t="s">
        <v>484</v>
      </c>
      <c r="C8" s="13" t="s">
        <v>492</v>
      </c>
      <c r="D8" s="13" t="s">
        <v>122</v>
      </c>
      <c r="E8" s="13" t="s">
        <v>126</v>
      </c>
      <c r="F8" s="13" t="s">
        <v>357</v>
      </c>
      <c r="G8" s="14" t="n">
        <v>29</v>
      </c>
      <c r="H8" s="14" t="n">
        <v>26</v>
      </c>
      <c r="I8" s="14" t="n">
        <v>2</v>
      </c>
      <c r="J8" s="14" t="n">
        <v>6</v>
      </c>
      <c r="K8" s="14" t="n">
        <v>10</v>
      </c>
      <c r="L8" s="14" t="n">
        <v>7</v>
      </c>
      <c r="M8" s="14" t="n">
        <v>1</v>
      </c>
      <c r="N8" s="14" t="n">
        <v>0</v>
      </c>
      <c r="O8" s="14" t="n">
        <v>3</v>
      </c>
    </row>
    <row r="9" customFormat="false" ht="15" hidden="false" customHeight="true" outlineLevel="0" collapsed="false">
      <c r="A9" s="13" t="n">
        <v>2024</v>
      </c>
      <c r="B9" s="13" t="s">
        <v>484</v>
      </c>
      <c r="C9" s="13" t="s">
        <v>492</v>
      </c>
      <c r="D9" s="13" t="s">
        <v>122</v>
      </c>
      <c r="E9" s="13" t="s">
        <v>202</v>
      </c>
      <c r="F9" s="13" t="s">
        <v>357</v>
      </c>
      <c r="G9" s="14" t="n">
        <v>154</v>
      </c>
      <c r="H9" s="14" t="n">
        <v>138</v>
      </c>
      <c r="I9" s="14" t="n">
        <v>4</v>
      </c>
      <c r="J9" s="14" t="n">
        <v>17</v>
      </c>
      <c r="K9" s="14" t="n">
        <v>50</v>
      </c>
      <c r="L9" s="14" t="n">
        <v>64</v>
      </c>
      <c r="M9" s="14" t="n">
        <v>3</v>
      </c>
      <c r="N9" s="14" t="n">
        <v>0</v>
      </c>
      <c r="O9" s="14" t="n">
        <v>16</v>
      </c>
    </row>
    <row r="10" customFormat="false" ht="15" hidden="false" customHeight="true" outlineLevel="0" collapsed="false">
      <c r="A10" s="13" t="n">
        <v>2024</v>
      </c>
      <c r="B10" s="13" t="s">
        <v>484</v>
      </c>
      <c r="C10" s="13" t="s">
        <v>492</v>
      </c>
      <c r="D10" s="13" t="s">
        <v>122</v>
      </c>
      <c r="E10" s="13" t="s">
        <v>128</v>
      </c>
      <c r="F10" s="13" t="s">
        <v>357</v>
      </c>
      <c r="G10" s="14" t="n">
        <v>913</v>
      </c>
      <c r="H10" s="14" t="n">
        <v>752</v>
      </c>
      <c r="I10" s="14" t="n">
        <v>26</v>
      </c>
      <c r="J10" s="14" t="n">
        <v>167</v>
      </c>
      <c r="K10" s="14" t="n">
        <v>302</v>
      </c>
      <c r="L10" s="14" t="n">
        <v>224</v>
      </c>
      <c r="M10" s="14" t="n">
        <v>33</v>
      </c>
      <c r="N10" s="14" t="n">
        <v>0</v>
      </c>
      <c r="O10" s="14" t="n">
        <v>161</v>
      </c>
    </row>
    <row r="11" customFormat="false" ht="15" hidden="false" customHeight="true" outlineLevel="0" collapsed="false">
      <c r="A11" s="13" t="n">
        <v>2024</v>
      </c>
      <c r="B11" s="13" t="s">
        <v>484</v>
      </c>
      <c r="C11" s="13" t="s">
        <v>125</v>
      </c>
      <c r="D11" s="13" t="s">
        <v>124</v>
      </c>
      <c r="E11" s="13" t="s">
        <v>123</v>
      </c>
      <c r="F11" s="13" t="s">
        <v>357</v>
      </c>
      <c r="G11" s="14" t="n">
        <v>391</v>
      </c>
      <c r="H11" s="14" t="n">
        <v>337</v>
      </c>
      <c r="I11" s="14" t="n">
        <v>76</v>
      </c>
      <c r="J11" s="14" t="n">
        <v>105</v>
      </c>
      <c r="K11" s="14" t="n">
        <v>101</v>
      </c>
      <c r="L11" s="14" t="n">
        <v>51</v>
      </c>
      <c r="M11" s="14" t="n">
        <v>4</v>
      </c>
      <c r="N11" s="14" t="n">
        <v>0</v>
      </c>
      <c r="O11" s="14" t="n">
        <v>54</v>
      </c>
    </row>
    <row r="12" customFormat="false" ht="15" hidden="false" customHeight="true" outlineLevel="0" collapsed="false">
      <c r="A12" s="13" t="n">
        <v>2024</v>
      </c>
      <c r="B12" s="13" t="s">
        <v>484</v>
      </c>
      <c r="C12" s="13" t="s">
        <v>125</v>
      </c>
      <c r="D12" s="13" t="s">
        <v>124</v>
      </c>
      <c r="E12" s="13" t="s">
        <v>126</v>
      </c>
      <c r="F12" s="13" t="s">
        <v>357</v>
      </c>
      <c r="G12" s="14" t="n">
        <v>152</v>
      </c>
      <c r="H12" s="14" t="n">
        <v>138</v>
      </c>
      <c r="I12" s="14" t="n">
        <v>12</v>
      </c>
      <c r="J12" s="14" t="n">
        <v>30</v>
      </c>
      <c r="K12" s="14" t="n">
        <v>44</v>
      </c>
      <c r="L12" s="14" t="n">
        <v>50</v>
      </c>
      <c r="M12" s="14" t="n">
        <v>2</v>
      </c>
      <c r="N12" s="14" t="n">
        <v>0</v>
      </c>
      <c r="O12" s="14" t="n">
        <v>14</v>
      </c>
    </row>
    <row r="13" customFormat="false" ht="15" hidden="false" customHeight="true" outlineLevel="0" collapsed="false">
      <c r="A13" s="13" t="n">
        <v>2024</v>
      </c>
      <c r="B13" s="13" t="s">
        <v>484</v>
      </c>
      <c r="C13" s="13" t="s">
        <v>125</v>
      </c>
      <c r="D13" s="13" t="s">
        <v>124</v>
      </c>
      <c r="E13" s="13" t="s">
        <v>202</v>
      </c>
      <c r="F13" s="13" t="s">
        <v>357</v>
      </c>
      <c r="G13" s="14" t="n">
        <v>367</v>
      </c>
      <c r="H13" s="14" t="n">
        <v>313</v>
      </c>
      <c r="I13" s="14" t="n">
        <v>13</v>
      </c>
      <c r="J13" s="14" t="n">
        <v>53</v>
      </c>
      <c r="K13" s="14" t="n">
        <v>112</v>
      </c>
      <c r="L13" s="14" t="n">
        <v>106</v>
      </c>
      <c r="M13" s="14" t="n">
        <v>29</v>
      </c>
      <c r="N13" s="14" t="n">
        <v>0</v>
      </c>
      <c r="O13" s="14" t="n">
        <v>54</v>
      </c>
    </row>
    <row r="14" customFormat="false" ht="15" hidden="false" customHeight="true" outlineLevel="0" collapsed="false">
      <c r="A14" s="13" t="n">
        <v>2024</v>
      </c>
      <c r="B14" s="13" t="s">
        <v>484</v>
      </c>
      <c r="C14" s="13" t="s">
        <v>125</v>
      </c>
      <c r="D14" s="13" t="s">
        <v>124</v>
      </c>
      <c r="E14" s="13" t="s">
        <v>128</v>
      </c>
      <c r="F14" s="13" t="s">
        <v>357</v>
      </c>
      <c r="G14" s="14" t="n">
        <v>534</v>
      </c>
      <c r="H14" s="14" t="n">
        <v>419</v>
      </c>
      <c r="I14" s="14" t="n">
        <v>4</v>
      </c>
      <c r="J14" s="14" t="n">
        <v>82</v>
      </c>
      <c r="K14" s="14" t="n">
        <v>202</v>
      </c>
      <c r="L14" s="14" t="n">
        <v>120</v>
      </c>
      <c r="M14" s="14" t="n">
        <v>11</v>
      </c>
      <c r="N14" s="14" t="n">
        <v>0</v>
      </c>
      <c r="O14" s="14" t="n">
        <v>115</v>
      </c>
    </row>
    <row r="15" customFormat="false" ht="15" hidden="false" customHeight="true" outlineLevel="0" collapsed="false">
      <c r="A15" s="13" t="n">
        <v>2024</v>
      </c>
      <c r="B15" s="13" t="s">
        <v>484</v>
      </c>
      <c r="C15" s="13" t="s">
        <v>125</v>
      </c>
      <c r="D15" s="13" t="s">
        <v>124</v>
      </c>
      <c r="E15" s="13" t="s">
        <v>203</v>
      </c>
      <c r="F15" s="13" t="s">
        <v>357</v>
      </c>
      <c r="G15" s="14" t="n">
        <v>19</v>
      </c>
      <c r="H15" s="14" t="n">
        <v>18</v>
      </c>
      <c r="I15" s="14" t="n">
        <v>1</v>
      </c>
      <c r="J15" s="14" t="n">
        <v>3</v>
      </c>
      <c r="K15" s="14" t="n">
        <v>4</v>
      </c>
      <c r="L15" s="14" t="n">
        <v>7</v>
      </c>
      <c r="M15" s="14" t="n">
        <v>3</v>
      </c>
      <c r="N15" s="14" t="n">
        <v>0</v>
      </c>
      <c r="O15" s="14" t="n">
        <v>1</v>
      </c>
    </row>
    <row r="16" customFormat="false" ht="15" hidden="false" customHeight="true" outlineLevel="0" collapsed="false">
      <c r="A16" s="13" t="n">
        <v>2024</v>
      </c>
      <c r="B16" s="13" t="s">
        <v>484</v>
      </c>
      <c r="C16" s="13" t="s">
        <v>125</v>
      </c>
      <c r="D16" s="13" t="s">
        <v>122</v>
      </c>
      <c r="E16" s="13" t="s">
        <v>123</v>
      </c>
      <c r="F16" s="13" t="s">
        <v>357</v>
      </c>
      <c r="G16" s="14" t="n">
        <v>822</v>
      </c>
      <c r="H16" s="14" t="n">
        <v>715</v>
      </c>
      <c r="I16" s="14" t="n">
        <v>132</v>
      </c>
      <c r="J16" s="14" t="n">
        <v>199</v>
      </c>
      <c r="K16" s="14" t="n">
        <v>245</v>
      </c>
      <c r="L16" s="14" t="n">
        <v>133</v>
      </c>
      <c r="M16" s="14" t="n">
        <v>6</v>
      </c>
      <c r="N16" s="14" t="n">
        <v>0</v>
      </c>
      <c r="O16" s="14" t="n">
        <v>107</v>
      </c>
    </row>
    <row r="17" customFormat="false" ht="15" hidden="false" customHeight="true" outlineLevel="0" collapsed="false">
      <c r="A17" s="13" t="n">
        <v>2024</v>
      </c>
      <c r="B17" s="13" t="s">
        <v>484</v>
      </c>
      <c r="C17" s="13" t="s">
        <v>125</v>
      </c>
      <c r="D17" s="13" t="s">
        <v>122</v>
      </c>
      <c r="E17" s="13" t="s">
        <v>126</v>
      </c>
      <c r="F17" s="13" t="s">
        <v>357</v>
      </c>
      <c r="G17" s="14" t="n">
        <v>73</v>
      </c>
      <c r="H17" s="14" t="n">
        <v>71</v>
      </c>
      <c r="I17" s="14" t="n">
        <v>11</v>
      </c>
      <c r="J17" s="14" t="n">
        <v>24</v>
      </c>
      <c r="K17" s="14" t="n">
        <v>21</v>
      </c>
      <c r="L17" s="14" t="n">
        <v>15</v>
      </c>
      <c r="M17" s="14" t="n">
        <v>0</v>
      </c>
      <c r="N17" s="14" t="n">
        <v>0</v>
      </c>
      <c r="O17" s="14" t="n">
        <v>2</v>
      </c>
    </row>
    <row r="18" customFormat="false" ht="15" hidden="false" customHeight="true" outlineLevel="0" collapsed="false">
      <c r="A18" s="13" t="n">
        <v>2024</v>
      </c>
      <c r="B18" s="13" t="s">
        <v>484</v>
      </c>
      <c r="C18" s="13" t="s">
        <v>125</v>
      </c>
      <c r="D18" s="13" t="s">
        <v>122</v>
      </c>
      <c r="E18" s="13" t="s">
        <v>202</v>
      </c>
      <c r="F18" s="13" t="s">
        <v>357</v>
      </c>
      <c r="G18" s="14" t="n">
        <v>232</v>
      </c>
      <c r="H18" s="14" t="n">
        <v>198</v>
      </c>
      <c r="I18" s="14" t="n">
        <v>26</v>
      </c>
      <c r="J18" s="14" t="n">
        <v>72</v>
      </c>
      <c r="K18" s="14" t="n">
        <v>65</v>
      </c>
      <c r="L18" s="14" t="n">
        <v>33</v>
      </c>
      <c r="M18" s="14" t="n">
        <v>2</v>
      </c>
      <c r="N18" s="14" t="n">
        <v>0</v>
      </c>
      <c r="O18" s="14" t="n">
        <v>34</v>
      </c>
    </row>
    <row r="19" customFormat="false" ht="15" hidden="false" customHeight="true" outlineLevel="0" collapsed="false">
      <c r="A19" s="13" t="n">
        <v>2024</v>
      </c>
      <c r="B19" s="13" t="s">
        <v>484</v>
      </c>
      <c r="C19" s="13" t="s">
        <v>125</v>
      </c>
      <c r="D19" s="13" t="s">
        <v>122</v>
      </c>
      <c r="E19" s="13" t="s">
        <v>128</v>
      </c>
      <c r="F19" s="13" t="s">
        <v>357</v>
      </c>
      <c r="G19" s="14" t="n">
        <v>345</v>
      </c>
      <c r="H19" s="14" t="n">
        <v>318</v>
      </c>
      <c r="I19" s="14" t="n">
        <v>27</v>
      </c>
      <c r="J19" s="14" t="n">
        <v>116</v>
      </c>
      <c r="K19" s="14" t="n">
        <v>128</v>
      </c>
      <c r="L19" s="14" t="n">
        <v>40</v>
      </c>
      <c r="M19" s="14" t="n">
        <v>7</v>
      </c>
      <c r="N19" s="14" t="n">
        <v>0</v>
      </c>
      <c r="O19" s="14" t="n">
        <v>27</v>
      </c>
    </row>
    <row r="20" customFormat="false" ht="15" hidden="false" customHeight="true" outlineLevel="0" collapsed="false">
      <c r="A20" s="13" t="n">
        <v>2024</v>
      </c>
      <c r="B20" s="13" t="s">
        <v>484</v>
      </c>
      <c r="C20" s="13" t="s">
        <v>125</v>
      </c>
      <c r="D20" s="13" t="s">
        <v>122</v>
      </c>
      <c r="E20" s="13" t="s">
        <v>203</v>
      </c>
      <c r="F20" s="13" t="s">
        <v>357</v>
      </c>
      <c r="G20" s="14" t="n">
        <v>14</v>
      </c>
      <c r="H20" s="14" t="n">
        <v>13</v>
      </c>
      <c r="I20" s="14" t="n">
        <v>0</v>
      </c>
      <c r="J20" s="14" t="n">
        <v>7</v>
      </c>
      <c r="K20" s="14" t="n">
        <v>2</v>
      </c>
      <c r="L20" s="14" t="n">
        <v>4</v>
      </c>
      <c r="M20" s="14" t="n">
        <v>0</v>
      </c>
      <c r="N20" s="14" t="n">
        <v>0</v>
      </c>
      <c r="O20" s="14" t="n">
        <v>1</v>
      </c>
    </row>
    <row r="21" customFormat="false" ht="15" hidden="false" customHeight="true" outlineLevel="0" collapsed="false">
      <c r="A21" s="13" t="n">
        <v>2024</v>
      </c>
      <c r="B21" s="13" t="s">
        <v>24</v>
      </c>
      <c r="C21" s="13" t="s">
        <v>492</v>
      </c>
      <c r="D21" s="13" t="s">
        <v>124</v>
      </c>
      <c r="E21" s="13" t="s">
        <v>123</v>
      </c>
      <c r="F21" s="13" t="s">
        <v>357</v>
      </c>
      <c r="G21" s="14" t="n">
        <v>826</v>
      </c>
      <c r="H21" s="14" t="n">
        <v>628</v>
      </c>
      <c r="I21" s="14" t="n">
        <v>46</v>
      </c>
      <c r="J21" s="14" t="n">
        <v>113</v>
      </c>
      <c r="K21" s="14" t="n">
        <v>185</v>
      </c>
      <c r="L21" s="14" t="n">
        <v>253</v>
      </c>
      <c r="M21" s="14" t="n">
        <v>31</v>
      </c>
      <c r="N21" s="14" t="n">
        <v>0</v>
      </c>
      <c r="O21" s="14" t="n">
        <v>198</v>
      </c>
    </row>
    <row r="22" customFormat="false" ht="15" hidden="false" customHeight="true" outlineLevel="0" collapsed="false">
      <c r="A22" s="13" t="n">
        <v>2024</v>
      </c>
      <c r="B22" s="13" t="s">
        <v>24</v>
      </c>
      <c r="C22" s="13" t="s">
        <v>492</v>
      </c>
      <c r="D22" s="13" t="s">
        <v>124</v>
      </c>
      <c r="E22" s="13" t="s">
        <v>126</v>
      </c>
      <c r="F22" s="13" t="s">
        <v>357</v>
      </c>
      <c r="G22" s="14" t="n">
        <v>471</v>
      </c>
      <c r="H22" s="14" t="n">
        <v>375</v>
      </c>
      <c r="I22" s="14" t="n">
        <v>10</v>
      </c>
      <c r="J22" s="14" t="n">
        <v>36</v>
      </c>
      <c r="K22" s="14" t="n">
        <v>140</v>
      </c>
      <c r="L22" s="14" t="n">
        <v>140</v>
      </c>
      <c r="M22" s="14" t="n">
        <v>49</v>
      </c>
      <c r="N22" s="14" t="n">
        <v>0</v>
      </c>
      <c r="O22" s="14" t="n">
        <v>96</v>
      </c>
    </row>
    <row r="23" customFormat="false" ht="15" hidden="false" customHeight="true" outlineLevel="0" collapsed="false">
      <c r="A23" s="13" t="n">
        <v>2024</v>
      </c>
      <c r="B23" s="13" t="s">
        <v>24</v>
      </c>
      <c r="C23" s="13" t="s">
        <v>492</v>
      </c>
      <c r="D23" s="13" t="s">
        <v>124</v>
      </c>
      <c r="E23" s="13" t="s">
        <v>202</v>
      </c>
      <c r="F23" s="13" t="s">
        <v>357</v>
      </c>
      <c r="G23" s="14" t="n">
        <v>1641</v>
      </c>
      <c r="H23" s="14" t="n">
        <v>992</v>
      </c>
      <c r="I23" s="14" t="n">
        <v>14</v>
      </c>
      <c r="J23" s="14" t="n">
        <v>77</v>
      </c>
      <c r="K23" s="14" t="n">
        <v>300</v>
      </c>
      <c r="L23" s="14" t="n">
        <v>460</v>
      </c>
      <c r="M23" s="14" t="n">
        <v>141</v>
      </c>
      <c r="N23" s="14" t="n">
        <v>0</v>
      </c>
      <c r="O23" s="14" t="n">
        <v>649</v>
      </c>
    </row>
    <row r="24" customFormat="false" ht="15" hidden="false" customHeight="true" outlineLevel="0" collapsed="false">
      <c r="A24" s="13" t="n">
        <v>2024</v>
      </c>
      <c r="B24" s="13" t="s">
        <v>24</v>
      </c>
      <c r="C24" s="13" t="s">
        <v>492</v>
      </c>
      <c r="D24" s="13" t="s">
        <v>124</v>
      </c>
      <c r="E24" s="13" t="s">
        <v>128</v>
      </c>
      <c r="F24" s="13" t="s">
        <v>357</v>
      </c>
      <c r="G24" s="14" t="n">
        <v>2101</v>
      </c>
      <c r="H24" s="14" t="n">
        <v>1116</v>
      </c>
      <c r="I24" s="14" t="n">
        <v>10</v>
      </c>
      <c r="J24" s="14" t="n">
        <v>90</v>
      </c>
      <c r="K24" s="14" t="n">
        <v>366</v>
      </c>
      <c r="L24" s="14" t="n">
        <v>495</v>
      </c>
      <c r="M24" s="14" t="n">
        <v>153</v>
      </c>
      <c r="N24" s="14" t="n">
        <v>2</v>
      </c>
      <c r="O24" s="14" t="n">
        <v>985</v>
      </c>
    </row>
    <row r="25" customFormat="false" ht="15" hidden="false" customHeight="true" outlineLevel="0" collapsed="false">
      <c r="A25" s="13" t="n">
        <v>2024</v>
      </c>
      <c r="B25" s="13" t="s">
        <v>24</v>
      </c>
      <c r="C25" s="13" t="s">
        <v>492</v>
      </c>
      <c r="D25" s="13" t="s">
        <v>124</v>
      </c>
      <c r="E25" s="13" t="s">
        <v>203</v>
      </c>
      <c r="F25" s="13" t="s">
        <v>357</v>
      </c>
      <c r="G25" s="14" t="n">
        <v>576</v>
      </c>
      <c r="H25" s="14" t="n">
        <v>361</v>
      </c>
      <c r="I25" s="14" t="n">
        <v>2</v>
      </c>
      <c r="J25" s="14" t="n">
        <v>24</v>
      </c>
      <c r="K25" s="14" t="n">
        <v>96</v>
      </c>
      <c r="L25" s="14" t="n">
        <v>170</v>
      </c>
      <c r="M25" s="14" t="n">
        <v>68</v>
      </c>
      <c r="N25" s="14" t="n">
        <v>1</v>
      </c>
      <c r="O25" s="14" t="n">
        <v>215</v>
      </c>
    </row>
    <row r="26" customFormat="false" ht="15" hidden="false" customHeight="true" outlineLevel="0" collapsed="false">
      <c r="A26" s="13" t="n">
        <v>2024</v>
      </c>
      <c r="B26" s="13" t="s">
        <v>24</v>
      </c>
      <c r="C26" s="13" t="s">
        <v>492</v>
      </c>
      <c r="D26" s="13" t="s">
        <v>122</v>
      </c>
      <c r="E26" s="13" t="s">
        <v>123</v>
      </c>
      <c r="F26" s="13" t="s">
        <v>357</v>
      </c>
      <c r="G26" s="14" t="n">
        <v>3310</v>
      </c>
      <c r="H26" s="14" t="n">
        <v>2901</v>
      </c>
      <c r="I26" s="14" t="n">
        <v>160</v>
      </c>
      <c r="J26" s="14" t="n">
        <v>532</v>
      </c>
      <c r="K26" s="14" t="n">
        <v>1105</v>
      </c>
      <c r="L26" s="14" t="n">
        <v>1007</v>
      </c>
      <c r="M26" s="14" t="n">
        <v>97</v>
      </c>
      <c r="N26" s="14" t="n">
        <v>0</v>
      </c>
      <c r="O26" s="14" t="n">
        <v>409</v>
      </c>
    </row>
    <row r="27" customFormat="false" ht="15" hidden="false" customHeight="true" outlineLevel="0" collapsed="false">
      <c r="A27" s="13" t="n">
        <v>2024</v>
      </c>
      <c r="B27" s="13" t="s">
        <v>24</v>
      </c>
      <c r="C27" s="13" t="s">
        <v>492</v>
      </c>
      <c r="D27" s="13" t="s">
        <v>122</v>
      </c>
      <c r="E27" s="13" t="s">
        <v>126</v>
      </c>
      <c r="F27" s="13" t="s">
        <v>357</v>
      </c>
      <c r="G27" s="14" t="n">
        <v>585</v>
      </c>
      <c r="H27" s="14" t="n">
        <v>510</v>
      </c>
      <c r="I27" s="14" t="n">
        <v>26</v>
      </c>
      <c r="J27" s="14" t="n">
        <v>89</v>
      </c>
      <c r="K27" s="14" t="n">
        <v>174</v>
      </c>
      <c r="L27" s="14" t="n">
        <v>191</v>
      </c>
      <c r="M27" s="14" t="n">
        <v>30</v>
      </c>
      <c r="N27" s="14" t="n">
        <v>0</v>
      </c>
      <c r="O27" s="14" t="n">
        <v>75</v>
      </c>
    </row>
    <row r="28" customFormat="false" ht="15" hidden="false" customHeight="true" outlineLevel="0" collapsed="false">
      <c r="A28" s="13" t="n">
        <v>2024</v>
      </c>
      <c r="B28" s="13" t="s">
        <v>24</v>
      </c>
      <c r="C28" s="13" t="s">
        <v>492</v>
      </c>
      <c r="D28" s="13" t="s">
        <v>122</v>
      </c>
      <c r="E28" s="13" t="s">
        <v>202</v>
      </c>
      <c r="F28" s="13" t="s">
        <v>357</v>
      </c>
      <c r="G28" s="14" t="n">
        <v>2356</v>
      </c>
      <c r="H28" s="14" t="n">
        <v>1706</v>
      </c>
      <c r="I28" s="14" t="n">
        <v>38</v>
      </c>
      <c r="J28" s="14" t="n">
        <v>210</v>
      </c>
      <c r="K28" s="14" t="n">
        <v>595</v>
      </c>
      <c r="L28" s="14" t="n">
        <v>744</v>
      </c>
      <c r="M28" s="14" t="n">
        <v>119</v>
      </c>
      <c r="N28" s="14" t="n">
        <v>0</v>
      </c>
      <c r="O28" s="14" t="n">
        <v>650</v>
      </c>
    </row>
    <row r="29" customFormat="false" ht="15" hidden="false" customHeight="true" outlineLevel="0" collapsed="false">
      <c r="A29" s="13" t="n">
        <v>2024</v>
      </c>
      <c r="B29" s="13" t="s">
        <v>24</v>
      </c>
      <c r="C29" s="13" t="s">
        <v>492</v>
      </c>
      <c r="D29" s="13" t="s">
        <v>122</v>
      </c>
      <c r="E29" s="13" t="s">
        <v>128</v>
      </c>
      <c r="F29" s="13" t="s">
        <v>357</v>
      </c>
      <c r="G29" s="14" t="n">
        <v>8579</v>
      </c>
      <c r="H29" s="14" t="n">
        <v>6608</v>
      </c>
      <c r="I29" s="14" t="n">
        <v>91</v>
      </c>
      <c r="J29" s="14" t="n">
        <v>991</v>
      </c>
      <c r="K29" s="14" t="n">
        <v>2475</v>
      </c>
      <c r="L29" s="14" t="n">
        <v>2536</v>
      </c>
      <c r="M29" s="14" t="n">
        <v>512</v>
      </c>
      <c r="N29" s="14" t="n">
        <v>3</v>
      </c>
      <c r="O29" s="14" t="n">
        <v>1971</v>
      </c>
    </row>
    <row r="30" customFormat="false" ht="15" hidden="false" customHeight="true" outlineLevel="0" collapsed="false">
      <c r="A30" s="13" t="n">
        <v>2024</v>
      </c>
      <c r="B30" s="13" t="s">
        <v>24</v>
      </c>
      <c r="C30" s="13" t="s">
        <v>492</v>
      </c>
      <c r="D30" s="13" t="s">
        <v>122</v>
      </c>
      <c r="E30" s="13" t="s">
        <v>203</v>
      </c>
      <c r="F30" s="13" t="s">
        <v>357</v>
      </c>
      <c r="G30" s="14" t="n">
        <v>240</v>
      </c>
      <c r="H30" s="14" t="n">
        <v>219</v>
      </c>
      <c r="I30" s="14" t="n">
        <v>1</v>
      </c>
      <c r="J30" s="14" t="n">
        <v>24</v>
      </c>
      <c r="K30" s="14" t="n">
        <v>80</v>
      </c>
      <c r="L30" s="14" t="n">
        <v>87</v>
      </c>
      <c r="M30" s="14" t="n">
        <v>27</v>
      </c>
      <c r="N30" s="14" t="n">
        <v>0</v>
      </c>
      <c r="O30" s="14" t="n">
        <v>21</v>
      </c>
    </row>
    <row r="31" customFormat="false" ht="15" hidden="false" customHeight="true" outlineLevel="0" collapsed="false">
      <c r="A31" s="13" t="n">
        <v>2024</v>
      </c>
      <c r="B31" s="13" t="s">
        <v>24</v>
      </c>
      <c r="C31" s="13" t="s">
        <v>125</v>
      </c>
      <c r="D31" s="13" t="s">
        <v>124</v>
      </c>
      <c r="E31" s="13" t="s">
        <v>123</v>
      </c>
      <c r="F31" s="13" t="s">
        <v>357</v>
      </c>
      <c r="G31" s="14" t="n">
        <v>3566</v>
      </c>
      <c r="H31" s="14" t="n">
        <v>3112</v>
      </c>
      <c r="I31" s="14" t="n">
        <v>845</v>
      </c>
      <c r="J31" s="14" t="n">
        <v>759</v>
      </c>
      <c r="K31" s="14" t="n">
        <v>764</v>
      </c>
      <c r="L31" s="14" t="n">
        <v>642</v>
      </c>
      <c r="M31" s="14" t="n">
        <v>102</v>
      </c>
      <c r="N31" s="14" t="n">
        <v>0</v>
      </c>
      <c r="O31" s="14" t="n">
        <v>454</v>
      </c>
    </row>
    <row r="32" customFormat="false" ht="15" hidden="false" customHeight="true" outlineLevel="0" collapsed="false">
      <c r="A32" s="13" t="n">
        <v>2024</v>
      </c>
      <c r="B32" s="13" t="s">
        <v>24</v>
      </c>
      <c r="C32" s="13" t="s">
        <v>125</v>
      </c>
      <c r="D32" s="13" t="s">
        <v>124</v>
      </c>
      <c r="E32" s="13" t="s">
        <v>126</v>
      </c>
      <c r="F32" s="13" t="s">
        <v>357</v>
      </c>
      <c r="G32" s="14" t="n">
        <v>1871</v>
      </c>
      <c r="H32" s="14" t="n">
        <v>1589</v>
      </c>
      <c r="I32" s="14" t="n">
        <v>221</v>
      </c>
      <c r="J32" s="14" t="n">
        <v>358</v>
      </c>
      <c r="K32" s="14" t="n">
        <v>543</v>
      </c>
      <c r="L32" s="14" t="n">
        <v>412</v>
      </c>
      <c r="M32" s="14" t="n">
        <v>55</v>
      </c>
      <c r="N32" s="14" t="n">
        <v>0</v>
      </c>
      <c r="O32" s="14" t="n">
        <v>282</v>
      </c>
    </row>
    <row r="33" customFormat="false" ht="15" hidden="false" customHeight="true" outlineLevel="0" collapsed="false">
      <c r="A33" s="13" t="n">
        <v>2024</v>
      </c>
      <c r="B33" s="13" t="s">
        <v>24</v>
      </c>
      <c r="C33" s="13" t="s">
        <v>125</v>
      </c>
      <c r="D33" s="13" t="s">
        <v>124</v>
      </c>
      <c r="E33" s="13" t="s">
        <v>202</v>
      </c>
      <c r="F33" s="13" t="s">
        <v>357</v>
      </c>
      <c r="G33" s="14" t="n">
        <v>4549</v>
      </c>
      <c r="H33" s="14" t="n">
        <v>3015</v>
      </c>
      <c r="I33" s="14" t="n">
        <v>185</v>
      </c>
      <c r="J33" s="14" t="n">
        <v>460</v>
      </c>
      <c r="K33" s="14" t="n">
        <v>989</v>
      </c>
      <c r="L33" s="14" t="n">
        <v>1119</v>
      </c>
      <c r="M33" s="14" t="n">
        <v>261</v>
      </c>
      <c r="N33" s="14" t="n">
        <v>1</v>
      </c>
      <c r="O33" s="14" t="n">
        <v>1534</v>
      </c>
    </row>
    <row r="34" customFormat="false" ht="15" hidden="false" customHeight="true" outlineLevel="0" collapsed="false">
      <c r="A34" s="13" t="n">
        <v>2024</v>
      </c>
      <c r="B34" s="13" t="s">
        <v>24</v>
      </c>
      <c r="C34" s="13" t="s">
        <v>125</v>
      </c>
      <c r="D34" s="13" t="s">
        <v>124</v>
      </c>
      <c r="E34" s="13" t="s">
        <v>128</v>
      </c>
      <c r="F34" s="13" t="s">
        <v>357</v>
      </c>
      <c r="G34" s="14" t="n">
        <v>1882</v>
      </c>
      <c r="H34" s="14" t="n">
        <v>1114</v>
      </c>
      <c r="I34" s="14" t="n">
        <v>14</v>
      </c>
      <c r="J34" s="14" t="n">
        <v>85</v>
      </c>
      <c r="K34" s="14" t="n">
        <v>303</v>
      </c>
      <c r="L34" s="14" t="n">
        <v>479</v>
      </c>
      <c r="M34" s="14" t="n">
        <v>232</v>
      </c>
      <c r="N34" s="14" t="n">
        <v>1</v>
      </c>
      <c r="O34" s="14" t="n">
        <v>768</v>
      </c>
    </row>
    <row r="35" customFormat="false" ht="15" hidden="false" customHeight="true" outlineLevel="0" collapsed="false">
      <c r="A35" s="13" t="n">
        <v>2024</v>
      </c>
      <c r="B35" s="13" t="s">
        <v>24</v>
      </c>
      <c r="C35" s="13" t="s">
        <v>125</v>
      </c>
      <c r="D35" s="13" t="s">
        <v>124</v>
      </c>
      <c r="E35" s="13" t="s">
        <v>203</v>
      </c>
      <c r="F35" s="13" t="s">
        <v>357</v>
      </c>
      <c r="G35" s="14" t="n">
        <v>840</v>
      </c>
      <c r="H35" s="14" t="n">
        <v>578</v>
      </c>
      <c r="I35" s="14" t="n">
        <v>17</v>
      </c>
      <c r="J35" s="14" t="n">
        <v>63</v>
      </c>
      <c r="K35" s="14" t="n">
        <v>172</v>
      </c>
      <c r="L35" s="14" t="n">
        <v>241</v>
      </c>
      <c r="M35" s="14" t="n">
        <v>80</v>
      </c>
      <c r="N35" s="14" t="n">
        <v>5</v>
      </c>
      <c r="O35" s="14" t="n">
        <v>262</v>
      </c>
    </row>
    <row r="36" customFormat="false" ht="15" hidden="false" customHeight="true" outlineLevel="0" collapsed="false">
      <c r="A36" s="13" t="n">
        <v>2024</v>
      </c>
      <c r="B36" s="13" t="s">
        <v>24</v>
      </c>
      <c r="C36" s="13" t="s">
        <v>125</v>
      </c>
      <c r="D36" s="13" t="s">
        <v>122</v>
      </c>
      <c r="E36" s="13" t="s">
        <v>126</v>
      </c>
      <c r="F36" s="13" t="s">
        <v>357</v>
      </c>
      <c r="G36" s="14" t="n">
        <v>1083</v>
      </c>
      <c r="H36" s="14" t="n">
        <v>968</v>
      </c>
      <c r="I36" s="14" t="n">
        <v>171</v>
      </c>
      <c r="J36" s="14" t="n">
        <v>278</v>
      </c>
      <c r="K36" s="14" t="n">
        <v>318</v>
      </c>
      <c r="L36" s="14" t="n">
        <v>183</v>
      </c>
      <c r="M36" s="14" t="n">
        <v>18</v>
      </c>
      <c r="N36" s="14" t="n">
        <v>0</v>
      </c>
      <c r="O36" s="14" t="n">
        <v>115</v>
      </c>
    </row>
    <row r="37" customFormat="false" ht="15" hidden="false" customHeight="true" outlineLevel="0" collapsed="false">
      <c r="A37" s="13" t="n">
        <v>2024</v>
      </c>
      <c r="B37" s="13" t="s">
        <v>24</v>
      </c>
      <c r="C37" s="13" t="s">
        <v>125</v>
      </c>
      <c r="D37" s="13" t="s">
        <v>122</v>
      </c>
      <c r="E37" s="13" t="s">
        <v>202</v>
      </c>
      <c r="F37" s="13" t="s">
        <v>357</v>
      </c>
      <c r="G37" s="14" t="n">
        <v>2789</v>
      </c>
      <c r="H37" s="14" t="n">
        <v>2150</v>
      </c>
      <c r="I37" s="14" t="n">
        <v>269</v>
      </c>
      <c r="J37" s="14" t="n">
        <v>516</v>
      </c>
      <c r="K37" s="14" t="n">
        <v>799</v>
      </c>
      <c r="L37" s="14" t="n">
        <v>518</v>
      </c>
      <c r="M37" s="14" t="n">
        <v>48</v>
      </c>
      <c r="N37" s="14" t="n">
        <v>0</v>
      </c>
      <c r="O37" s="14" t="n">
        <v>639</v>
      </c>
    </row>
    <row r="38" customFormat="false" ht="15" hidden="false" customHeight="true" outlineLevel="0" collapsed="false">
      <c r="A38" s="13" t="n">
        <v>2024</v>
      </c>
      <c r="B38" s="13" t="s">
        <v>24</v>
      </c>
      <c r="C38" s="13" t="s">
        <v>125</v>
      </c>
      <c r="D38" s="13" t="s">
        <v>122</v>
      </c>
      <c r="E38" s="13" t="s">
        <v>128</v>
      </c>
      <c r="F38" s="13" t="s">
        <v>357</v>
      </c>
      <c r="G38" s="14" t="n">
        <v>1772</v>
      </c>
      <c r="H38" s="14" t="n">
        <v>1366</v>
      </c>
      <c r="I38" s="14" t="n">
        <v>61</v>
      </c>
      <c r="J38" s="14" t="n">
        <v>245</v>
      </c>
      <c r="K38" s="14" t="n">
        <v>534</v>
      </c>
      <c r="L38" s="14" t="n">
        <v>428</v>
      </c>
      <c r="M38" s="14" t="n">
        <v>98</v>
      </c>
      <c r="N38" s="14" t="n">
        <v>0</v>
      </c>
      <c r="O38" s="14" t="n">
        <v>406</v>
      </c>
    </row>
    <row r="39" customFormat="false" ht="15" hidden="false" customHeight="true" outlineLevel="0" collapsed="false">
      <c r="A39" s="13" t="n">
        <v>2024</v>
      </c>
      <c r="B39" s="13" t="s">
        <v>24</v>
      </c>
      <c r="C39" s="13" t="s">
        <v>125</v>
      </c>
      <c r="D39" s="13" t="s">
        <v>122</v>
      </c>
      <c r="E39" s="13" t="s">
        <v>203</v>
      </c>
      <c r="F39" s="13" t="s">
        <v>357</v>
      </c>
      <c r="G39" s="14" t="n">
        <v>519</v>
      </c>
      <c r="H39" s="14" t="n">
        <v>445</v>
      </c>
      <c r="I39" s="14" t="n">
        <v>41</v>
      </c>
      <c r="J39" s="14" t="n">
        <v>88</v>
      </c>
      <c r="K39" s="14" t="n">
        <v>134</v>
      </c>
      <c r="L39" s="14" t="n">
        <v>139</v>
      </c>
      <c r="M39" s="14" t="n">
        <v>42</v>
      </c>
      <c r="N39" s="14" t="n">
        <v>1</v>
      </c>
      <c r="O39" s="14" t="n">
        <v>74</v>
      </c>
    </row>
    <row r="40" customFormat="false" ht="15" hidden="false" customHeight="true" outlineLevel="0" collapsed="false">
      <c r="A40" s="13" t="n">
        <v>2024</v>
      </c>
      <c r="B40" s="13" t="s">
        <v>24</v>
      </c>
      <c r="C40" s="13" t="s">
        <v>125</v>
      </c>
      <c r="D40" s="13" t="s">
        <v>122</v>
      </c>
      <c r="E40" s="13" t="s">
        <v>123</v>
      </c>
      <c r="F40" s="13" t="s">
        <v>357</v>
      </c>
      <c r="G40" s="14" t="n">
        <v>8332</v>
      </c>
      <c r="H40" s="14" t="n">
        <v>7545</v>
      </c>
      <c r="I40" s="14" t="n">
        <v>2001</v>
      </c>
      <c r="J40" s="14" t="n">
        <v>2117</v>
      </c>
      <c r="K40" s="14" t="n">
        <v>2097</v>
      </c>
      <c r="L40" s="14" t="n">
        <v>1206</v>
      </c>
      <c r="M40" s="14" t="n">
        <v>124</v>
      </c>
      <c r="N40" s="14" t="n">
        <v>0</v>
      </c>
      <c r="O40" s="14" t="n">
        <v>787</v>
      </c>
    </row>
    <row r="41" customFormat="false" ht="15" hidden="false" customHeight="true" outlineLevel="0" collapsed="false">
      <c r="A41" s="13" t="n">
        <v>2024</v>
      </c>
      <c r="B41" s="13" t="s">
        <v>487</v>
      </c>
      <c r="C41" s="13" t="s">
        <v>492</v>
      </c>
      <c r="D41" s="13" t="s">
        <v>124</v>
      </c>
      <c r="E41" s="13" t="s">
        <v>123</v>
      </c>
      <c r="F41" s="13" t="s">
        <v>357</v>
      </c>
      <c r="G41" s="14" t="n">
        <v>226</v>
      </c>
      <c r="H41" s="14" t="n">
        <v>202</v>
      </c>
      <c r="I41" s="14" t="n">
        <v>14</v>
      </c>
      <c r="J41" s="14" t="n">
        <v>41</v>
      </c>
      <c r="K41" s="14" t="n">
        <v>71</v>
      </c>
      <c r="L41" s="14" t="n">
        <v>71</v>
      </c>
      <c r="M41" s="14" t="n">
        <v>5</v>
      </c>
      <c r="N41" s="14" t="n">
        <v>0</v>
      </c>
      <c r="O41" s="14" t="n">
        <v>24</v>
      </c>
    </row>
    <row r="42" customFormat="false" ht="15" hidden="false" customHeight="true" outlineLevel="0" collapsed="false">
      <c r="A42" s="13" t="n">
        <v>2024</v>
      </c>
      <c r="B42" s="13" t="s">
        <v>487</v>
      </c>
      <c r="C42" s="13" t="s">
        <v>492</v>
      </c>
      <c r="D42" s="13" t="s">
        <v>124</v>
      </c>
      <c r="E42" s="13" t="s">
        <v>126</v>
      </c>
      <c r="F42" s="13" t="s">
        <v>357</v>
      </c>
      <c r="G42" s="14" t="n">
        <v>103</v>
      </c>
      <c r="H42" s="14" t="n">
        <v>92</v>
      </c>
      <c r="I42" s="14" t="n">
        <v>4</v>
      </c>
      <c r="J42" s="14" t="n">
        <v>12</v>
      </c>
      <c r="K42" s="14" t="n">
        <v>33</v>
      </c>
      <c r="L42" s="14" t="n">
        <v>38</v>
      </c>
      <c r="M42" s="14" t="n">
        <v>5</v>
      </c>
      <c r="N42" s="14" t="n">
        <v>0</v>
      </c>
      <c r="O42" s="14" t="n">
        <v>11</v>
      </c>
    </row>
    <row r="43" customFormat="false" ht="15" hidden="false" customHeight="true" outlineLevel="0" collapsed="false">
      <c r="A43" s="13" t="n">
        <v>2024</v>
      </c>
      <c r="B43" s="13" t="s">
        <v>487</v>
      </c>
      <c r="C43" s="13" t="s">
        <v>492</v>
      </c>
      <c r="D43" s="13" t="s">
        <v>124</v>
      </c>
      <c r="E43" s="13" t="s">
        <v>202</v>
      </c>
      <c r="F43" s="13" t="s">
        <v>357</v>
      </c>
      <c r="G43" s="14" t="n">
        <v>355</v>
      </c>
      <c r="H43" s="14" t="n">
        <v>271</v>
      </c>
      <c r="I43" s="14" t="n">
        <v>2</v>
      </c>
      <c r="J43" s="14" t="n">
        <v>19</v>
      </c>
      <c r="K43" s="14" t="n">
        <v>75</v>
      </c>
      <c r="L43" s="14" t="n">
        <v>146</v>
      </c>
      <c r="M43" s="14" t="n">
        <v>29</v>
      </c>
      <c r="N43" s="14" t="n">
        <v>0</v>
      </c>
      <c r="O43" s="14" t="n">
        <v>84</v>
      </c>
    </row>
    <row r="44" customFormat="false" ht="15" hidden="false" customHeight="true" outlineLevel="0" collapsed="false">
      <c r="A44" s="13" t="n">
        <v>2024</v>
      </c>
      <c r="B44" s="13" t="s">
        <v>487</v>
      </c>
      <c r="C44" s="13" t="s">
        <v>492</v>
      </c>
      <c r="D44" s="13" t="s">
        <v>124</v>
      </c>
      <c r="E44" s="13" t="s">
        <v>128</v>
      </c>
      <c r="F44" s="13" t="s">
        <v>357</v>
      </c>
      <c r="G44" s="14" t="n">
        <v>1583</v>
      </c>
      <c r="H44" s="14" t="n">
        <v>943</v>
      </c>
      <c r="I44" s="14" t="n">
        <v>4</v>
      </c>
      <c r="J44" s="14" t="n">
        <v>74</v>
      </c>
      <c r="K44" s="14" t="n">
        <v>293</v>
      </c>
      <c r="L44" s="14" t="n">
        <v>466</v>
      </c>
      <c r="M44" s="14" t="n">
        <v>106</v>
      </c>
      <c r="N44" s="14" t="n">
        <v>0</v>
      </c>
      <c r="O44" s="14" t="n">
        <v>640</v>
      </c>
    </row>
    <row r="45" customFormat="false" ht="15" hidden="false" customHeight="true" outlineLevel="0" collapsed="false">
      <c r="A45" s="13" t="n">
        <v>2024</v>
      </c>
      <c r="B45" s="13" t="s">
        <v>487</v>
      </c>
      <c r="C45" s="13" t="s">
        <v>492</v>
      </c>
      <c r="D45" s="13" t="s">
        <v>124</v>
      </c>
      <c r="E45" s="13" t="s">
        <v>203</v>
      </c>
      <c r="F45" s="13" t="s">
        <v>357</v>
      </c>
      <c r="G45" s="14" t="n">
        <v>46</v>
      </c>
      <c r="H45" s="14" t="n">
        <v>41</v>
      </c>
      <c r="I45" s="14" t="n">
        <v>0</v>
      </c>
      <c r="J45" s="14" t="n">
        <v>3</v>
      </c>
      <c r="K45" s="14" t="n">
        <v>4</v>
      </c>
      <c r="L45" s="14" t="n">
        <v>28</v>
      </c>
      <c r="M45" s="14" t="n">
        <v>6</v>
      </c>
      <c r="N45" s="14" t="n">
        <v>0</v>
      </c>
      <c r="O45" s="14" t="n">
        <v>5</v>
      </c>
    </row>
    <row r="46" customFormat="false" ht="15" hidden="false" customHeight="true" outlineLevel="0" collapsed="false">
      <c r="A46" s="13" t="n">
        <v>2024</v>
      </c>
      <c r="B46" s="13" t="s">
        <v>487</v>
      </c>
      <c r="C46" s="13" t="s">
        <v>492</v>
      </c>
      <c r="D46" s="13" t="s">
        <v>122</v>
      </c>
      <c r="E46" s="13" t="s">
        <v>123</v>
      </c>
      <c r="F46" s="13" t="s">
        <v>357</v>
      </c>
      <c r="G46" s="14" t="n">
        <v>732</v>
      </c>
      <c r="H46" s="14" t="n">
        <v>666</v>
      </c>
      <c r="I46" s="14" t="n">
        <v>31</v>
      </c>
      <c r="J46" s="14" t="n">
        <v>92</v>
      </c>
      <c r="K46" s="14" t="n">
        <v>271</v>
      </c>
      <c r="L46" s="14" t="n">
        <v>247</v>
      </c>
      <c r="M46" s="14" t="n">
        <v>25</v>
      </c>
      <c r="N46" s="14" t="n">
        <v>0</v>
      </c>
      <c r="O46" s="14" t="n">
        <v>66</v>
      </c>
    </row>
    <row r="47" customFormat="false" ht="15" hidden="false" customHeight="true" outlineLevel="0" collapsed="false">
      <c r="A47" s="13" t="n">
        <v>2024</v>
      </c>
      <c r="B47" s="13" t="s">
        <v>487</v>
      </c>
      <c r="C47" s="13" t="s">
        <v>492</v>
      </c>
      <c r="D47" s="13" t="s">
        <v>122</v>
      </c>
      <c r="E47" s="13" t="s">
        <v>126</v>
      </c>
      <c r="F47" s="13" t="s">
        <v>357</v>
      </c>
      <c r="G47" s="14" t="n">
        <v>100</v>
      </c>
      <c r="H47" s="14" t="n">
        <v>84</v>
      </c>
      <c r="I47" s="14" t="n">
        <v>0</v>
      </c>
      <c r="J47" s="14" t="n">
        <v>13</v>
      </c>
      <c r="K47" s="14" t="n">
        <v>36</v>
      </c>
      <c r="L47" s="14" t="n">
        <v>27</v>
      </c>
      <c r="M47" s="14" t="n">
        <v>8</v>
      </c>
      <c r="N47" s="14" t="n">
        <v>0</v>
      </c>
      <c r="O47" s="14" t="n">
        <v>16</v>
      </c>
    </row>
    <row r="48" customFormat="false" ht="15" hidden="false" customHeight="true" outlineLevel="0" collapsed="false">
      <c r="A48" s="13" t="n">
        <v>2024</v>
      </c>
      <c r="B48" s="13" t="s">
        <v>487</v>
      </c>
      <c r="C48" s="13" t="s">
        <v>492</v>
      </c>
      <c r="D48" s="13" t="s">
        <v>122</v>
      </c>
      <c r="E48" s="13" t="s">
        <v>202</v>
      </c>
      <c r="F48" s="13" t="s">
        <v>357</v>
      </c>
      <c r="G48" s="14" t="n">
        <v>546</v>
      </c>
      <c r="H48" s="14" t="n">
        <v>424</v>
      </c>
      <c r="I48" s="14" t="n">
        <v>6</v>
      </c>
      <c r="J48" s="14" t="n">
        <v>41</v>
      </c>
      <c r="K48" s="14" t="n">
        <v>138</v>
      </c>
      <c r="L48" s="14" t="n">
        <v>198</v>
      </c>
      <c r="M48" s="14" t="n">
        <v>41</v>
      </c>
      <c r="N48" s="14" t="n">
        <v>0</v>
      </c>
      <c r="O48" s="14" t="n">
        <v>122</v>
      </c>
    </row>
    <row r="49" customFormat="false" ht="15" hidden="false" customHeight="true" outlineLevel="0" collapsed="false">
      <c r="A49" s="13" t="n">
        <v>2024</v>
      </c>
      <c r="B49" s="13" t="s">
        <v>487</v>
      </c>
      <c r="C49" s="13" t="s">
        <v>492</v>
      </c>
      <c r="D49" s="13" t="s">
        <v>122</v>
      </c>
      <c r="E49" s="13" t="s">
        <v>128</v>
      </c>
      <c r="F49" s="13" t="s">
        <v>357</v>
      </c>
      <c r="G49" s="14" t="n">
        <v>1499</v>
      </c>
      <c r="H49" s="14" t="n">
        <v>1155</v>
      </c>
      <c r="I49" s="14" t="n">
        <v>21</v>
      </c>
      <c r="J49" s="14" t="n">
        <v>230</v>
      </c>
      <c r="K49" s="14" t="n">
        <v>511</v>
      </c>
      <c r="L49" s="14" t="n">
        <v>347</v>
      </c>
      <c r="M49" s="14" t="n">
        <v>46</v>
      </c>
      <c r="N49" s="14" t="n">
        <v>0</v>
      </c>
      <c r="O49" s="14" t="n">
        <v>344</v>
      </c>
    </row>
    <row r="50" customFormat="false" ht="15" hidden="false" customHeight="true" outlineLevel="0" collapsed="false">
      <c r="A50" s="13" t="n">
        <v>2024</v>
      </c>
      <c r="B50" s="13" t="s">
        <v>487</v>
      </c>
      <c r="C50" s="13" t="s">
        <v>125</v>
      </c>
      <c r="D50" s="13" t="s">
        <v>124</v>
      </c>
      <c r="E50" s="13" t="s">
        <v>123</v>
      </c>
      <c r="F50" s="13" t="s">
        <v>357</v>
      </c>
      <c r="G50" s="14" t="n">
        <v>1678</v>
      </c>
      <c r="H50" s="14" t="n">
        <v>1555</v>
      </c>
      <c r="I50" s="14" t="n">
        <v>317</v>
      </c>
      <c r="J50" s="14" t="n">
        <v>419</v>
      </c>
      <c r="K50" s="14" t="n">
        <v>580</v>
      </c>
      <c r="L50" s="14" t="n">
        <v>224</v>
      </c>
      <c r="M50" s="14" t="n">
        <v>15</v>
      </c>
      <c r="N50" s="14" t="n">
        <v>0</v>
      </c>
      <c r="O50" s="14" t="n">
        <v>123</v>
      </c>
    </row>
    <row r="51" customFormat="false" ht="15" hidden="false" customHeight="true" outlineLevel="0" collapsed="false">
      <c r="A51" s="13" t="n">
        <v>2024</v>
      </c>
      <c r="B51" s="13" t="s">
        <v>487</v>
      </c>
      <c r="C51" s="13" t="s">
        <v>125</v>
      </c>
      <c r="D51" s="13" t="s">
        <v>124</v>
      </c>
      <c r="E51" s="13" t="s">
        <v>126</v>
      </c>
      <c r="F51" s="13" t="s">
        <v>357</v>
      </c>
      <c r="G51" s="14" t="n">
        <v>586</v>
      </c>
      <c r="H51" s="14" t="n">
        <v>548</v>
      </c>
      <c r="I51" s="14" t="n">
        <v>59</v>
      </c>
      <c r="J51" s="14" t="n">
        <v>138</v>
      </c>
      <c r="K51" s="14" t="n">
        <v>211</v>
      </c>
      <c r="L51" s="14" t="n">
        <v>130</v>
      </c>
      <c r="M51" s="14" t="n">
        <v>10</v>
      </c>
      <c r="N51" s="14" t="n">
        <v>0</v>
      </c>
      <c r="O51" s="14" t="n">
        <v>38</v>
      </c>
    </row>
    <row r="52" customFormat="false" ht="15" hidden="false" customHeight="true" outlineLevel="0" collapsed="false">
      <c r="A52" s="13" t="n">
        <v>2024</v>
      </c>
      <c r="B52" s="13" t="s">
        <v>487</v>
      </c>
      <c r="C52" s="13" t="s">
        <v>125</v>
      </c>
      <c r="D52" s="13" t="s">
        <v>124</v>
      </c>
      <c r="E52" s="13" t="s">
        <v>202</v>
      </c>
      <c r="F52" s="13" t="s">
        <v>357</v>
      </c>
      <c r="G52" s="14" t="n">
        <v>1022</v>
      </c>
      <c r="H52" s="14" t="n">
        <v>768</v>
      </c>
      <c r="I52" s="14" t="n">
        <v>33</v>
      </c>
      <c r="J52" s="14" t="n">
        <v>100</v>
      </c>
      <c r="K52" s="14" t="n">
        <v>294</v>
      </c>
      <c r="L52" s="14" t="n">
        <v>291</v>
      </c>
      <c r="M52" s="14" t="n">
        <v>50</v>
      </c>
      <c r="N52" s="14" t="n">
        <v>0</v>
      </c>
      <c r="O52" s="14" t="n">
        <v>254</v>
      </c>
    </row>
    <row r="53" customFormat="false" ht="15" hidden="false" customHeight="true" outlineLevel="0" collapsed="false">
      <c r="A53" s="13" t="n">
        <v>2024</v>
      </c>
      <c r="B53" s="13" t="s">
        <v>487</v>
      </c>
      <c r="C53" s="13" t="s">
        <v>125</v>
      </c>
      <c r="D53" s="13" t="s">
        <v>124</v>
      </c>
      <c r="E53" s="13" t="s">
        <v>128</v>
      </c>
      <c r="F53" s="13" t="s">
        <v>357</v>
      </c>
      <c r="G53" s="14" t="n">
        <v>768</v>
      </c>
      <c r="H53" s="14" t="n">
        <v>563</v>
      </c>
      <c r="I53" s="14" t="n">
        <v>9</v>
      </c>
      <c r="J53" s="14" t="n">
        <v>71</v>
      </c>
      <c r="K53" s="14" t="n">
        <v>238</v>
      </c>
      <c r="L53" s="14" t="n">
        <v>206</v>
      </c>
      <c r="M53" s="14" t="n">
        <v>39</v>
      </c>
      <c r="N53" s="14" t="n">
        <v>0</v>
      </c>
      <c r="O53" s="14" t="n">
        <v>205</v>
      </c>
    </row>
    <row r="54" customFormat="false" ht="15" hidden="false" customHeight="true" outlineLevel="0" collapsed="false">
      <c r="A54" s="13" t="n">
        <v>2024</v>
      </c>
      <c r="B54" s="13" t="s">
        <v>487</v>
      </c>
      <c r="C54" s="13" t="s">
        <v>125</v>
      </c>
      <c r="D54" s="13" t="s">
        <v>124</v>
      </c>
      <c r="E54" s="13" t="s">
        <v>203</v>
      </c>
      <c r="F54" s="13" t="s">
        <v>357</v>
      </c>
      <c r="G54" s="14" t="n">
        <v>55</v>
      </c>
      <c r="H54" s="14" t="n">
        <v>31</v>
      </c>
      <c r="I54" s="14" t="n">
        <v>0</v>
      </c>
      <c r="J54" s="14" t="n">
        <v>4</v>
      </c>
      <c r="K54" s="14" t="n">
        <v>10</v>
      </c>
      <c r="L54" s="14" t="n">
        <v>14</v>
      </c>
      <c r="M54" s="14" t="n">
        <v>3</v>
      </c>
      <c r="N54" s="14" t="n">
        <v>0</v>
      </c>
      <c r="O54" s="14" t="n">
        <v>24</v>
      </c>
    </row>
    <row r="55" customFormat="false" ht="15" hidden="false" customHeight="true" outlineLevel="0" collapsed="false">
      <c r="A55" s="13" t="n">
        <v>2024</v>
      </c>
      <c r="B55" s="13" t="s">
        <v>487</v>
      </c>
      <c r="C55" s="13" t="s">
        <v>125</v>
      </c>
      <c r="D55" s="13" t="s">
        <v>122</v>
      </c>
      <c r="E55" s="13" t="s">
        <v>123</v>
      </c>
      <c r="F55" s="13" t="s">
        <v>357</v>
      </c>
      <c r="G55" s="14" t="n">
        <v>2574</v>
      </c>
      <c r="H55" s="14" t="n">
        <v>2452</v>
      </c>
      <c r="I55" s="14" t="n">
        <v>554</v>
      </c>
      <c r="J55" s="14" t="n">
        <v>706</v>
      </c>
      <c r="K55" s="14" t="n">
        <v>785</v>
      </c>
      <c r="L55" s="14" t="n">
        <v>386</v>
      </c>
      <c r="M55" s="14" t="n">
        <v>21</v>
      </c>
      <c r="N55" s="14" t="n">
        <v>0</v>
      </c>
      <c r="O55" s="14" t="n">
        <v>122</v>
      </c>
    </row>
    <row r="56" customFormat="false" ht="15" hidden="false" customHeight="true" outlineLevel="0" collapsed="false">
      <c r="A56" s="13" t="n">
        <v>2024</v>
      </c>
      <c r="B56" s="13" t="s">
        <v>487</v>
      </c>
      <c r="C56" s="13" t="s">
        <v>125</v>
      </c>
      <c r="D56" s="13" t="s">
        <v>122</v>
      </c>
      <c r="E56" s="13" t="s">
        <v>126</v>
      </c>
      <c r="F56" s="13" t="s">
        <v>357</v>
      </c>
      <c r="G56" s="14" t="n">
        <v>254</v>
      </c>
      <c r="H56" s="14" t="n">
        <v>247</v>
      </c>
      <c r="I56" s="14" t="n">
        <v>48</v>
      </c>
      <c r="J56" s="14" t="n">
        <v>81</v>
      </c>
      <c r="K56" s="14" t="n">
        <v>93</v>
      </c>
      <c r="L56" s="14" t="n">
        <v>20</v>
      </c>
      <c r="M56" s="14" t="n">
        <v>5</v>
      </c>
      <c r="N56" s="14" t="n">
        <v>0</v>
      </c>
      <c r="O56" s="14" t="n">
        <v>7</v>
      </c>
    </row>
    <row r="57" customFormat="false" ht="15" hidden="false" customHeight="true" outlineLevel="0" collapsed="false">
      <c r="A57" s="13" t="n">
        <v>2024</v>
      </c>
      <c r="B57" s="13" t="s">
        <v>487</v>
      </c>
      <c r="C57" s="13" t="s">
        <v>125</v>
      </c>
      <c r="D57" s="13" t="s">
        <v>122</v>
      </c>
      <c r="E57" s="13" t="s">
        <v>202</v>
      </c>
      <c r="F57" s="13" t="s">
        <v>357</v>
      </c>
      <c r="G57" s="14" t="n">
        <v>545</v>
      </c>
      <c r="H57" s="14" t="n">
        <v>496</v>
      </c>
      <c r="I57" s="14" t="n">
        <v>71</v>
      </c>
      <c r="J57" s="14" t="n">
        <v>124</v>
      </c>
      <c r="K57" s="14" t="n">
        <v>165</v>
      </c>
      <c r="L57" s="14" t="n">
        <v>116</v>
      </c>
      <c r="M57" s="14" t="n">
        <v>20</v>
      </c>
      <c r="N57" s="14" t="n">
        <v>0</v>
      </c>
      <c r="O57" s="14" t="n">
        <v>49</v>
      </c>
    </row>
    <row r="58" customFormat="false" ht="15" hidden="false" customHeight="true" outlineLevel="0" collapsed="false">
      <c r="A58" s="13" t="n">
        <v>2024</v>
      </c>
      <c r="B58" s="13" t="s">
        <v>487</v>
      </c>
      <c r="C58" s="13" t="s">
        <v>125</v>
      </c>
      <c r="D58" s="13" t="s">
        <v>122</v>
      </c>
      <c r="E58" s="13" t="s">
        <v>128</v>
      </c>
      <c r="F58" s="13" t="s">
        <v>357</v>
      </c>
      <c r="G58" s="14" t="n">
        <v>637</v>
      </c>
      <c r="H58" s="14" t="n">
        <v>546</v>
      </c>
      <c r="I58" s="14" t="n">
        <v>31</v>
      </c>
      <c r="J58" s="14" t="n">
        <v>146</v>
      </c>
      <c r="K58" s="14" t="n">
        <v>260</v>
      </c>
      <c r="L58" s="14" t="n">
        <v>103</v>
      </c>
      <c r="M58" s="14" t="n">
        <v>6</v>
      </c>
      <c r="N58" s="14" t="n">
        <v>0</v>
      </c>
      <c r="O58" s="14" t="n">
        <v>91</v>
      </c>
    </row>
    <row r="59" customFormat="false" ht="15" hidden="false" customHeight="true" outlineLevel="0" collapsed="false">
      <c r="A59" s="13" t="n">
        <v>2024</v>
      </c>
      <c r="B59" s="13" t="s">
        <v>487</v>
      </c>
      <c r="C59" s="13" t="s">
        <v>125</v>
      </c>
      <c r="D59" s="13" t="s">
        <v>122</v>
      </c>
      <c r="E59" s="13" t="s">
        <v>203</v>
      </c>
      <c r="F59" s="13" t="s">
        <v>357</v>
      </c>
      <c r="G59" s="14" t="n">
        <v>15</v>
      </c>
      <c r="H59" s="14" t="n">
        <v>14</v>
      </c>
      <c r="I59" s="14" t="n">
        <v>2</v>
      </c>
      <c r="J59" s="14" t="n">
        <v>1</v>
      </c>
      <c r="K59" s="14" t="n">
        <v>5</v>
      </c>
      <c r="L59" s="14" t="n">
        <v>6</v>
      </c>
      <c r="M59" s="14" t="n">
        <v>0</v>
      </c>
      <c r="N59" s="14" t="n">
        <v>0</v>
      </c>
      <c r="O59" s="14" t="n">
        <v>1</v>
      </c>
    </row>
    <row r="60" customFormat="false" ht="15" hidden="false" customHeight="true" outlineLevel="0" collapsed="false">
      <c r="A60" s="13" t="n">
        <v>2024</v>
      </c>
      <c r="B60" s="13" t="s">
        <v>488</v>
      </c>
      <c r="C60" s="13" t="s">
        <v>492</v>
      </c>
      <c r="D60" s="13" t="s">
        <v>124</v>
      </c>
      <c r="E60" s="13" t="s">
        <v>123</v>
      </c>
      <c r="F60" s="13" t="s">
        <v>357</v>
      </c>
      <c r="G60" s="14" t="n">
        <v>235</v>
      </c>
      <c r="H60" s="14" t="n">
        <v>168</v>
      </c>
      <c r="I60" s="14" t="n">
        <v>37</v>
      </c>
      <c r="J60" s="14" t="n">
        <v>34</v>
      </c>
      <c r="K60" s="14" t="n">
        <v>44</v>
      </c>
      <c r="L60" s="14" t="n">
        <v>46</v>
      </c>
      <c r="M60" s="14" t="n">
        <v>7</v>
      </c>
      <c r="N60" s="14" t="n">
        <v>0</v>
      </c>
      <c r="O60" s="14" t="n">
        <v>67</v>
      </c>
    </row>
    <row r="61" customFormat="false" ht="15" hidden="false" customHeight="true" outlineLevel="0" collapsed="false">
      <c r="A61" s="13" t="n">
        <v>2024</v>
      </c>
      <c r="B61" s="13" t="s">
        <v>488</v>
      </c>
      <c r="C61" s="13" t="s">
        <v>492</v>
      </c>
      <c r="D61" s="13" t="s">
        <v>124</v>
      </c>
      <c r="E61" s="13" t="s">
        <v>126</v>
      </c>
      <c r="F61" s="13" t="s">
        <v>357</v>
      </c>
      <c r="G61" s="14" t="n">
        <v>124</v>
      </c>
      <c r="H61" s="14" t="n">
        <v>104</v>
      </c>
      <c r="I61" s="14" t="n">
        <v>9</v>
      </c>
      <c r="J61" s="14" t="n">
        <v>13</v>
      </c>
      <c r="K61" s="14" t="n">
        <v>44</v>
      </c>
      <c r="L61" s="14" t="n">
        <v>30</v>
      </c>
      <c r="M61" s="14" t="n">
        <v>8</v>
      </c>
      <c r="N61" s="14" t="n">
        <v>0</v>
      </c>
      <c r="O61" s="14" t="n">
        <v>20</v>
      </c>
    </row>
    <row r="62" customFormat="false" ht="15" hidden="false" customHeight="true" outlineLevel="0" collapsed="false">
      <c r="A62" s="13" t="n">
        <v>2024</v>
      </c>
      <c r="B62" s="13" t="s">
        <v>488</v>
      </c>
      <c r="C62" s="13" t="s">
        <v>492</v>
      </c>
      <c r="D62" s="13" t="s">
        <v>124</v>
      </c>
      <c r="E62" s="13" t="s">
        <v>202</v>
      </c>
      <c r="F62" s="13" t="s">
        <v>357</v>
      </c>
      <c r="G62" s="14" t="n">
        <v>480</v>
      </c>
      <c r="H62" s="14" t="n">
        <v>272</v>
      </c>
      <c r="I62" s="14" t="n">
        <v>7</v>
      </c>
      <c r="J62" s="14" t="n">
        <v>23</v>
      </c>
      <c r="K62" s="14" t="n">
        <v>81</v>
      </c>
      <c r="L62" s="14" t="n">
        <v>124</v>
      </c>
      <c r="M62" s="14" t="n">
        <v>37</v>
      </c>
      <c r="N62" s="14" t="n">
        <v>0</v>
      </c>
      <c r="O62" s="14" t="n">
        <v>208</v>
      </c>
    </row>
    <row r="63" customFormat="false" ht="15" hidden="false" customHeight="true" outlineLevel="0" collapsed="false">
      <c r="A63" s="13" t="n">
        <v>2024</v>
      </c>
      <c r="B63" s="13" t="s">
        <v>488</v>
      </c>
      <c r="C63" s="13" t="s">
        <v>492</v>
      </c>
      <c r="D63" s="13" t="s">
        <v>124</v>
      </c>
      <c r="E63" s="13" t="s">
        <v>128</v>
      </c>
      <c r="F63" s="13" t="s">
        <v>357</v>
      </c>
      <c r="G63" s="14" t="n">
        <v>834</v>
      </c>
      <c r="H63" s="14" t="n">
        <v>340</v>
      </c>
      <c r="I63" s="14" t="n">
        <v>4</v>
      </c>
      <c r="J63" s="14" t="n">
        <v>10</v>
      </c>
      <c r="K63" s="14" t="n">
        <v>101</v>
      </c>
      <c r="L63" s="14" t="n">
        <v>168</v>
      </c>
      <c r="M63" s="14" t="n">
        <v>57</v>
      </c>
      <c r="N63" s="14" t="n">
        <v>0</v>
      </c>
      <c r="O63" s="14" t="n">
        <v>494</v>
      </c>
    </row>
    <row r="64" customFormat="false" ht="15" hidden="false" customHeight="true" outlineLevel="0" collapsed="false">
      <c r="A64" s="13" t="n">
        <v>2024</v>
      </c>
      <c r="B64" s="13" t="s">
        <v>488</v>
      </c>
      <c r="C64" s="13" t="s">
        <v>492</v>
      </c>
      <c r="D64" s="13" t="s">
        <v>124</v>
      </c>
      <c r="E64" s="13" t="s">
        <v>203</v>
      </c>
      <c r="F64" s="13" t="s">
        <v>357</v>
      </c>
      <c r="G64" s="14" t="n">
        <v>26</v>
      </c>
      <c r="H64" s="14" t="n">
        <v>11</v>
      </c>
      <c r="I64" s="14" t="n">
        <v>0</v>
      </c>
      <c r="J64" s="14" t="n">
        <v>0</v>
      </c>
      <c r="K64" s="14" t="n">
        <v>3</v>
      </c>
      <c r="L64" s="14" t="n">
        <v>7</v>
      </c>
      <c r="M64" s="14" t="n">
        <v>1</v>
      </c>
      <c r="N64" s="14" t="n">
        <v>0</v>
      </c>
      <c r="O64" s="14" t="n">
        <v>15</v>
      </c>
    </row>
    <row r="65" customFormat="false" ht="15" hidden="false" customHeight="true" outlineLevel="0" collapsed="false">
      <c r="A65" s="13" t="n">
        <v>2024</v>
      </c>
      <c r="B65" s="13" t="s">
        <v>488</v>
      </c>
      <c r="C65" s="13" t="s">
        <v>492</v>
      </c>
      <c r="D65" s="13" t="s">
        <v>122</v>
      </c>
      <c r="E65" s="13" t="s">
        <v>123</v>
      </c>
      <c r="F65" s="13" t="s">
        <v>357</v>
      </c>
      <c r="G65" s="14" t="n">
        <v>845</v>
      </c>
      <c r="H65" s="14" t="n">
        <v>740</v>
      </c>
      <c r="I65" s="14" t="n">
        <v>79</v>
      </c>
      <c r="J65" s="14" t="n">
        <v>147</v>
      </c>
      <c r="K65" s="14" t="n">
        <v>276</v>
      </c>
      <c r="L65" s="14" t="n">
        <v>212</v>
      </c>
      <c r="M65" s="14" t="n">
        <v>26</v>
      </c>
      <c r="N65" s="14" t="n">
        <v>0</v>
      </c>
      <c r="O65" s="14" t="n">
        <v>105</v>
      </c>
    </row>
    <row r="66" customFormat="false" ht="15" hidden="false" customHeight="true" outlineLevel="0" collapsed="false">
      <c r="A66" s="13" t="n">
        <v>2024</v>
      </c>
      <c r="B66" s="13" t="s">
        <v>488</v>
      </c>
      <c r="C66" s="13" t="s">
        <v>492</v>
      </c>
      <c r="D66" s="13" t="s">
        <v>122</v>
      </c>
      <c r="E66" s="13" t="s">
        <v>126</v>
      </c>
      <c r="F66" s="13" t="s">
        <v>357</v>
      </c>
      <c r="G66" s="14" t="n">
        <v>184</v>
      </c>
      <c r="H66" s="14" t="n">
        <v>171</v>
      </c>
      <c r="I66" s="14" t="n">
        <v>15</v>
      </c>
      <c r="J66" s="14" t="n">
        <v>31</v>
      </c>
      <c r="K66" s="14" t="n">
        <v>57</v>
      </c>
      <c r="L66" s="14" t="n">
        <v>60</v>
      </c>
      <c r="M66" s="14" t="n">
        <v>8</v>
      </c>
      <c r="N66" s="14" t="n">
        <v>0</v>
      </c>
      <c r="O66" s="14" t="n">
        <v>13</v>
      </c>
    </row>
    <row r="67" customFormat="false" ht="15" hidden="false" customHeight="true" outlineLevel="0" collapsed="false">
      <c r="A67" s="13" t="n">
        <v>2024</v>
      </c>
      <c r="B67" s="13" t="s">
        <v>488</v>
      </c>
      <c r="C67" s="13" t="s">
        <v>492</v>
      </c>
      <c r="D67" s="13" t="s">
        <v>122</v>
      </c>
      <c r="E67" s="13" t="s">
        <v>202</v>
      </c>
      <c r="F67" s="13" t="s">
        <v>357</v>
      </c>
      <c r="G67" s="14" t="n">
        <v>662</v>
      </c>
      <c r="H67" s="14" t="n">
        <v>549</v>
      </c>
      <c r="I67" s="14" t="n">
        <v>11</v>
      </c>
      <c r="J67" s="14" t="n">
        <v>80</v>
      </c>
      <c r="K67" s="14" t="n">
        <v>213</v>
      </c>
      <c r="L67" s="14" t="n">
        <v>225</v>
      </c>
      <c r="M67" s="14" t="n">
        <v>20</v>
      </c>
      <c r="N67" s="14" t="n">
        <v>0</v>
      </c>
      <c r="O67" s="14" t="n">
        <v>113</v>
      </c>
    </row>
    <row r="68" customFormat="false" ht="15" hidden="false" customHeight="true" outlineLevel="0" collapsed="false">
      <c r="A68" s="13" t="n">
        <v>2024</v>
      </c>
      <c r="B68" s="13" t="s">
        <v>488</v>
      </c>
      <c r="C68" s="13" t="s">
        <v>492</v>
      </c>
      <c r="D68" s="13" t="s">
        <v>122</v>
      </c>
      <c r="E68" s="13" t="s">
        <v>128</v>
      </c>
      <c r="F68" s="13" t="s">
        <v>357</v>
      </c>
      <c r="G68" s="14" t="n">
        <v>2099</v>
      </c>
      <c r="H68" s="14" t="n">
        <v>1667</v>
      </c>
      <c r="I68" s="14" t="n">
        <v>17</v>
      </c>
      <c r="J68" s="14" t="n">
        <v>246</v>
      </c>
      <c r="K68" s="14" t="n">
        <v>738</v>
      </c>
      <c r="L68" s="14" t="n">
        <v>595</v>
      </c>
      <c r="M68" s="14" t="n">
        <v>71</v>
      </c>
      <c r="N68" s="14" t="n">
        <v>0</v>
      </c>
      <c r="O68" s="14" t="n">
        <v>432</v>
      </c>
    </row>
    <row r="69" customFormat="false" ht="15" hidden="false" customHeight="true" outlineLevel="0" collapsed="false">
      <c r="A69" s="13" t="n">
        <v>2024</v>
      </c>
      <c r="B69" s="13" t="s">
        <v>488</v>
      </c>
      <c r="C69" s="13" t="s">
        <v>125</v>
      </c>
      <c r="D69" s="13" t="s">
        <v>124</v>
      </c>
      <c r="E69" s="13" t="s">
        <v>123</v>
      </c>
      <c r="F69" s="13" t="s">
        <v>357</v>
      </c>
      <c r="G69" s="14" t="n">
        <v>985</v>
      </c>
      <c r="H69" s="14" t="n">
        <v>856</v>
      </c>
      <c r="I69" s="14" t="n">
        <v>237</v>
      </c>
      <c r="J69" s="14" t="n">
        <v>229</v>
      </c>
      <c r="K69" s="14" t="n">
        <v>245</v>
      </c>
      <c r="L69" s="14" t="n">
        <v>137</v>
      </c>
      <c r="M69" s="14" t="n">
        <v>8</v>
      </c>
      <c r="N69" s="14" t="n">
        <v>0</v>
      </c>
      <c r="O69" s="14" t="n">
        <v>129</v>
      </c>
    </row>
    <row r="70" customFormat="false" ht="15" hidden="false" customHeight="true" outlineLevel="0" collapsed="false">
      <c r="A70" s="13" t="n">
        <v>2024</v>
      </c>
      <c r="B70" s="13" t="s">
        <v>488</v>
      </c>
      <c r="C70" s="13" t="s">
        <v>125</v>
      </c>
      <c r="D70" s="13" t="s">
        <v>124</v>
      </c>
      <c r="E70" s="13" t="s">
        <v>126</v>
      </c>
      <c r="F70" s="13" t="s">
        <v>357</v>
      </c>
      <c r="G70" s="14" t="n">
        <v>512</v>
      </c>
      <c r="H70" s="14" t="n">
        <v>446</v>
      </c>
      <c r="I70" s="14" t="n">
        <v>47</v>
      </c>
      <c r="J70" s="14" t="n">
        <v>96</v>
      </c>
      <c r="K70" s="14" t="n">
        <v>130</v>
      </c>
      <c r="L70" s="14" t="n">
        <v>148</v>
      </c>
      <c r="M70" s="14" t="n">
        <v>25</v>
      </c>
      <c r="N70" s="14" t="n">
        <v>0</v>
      </c>
      <c r="O70" s="14" t="n">
        <v>66</v>
      </c>
    </row>
    <row r="71" customFormat="false" ht="15" hidden="false" customHeight="true" outlineLevel="0" collapsed="false">
      <c r="A71" s="13" t="n">
        <v>2024</v>
      </c>
      <c r="B71" s="13" t="s">
        <v>488</v>
      </c>
      <c r="C71" s="13" t="s">
        <v>125</v>
      </c>
      <c r="D71" s="13" t="s">
        <v>124</v>
      </c>
      <c r="E71" s="13" t="s">
        <v>202</v>
      </c>
      <c r="F71" s="13" t="s">
        <v>357</v>
      </c>
      <c r="G71" s="14" t="n">
        <v>1017</v>
      </c>
      <c r="H71" s="14" t="n">
        <v>712</v>
      </c>
      <c r="I71" s="14" t="n">
        <v>28</v>
      </c>
      <c r="J71" s="14" t="n">
        <v>77</v>
      </c>
      <c r="K71" s="14" t="n">
        <v>238</v>
      </c>
      <c r="L71" s="14" t="n">
        <v>291</v>
      </c>
      <c r="M71" s="14" t="n">
        <v>75</v>
      </c>
      <c r="N71" s="14" t="n">
        <v>3</v>
      </c>
      <c r="O71" s="14" t="n">
        <v>305</v>
      </c>
    </row>
    <row r="72" customFormat="false" ht="15" hidden="false" customHeight="true" outlineLevel="0" collapsed="false">
      <c r="A72" s="13" t="n">
        <v>2024</v>
      </c>
      <c r="B72" s="13" t="s">
        <v>488</v>
      </c>
      <c r="C72" s="13" t="s">
        <v>125</v>
      </c>
      <c r="D72" s="13" t="s">
        <v>124</v>
      </c>
      <c r="E72" s="13" t="s">
        <v>128</v>
      </c>
      <c r="F72" s="13" t="s">
        <v>357</v>
      </c>
      <c r="G72" s="14" t="n">
        <v>535</v>
      </c>
      <c r="H72" s="14" t="n">
        <v>262</v>
      </c>
      <c r="I72" s="14" t="n">
        <v>3</v>
      </c>
      <c r="J72" s="14" t="n">
        <v>19</v>
      </c>
      <c r="K72" s="14" t="n">
        <v>73</v>
      </c>
      <c r="L72" s="14" t="n">
        <v>126</v>
      </c>
      <c r="M72" s="14" t="n">
        <v>41</v>
      </c>
      <c r="N72" s="14" t="n">
        <v>0</v>
      </c>
      <c r="O72" s="14" t="n">
        <v>273</v>
      </c>
    </row>
    <row r="73" customFormat="false" ht="15" hidden="false" customHeight="true" outlineLevel="0" collapsed="false">
      <c r="A73" s="13" t="n">
        <v>2024</v>
      </c>
      <c r="B73" s="13" t="s">
        <v>488</v>
      </c>
      <c r="C73" s="13" t="s">
        <v>125</v>
      </c>
      <c r="D73" s="13" t="s">
        <v>124</v>
      </c>
      <c r="E73" s="13" t="s">
        <v>203</v>
      </c>
      <c r="F73" s="13" t="s">
        <v>357</v>
      </c>
      <c r="G73" s="14" t="n">
        <v>41</v>
      </c>
      <c r="H73" s="14" t="n">
        <v>17</v>
      </c>
      <c r="I73" s="14" t="n">
        <v>0</v>
      </c>
      <c r="J73" s="14" t="n">
        <v>1</v>
      </c>
      <c r="K73" s="14" t="n">
        <v>5</v>
      </c>
      <c r="L73" s="14" t="n">
        <v>9</v>
      </c>
      <c r="M73" s="14" t="n">
        <v>2</v>
      </c>
      <c r="N73" s="14" t="n">
        <v>0</v>
      </c>
      <c r="O73" s="14" t="n">
        <v>24</v>
      </c>
    </row>
    <row r="74" customFormat="false" ht="15" hidden="false" customHeight="true" outlineLevel="0" collapsed="false">
      <c r="A74" s="13" t="n">
        <v>2024</v>
      </c>
      <c r="B74" s="13" t="s">
        <v>488</v>
      </c>
      <c r="C74" s="13" t="s">
        <v>125</v>
      </c>
      <c r="D74" s="13" t="s">
        <v>122</v>
      </c>
      <c r="E74" s="13" t="s">
        <v>123</v>
      </c>
      <c r="F74" s="13" t="s">
        <v>357</v>
      </c>
      <c r="G74" s="14" t="n">
        <v>2121</v>
      </c>
      <c r="H74" s="14" t="n">
        <v>1937</v>
      </c>
      <c r="I74" s="14" t="n">
        <v>572</v>
      </c>
      <c r="J74" s="14" t="n">
        <v>572</v>
      </c>
      <c r="K74" s="14" t="n">
        <v>518</v>
      </c>
      <c r="L74" s="14" t="n">
        <v>258</v>
      </c>
      <c r="M74" s="14" t="n">
        <v>17</v>
      </c>
      <c r="N74" s="14" t="n">
        <v>0</v>
      </c>
      <c r="O74" s="14" t="n">
        <v>184</v>
      </c>
    </row>
    <row r="75" customFormat="false" ht="15" hidden="false" customHeight="true" outlineLevel="0" collapsed="false">
      <c r="A75" s="13" t="n">
        <v>2024</v>
      </c>
      <c r="B75" s="13" t="s">
        <v>488</v>
      </c>
      <c r="C75" s="13" t="s">
        <v>125</v>
      </c>
      <c r="D75" s="13" t="s">
        <v>122</v>
      </c>
      <c r="E75" s="13" t="s">
        <v>126</v>
      </c>
      <c r="F75" s="13" t="s">
        <v>357</v>
      </c>
      <c r="G75" s="14" t="n">
        <v>280</v>
      </c>
      <c r="H75" s="14" t="n">
        <v>271</v>
      </c>
      <c r="I75" s="14" t="n">
        <v>56</v>
      </c>
      <c r="J75" s="14" t="n">
        <v>62</v>
      </c>
      <c r="K75" s="14" t="n">
        <v>109</v>
      </c>
      <c r="L75" s="14" t="n">
        <v>43</v>
      </c>
      <c r="M75" s="14" t="n">
        <v>1</v>
      </c>
      <c r="N75" s="14" t="n">
        <v>0</v>
      </c>
      <c r="O75" s="14" t="n">
        <v>9</v>
      </c>
    </row>
    <row r="76" customFormat="false" ht="15" hidden="false" customHeight="true" outlineLevel="0" collapsed="false">
      <c r="A76" s="13" t="n">
        <v>2024</v>
      </c>
      <c r="B76" s="13" t="s">
        <v>488</v>
      </c>
      <c r="C76" s="13" t="s">
        <v>125</v>
      </c>
      <c r="D76" s="13" t="s">
        <v>122</v>
      </c>
      <c r="E76" s="13" t="s">
        <v>202</v>
      </c>
      <c r="F76" s="13" t="s">
        <v>357</v>
      </c>
      <c r="G76" s="14" t="n">
        <v>786</v>
      </c>
      <c r="H76" s="14" t="n">
        <v>686</v>
      </c>
      <c r="I76" s="14" t="n">
        <v>53</v>
      </c>
      <c r="J76" s="14" t="n">
        <v>132</v>
      </c>
      <c r="K76" s="14" t="n">
        <v>288</v>
      </c>
      <c r="L76" s="14" t="n">
        <v>189</v>
      </c>
      <c r="M76" s="14" t="n">
        <v>24</v>
      </c>
      <c r="N76" s="14" t="n">
        <v>0</v>
      </c>
      <c r="O76" s="14" t="n">
        <v>100</v>
      </c>
    </row>
    <row r="77" customFormat="false" ht="15" hidden="false" customHeight="true" outlineLevel="0" collapsed="false">
      <c r="A77" s="13" t="n">
        <v>2024</v>
      </c>
      <c r="B77" s="13" t="s">
        <v>488</v>
      </c>
      <c r="C77" s="13" t="s">
        <v>125</v>
      </c>
      <c r="D77" s="13" t="s">
        <v>122</v>
      </c>
      <c r="E77" s="13" t="s">
        <v>128</v>
      </c>
      <c r="F77" s="13" t="s">
        <v>357</v>
      </c>
      <c r="G77" s="14" t="n">
        <v>667</v>
      </c>
      <c r="H77" s="14" t="n">
        <v>547</v>
      </c>
      <c r="I77" s="14" t="n">
        <v>30</v>
      </c>
      <c r="J77" s="14" t="n">
        <v>134</v>
      </c>
      <c r="K77" s="14" t="n">
        <v>245</v>
      </c>
      <c r="L77" s="14" t="n">
        <v>121</v>
      </c>
      <c r="M77" s="14" t="n">
        <v>16</v>
      </c>
      <c r="N77" s="14" t="n">
        <v>1</v>
      </c>
      <c r="O77" s="14" t="n">
        <v>120</v>
      </c>
    </row>
    <row r="78" customFormat="false" ht="15" hidden="false" customHeight="true" outlineLevel="0" collapsed="false">
      <c r="A78" s="13" t="n">
        <v>2024</v>
      </c>
      <c r="B78" s="13" t="s">
        <v>488</v>
      </c>
      <c r="C78" s="13" t="s">
        <v>125</v>
      </c>
      <c r="D78" s="13" t="s">
        <v>122</v>
      </c>
      <c r="E78" s="13" t="s">
        <v>203</v>
      </c>
      <c r="F78" s="13" t="s">
        <v>357</v>
      </c>
      <c r="G78" s="14" t="n">
        <v>7</v>
      </c>
      <c r="H78" s="14" t="n">
        <v>7</v>
      </c>
      <c r="I78" s="14" t="n">
        <v>0</v>
      </c>
      <c r="J78" s="14" t="n">
        <v>3</v>
      </c>
      <c r="K78" s="14" t="n">
        <v>2</v>
      </c>
      <c r="L78" s="14" t="n">
        <v>2</v>
      </c>
      <c r="M78" s="14" t="n">
        <v>0</v>
      </c>
      <c r="N78" s="14" t="n">
        <v>0</v>
      </c>
      <c r="O78" s="14" t="n">
        <v>0</v>
      </c>
    </row>
    <row r="79" customFormat="false" ht="15" hidden="false" customHeight="true" outlineLevel="0" collapsed="false">
      <c r="A79" s="13" t="n">
        <v>2025</v>
      </c>
      <c r="B79" s="13" t="s">
        <v>484</v>
      </c>
      <c r="C79" s="13" t="s">
        <v>492</v>
      </c>
      <c r="D79" s="13" t="s">
        <v>124</v>
      </c>
      <c r="E79" s="13" t="s">
        <v>123</v>
      </c>
      <c r="F79" s="13" t="s">
        <v>357</v>
      </c>
      <c r="G79" s="14" t="n">
        <v>83</v>
      </c>
      <c r="H79" s="14" t="n">
        <v>64</v>
      </c>
      <c r="I79" s="14" t="n">
        <v>6</v>
      </c>
      <c r="J79" s="14" t="n">
        <v>10</v>
      </c>
      <c r="K79" s="14" t="n">
        <v>23</v>
      </c>
      <c r="L79" s="14" t="n">
        <v>23</v>
      </c>
      <c r="M79" s="14" t="n">
        <v>2</v>
      </c>
      <c r="N79" s="14" t="n">
        <v>0</v>
      </c>
      <c r="O79" s="14" t="n">
        <v>19</v>
      </c>
    </row>
    <row r="80" customFormat="false" ht="15" hidden="false" customHeight="true" outlineLevel="0" collapsed="false">
      <c r="A80" s="13" t="n">
        <v>2025</v>
      </c>
      <c r="B80" s="13" t="s">
        <v>484</v>
      </c>
      <c r="C80" s="13" t="s">
        <v>492</v>
      </c>
      <c r="D80" s="13" t="s">
        <v>124</v>
      </c>
      <c r="E80" s="13" t="s">
        <v>126</v>
      </c>
      <c r="F80" s="13" t="s">
        <v>357</v>
      </c>
      <c r="G80" s="14" t="n">
        <v>30</v>
      </c>
      <c r="H80" s="14" t="n">
        <v>21</v>
      </c>
      <c r="I80" s="14" t="n">
        <v>1</v>
      </c>
      <c r="J80" s="14" t="n">
        <v>7</v>
      </c>
      <c r="K80" s="14" t="n">
        <v>7</v>
      </c>
      <c r="L80" s="14" t="n">
        <v>6</v>
      </c>
      <c r="M80" s="14" t="n">
        <v>0</v>
      </c>
      <c r="N80" s="14" t="n">
        <v>0</v>
      </c>
      <c r="O80" s="14" t="n">
        <v>9</v>
      </c>
    </row>
    <row r="81" customFormat="false" ht="15" hidden="false" customHeight="true" outlineLevel="0" collapsed="false">
      <c r="A81" s="13" t="n">
        <v>2025</v>
      </c>
      <c r="B81" s="13" t="s">
        <v>484</v>
      </c>
      <c r="C81" s="13" t="s">
        <v>492</v>
      </c>
      <c r="D81" s="13" t="s">
        <v>124</v>
      </c>
      <c r="E81" s="13" t="s">
        <v>202</v>
      </c>
      <c r="F81" s="13" t="s">
        <v>357</v>
      </c>
      <c r="G81" s="14" t="n">
        <v>213</v>
      </c>
      <c r="H81" s="14" t="n">
        <v>124</v>
      </c>
      <c r="I81" s="14" t="n">
        <v>3</v>
      </c>
      <c r="J81" s="14" t="n">
        <v>14</v>
      </c>
      <c r="K81" s="14" t="n">
        <v>37</v>
      </c>
      <c r="L81" s="14" t="n">
        <v>52</v>
      </c>
      <c r="M81" s="14" t="n">
        <v>18</v>
      </c>
      <c r="N81" s="14" t="n">
        <v>0</v>
      </c>
      <c r="O81" s="14" t="n">
        <v>89</v>
      </c>
    </row>
    <row r="82" customFormat="false" ht="15" hidden="false" customHeight="true" outlineLevel="0" collapsed="false">
      <c r="A82" s="13" t="n">
        <v>2025</v>
      </c>
      <c r="B82" s="13" t="s">
        <v>484</v>
      </c>
      <c r="C82" s="13" t="s">
        <v>492</v>
      </c>
      <c r="D82" s="13" t="s">
        <v>124</v>
      </c>
      <c r="E82" s="13" t="s">
        <v>128</v>
      </c>
      <c r="F82" s="13" t="s">
        <v>357</v>
      </c>
      <c r="G82" s="14" t="n">
        <v>862</v>
      </c>
      <c r="H82" s="14" t="n">
        <v>530</v>
      </c>
      <c r="I82" s="14" t="n">
        <v>9</v>
      </c>
      <c r="J82" s="14" t="n">
        <v>86</v>
      </c>
      <c r="K82" s="14" t="n">
        <v>177</v>
      </c>
      <c r="L82" s="14" t="n">
        <v>208</v>
      </c>
      <c r="M82" s="14" t="n">
        <v>50</v>
      </c>
      <c r="N82" s="14" t="n">
        <v>0</v>
      </c>
      <c r="O82" s="14" t="n">
        <v>332</v>
      </c>
    </row>
    <row r="83" customFormat="false" ht="15" hidden="false" customHeight="true" outlineLevel="0" collapsed="false">
      <c r="A83" s="13" t="n">
        <v>2025</v>
      </c>
      <c r="B83" s="13" t="s">
        <v>484</v>
      </c>
      <c r="C83" s="13" t="s">
        <v>492</v>
      </c>
      <c r="D83" s="13" t="s">
        <v>124</v>
      </c>
      <c r="E83" s="13" t="s">
        <v>203</v>
      </c>
      <c r="F83" s="13" t="s">
        <v>357</v>
      </c>
      <c r="G83" s="14" t="n">
        <v>20</v>
      </c>
      <c r="H83" s="14" t="n">
        <v>7</v>
      </c>
      <c r="I83" s="14" t="n">
        <v>0</v>
      </c>
      <c r="J83" s="14" t="n">
        <v>0</v>
      </c>
      <c r="K83" s="14" t="n">
        <v>2</v>
      </c>
      <c r="L83" s="14" t="n">
        <v>3</v>
      </c>
      <c r="M83" s="14" t="n">
        <v>2</v>
      </c>
      <c r="N83" s="14" t="n">
        <v>0</v>
      </c>
      <c r="O83" s="14" t="n">
        <v>13</v>
      </c>
    </row>
    <row r="84" customFormat="false" ht="15" hidden="false" customHeight="true" outlineLevel="0" collapsed="false">
      <c r="A84" s="13" t="n">
        <v>2025</v>
      </c>
      <c r="B84" s="13" t="s">
        <v>484</v>
      </c>
      <c r="C84" s="13" t="s">
        <v>492</v>
      </c>
      <c r="D84" s="13" t="s">
        <v>122</v>
      </c>
      <c r="E84" s="13" t="s">
        <v>123</v>
      </c>
      <c r="F84" s="13" t="s">
        <v>357</v>
      </c>
      <c r="G84" s="14" t="n">
        <v>212</v>
      </c>
      <c r="H84" s="14" t="n">
        <v>189</v>
      </c>
      <c r="I84" s="14" t="n">
        <v>7</v>
      </c>
      <c r="J84" s="14" t="n">
        <v>46</v>
      </c>
      <c r="K84" s="14" t="n">
        <v>90</v>
      </c>
      <c r="L84" s="14" t="n">
        <v>46</v>
      </c>
      <c r="M84" s="14" t="n">
        <v>0</v>
      </c>
      <c r="N84" s="14" t="n">
        <v>0</v>
      </c>
      <c r="O84" s="14" t="n">
        <v>23</v>
      </c>
    </row>
    <row r="85" customFormat="false" ht="15" hidden="false" customHeight="true" outlineLevel="0" collapsed="false">
      <c r="A85" s="13" t="n">
        <v>2025</v>
      </c>
      <c r="B85" s="13" t="s">
        <v>484</v>
      </c>
      <c r="C85" s="13" t="s">
        <v>492</v>
      </c>
      <c r="D85" s="13" t="s">
        <v>122</v>
      </c>
      <c r="E85" s="13" t="s">
        <v>126</v>
      </c>
      <c r="F85" s="13" t="s">
        <v>357</v>
      </c>
      <c r="G85" s="14" t="n">
        <v>16</v>
      </c>
      <c r="H85" s="14" t="n">
        <v>15</v>
      </c>
      <c r="I85" s="14" t="n">
        <v>0</v>
      </c>
      <c r="J85" s="14" t="n">
        <v>3</v>
      </c>
      <c r="K85" s="14" t="n">
        <v>6</v>
      </c>
      <c r="L85" s="14" t="n">
        <v>6</v>
      </c>
      <c r="M85" s="14" t="n">
        <v>0</v>
      </c>
      <c r="N85" s="14" t="n">
        <v>0</v>
      </c>
      <c r="O85" s="14" t="n">
        <v>1</v>
      </c>
    </row>
    <row r="86" customFormat="false" ht="15" hidden="false" customHeight="true" outlineLevel="0" collapsed="false">
      <c r="A86" s="13" t="n">
        <v>2025</v>
      </c>
      <c r="B86" s="13" t="s">
        <v>484</v>
      </c>
      <c r="C86" s="13" t="s">
        <v>492</v>
      </c>
      <c r="D86" s="13" t="s">
        <v>122</v>
      </c>
      <c r="E86" s="13" t="s">
        <v>202</v>
      </c>
      <c r="F86" s="13" t="s">
        <v>357</v>
      </c>
      <c r="G86" s="14" t="n">
        <v>179</v>
      </c>
      <c r="H86" s="14" t="n">
        <v>161</v>
      </c>
      <c r="I86" s="14" t="n">
        <v>6</v>
      </c>
      <c r="J86" s="14" t="n">
        <v>29</v>
      </c>
      <c r="K86" s="14" t="n">
        <v>73</v>
      </c>
      <c r="L86" s="14" t="n">
        <v>49</v>
      </c>
      <c r="M86" s="14" t="n">
        <v>4</v>
      </c>
      <c r="N86" s="14" t="n">
        <v>0</v>
      </c>
      <c r="O86" s="14" t="n">
        <v>18</v>
      </c>
    </row>
    <row r="87" customFormat="false" ht="15" hidden="false" customHeight="true" outlineLevel="0" collapsed="false">
      <c r="A87" s="13" t="n">
        <v>2025</v>
      </c>
      <c r="B87" s="13" t="s">
        <v>484</v>
      </c>
      <c r="C87" s="13" t="s">
        <v>492</v>
      </c>
      <c r="D87" s="13" t="s">
        <v>122</v>
      </c>
      <c r="E87" s="13" t="s">
        <v>128</v>
      </c>
      <c r="F87" s="13" t="s">
        <v>357</v>
      </c>
      <c r="G87" s="14" t="n">
        <v>1058</v>
      </c>
      <c r="H87" s="14" t="n">
        <v>880</v>
      </c>
      <c r="I87" s="14" t="n">
        <v>25</v>
      </c>
      <c r="J87" s="14" t="n">
        <v>225</v>
      </c>
      <c r="K87" s="14" t="n">
        <v>383</v>
      </c>
      <c r="L87" s="14" t="n">
        <v>230</v>
      </c>
      <c r="M87" s="14" t="n">
        <v>17</v>
      </c>
      <c r="N87" s="14" t="n">
        <v>0</v>
      </c>
      <c r="O87" s="14" t="n">
        <v>178</v>
      </c>
    </row>
    <row r="88" customFormat="false" ht="15" hidden="false" customHeight="true" outlineLevel="0" collapsed="false">
      <c r="A88" s="13" t="n">
        <v>2025</v>
      </c>
      <c r="B88" s="13" t="s">
        <v>484</v>
      </c>
      <c r="C88" s="13" t="s">
        <v>125</v>
      </c>
      <c r="D88" s="13" t="s">
        <v>124</v>
      </c>
      <c r="E88" s="13" t="s">
        <v>123</v>
      </c>
      <c r="F88" s="13" t="s">
        <v>357</v>
      </c>
      <c r="G88" s="14" t="n">
        <v>294</v>
      </c>
      <c r="H88" s="14" t="n">
        <v>255</v>
      </c>
      <c r="I88" s="14" t="n">
        <v>78</v>
      </c>
      <c r="J88" s="14" t="n">
        <v>63</v>
      </c>
      <c r="K88" s="14" t="n">
        <v>72</v>
      </c>
      <c r="L88" s="14" t="n">
        <v>41</v>
      </c>
      <c r="M88" s="14" t="n">
        <v>1</v>
      </c>
      <c r="N88" s="14" t="n">
        <v>0</v>
      </c>
      <c r="O88" s="14" t="n">
        <v>39</v>
      </c>
    </row>
    <row r="89" customFormat="false" ht="15" hidden="false" customHeight="true" outlineLevel="0" collapsed="false">
      <c r="A89" s="13" t="n">
        <v>2025</v>
      </c>
      <c r="B89" s="13" t="s">
        <v>484</v>
      </c>
      <c r="C89" s="13" t="s">
        <v>125</v>
      </c>
      <c r="D89" s="13" t="s">
        <v>124</v>
      </c>
      <c r="E89" s="13" t="s">
        <v>126</v>
      </c>
      <c r="F89" s="13" t="s">
        <v>357</v>
      </c>
      <c r="G89" s="14" t="n">
        <v>102</v>
      </c>
      <c r="H89" s="14" t="n">
        <v>89</v>
      </c>
      <c r="I89" s="14" t="n">
        <v>18</v>
      </c>
      <c r="J89" s="14" t="n">
        <v>30</v>
      </c>
      <c r="K89" s="14" t="n">
        <v>28</v>
      </c>
      <c r="L89" s="14" t="n">
        <v>13</v>
      </c>
      <c r="M89" s="14" t="n">
        <v>0</v>
      </c>
      <c r="N89" s="14" t="n">
        <v>0</v>
      </c>
      <c r="O89" s="14" t="n">
        <v>13</v>
      </c>
    </row>
    <row r="90" customFormat="false" ht="15" hidden="false" customHeight="true" outlineLevel="0" collapsed="false">
      <c r="A90" s="13" t="n">
        <v>2025</v>
      </c>
      <c r="B90" s="13" t="s">
        <v>484</v>
      </c>
      <c r="C90" s="13" t="s">
        <v>125</v>
      </c>
      <c r="D90" s="13" t="s">
        <v>124</v>
      </c>
      <c r="E90" s="13" t="s">
        <v>202</v>
      </c>
      <c r="F90" s="13" t="s">
        <v>357</v>
      </c>
      <c r="G90" s="14" t="n">
        <v>474</v>
      </c>
      <c r="H90" s="14" t="n">
        <v>363</v>
      </c>
      <c r="I90" s="14" t="n">
        <v>42</v>
      </c>
      <c r="J90" s="14" t="n">
        <v>65</v>
      </c>
      <c r="K90" s="14" t="n">
        <v>129</v>
      </c>
      <c r="L90" s="14" t="n">
        <v>104</v>
      </c>
      <c r="M90" s="14" t="n">
        <v>23</v>
      </c>
      <c r="N90" s="14" t="n">
        <v>0</v>
      </c>
      <c r="O90" s="14" t="n">
        <v>111</v>
      </c>
    </row>
    <row r="91" customFormat="false" ht="15" hidden="false" customHeight="true" outlineLevel="0" collapsed="false">
      <c r="A91" s="13" t="n">
        <v>2025</v>
      </c>
      <c r="B91" s="13" t="s">
        <v>484</v>
      </c>
      <c r="C91" s="13" t="s">
        <v>125</v>
      </c>
      <c r="D91" s="13" t="s">
        <v>124</v>
      </c>
      <c r="E91" s="13" t="s">
        <v>128</v>
      </c>
      <c r="F91" s="13" t="s">
        <v>357</v>
      </c>
      <c r="G91" s="14" t="n">
        <v>645</v>
      </c>
      <c r="H91" s="14" t="n">
        <v>426</v>
      </c>
      <c r="I91" s="14" t="n">
        <v>13</v>
      </c>
      <c r="J91" s="14" t="n">
        <v>66</v>
      </c>
      <c r="K91" s="14" t="n">
        <v>182</v>
      </c>
      <c r="L91" s="14" t="n">
        <v>147</v>
      </c>
      <c r="M91" s="14" t="n">
        <v>18</v>
      </c>
      <c r="N91" s="14" t="n">
        <v>0</v>
      </c>
      <c r="O91" s="14" t="n">
        <v>219</v>
      </c>
    </row>
    <row r="92" customFormat="false" ht="15" hidden="false" customHeight="true" outlineLevel="0" collapsed="false">
      <c r="A92" s="13" t="n">
        <v>2025</v>
      </c>
      <c r="B92" s="13" t="s">
        <v>484</v>
      </c>
      <c r="C92" s="13" t="s">
        <v>125</v>
      </c>
      <c r="D92" s="13" t="s">
        <v>124</v>
      </c>
      <c r="E92" s="13" t="s">
        <v>203</v>
      </c>
      <c r="F92" s="13" t="s">
        <v>357</v>
      </c>
      <c r="G92" s="14" t="n">
        <v>5</v>
      </c>
      <c r="H92" s="14" t="n">
        <v>5</v>
      </c>
      <c r="I92" s="14" t="n">
        <v>0</v>
      </c>
      <c r="J92" s="14" t="n">
        <v>2</v>
      </c>
      <c r="K92" s="14" t="n">
        <v>2</v>
      </c>
      <c r="L92" s="14" t="n">
        <v>0</v>
      </c>
      <c r="M92" s="14" t="n">
        <v>1</v>
      </c>
      <c r="N92" s="14" t="n">
        <v>0</v>
      </c>
      <c r="O92" s="14" t="n">
        <v>0</v>
      </c>
    </row>
    <row r="93" customFormat="false" ht="15" hidden="false" customHeight="true" outlineLevel="0" collapsed="false">
      <c r="A93" s="13" t="n">
        <v>2025</v>
      </c>
      <c r="B93" s="13" t="s">
        <v>484</v>
      </c>
      <c r="C93" s="13" t="s">
        <v>125</v>
      </c>
      <c r="D93" s="13" t="s">
        <v>122</v>
      </c>
      <c r="E93" s="13" t="s">
        <v>123</v>
      </c>
      <c r="F93" s="13" t="s">
        <v>357</v>
      </c>
      <c r="G93" s="14" t="n">
        <v>707</v>
      </c>
      <c r="H93" s="14" t="n">
        <v>668</v>
      </c>
      <c r="I93" s="14" t="n">
        <v>156</v>
      </c>
      <c r="J93" s="14" t="n">
        <v>219</v>
      </c>
      <c r="K93" s="14" t="n">
        <v>219</v>
      </c>
      <c r="L93" s="14" t="n">
        <v>72</v>
      </c>
      <c r="M93" s="14" t="n">
        <v>2</v>
      </c>
      <c r="N93" s="14" t="n">
        <v>0</v>
      </c>
      <c r="O93" s="14" t="n">
        <v>39</v>
      </c>
    </row>
    <row r="94" customFormat="false" ht="15" hidden="false" customHeight="true" outlineLevel="0" collapsed="false">
      <c r="A94" s="13" t="n">
        <v>2025</v>
      </c>
      <c r="B94" s="13" t="s">
        <v>484</v>
      </c>
      <c r="C94" s="13" t="s">
        <v>125</v>
      </c>
      <c r="D94" s="13" t="s">
        <v>122</v>
      </c>
      <c r="E94" s="13" t="s">
        <v>126</v>
      </c>
      <c r="F94" s="13" t="s">
        <v>357</v>
      </c>
      <c r="G94" s="14" t="n">
        <v>59</v>
      </c>
      <c r="H94" s="14" t="n">
        <v>57</v>
      </c>
      <c r="I94" s="14" t="n">
        <v>17</v>
      </c>
      <c r="J94" s="14" t="n">
        <v>19</v>
      </c>
      <c r="K94" s="14" t="n">
        <v>14</v>
      </c>
      <c r="L94" s="14" t="n">
        <v>7</v>
      </c>
      <c r="M94" s="14" t="n">
        <v>0</v>
      </c>
      <c r="N94" s="14" t="n">
        <v>0</v>
      </c>
      <c r="O94" s="14" t="n">
        <v>2</v>
      </c>
    </row>
    <row r="95" customFormat="false" ht="15" hidden="false" customHeight="true" outlineLevel="0" collapsed="false">
      <c r="A95" s="13" t="n">
        <v>2025</v>
      </c>
      <c r="B95" s="13" t="s">
        <v>484</v>
      </c>
      <c r="C95" s="13" t="s">
        <v>125</v>
      </c>
      <c r="D95" s="13" t="s">
        <v>122</v>
      </c>
      <c r="E95" s="13" t="s">
        <v>202</v>
      </c>
      <c r="F95" s="13" t="s">
        <v>357</v>
      </c>
      <c r="G95" s="14" t="n">
        <v>344</v>
      </c>
      <c r="H95" s="14" t="n">
        <v>331</v>
      </c>
      <c r="I95" s="14" t="n">
        <v>41</v>
      </c>
      <c r="J95" s="14" t="n">
        <v>107</v>
      </c>
      <c r="K95" s="14" t="n">
        <v>127</v>
      </c>
      <c r="L95" s="14" t="n">
        <v>51</v>
      </c>
      <c r="M95" s="14" t="n">
        <v>5</v>
      </c>
      <c r="N95" s="14" t="n">
        <v>0</v>
      </c>
      <c r="O95" s="14" t="n">
        <v>13</v>
      </c>
    </row>
    <row r="96" customFormat="false" ht="15" hidden="false" customHeight="true" outlineLevel="0" collapsed="false">
      <c r="A96" s="13" t="n">
        <v>2025</v>
      </c>
      <c r="B96" s="13" t="s">
        <v>484</v>
      </c>
      <c r="C96" s="13" t="s">
        <v>125</v>
      </c>
      <c r="D96" s="13" t="s">
        <v>122</v>
      </c>
      <c r="E96" s="13" t="s">
        <v>128</v>
      </c>
      <c r="F96" s="13" t="s">
        <v>357</v>
      </c>
      <c r="G96" s="14" t="n">
        <v>395</v>
      </c>
      <c r="H96" s="14" t="n">
        <v>374</v>
      </c>
      <c r="I96" s="14" t="n">
        <v>58</v>
      </c>
      <c r="J96" s="14" t="n">
        <v>155</v>
      </c>
      <c r="K96" s="14" t="n">
        <v>120</v>
      </c>
      <c r="L96" s="14" t="n">
        <v>40</v>
      </c>
      <c r="M96" s="14" t="n">
        <v>1</v>
      </c>
      <c r="N96" s="14" t="n">
        <v>0</v>
      </c>
      <c r="O96" s="14" t="n">
        <v>21</v>
      </c>
    </row>
    <row r="97" customFormat="false" ht="15" hidden="false" customHeight="true" outlineLevel="0" collapsed="false">
      <c r="A97" s="13" t="n">
        <v>2025</v>
      </c>
      <c r="B97" s="13" t="s">
        <v>484</v>
      </c>
      <c r="C97" s="13" t="s">
        <v>125</v>
      </c>
      <c r="D97" s="13" t="s">
        <v>122</v>
      </c>
      <c r="E97" s="13" t="s">
        <v>203</v>
      </c>
      <c r="F97" s="13" t="s">
        <v>357</v>
      </c>
      <c r="G97" s="14" t="n">
        <v>5</v>
      </c>
      <c r="H97" s="14" t="n">
        <v>3</v>
      </c>
      <c r="I97" s="14" t="n">
        <v>0</v>
      </c>
      <c r="J97" s="14" t="n">
        <v>2</v>
      </c>
      <c r="K97" s="14" t="n">
        <v>1</v>
      </c>
      <c r="L97" s="14" t="n">
        <v>0</v>
      </c>
      <c r="M97" s="14" t="n">
        <v>0</v>
      </c>
      <c r="N97" s="14" t="n">
        <v>0</v>
      </c>
      <c r="O97" s="14" t="n">
        <v>2</v>
      </c>
    </row>
    <row r="98" customFormat="false" ht="15" hidden="false" customHeight="true" outlineLevel="0" collapsed="false">
      <c r="A98" s="13" t="n">
        <v>2025</v>
      </c>
      <c r="B98" s="13" t="s">
        <v>24</v>
      </c>
      <c r="C98" s="13" t="s">
        <v>492</v>
      </c>
      <c r="D98" s="13" t="s">
        <v>124</v>
      </c>
      <c r="E98" s="13" t="s">
        <v>123</v>
      </c>
      <c r="F98" s="13" t="s">
        <v>357</v>
      </c>
      <c r="G98" s="14" t="n">
        <v>728</v>
      </c>
      <c r="H98" s="14" t="n">
        <v>576</v>
      </c>
      <c r="I98" s="14" t="n">
        <v>73</v>
      </c>
      <c r="J98" s="14" t="n">
        <v>99</v>
      </c>
      <c r="K98" s="14" t="n">
        <v>214</v>
      </c>
      <c r="L98" s="14" t="n">
        <v>172</v>
      </c>
      <c r="M98" s="14" t="n">
        <v>18</v>
      </c>
      <c r="N98" s="14" t="n">
        <v>0</v>
      </c>
      <c r="O98" s="14" t="n">
        <v>152</v>
      </c>
    </row>
    <row r="99" customFormat="false" ht="15" hidden="false" customHeight="true" outlineLevel="0" collapsed="false">
      <c r="A99" s="13" t="n">
        <v>2025</v>
      </c>
      <c r="B99" s="13" t="s">
        <v>24</v>
      </c>
      <c r="C99" s="13" t="s">
        <v>492</v>
      </c>
      <c r="D99" s="13" t="s">
        <v>124</v>
      </c>
      <c r="E99" s="13" t="s">
        <v>126</v>
      </c>
      <c r="F99" s="13" t="s">
        <v>357</v>
      </c>
      <c r="G99" s="14" t="n">
        <v>373</v>
      </c>
      <c r="H99" s="14" t="n">
        <v>314</v>
      </c>
      <c r="I99" s="14" t="n">
        <v>29</v>
      </c>
      <c r="J99" s="14" t="n">
        <v>64</v>
      </c>
      <c r="K99" s="14" t="n">
        <v>101</v>
      </c>
      <c r="L99" s="14" t="n">
        <v>102</v>
      </c>
      <c r="M99" s="14" t="n">
        <v>18</v>
      </c>
      <c r="N99" s="14" t="n">
        <v>0</v>
      </c>
      <c r="O99" s="14" t="n">
        <v>59</v>
      </c>
    </row>
    <row r="100" customFormat="false" ht="15" hidden="false" customHeight="true" outlineLevel="0" collapsed="false">
      <c r="A100" s="13" t="n">
        <v>2025</v>
      </c>
      <c r="B100" s="13" t="s">
        <v>24</v>
      </c>
      <c r="C100" s="13" t="s">
        <v>492</v>
      </c>
      <c r="D100" s="13" t="s">
        <v>124</v>
      </c>
      <c r="E100" s="13" t="s">
        <v>202</v>
      </c>
      <c r="F100" s="13" t="s">
        <v>357</v>
      </c>
      <c r="G100" s="14" t="n">
        <v>1872</v>
      </c>
      <c r="H100" s="14" t="n">
        <v>1367</v>
      </c>
      <c r="I100" s="14" t="n">
        <v>49</v>
      </c>
      <c r="J100" s="14" t="n">
        <v>183</v>
      </c>
      <c r="K100" s="14" t="n">
        <v>427</v>
      </c>
      <c r="L100" s="14" t="n">
        <v>555</v>
      </c>
      <c r="M100" s="14" t="n">
        <v>153</v>
      </c>
      <c r="N100" s="14" t="n">
        <v>0</v>
      </c>
      <c r="O100" s="14" t="n">
        <v>505</v>
      </c>
    </row>
    <row r="101" customFormat="false" ht="15" hidden="false" customHeight="true" outlineLevel="0" collapsed="false">
      <c r="A101" s="13" t="n">
        <v>2025</v>
      </c>
      <c r="B101" s="13" t="s">
        <v>24</v>
      </c>
      <c r="C101" s="13" t="s">
        <v>492</v>
      </c>
      <c r="D101" s="13" t="s">
        <v>124</v>
      </c>
      <c r="E101" s="13" t="s">
        <v>128</v>
      </c>
      <c r="F101" s="13" t="s">
        <v>357</v>
      </c>
      <c r="G101" s="14" t="n">
        <v>2405</v>
      </c>
      <c r="H101" s="14" t="n">
        <v>1104</v>
      </c>
      <c r="I101" s="14" t="n">
        <v>6</v>
      </c>
      <c r="J101" s="14" t="n">
        <v>71</v>
      </c>
      <c r="K101" s="14" t="n">
        <v>318</v>
      </c>
      <c r="L101" s="14" t="n">
        <v>522</v>
      </c>
      <c r="M101" s="14" t="n">
        <v>185</v>
      </c>
      <c r="N101" s="14" t="n">
        <v>2</v>
      </c>
      <c r="O101" s="14" t="n">
        <v>1301</v>
      </c>
    </row>
    <row r="102" customFormat="false" ht="15" hidden="false" customHeight="true" outlineLevel="0" collapsed="false">
      <c r="A102" s="13" t="n">
        <v>2025</v>
      </c>
      <c r="B102" s="13" t="s">
        <v>24</v>
      </c>
      <c r="C102" s="13" t="s">
        <v>492</v>
      </c>
      <c r="D102" s="13" t="s">
        <v>124</v>
      </c>
      <c r="E102" s="13" t="s">
        <v>203</v>
      </c>
      <c r="F102" s="13" t="s">
        <v>357</v>
      </c>
      <c r="G102" s="14" t="n">
        <v>604</v>
      </c>
      <c r="H102" s="14" t="n">
        <v>420</v>
      </c>
      <c r="I102" s="14" t="n">
        <v>4</v>
      </c>
      <c r="J102" s="14" t="n">
        <v>22</v>
      </c>
      <c r="K102" s="14" t="n">
        <v>100</v>
      </c>
      <c r="L102" s="14" t="n">
        <v>202</v>
      </c>
      <c r="M102" s="14" t="n">
        <v>91</v>
      </c>
      <c r="N102" s="14" t="n">
        <v>1</v>
      </c>
      <c r="O102" s="14" t="n">
        <v>184</v>
      </c>
    </row>
    <row r="103" customFormat="false" ht="15" hidden="false" customHeight="true" outlineLevel="0" collapsed="false">
      <c r="A103" s="13" t="n">
        <v>2025</v>
      </c>
      <c r="B103" s="13" t="s">
        <v>24</v>
      </c>
      <c r="C103" s="13" t="s">
        <v>492</v>
      </c>
      <c r="D103" s="13" t="s">
        <v>122</v>
      </c>
      <c r="E103" s="13" t="s">
        <v>123</v>
      </c>
      <c r="F103" s="13" t="s">
        <v>357</v>
      </c>
      <c r="G103" s="14" t="n">
        <v>2858</v>
      </c>
      <c r="H103" s="14" t="n">
        <v>2483</v>
      </c>
      <c r="I103" s="14" t="n">
        <v>260</v>
      </c>
      <c r="J103" s="14" t="n">
        <v>563</v>
      </c>
      <c r="K103" s="14" t="n">
        <v>965</v>
      </c>
      <c r="L103" s="14" t="n">
        <v>652</v>
      </c>
      <c r="M103" s="14" t="n">
        <v>43</v>
      </c>
      <c r="N103" s="14" t="n">
        <v>0</v>
      </c>
      <c r="O103" s="14" t="n">
        <v>375</v>
      </c>
    </row>
    <row r="104" customFormat="false" ht="15" hidden="false" customHeight="true" outlineLevel="0" collapsed="false">
      <c r="A104" s="13" t="n">
        <v>2025</v>
      </c>
      <c r="B104" s="13" t="s">
        <v>24</v>
      </c>
      <c r="C104" s="13" t="s">
        <v>492</v>
      </c>
      <c r="D104" s="13" t="s">
        <v>122</v>
      </c>
      <c r="E104" s="13" t="s">
        <v>126</v>
      </c>
      <c r="F104" s="13" t="s">
        <v>357</v>
      </c>
      <c r="G104" s="14" t="n">
        <v>422</v>
      </c>
      <c r="H104" s="14" t="n">
        <v>381</v>
      </c>
      <c r="I104" s="14" t="n">
        <v>56</v>
      </c>
      <c r="J104" s="14" t="n">
        <v>84</v>
      </c>
      <c r="K104" s="14" t="n">
        <v>136</v>
      </c>
      <c r="L104" s="14" t="n">
        <v>99</v>
      </c>
      <c r="M104" s="14" t="n">
        <v>6</v>
      </c>
      <c r="N104" s="14" t="n">
        <v>0</v>
      </c>
      <c r="O104" s="14" t="n">
        <v>41</v>
      </c>
    </row>
    <row r="105" customFormat="false" ht="15" hidden="false" customHeight="true" outlineLevel="0" collapsed="false">
      <c r="A105" s="13" t="n">
        <v>2025</v>
      </c>
      <c r="B105" s="13" t="s">
        <v>24</v>
      </c>
      <c r="C105" s="13" t="s">
        <v>492</v>
      </c>
      <c r="D105" s="13" t="s">
        <v>122</v>
      </c>
      <c r="E105" s="13" t="s">
        <v>202</v>
      </c>
      <c r="F105" s="13" t="s">
        <v>357</v>
      </c>
      <c r="G105" s="14" t="n">
        <v>2931</v>
      </c>
      <c r="H105" s="14" t="n">
        <v>2382</v>
      </c>
      <c r="I105" s="14" t="n">
        <v>111</v>
      </c>
      <c r="J105" s="14" t="n">
        <v>435</v>
      </c>
      <c r="K105" s="14" t="n">
        <v>940</v>
      </c>
      <c r="L105" s="14" t="n">
        <v>802</v>
      </c>
      <c r="M105" s="14" t="n">
        <v>94</v>
      </c>
      <c r="N105" s="14" t="n">
        <v>0</v>
      </c>
      <c r="O105" s="14" t="n">
        <v>549</v>
      </c>
    </row>
    <row r="106" customFormat="false" ht="15" hidden="false" customHeight="true" outlineLevel="0" collapsed="false">
      <c r="A106" s="13" t="n">
        <v>2025</v>
      </c>
      <c r="B106" s="13" t="s">
        <v>24</v>
      </c>
      <c r="C106" s="13" t="s">
        <v>492</v>
      </c>
      <c r="D106" s="13" t="s">
        <v>122</v>
      </c>
      <c r="E106" s="13" t="s">
        <v>128</v>
      </c>
      <c r="F106" s="13" t="s">
        <v>357</v>
      </c>
      <c r="G106" s="14" t="n">
        <v>9125</v>
      </c>
      <c r="H106" s="14" t="n">
        <v>6788</v>
      </c>
      <c r="I106" s="14" t="n">
        <v>196</v>
      </c>
      <c r="J106" s="14" t="n">
        <v>1209</v>
      </c>
      <c r="K106" s="14" t="n">
        <v>2663</v>
      </c>
      <c r="L106" s="14" t="n">
        <v>2278</v>
      </c>
      <c r="M106" s="14" t="n">
        <v>438</v>
      </c>
      <c r="N106" s="14" t="n">
        <v>4</v>
      </c>
      <c r="O106" s="14" t="n">
        <v>2337</v>
      </c>
    </row>
    <row r="107" customFormat="false" ht="15" hidden="false" customHeight="true" outlineLevel="0" collapsed="false">
      <c r="A107" s="13" t="n">
        <v>2025</v>
      </c>
      <c r="B107" s="13" t="s">
        <v>24</v>
      </c>
      <c r="C107" s="13" t="s">
        <v>492</v>
      </c>
      <c r="D107" s="13" t="s">
        <v>122</v>
      </c>
      <c r="E107" s="13" t="s">
        <v>203</v>
      </c>
      <c r="F107" s="13" t="s">
        <v>357</v>
      </c>
      <c r="G107" s="14" t="n">
        <v>258</v>
      </c>
      <c r="H107" s="14" t="n">
        <v>233</v>
      </c>
      <c r="I107" s="14" t="n">
        <v>8</v>
      </c>
      <c r="J107" s="14" t="n">
        <v>30</v>
      </c>
      <c r="K107" s="14" t="n">
        <v>79</v>
      </c>
      <c r="L107" s="14" t="n">
        <v>79</v>
      </c>
      <c r="M107" s="14" t="n">
        <v>37</v>
      </c>
      <c r="N107" s="14" t="n">
        <v>0</v>
      </c>
      <c r="O107" s="14" t="n">
        <v>25</v>
      </c>
    </row>
    <row r="108" customFormat="false" ht="15" hidden="false" customHeight="true" outlineLevel="0" collapsed="false">
      <c r="A108" s="13" t="n">
        <v>2025</v>
      </c>
      <c r="B108" s="13" t="s">
        <v>24</v>
      </c>
      <c r="C108" s="13" t="s">
        <v>492</v>
      </c>
      <c r="D108" s="13" t="s">
        <v>122</v>
      </c>
      <c r="E108" s="13" t="s">
        <v>130</v>
      </c>
      <c r="F108" s="13" t="s">
        <v>357</v>
      </c>
      <c r="G108" s="14" t="n">
        <v>6</v>
      </c>
      <c r="H108" s="14" t="n">
        <v>5</v>
      </c>
      <c r="I108" s="14" t="n">
        <v>0</v>
      </c>
      <c r="J108" s="14" t="n">
        <v>0</v>
      </c>
      <c r="K108" s="14" t="n">
        <v>4</v>
      </c>
      <c r="L108" s="14" t="n">
        <v>1</v>
      </c>
      <c r="M108" s="14" t="n">
        <v>0</v>
      </c>
      <c r="N108" s="14" t="n">
        <v>0</v>
      </c>
      <c r="O108" s="14" t="n">
        <v>1</v>
      </c>
    </row>
    <row r="109" customFormat="false" ht="15" hidden="false" customHeight="true" outlineLevel="0" collapsed="false">
      <c r="A109" s="13" t="n">
        <v>2025</v>
      </c>
      <c r="B109" s="13" t="s">
        <v>24</v>
      </c>
      <c r="C109" s="13" t="s">
        <v>125</v>
      </c>
      <c r="D109" s="13" t="s">
        <v>124</v>
      </c>
      <c r="E109" s="13" t="s">
        <v>123</v>
      </c>
      <c r="F109" s="13" t="s">
        <v>357</v>
      </c>
      <c r="G109" s="14" t="n">
        <v>2547</v>
      </c>
      <c r="H109" s="14" t="n">
        <v>2296</v>
      </c>
      <c r="I109" s="14" t="n">
        <v>822</v>
      </c>
      <c r="J109" s="14" t="n">
        <v>587</v>
      </c>
      <c r="K109" s="14" t="n">
        <v>535</v>
      </c>
      <c r="L109" s="14" t="n">
        <v>303</v>
      </c>
      <c r="M109" s="14" t="n">
        <v>49</v>
      </c>
      <c r="N109" s="14" t="n">
        <v>0</v>
      </c>
      <c r="O109" s="14" t="n">
        <v>251</v>
      </c>
    </row>
    <row r="110" customFormat="false" ht="15" hidden="false" customHeight="true" outlineLevel="0" collapsed="false">
      <c r="A110" s="13" t="n">
        <v>2025</v>
      </c>
      <c r="B110" s="13" t="s">
        <v>24</v>
      </c>
      <c r="C110" s="13" t="s">
        <v>125</v>
      </c>
      <c r="D110" s="13" t="s">
        <v>124</v>
      </c>
      <c r="E110" s="13" t="s">
        <v>126</v>
      </c>
      <c r="F110" s="13" t="s">
        <v>357</v>
      </c>
      <c r="G110" s="14" t="n">
        <v>1578</v>
      </c>
      <c r="H110" s="14" t="n">
        <v>1417</v>
      </c>
      <c r="I110" s="14" t="n">
        <v>370</v>
      </c>
      <c r="J110" s="14" t="n">
        <v>398</v>
      </c>
      <c r="K110" s="14" t="n">
        <v>382</v>
      </c>
      <c r="L110" s="14" t="n">
        <v>229</v>
      </c>
      <c r="M110" s="14" t="n">
        <v>38</v>
      </c>
      <c r="N110" s="14" t="n">
        <v>0</v>
      </c>
      <c r="O110" s="14" t="n">
        <v>161</v>
      </c>
    </row>
    <row r="111" customFormat="false" ht="15" hidden="false" customHeight="true" outlineLevel="0" collapsed="false">
      <c r="A111" s="13" t="n">
        <v>2025</v>
      </c>
      <c r="B111" s="13" t="s">
        <v>24</v>
      </c>
      <c r="C111" s="13" t="s">
        <v>125</v>
      </c>
      <c r="D111" s="13" t="s">
        <v>124</v>
      </c>
      <c r="E111" s="13" t="s">
        <v>202</v>
      </c>
      <c r="F111" s="13" t="s">
        <v>357</v>
      </c>
      <c r="G111" s="14" t="n">
        <v>5284</v>
      </c>
      <c r="H111" s="14" t="n">
        <v>4165</v>
      </c>
      <c r="I111" s="14" t="n">
        <v>356</v>
      </c>
      <c r="J111" s="14" t="n">
        <v>800</v>
      </c>
      <c r="K111" s="14" t="n">
        <v>1309</v>
      </c>
      <c r="L111" s="14" t="n">
        <v>1347</v>
      </c>
      <c r="M111" s="14" t="n">
        <v>353</v>
      </c>
      <c r="N111" s="14" t="n">
        <v>0</v>
      </c>
      <c r="O111" s="14" t="n">
        <v>1119</v>
      </c>
    </row>
    <row r="112" customFormat="false" ht="15" hidden="false" customHeight="true" outlineLevel="0" collapsed="false">
      <c r="A112" s="13" t="n">
        <v>2025</v>
      </c>
      <c r="B112" s="13" t="s">
        <v>24</v>
      </c>
      <c r="C112" s="13" t="s">
        <v>125</v>
      </c>
      <c r="D112" s="13" t="s">
        <v>124</v>
      </c>
      <c r="E112" s="13" t="s">
        <v>128</v>
      </c>
      <c r="F112" s="13" t="s">
        <v>357</v>
      </c>
      <c r="G112" s="14" t="n">
        <v>2345</v>
      </c>
      <c r="H112" s="14" t="n">
        <v>1177</v>
      </c>
      <c r="I112" s="14" t="n">
        <v>23</v>
      </c>
      <c r="J112" s="14" t="n">
        <v>87</v>
      </c>
      <c r="K112" s="14" t="n">
        <v>266</v>
      </c>
      <c r="L112" s="14" t="n">
        <v>550</v>
      </c>
      <c r="M112" s="14" t="n">
        <v>247</v>
      </c>
      <c r="N112" s="14" t="n">
        <v>4</v>
      </c>
      <c r="O112" s="14" t="n">
        <v>1168</v>
      </c>
    </row>
    <row r="113" customFormat="false" ht="15" hidden="false" customHeight="true" outlineLevel="0" collapsed="false">
      <c r="A113" s="13" t="n">
        <v>2025</v>
      </c>
      <c r="B113" s="13" t="s">
        <v>24</v>
      </c>
      <c r="C113" s="13" t="s">
        <v>125</v>
      </c>
      <c r="D113" s="13" t="s">
        <v>124</v>
      </c>
      <c r="E113" s="13" t="s">
        <v>203</v>
      </c>
      <c r="F113" s="13" t="s">
        <v>357</v>
      </c>
      <c r="G113" s="14" t="n">
        <v>753</v>
      </c>
      <c r="H113" s="14" t="n">
        <v>574</v>
      </c>
      <c r="I113" s="14" t="n">
        <v>20</v>
      </c>
      <c r="J113" s="14" t="n">
        <v>54</v>
      </c>
      <c r="K113" s="14" t="n">
        <v>113</v>
      </c>
      <c r="L113" s="14" t="n">
        <v>234</v>
      </c>
      <c r="M113" s="14" t="n">
        <v>145</v>
      </c>
      <c r="N113" s="14" t="n">
        <v>8</v>
      </c>
      <c r="O113" s="14" t="n">
        <v>179</v>
      </c>
    </row>
    <row r="114" customFormat="false" ht="15" hidden="false" customHeight="true" outlineLevel="0" collapsed="false">
      <c r="A114" s="13" t="n">
        <v>2025</v>
      </c>
      <c r="B114" s="13" t="s">
        <v>24</v>
      </c>
      <c r="C114" s="13" t="s">
        <v>125</v>
      </c>
      <c r="D114" s="13" t="s">
        <v>124</v>
      </c>
      <c r="E114" s="13" t="s">
        <v>419</v>
      </c>
      <c r="F114" s="13" t="s">
        <v>357</v>
      </c>
      <c r="G114" s="14" t="n">
        <v>13</v>
      </c>
      <c r="H114" s="14" t="n">
        <v>5</v>
      </c>
      <c r="I114" s="14" t="n">
        <v>0</v>
      </c>
      <c r="J114" s="14" t="n">
        <v>2</v>
      </c>
      <c r="K114" s="14" t="n">
        <v>2</v>
      </c>
      <c r="L114" s="14" t="n">
        <v>1</v>
      </c>
      <c r="M114" s="14" t="n">
        <v>0</v>
      </c>
      <c r="N114" s="14" t="n">
        <v>0</v>
      </c>
      <c r="O114" s="14" t="n">
        <v>8</v>
      </c>
    </row>
    <row r="115" customFormat="false" ht="15" hidden="false" customHeight="true" outlineLevel="0" collapsed="false">
      <c r="A115" s="13" t="n">
        <v>2025</v>
      </c>
      <c r="B115" s="13" t="s">
        <v>24</v>
      </c>
      <c r="C115" s="13" t="s">
        <v>125</v>
      </c>
      <c r="D115" s="13" t="s">
        <v>122</v>
      </c>
      <c r="E115" s="13" t="s">
        <v>123</v>
      </c>
      <c r="F115" s="13" t="s">
        <v>357</v>
      </c>
      <c r="G115" s="14" t="n">
        <v>7449</v>
      </c>
      <c r="H115" s="14" t="n">
        <v>6695</v>
      </c>
      <c r="I115" s="14" t="n">
        <v>2382</v>
      </c>
      <c r="J115" s="14" t="n">
        <v>1924</v>
      </c>
      <c r="K115" s="14" t="n">
        <v>1585</v>
      </c>
      <c r="L115" s="14" t="n">
        <v>752</v>
      </c>
      <c r="M115" s="14" t="n">
        <v>52</v>
      </c>
      <c r="N115" s="14" t="n">
        <v>0</v>
      </c>
      <c r="O115" s="14" t="n">
        <v>754</v>
      </c>
    </row>
    <row r="116" customFormat="false" ht="15" hidden="false" customHeight="true" outlineLevel="0" collapsed="false">
      <c r="A116" s="13" t="n">
        <v>2025</v>
      </c>
      <c r="B116" s="13" t="s">
        <v>24</v>
      </c>
      <c r="C116" s="13" t="s">
        <v>125</v>
      </c>
      <c r="D116" s="13" t="s">
        <v>122</v>
      </c>
      <c r="E116" s="13" t="s">
        <v>126</v>
      </c>
      <c r="F116" s="13" t="s">
        <v>357</v>
      </c>
      <c r="G116" s="14" t="n">
        <v>898</v>
      </c>
      <c r="H116" s="14" t="n">
        <v>836</v>
      </c>
      <c r="I116" s="14" t="n">
        <v>296</v>
      </c>
      <c r="J116" s="14" t="n">
        <v>264</v>
      </c>
      <c r="K116" s="14" t="n">
        <v>211</v>
      </c>
      <c r="L116" s="14" t="n">
        <v>62</v>
      </c>
      <c r="M116" s="14" t="n">
        <v>3</v>
      </c>
      <c r="N116" s="14" t="n">
        <v>0</v>
      </c>
      <c r="O116" s="14" t="n">
        <v>62</v>
      </c>
    </row>
    <row r="117" customFormat="false" ht="15" hidden="false" customHeight="true" outlineLevel="0" collapsed="false">
      <c r="A117" s="13" t="n">
        <v>2025</v>
      </c>
      <c r="B117" s="13" t="s">
        <v>24</v>
      </c>
      <c r="C117" s="13" t="s">
        <v>125</v>
      </c>
      <c r="D117" s="13" t="s">
        <v>122</v>
      </c>
      <c r="E117" s="13" t="s">
        <v>202</v>
      </c>
      <c r="F117" s="13" t="s">
        <v>357</v>
      </c>
      <c r="G117" s="14" t="n">
        <v>3857</v>
      </c>
      <c r="H117" s="14" t="n">
        <v>3224</v>
      </c>
      <c r="I117" s="14" t="n">
        <v>507</v>
      </c>
      <c r="J117" s="14" t="n">
        <v>884</v>
      </c>
      <c r="K117" s="14" t="n">
        <v>1132</v>
      </c>
      <c r="L117" s="14" t="n">
        <v>644</v>
      </c>
      <c r="M117" s="14" t="n">
        <v>57</v>
      </c>
      <c r="N117" s="14" t="n">
        <v>0</v>
      </c>
      <c r="O117" s="14" t="n">
        <v>633</v>
      </c>
    </row>
    <row r="118" customFormat="false" ht="15" hidden="false" customHeight="true" outlineLevel="0" collapsed="false">
      <c r="A118" s="13" t="n">
        <v>2025</v>
      </c>
      <c r="B118" s="13" t="s">
        <v>24</v>
      </c>
      <c r="C118" s="13" t="s">
        <v>125</v>
      </c>
      <c r="D118" s="13" t="s">
        <v>122</v>
      </c>
      <c r="E118" s="13" t="s">
        <v>128</v>
      </c>
      <c r="F118" s="13" t="s">
        <v>357</v>
      </c>
      <c r="G118" s="14" t="n">
        <v>2300</v>
      </c>
      <c r="H118" s="14" t="n">
        <v>1813</v>
      </c>
      <c r="I118" s="14" t="n">
        <v>135</v>
      </c>
      <c r="J118" s="14" t="n">
        <v>429</v>
      </c>
      <c r="K118" s="14" t="n">
        <v>685</v>
      </c>
      <c r="L118" s="14" t="n">
        <v>452</v>
      </c>
      <c r="M118" s="14" t="n">
        <v>110</v>
      </c>
      <c r="N118" s="14" t="n">
        <v>2</v>
      </c>
      <c r="O118" s="14" t="n">
        <v>487</v>
      </c>
    </row>
    <row r="119" customFormat="false" ht="15" hidden="false" customHeight="true" outlineLevel="0" collapsed="false">
      <c r="A119" s="13" t="n">
        <v>2025</v>
      </c>
      <c r="B119" s="13" t="s">
        <v>24</v>
      </c>
      <c r="C119" s="13" t="s">
        <v>125</v>
      </c>
      <c r="D119" s="13" t="s">
        <v>122</v>
      </c>
      <c r="E119" s="13" t="s">
        <v>203</v>
      </c>
      <c r="F119" s="13" t="s">
        <v>357</v>
      </c>
      <c r="G119" s="14" t="n">
        <v>497</v>
      </c>
      <c r="H119" s="14" t="n">
        <v>430</v>
      </c>
      <c r="I119" s="14" t="n">
        <v>50</v>
      </c>
      <c r="J119" s="14" t="n">
        <v>98</v>
      </c>
      <c r="K119" s="14" t="n">
        <v>142</v>
      </c>
      <c r="L119" s="14" t="n">
        <v>95</v>
      </c>
      <c r="M119" s="14" t="n">
        <v>41</v>
      </c>
      <c r="N119" s="14" t="n">
        <v>4</v>
      </c>
      <c r="O119" s="14" t="n">
        <v>67</v>
      </c>
    </row>
    <row r="120" customFormat="false" ht="15" hidden="false" customHeight="true" outlineLevel="0" collapsed="false">
      <c r="A120" s="13" t="n">
        <v>2025</v>
      </c>
      <c r="B120" s="13" t="s">
        <v>487</v>
      </c>
      <c r="C120" s="13" t="s">
        <v>492</v>
      </c>
      <c r="D120" s="13" t="s">
        <v>124</v>
      </c>
      <c r="E120" s="13" t="s">
        <v>123</v>
      </c>
      <c r="F120" s="13" t="s">
        <v>357</v>
      </c>
      <c r="G120" s="14" t="n">
        <v>178</v>
      </c>
      <c r="H120" s="14" t="n">
        <v>148</v>
      </c>
      <c r="I120" s="14" t="n">
        <v>13</v>
      </c>
      <c r="J120" s="14" t="n">
        <v>42</v>
      </c>
      <c r="K120" s="14" t="n">
        <v>63</v>
      </c>
      <c r="L120" s="14" t="n">
        <v>27</v>
      </c>
      <c r="M120" s="14" t="n">
        <v>3</v>
      </c>
      <c r="N120" s="14" t="n">
        <v>0</v>
      </c>
      <c r="O120" s="14" t="n">
        <v>30</v>
      </c>
    </row>
    <row r="121" customFormat="false" ht="15" hidden="false" customHeight="true" outlineLevel="0" collapsed="false">
      <c r="A121" s="13" t="n">
        <v>2025</v>
      </c>
      <c r="B121" s="13" t="s">
        <v>487</v>
      </c>
      <c r="C121" s="13" t="s">
        <v>492</v>
      </c>
      <c r="D121" s="13" t="s">
        <v>124</v>
      </c>
      <c r="E121" s="13" t="s">
        <v>126</v>
      </c>
      <c r="F121" s="13" t="s">
        <v>357</v>
      </c>
      <c r="G121" s="14" t="n">
        <v>95</v>
      </c>
      <c r="H121" s="14" t="n">
        <v>76</v>
      </c>
      <c r="I121" s="14" t="n">
        <v>3</v>
      </c>
      <c r="J121" s="14" t="n">
        <v>5</v>
      </c>
      <c r="K121" s="14" t="n">
        <v>31</v>
      </c>
      <c r="L121" s="14" t="n">
        <v>32</v>
      </c>
      <c r="M121" s="14" t="n">
        <v>5</v>
      </c>
      <c r="N121" s="14" t="n">
        <v>0</v>
      </c>
      <c r="O121" s="14" t="n">
        <v>19</v>
      </c>
    </row>
    <row r="122" customFormat="false" ht="15" hidden="false" customHeight="true" outlineLevel="0" collapsed="false">
      <c r="A122" s="13" t="n">
        <v>2025</v>
      </c>
      <c r="B122" s="13" t="s">
        <v>487</v>
      </c>
      <c r="C122" s="13" t="s">
        <v>492</v>
      </c>
      <c r="D122" s="13" t="s">
        <v>124</v>
      </c>
      <c r="E122" s="13" t="s">
        <v>202</v>
      </c>
      <c r="F122" s="13" t="s">
        <v>357</v>
      </c>
      <c r="G122" s="14" t="n">
        <v>504</v>
      </c>
      <c r="H122" s="14" t="n">
        <v>337</v>
      </c>
      <c r="I122" s="14" t="n">
        <v>4</v>
      </c>
      <c r="J122" s="14" t="n">
        <v>43</v>
      </c>
      <c r="K122" s="14" t="n">
        <v>115</v>
      </c>
      <c r="L122" s="14" t="n">
        <v>144</v>
      </c>
      <c r="M122" s="14" t="n">
        <v>31</v>
      </c>
      <c r="N122" s="14" t="n">
        <v>0</v>
      </c>
      <c r="O122" s="14" t="n">
        <v>167</v>
      </c>
    </row>
    <row r="123" customFormat="false" ht="15" hidden="false" customHeight="true" outlineLevel="0" collapsed="false">
      <c r="A123" s="13" t="n">
        <v>2025</v>
      </c>
      <c r="B123" s="13" t="s">
        <v>487</v>
      </c>
      <c r="C123" s="13" t="s">
        <v>492</v>
      </c>
      <c r="D123" s="13" t="s">
        <v>124</v>
      </c>
      <c r="E123" s="13" t="s">
        <v>128</v>
      </c>
      <c r="F123" s="13" t="s">
        <v>357</v>
      </c>
      <c r="G123" s="14" t="n">
        <v>1420</v>
      </c>
      <c r="H123" s="14" t="n">
        <v>871</v>
      </c>
      <c r="I123" s="14" t="n">
        <v>11</v>
      </c>
      <c r="J123" s="14" t="n">
        <v>95</v>
      </c>
      <c r="K123" s="14" t="n">
        <v>332</v>
      </c>
      <c r="L123" s="14" t="n">
        <v>360</v>
      </c>
      <c r="M123" s="14" t="n">
        <v>73</v>
      </c>
      <c r="N123" s="14" t="n">
        <v>0</v>
      </c>
      <c r="O123" s="14" t="n">
        <v>549</v>
      </c>
    </row>
    <row r="124" customFormat="false" ht="15" hidden="false" customHeight="true" outlineLevel="0" collapsed="false">
      <c r="A124" s="13" t="n">
        <v>2025</v>
      </c>
      <c r="B124" s="13" t="s">
        <v>487</v>
      </c>
      <c r="C124" s="13" t="s">
        <v>492</v>
      </c>
      <c r="D124" s="13" t="s">
        <v>124</v>
      </c>
      <c r="E124" s="13" t="s">
        <v>203</v>
      </c>
      <c r="F124" s="13" t="s">
        <v>357</v>
      </c>
      <c r="G124" s="14" t="n">
        <v>14</v>
      </c>
      <c r="H124" s="14" t="n">
        <v>12</v>
      </c>
      <c r="I124" s="14" t="n">
        <v>0</v>
      </c>
      <c r="J124" s="14" t="n">
        <v>0</v>
      </c>
      <c r="K124" s="14" t="n">
        <v>4</v>
      </c>
      <c r="L124" s="14" t="n">
        <v>8</v>
      </c>
      <c r="M124" s="14" t="n">
        <v>0</v>
      </c>
      <c r="N124" s="14" t="n">
        <v>0</v>
      </c>
      <c r="O124" s="14" t="n">
        <v>2</v>
      </c>
    </row>
    <row r="125" customFormat="false" ht="15" hidden="false" customHeight="true" outlineLevel="0" collapsed="false">
      <c r="A125" s="13" t="n">
        <v>2025</v>
      </c>
      <c r="B125" s="13" t="s">
        <v>487</v>
      </c>
      <c r="C125" s="13" t="s">
        <v>492</v>
      </c>
      <c r="D125" s="13" t="s">
        <v>122</v>
      </c>
      <c r="E125" s="13" t="s">
        <v>123</v>
      </c>
      <c r="F125" s="13" t="s">
        <v>357</v>
      </c>
      <c r="G125" s="14" t="n">
        <v>719</v>
      </c>
      <c r="H125" s="14" t="n">
        <v>671</v>
      </c>
      <c r="I125" s="14" t="n">
        <v>94</v>
      </c>
      <c r="J125" s="14" t="n">
        <v>168</v>
      </c>
      <c r="K125" s="14" t="n">
        <v>281</v>
      </c>
      <c r="L125" s="14" t="n">
        <v>126</v>
      </c>
      <c r="M125" s="14" t="n">
        <v>2</v>
      </c>
      <c r="N125" s="14" t="n">
        <v>0</v>
      </c>
      <c r="O125" s="14" t="n">
        <v>48</v>
      </c>
    </row>
    <row r="126" customFormat="false" ht="15" hidden="false" customHeight="true" outlineLevel="0" collapsed="false">
      <c r="A126" s="13" t="n">
        <v>2025</v>
      </c>
      <c r="B126" s="13" t="s">
        <v>487</v>
      </c>
      <c r="C126" s="13" t="s">
        <v>492</v>
      </c>
      <c r="D126" s="13" t="s">
        <v>122</v>
      </c>
      <c r="E126" s="13" t="s">
        <v>126</v>
      </c>
      <c r="F126" s="13" t="s">
        <v>357</v>
      </c>
      <c r="G126" s="14" t="n">
        <v>77</v>
      </c>
      <c r="H126" s="14" t="n">
        <v>69</v>
      </c>
      <c r="I126" s="14" t="n">
        <v>11</v>
      </c>
      <c r="J126" s="14" t="n">
        <v>15</v>
      </c>
      <c r="K126" s="14" t="n">
        <v>23</v>
      </c>
      <c r="L126" s="14" t="n">
        <v>16</v>
      </c>
      <c r="M126" s="14" t="n">
        <v>4</v>
      </c>
      <c r="N126" s="14" t="n">
        <v>0</v>
      </c>
      <c r="O126" s="14" t="n">
        <v>8</v>
      </c>
    </row>
    <row r="127" customFormat="false" ht="15" hidden="false" customHeight="true" outlineLevel="0" collapsed="false">
      <c r="A127" s="13" t="n">
        <v>2025</v>
      </c>
      <c r="B127" s="13" t="s">
        <v>487</v>
      </c>
      <c r="C127" s="13" t="s">
        <v>492</v>
      </c>
      <c r="D127" s="13" t="s">
        <v>122</v>
      </c>
      <c r="E127" s="13" t="s">
        <v>202</v>
      </c>
      <c r="F127" s="13" t="s">
        <v>357</v>
      </c>
      <c r="G127" s="14" t="n">
        <v>729</v>
      </c>
      <c r="H127" s="14" t="n">
        <v>637</v>
      </c>
      <c r="I127" s="14" t="n">
        <v>16</v>
      </c>
      <c r="J127" s="14" t="n">
        <v>98</v>
      </c>
      <c r="K127" s="14" t="n">
        <v>283</v>
      </c>
      <c r="L127" s="14" t="n">
        <v>213</v>
      </c>
      <c r="M127" s="14" t="n">
        <v>27</v>
      </c>
      <c r="N127" s="14" t="n">
        <v>0</v>
      </c>
      <c r="O127" s="14" t="n">
        <v>92</v>
      </c>
    </row>
    <row r="128" customFormat="false" ht="15" hidden="false" customHeight="true" outlineLevel="0" collapsed="false">
      <c r="A128" s="13" t="n">
        <v>2025</v>
      </c>
      <c r="B128" s="13" t="s">
        <v>487</v>
      </c>
      <c r="C128" s="13" t="s">
        <v>492</v>
      </c>
      <c r="D128" s="13" t="s">
        <v>122</v>
      </c>
      <c r="E128" s="13" t="s">
        <v>128</v>
      </c>
      <c r="F128" s="13" t="s">
        <v>357</v>
      </c>
      <c r="G128" s="14" t="n">
        <v>1680</v>
      </c>
      <c r="H128" s="14" t="n">
        <v>1339</v>
      </c>
      <c r="I128" s="14" t="n">
        <v>45</v>
      </c>
      <c r="J128" s="14" t="n">
        <v>319</v>
      </c>
      <c r="K128" s="14" t="n">
        <v>670</v>
      </c>
      <c r="L128" s="14" t="n">
        <v>272</v>
      </c>
      <c r="M128" s="14" t="n">
        <v>33</v>
      </c>
      <c r="N128" s="14" t="n">
        <v>0</v>
      </c>
      <c r="O128" s="14" t="n">
        <v>341</v>
      </c>
    </row>
    <row r="129" customFormat="false" ht="15" hidden="false" customHeight="true" outlineLevel="0" collapsed="false">
      <c r="A129" s="13" t="n">
        <v>2025</v>
      </c>
      <c r="B129" s="13" t="s">
        <v>487</v>
      </c>
      <c r="C129" s="13" t="s">
        <v>125</v>
      </c>
      <c r="D129" s="13" t="s">
        <v>124</v>
      </c>
      <c r="E129" s="13" t="s">
        <v>123</v>
      </c>
      <c r="F129" s="13" t="s">
        <v>357</v>
      </c>
      <c r="G129" s="14" t="n">
        <v>1145</v>
      </c>
      <c r="H129" s="14" t="n">
        <v>1072</v>
      </c>
      <c r="I129" s="14" t="n">
        <v>384</v>
      </c>
      <c r="J129" s="14" t="n">
        <v>356</v>
      </c>
      <c r="K129" s="14" t="n">
        <v>247</v>
      </c>
      <c r="L129" s="14" t="n">
        <v>82</v>
      </c>
      <c r="M129" s="14" t="n">
        <v>3</v>
      </c>
      <c r="N129" s="14" t="n">
        <v>0</v>
      </c>
      <c r="O129" s="14" t="n">
        <v>73</v>
      </c>
    </row>
    <row r="130" customFormat="false" ht="15" hidden="false" customHeight="true" outlineLevel="0" collapsed="false">
      <c r="A130" s="13" t="n">
        <v>2025</v>
      </c>
      <c r="B130" s="13" t="s">
        <v>487</v>
      </c>
      <c r="C130" s="13" t="s">
        <v>125</v>
      </c>
      <c r="D130" s="13" t="s">
        <v>124</v>
      </c>
      <c r="E130" s="13" t="s">
        <v>126</v>
      </c>
      <c r="F130" s="13" t="s">
        <v>357</v>
      </c>
      <c r="G130" s="14" t="n">
        <v>498</v>
      </c>
      <c r="H130" s="14" t="n">
        <v>477</v>
      </c>
      <c r="I130" s="14" t="n">
        <v>145</v>
      </c>
      <c r="J130" s="14" t="n">
        <v>170</v>
      </c>
      <c r="K130" s="14" t="n">
        <v>113</v>
      </c>
      <c r="L130" s="14" t="n">
        <v>47</v>
      </c>
      <c r="M130" s="14" t="n">
        <v>2</v>
      </c>
      <c r="N130" s="14" t="n">
        <v>0</v>
      </c>
      <c r="O130" s="14" t="n">
        <v>21</v>
      </c>
    </row>
    <row r="131" customFormat="false" ht="15" hidden="false" customHeight="true" outlineLevel="0" collapsed="false">
      <c r="A131" s="13" t="n">
        <v>2025</v>
      </c>
      <c r="B131" s="13" t="s">
        <v>487</v>
      </c>
      <c r="C131" s="13" t="s">
        <v>125</v>
      </c>
      <c r="D131" s="13" t="s">
        <v>124</v>
      </c>
      <c r="E131" s="13" t="s">
        <v>202</v>
      </c>
      <c r="F131" s="13" t="s">
        <v>357</v>
      </c>
      <c r="G131" s="14" t="n">
        <v>1444</v>
      </c>
      <c r="H131" s="14" t="n">
        <v>1245</v>
      </c>
      <c r="I131" s="14" t="n">
        <v>151</v>
      </c>
      <c r="J131" s="14" t="n">
        <v>289</v>
      </c>
      <c r="K131" s="14" t="n">
        <v>442</v>
      </c>
      <c r="L131" s="14" t="n">
        <v>322</v>
      </c>
      <c r="M131" s="14" t="n">
        <v>41</v>
      </c>
      <c r="N131" s="14" t="n">
        <v>0</v>
      </c>
      <c r="O131" s="14" t="n">
        <v>199</v>
      </c>
    </row>
    <row r="132" customFormat="false" ht="15" hidden="false" customHeight="true" outlineLevel="0" collapsed="false">
      <c r="A132" s="13" t="n">
        <v>2025</v>
      </c>
      <c r="B132" s="13" t="s">
        <v>487</v>
      </c>
      <c r="C132" s="13" t="s">
        <v>125</v>
      </c>
      <c r="D132" s="13" t="s">
        <v>124</v>
      </c>
      <c r="E132" s="13" t="s">
        <v>128</v>
      </c>
      <c r="F132" s="13" t="s">
        <v>357</v>
      </c>
      <c r="G132" s="14" t="n">
        <v>959</v>
      </c>
      <c r="H132" s="14" t="n">
        <v>606</v>
      </c>
      <c r="I132" s="14" t="n">
        <v>1</v>
      </c>
      <c r="J132" s="14" t="n">
        <v>61</v>
      </c>
      <c r="K132" s="14" t="n">
        <v>223</v>
      </c>
      <c r="L132" s="14" t="n">
        <v>261</v>
      </c>
      <c r="M132" s="14" t="n">
        <v>59</v>
      </c>
      <c r="N132" s="14" t="n">
        <v>1</v>
      </c>
      <c r="O132" s="14" t="n">
        <v>353</v>
      </c>
    </row>
    <row r="133" customFormat="false" ht="15" hidden="false" customHeight="true" outlineLevel="0" collapsed="false">
      <c r="A133" s="13" t="n">
        <v>2025</v>
      </c>
      <c r="B133" s="13" t="s">
        <v>487</v>
      </c>
      <c r="C133" s="13" t="s">
        <v>125</v>
      </c>
      <c r="D133" s="13" t="s">
        <v>124</v>
      </c>
      <c r="E133" s="13" t="s">
        <v>203</v>
      </c>
      <c r="F133" s="13" t="s">
        <v>357</v>
      </c>
      <c r="G133" s="14" t="n">
        <v>51</v>
      </c>
      <c r="H133" s="14" t="n">
        <v>41</v>
      </c>
      <c r="I133" s="14" t="n">
        <v>1</v>
      </c>
      <c r="J133" s="14" t="n">
        <v>5</v>
      </c>
      <c r="K133" s="14" t="n">
        <v>7</v>
      </c>
      <c r="L133" s="14" t="n">
        <v>19</v>
      </c>
      <c r="M133" s="14" t="n">
        <v>7</v>
      </c>
      <c r="N133" s="14" t="n">
        <v>2</v>
      </c>
      <c r="O133" s="14" t="n">
        <v>10</v>
      </c>
    </row>
    <row r="134" customFormat="false" ht="15" hidden="false" customHeight="true" outlineLevel="0" collapsed="false">
      <c r="A134" s="13" t="n">
        <v>2025</v>
      </c>
      <c r="B134" s="13" t="s">
        <v>487</v>
      </c>
      <c r="C134" s="13" t="s">
        <v>125</v>
      </c>
      <c r="D134" s="13" t="s">
        <v>122</v>
      </c>
      <c r="E134" s="13" t="s">
        <v>123</v>
      </c>
      <c r="F134" s="13" t="s">
        <v>357</v>
      </c>
      <c r="G134" s="14" t="n">
        <v>2414</v>
      </c>
      <c r="H134" s="14" t="n">
        <v>2303</v>
      </c>
      <c r="I134" s="14" t="n">
        <v>772</v>
      </c>
      <c r="J134" s="14" t="n">
        <v>760</v>
      </c>
      <c r="K134" s="14" t="n">
        <v>574</v>
      </c>
      <c r="L134" s="14" t="n">
        <v>187</v>
      </c>
      <c r="M134" s="14" t="n">
        <v>10</v>
      </c>
      <c r="N134" s="14" t="n">
        <v>0</v>
      </c>
      <c r="O134" s="14" t="n">
        <v>111</v>
      </c>
    </row>
    <row r="135" customFormat="false" ht="15" hidden="false" customHeight="true" outlineLevel="0" collapsed="false">
      <c r="A135" s="13" t="n">
        <v>2025</v>
      </c>
      <c r="B135" s="13" t="s">
        <v>487</v>
      </c>
      <c r="C135" s="13" t="s">
        <v>125</v>
      </c>
      <c r="D135" s="13" t="s">
        <v>122</v>
      </c>
      <c r="E135" s="13" t="s">
        <v>126</v>
      </c>
      <c r="F135" s="13" t="s">
        <v>357</v>
      </c>
      <c r="G135" s="14" t="n">
        <v>199</v>
      </c>
      <c r="H135" s="14" t="n">
        <v>196</v>
      </c>
      <c r="I135" s="14" t="n">
        <v>55</v>
      </c>
      <c r="J135" s="14" t="n">
        <v>64</v>
      </c>
      <c r="K135" s="14" t="n">
        <v>59</v>
      </c>
      <c r="L135" s="14" t="n">
        <v>17</v>
      </c>
      <c r="M135" s="14" t="n">
        <v>1</v>
      </c>
      <c r="N135" s="14" t="n">
        <v>0</v>
      </c>
      <c r="O135" s="14" t="n">
        <v>3</v>
      </c>
    </row>
    <row r="136" customFormat="false" ht="15" hidden="false" customHeight="true" outlineLevel="0" collapsed="false">
      <c r="A136" s="13" t="n">
        <v>2025</v>
      </c>
      <c r="B136" s="13" t="s">
        <v>487</v>
      </c>
      <c r="C136" s="13" t="s">
        <v>125</v>
      </c>
      <c r="D136" s="13" t="s">
        <v>122</v>
      </c>
      <c r="E136" s="13" t="s">
        <v>202</v>
      </c>
      <c r="F136" s="13" t="s">
        <v>357</v>
      </c>
      <c r="G136" s="14" t="n">
        <v>816</v>
      </c>
      <c r="H136" s="14" t="n">
        <v>782</v>
      </c>
      <c r="I136" s="14" t="n">
        <v>79</v>
      </c>
      <c r="J136" s="14" t="n">
        <v>282</v>
      </c>
      <c r="K136" s="14" t="n">
        <v>305</v>
      </c>
      <c r="L136" s="14" t="n">
        <v>112</v>
      </c>
      <c r="M136" s="14" t="n">
        <v>4</v>
      </c>
      <c r="N136" s="14" t="n">
        <v>0</v>
      </c>
      <c r="O136" s="14" t="n">
        <v>34</v>
      </c>
    </row>
    <row r="137" customFormat="false" ht="15" hidden="false" customHeight="true" outlineLevel="0" collapsed="false">
      <c r="A137" s="13" t="n">
        <v>2025</v>
      </c>
      <c r="B137" s="13" t="s">
        <v>487</v>
      </c>
      <c r="C137" s="13" t="s">
        <v>125</v>
      </c>
      <c r="D137" s="13" t="s">
        <v>122</v>
      </c>
      <c r="E137" s="13" t="s">
        <v>128</v>
      </c>
      <c r="F137" s="13" t="s">
        <v>357</v>
      </c>
      <c r="G137" s="14" t="n">
        <v>893</v>
      </c>
      <c r="H137" s="14" t="n">
        <v>786</v>
      </c>
      <c r="I137" s="14" t="n">
        <v>57</v>
      </c>
      <c r="J137" s="14" t="n">
        <v>243</v>
      </c>
      <c r="K137" s="14" t="n">
        <v>354</v>
      </c>
      <c r="L137" s="14" t="n">
        <v>126</v>
      </c>
      <c r="M137" s="14" t="n">
        <v>6</v>
      </c>
      <c r="N137" s="14" t="n">
        <v>0</v>
      </c>
      <c r="O137" s="14" t="n">
        <v>107</v>
      </c>
    </row>
    <row r="138" customFormat="false" ht="15" hidden="false" customHeight="true" outlineLevel="0" collapsed="false">
      <c r="A138" s="13" t="n">
        <v>2025</v>
      </c>
      <c r="B138" s="13" t="s">
        <v>487</v>
      </c>
      <c r="C138" s="13" t="s">
        <v>125</v>
      </c>
      <c r="D138" s="13" t="s">
        <v>122</v>
      </c>
      <c r="E138" s="13" t="s">
        <v>203</v>
      </c>
      <c r="F138" s="13" t="s">
        <v>357</v>
      </c>
      <c r="G138" s="14" t="n">
        <v>11</v>
      </c>
      <c r="H138" s="14" t="n">
        <v>11</v>
      </c>
      <c r="I138" s="14" t="n">
        <v>2</v>
      </c>
      <c r="J138" s="14" t="n">
        <v>3</v>
      </c>
      <c r="K138" s="14" t="n">
        <v>3</v>
      </c>
      <c r="L138" s="14" t="n">
        <v>3</v>
      </c>
      <c r="M138" s="14" t="n">
        <v>0</v>
      </c>
      <c r="N138" s="14" t="n">
        <v>0</v>
      </c>
      <c r="O138" s="14" t="n">
        <v>0</v>
      </c>
    </row>
    <row r="139" customFormat="false" ht="15" hidden="false" customHeight="true" outlineLevel="0" collapsed="false">
      <c r="A139" s="13" t="n">
        <v>2025</v>
      </c>
      <c r="B139" s="13" t="s">
        <v>488</v>
      </c>
      <c r="C139" s="13" t="s">
        <v>492</v>
      </c>
      <c r="D139" s="13" t="s">
        <v>124</v>
      </c>
      <c r="E139" s="13" t="s">
        <v>123</v>
      </c>
      <c r="F139" s="13" t="s">
        <v>357</v>
      </c>
      <c r="G139" s="14" t="n">
        <v>197</v>
      </c>
      <c r="H139" s="14" t="n">
        <v>168</v>
      </c>
      <c r="I139" s="14" t="n">
        <v>42</v>
      </c>
      <c r="J139" s="14" t="n">
        <v>34</v>
      </c>
      <c r="K139" s="14" t="n">
        <v>54</v>
      </c>
      <c r="L139" s="14" t="n">
        <v>35</v>
      </c>
      <c r="M139" s="14" t="n">
        <v>3</v>
      </c>
      <c r="N139" s="14" t="n">
        <v>0</v>
      </c>
      <c r="O139" s="14" t="n">
        <v>29</v>
      </c>
    </row>
    <row r="140" customFormat="false" ht="15" hidden="false" customHeight="true" outlineLevel="0" collapsed="false">
      <c r="A140" s="13" t="n">
        <v>2025</v>
      </c>
      <c r="B140" s="13" t="s">
        <v>488</v>
      </c>
      <c r="C140" s="13" t="s">
        <v>492</v>
      </c>
      <c r="D140" s="13" t="s">
        <v>124</v>
      </c>
      <c r="E140" s="13" t="s">
        <v>126</v>
      </c>
      <c r="F140" s="13" t="s">
        <v>357</v>
      </c>
      <c r="G140" s="14" t="n">
        <v>116</v>
      </c>
      <c r="H140" s="14" t="n">
        <v>100</v>
      </c>
      <c r="I140" s="14" t="n">
        <v>20</v>
      </c>
      <c r="J140" s="14" t="n">
        <v>29</v>
      </c>
      <c r="K140" s="14" t="n">
        <v>27</v>
      </c>
      <c r="L140" s="14" t="n">
        <v>24</v>
      </c>
      <c r="M140" s="14" t="n">
        <v>0</v>
      </c>
      <c r="N140" s="14" t="n">
        <v>0</v>
      </c>
      <c r="O140" s="14" t="n">
        <v>16</v>
      </c>
    </row>
    <row r="141" customFormat="false" ht="15" hidden="false" customHeight="true" outlineLevel="0" collapsed="false">
      <c r="A141" s="13" t="n">
        <v>2025</v>
      </c>
      <c r="B141" s="13" t="s">
        <v>488</v>
      </c>
      <c r="C141" s="13" t="s">
        <v>492</v>
      </c>
      <c r="D141" s="13" t="s">
        <v>124</v>
      </c>
      <c r="E141" s="13" t="s">
        <v>202</v>
      </c>
      <c r="F141" s="13" t="s">
        <v>357</v>
      </c>
      <c r="G141" s="14" t="n">
        <v>535</v>
      </c>
      <c r="H141" s="14" t="n">
        <v>397</v>
      </c>
      <c r="I141" s="14" t="n">
        <v>17</v>
      </c>
      <c r="J141" s="14" t="n">
        <v>43</v>
      </c>
      <c r="K141" s="14" t="n">
        <v>129</v>
      </c>
      <c r="L141" s="14" t="n">
        <v>162</v>
      </c>
      <c r="M141" s="14" t="n">
        <v>46</v>
      </c>
      <c r="N141" s="14" t="n">
        <v>0</v>
      </c>
      <c r="O141" s="14" t="n">
        <v>138</v>
      </c>
    </row>
    <row r="142" customFormat="false" ht="15" hidden="false" customHeight="true" outlineLevel="0" collapsed="false">
      <c r="A142" s="13" t="n">
        <v>2025</v>
      </c>
      <c r="B142" s="13" t="s">
        <v>488</v>
      </c>
      <c r="C142" s="13" t="s">
        <v>492</v>
      </c>
      <c r="D142" s="13" t="s">
        <v>124</v>
      </c>
      <c r="E142" s="13" t="s">
        <v>128</v>
      </c>
      <c r="F142" s="13" t="s">
        <v>357</v>
      </c>
      <c r="G142" s="14" t="n">
        <v>762</v>
      </c>
      <c r="H142" s="14" t="n">
        <v>350</v>
      </c>
      <c r="I142" s="14" t="n">
        <v>1</v>
      </c>
      <c r="J142" s="14" t="n">
        <v>20</v>
      </c>
      <c r="K142" s="14" t="n">
        <v>105</v>
      </c>
      <c r="L142" s="14" t="n">
        <v>168</v>
      </c>
      <c r="M142" s="14" t="n">
        <v>56</v>
      </c>
      <c r="N142" s="14" t="n">
        <v>0</v>
      </c>
      <c r="O142" s="14" t="n">
        <v>412</v>
      </c>
    </row>
    <row r="143" customFormat="false" ht="15" hidden="false" customHeight="true" outlineLevel="0" collapsed="false">
      <c r="A143" s="13" t="n">
        <v>2025</v>
      </c>
      <c r="B143" s="13" t="s">
        <v>488</v>
      </c>
      <c r="C143" s="13" t="s">
        <v>492</v>
      </c>
      <c r="D143" s="13" t="s">
        <v>124</v>
      </c>
      <c r="E143" s="13" t="s">
        <v>203</v>
      </c>
      <c r="F143" s="13" t="s">
        <v>357</v>
      </c>
      <c r="G143" s="14" t="n">
        <v>28</v>
      </c>
      <c r="H143" s="14" t="n">
        <v>20</v>
      </c>
      <c r="I143" s="14" t="n">
        <v>3</v>
      </c>
      <c r="J143" s="14" t="n">
        <v>2</v>
      </c>
      <c r="K143" s="14" t="n">
        <v>6</v>
      </c>
      <c r="L143" s="14" t="n">
        <v>9</v>
      </c>
      <c r="M143" s="14" t="n">
        <v>0</v>
      </c>
      <c r="N143" s="14" t="n">
        <v>0</v>
      </c>
      <c r="O143" s="14" t="n">
        <v>8</v>
      </c>
    </row>
    <row r="144" customFormat="false" ht="15" hidden="false" customHeight="true" outlineLevel="0" collapsed="false">
      <c r="A144" s="13" t="n">
        <v>2025</v>
      </c>
      <c r="B144" s="13" t="s">
        <v>488</v>
      </c>
      <c r="C144" s="13" t="s">
        <v>492</v>
      </c>
      <c r="D144" s="13" t="s">
        <v>122</v>
      </c>
      <c r="E144" s="13" t="s">
        <v>123</v>
      </c>
      <c r="F144" s="13" t="s">
        <v>357</v>
      </c>
      <c r="G144" s="14" t="n">
        <v>805</v>
      </c>
      <c r="H144" s="14" t="n">
        <v>747</v>
      </c>
      <c r="I144" s="14" t="n">
        <v>135</v>
      </c>
      <c r="J144" s="14" t="n">
        <v>226</v>
      </c>
      <c r="K144" s="14" t="n">
        <v>235</v>
      </c>
      <c r="L144" s="14" t="n">
        <v>147</v>
      </c>
      <c r="M144" s="14" t="n">
        <v>4</v>
      </c>
      <c r="N144" s="14" t="n">
        <v>0</v>
      </c>
      <c r="O144" s="14" t="n">
        <v>58</v>
      </c>
    </row>
    <row r="145" customFormat="false" ht="15" hidden="false" customHeight="true" outlineLevel="0" collapsed="false">
      <c r="A145" s="13" t="n">
        <v>2025</v>
      </c>
      <c r="B145" s="13" t="s">
        <v>488</v>
      </c>
      <c r="C145" s="13" t="s">
        <v>492</v>
      </c>
      <c r="D145" s="13" t="s">
        <v>122</v>
      </c>
      <c r="E145" s="13" t="s">
        <v>126</v>
      </c>
      <c r="F145" s="13" t="s">
        <v>357</v>
      </c>
      <c r="G145" s="14" t="n">
        <v>114</v>
      </c>
      <c r="H145" s="14" t="n">
        <v>106</v>
      </c>
      <c r="I145" s="14" t="n">
        <v>22</v>
      </c>
      <c r="J145" s="14" t="n">
        <v>30</v>
      </c>
      <c r="K145" s="14" t="n">
        <v>33</v>
      </c>
      <c r="L145" s="14" t="n">
        <v>19</v>
      </c>
      <c r="M145" s="14" t="n">
        <v>2</v>
      </c>
      <c r="N145" s="14" t="n">
        <v>0</v>
      </c>
      <c r="O145" s="14" t="n">
        <v>8</v>
      </c>
    </row>
    <row r="146" customFormat="false" ht="15" hidden="false" customHeight="true" outlineLevel="0" collapsed="false">
      <c r="A146" s="13" t="n">
        <v>2025</v>
      </c>
      <c r="B146" s="13" t="s">
        <v>488</v>
      </c>
      <c r="C146" s="13" t="s">
        <v>492</v>
      </c>
      <c r="D146" s="13" t="s">
        <v>122</v>
      </c>
      <c r="E146" s="13" t="s">
        <v>202</v>
      </c>
      <c r="F146" s="13" t="s">
        <v>357</v>
      </c>
      <c r="G146" s="14" t="n">
        <v>852</v>
      </c>
      <c r="H146" s="14" t="n">
        <v>692</v>
      </c>
      <c r="I146" s="14" t="n">
        <v>27</v>
      </c>
      <c r="J146" s="14" t="n">
        <v>112</v>
      </c>
      <c r="K146" s="14" t="n">
        <v>266</v>
      </c>
      <c r="L146" s="14" t="n">
        <v>255</v>
      </c>
      <c r="M146" s="14" t="n">
        <v>32</v>
      </c>
      <c r="N146" s="14" t="n">
        <v>0</v>
      </c>
      <c r="O146" s="14" t="n">
        <v>160</v>
      </c>
    </row>
    <row r="147" customFormat="false" ht="15" hidden="false" customHeight="true" outlineLevel="0" collapsed="false">
      <c r="A147" s="13" t="n">
        <v>2025</v>
      </c>
      <c r="B147" s="13" t="s">
        <v>488</v>
      </c>
      <c r="C147" s="13" t="s">
        <v>492</v>
      </c>
      <c r="D147" s="13" t="s">
        <v>122</v>
      </c>
      <c r="E147" s="13" t="s">
        <v>128</v>
      </c>
      <c r="F147" s="13" t="s">
        <v>357</v>
      </c>
      <c r="G147" s="14" t="n">
        <v>2260</v>
      </c>
      <c r="H147" s="14" t="n">
        <v>1679</v>
      </c>
      <c r="I147" s="14" t="n">
        <v>43</v>
      </c>
      <c r="J147" s="14" t="n">
        <v>341</v>
      </c>
      <c r="K147" s="14" t="n">
        <v>761</v>
      </c>
      <c r="L147" s="14" t="n">
        <v>473</v>
      </c>
      <c r="M147" s="14" t="n">
        <v>61</v>
      </c>
      <c r="N147" s="14" t="n">
        <v>0</v>
      </c>
      <c r="O147" s="14" t="n">
        <v>581</v>
      </c>
    </row>
    <row r="148" customFormat="false" ht="15" hidden="false" customHeight="true" outlineLevel="0" collapsed="false">
      <c r="A148" s="13" t="n">
        <v>2025</v>
      </c>
      <c r="B148" s="13" t="s">
        <v>488</v>
      </c>
      <c r="C148" s="13" t="s">
        <v>125</v>
      </c>
      <c r="D148" s="13" t="s">
        <v>124</v>
      </c>
      <c r="E148" s="13" t="s">
        <v>123</v>
      </c>
      <c r="F148" s="13" t="s">
        <v>357</v>
      </c>
      <c r="G148" s="14" t="n">
        <v>763</v>
      </c>
      <c r="H148" s="14" t="n">
        <v>706</v>
      </c>
      <c r="I148" s="14" t="n">
        <v>292</v>
      </c>
      <c r="J148" s="14" t="n">
        <v>194</v>
      </c>
      <c r="K148" s="14" t="n">
        <v>143</v>
      </c>
      <c r="L148" s="14" t="n">
        <v>69</v>
      </c>
      <c r="M148" s="14" t="n">
        <v>8</v>
      </c>
      <c r="N148" s="14" t="n">
        <v>0</v>
      </c>
      <c r="O148" s="14" t="n">
        <v>57</v>
      </c>
    </row>
    <row r="149" customFormat="false" ht="15" hidden="false" customHeight="true" outlineLevel="0" collapsed="false">
      <c r="A149" s="13" t="n">
        <v>2025</v>
      </c>
      <c r="B149" s="13" t="s">
        <v>488</v>
      </c>
      <c r="C149" s="13" t="s">
        <v>125</v>
      </c>
      <c r="D149" s="13" t="s">
        <v>124</v>
      </c>
      <c r="E149" s="13" t="s">
        <v>126</v>
      </c>
      <c r="F149" s="13" t="s">
        <v>357</v>
      </c>
      <c r="G149" s="14" t="n">
        <v>425</v>
      </c>
      <c r="H149" s="14" t="n">
        <v>401</v>
      </c>
      <c r="I149" s="14" t="n">
        <v>105</v>
      </c>
      <c r="J149" s="14" t="n">
        <v>110</v>
      </c>
      <c r="K149" s="14" t="n">
        <v>117</v>
      </c>
      <c r="L149" s="14" t="n">
        <v>64</v>
      </c>
      <c r="M149" s="14" t="n">
        <v>5</v>
      </c>
      <c r="N149" s="14" t="n">
        <v>0</v>
      </c>
      <c r="O149" s="14" t="n">
        <v>24</v>
      </c>
    </row>
    <row r="150" customFormat="false" ht="15" hidden="false" customHeight="true" outlineLevel="0" collapsed="false">
      <c r="A150" s="13" t="n">
        <v>2025</v>
      </c>
      <c r="B150" s="13" t="s">
        <v>488</v>
      </c>
      <c r="C150" s="13" t="s">
        <v>125</v>
      </c>
      <c r="D150" s="13" t="s">
        <v>124</v>
      </c>
      <c r="E150" s="13" t="s">
        <v>202</v>
      </c>
      <c r="F150" s="13" t="s">
        <v>357</v>
      </c>
      <c r="G150" s="14" t="n">
        <v>1242</v>
      </c>
      <c r="H150" s="14" t="n">
        <v>1052</v>
      </c>
      <c r="I150" s="14" t="n">
        <v>82</v>
      </c>
      <c r="J150" s="14" t="n">
        <v>200</v>
      </c>
      <c r="K150" s="14" t="n">
        <v>375</v>
      </c>
      <c r="L150" s="14" t="n">
        <v>334</v>
      </c>
      <c r="M150" s="14" t="n">
        <v>61</v>
      </c>
      <c r="N150" s="14" t="n">
        <v>0</v>
      </c>
      <c r="O150" s="14" t="n">
        <v>190</v>
      </c>
    </row>
    <row r="151" customFormat="false" ht="15" hidden="false" customHeight="true" outlineLevel="0" collapsed="false">
      <c r="A151" s="13" t="n">
        <v>2025</v>
      </c>
      <c r="B151" s="13" t="s">
        <v>488</v>
      </c>
      <c r="C151" s="13" t="s">
        <v>125</v>
      </c>
      <c r="D151" s="13" t="s">
        <v>124</v>
      </c>
      <c r="E151" s="13" t="s">
        <v>128</v>
      </c>
      <c r="F151" s="13" t="s">
        <v>357</v>
      </c>
      <c r="G151" s="14" t="n">
        <v>615</v>
      </c>
      <c r="H151" s="14" t="n">
        <v>395</v>
      </c>
      <c r="I151" s="14" t="n">
        <v>3</v>
      </c>
      <c r="J151" s="14" t="n">
        <v>29</v>
      </c>
      <c r="K151" s="14" t="n">
        <v>114</v>
      </c>
      <c r="L151" s="14" t="n">
        <v>173</v>
      </c>
      <c r="M151" s="14" t="n">
        <v>76</v>
      </c>
      <c r="N151" s="14" t="n">
        <v>0</v>
      </c>
      <c r="O151" s="14" t="n">
        <v>220</v>
      </c>
    </row>
    <row r="152" customFormat="false" ht="15" hidden="false" customHeight="true" outlineLevel="0" collapsed="false">
      <c r="A152" s="13" t="n">
        <v>2025</v>
      </c>
      <c r="B152" s="13" t="s">
        <v>488</v>
      </c>
      <c r="C152" s="13" t="s">
        <v>125</v>
      </c>
      <c r="D152" s="13" t="s">
        <v>124</v>
      </c>
      <c r="E152" s="13" t="s">
        <v>203</v>
      </c>
      <c r="F152" s="13" t="s">
        <v>357</v>
      </c>
      <c r="G152" s="14" t="n">
        <v>21</v>
      </c>
      <c r="H152" s="14" t="n">
        <v>13</v>
      </c>
      <c r="I152" s="14" t="n">
        <v>1</v>
      </c>
      <c r="J152" s="14" t="n">
        <v>4</v>
      </c>
      <c r="K152" s="14" t="n">
        <v>2</v>
      </c>
      <c r="L152" s="14" t="n">
        <v>5</v>
      </c>
      <c r="M152" s="14" t="n">
        <v>1</v>
      </c>
      <c r="N152" s="14" t="n">
        <v>0</v>
      </c>
      <c r="O152" s="14" t="n">
        <v>8</v>
      </c>
    </row>
    <row r="153" customFormat="false" ht="15" hidden="false" customHeight="true" outlineLevel="0" collapsed="false">
      <c r="A153" s="13" t="n">
        <v>2025</v>
      </c>
      <c r="B153" s="13" t="s">
        <v>488</v>
      </c>
      <c r="C153" s="13" t="s">
        <v>125</v>
      </c>
      <c r="D153" s="13" t="s">
        <v>122</v>
      </c>
      <c r="E153" s="13" t="s">
        <v>123</v>
      </c>
      <c r="F153" s="13" t="s">
        <v>357</v>
      </c>
      <c r="G153" s="14" t="n">
        <v>1786</v>
      </c>
      <c r="H153" s="14" t="n">
        <v>1665</v>
      </c>
      <c r="I153" s="14" t="n">
        <v>603</v>
      </c>
      <c r="J153" s="14" t="n">
        <v>505</v>
      </c>
      <c r="K153" s="14" t="n">
        <v>390</v>
      </c>
      <c r="L153" s="14" t="n">
        <v>160</v>
      </c>
      <c r="M153" s="14" t="n">
        <v>7</v>
      </c>
      <c r="N153" s="14" t="n">
        <v>0</v>
      </c>
      <c r="O153" s="14" t="n">
        <v>121</v>
      </c>
    </row>
    <row r="154" customFormat="false" ht="15" hidden="false" customHeight="true" outlineLevel="0" collapsed="false">
      <c r="A154" s="13" t="n">
        <v>2025</v>
      </c>
      <c r="B154" s="13" t="s">
        <v>488</v>
      </c>
      <c r="C154" s="13" t="s">
        <v>125</v>
      </c>
      <c r="D154" s="13" t="s">
        <v>122</v>
      </c>
      <c r="E154" s="13" t="s">
        <v>126</v>
      </c>
      <c r="F154" s="13" t="s">
        <v>357</v>
      </c>
      <c r="G154" s="14" t="n">
        <v>291</v>
      </c>
      <c r="H154" s="14" t="n">
        <v>275</v>
      </c>
      <c r="I154" s="14" t="n">
        <v>106</v>
      </c>
      <c r="J154" s="14" t="n">
        <v>70</v>
      </c>
      <c r="K154" s="14" t="n">
        <v>69</v>
      </c>
      <c r="L154" s="14" t="n">
        <v>28</v>
      </c>
      <c r="M154" s="14" t="n">
        <v>2</v>
      </c>
      <c r="N154" s="14" t="n">
        <v>0</v>
      </c>
      <c r="O154" s="14" t="n">
        <v>16</v>
      </c>
    </row>
    <row r="155" customFormat="false" ht="15" hidden="false" customHeight="true" outlineLevel="0" collapsed="false">
      <c r="A155" s="13" t="n">
        <v>2025</v>
      </c>
      <c r="B155" s="13" t="s">
        <v>488</v>
      </c>
      <c r="C155" s="13" t="s">
        <v>125</v>
      </c>
      <c r="D155" s="13" t="s">
        <v>122</v>
      </c>
      <c r="E155" s="13" t="s">
        <v>202</v>
      </c>
      <c r="F155" s="13" t="s">
        <v>357</v>
      </c>
      <c r="G155" s="14" t="n">
        <v>974</v>
      </c>
      <c r="H155" s="14" t="n">
        <v>862</v>
      </c>
      <c r="I155" s="14" t="n">
        <v>131</v>
      </c>
      <c r="J155" s="14" t="n">
        <v>234</v>
      </c>
      <c r="K155" s="14" t="n">
        <v>321</v>
      </c>
      <c r="L155" s="14" t="n">
        <v>164</v>
      </c>
      <c r="M155" s="14" t="n">
        <v>12</v>
      </c>
      <c r="N155" s="14" t="n">
        <v>0</v>
      </c>
      <c r="O155" s="14" t="n">
        <v>112</v>
      </c>
    </row>
    <row r="156" customFormat="false" ht="15" hidden="false" customHeight="true" outlineLevel="0" collapsed="false">
      <c r="A156" s="13" t="n">
        <v>2025</v>
      </c>
      <c r="B156" s="13" t="s">
        <v>488</v>
      </c>
      <c r="C156" s="13" t="s">
        <v>125</v>
      </c>
      <c r="D156" s="13" t="s">
        <v>122</v>
      </c>
      <c r="E156" s="13" t="s">
        <v>128</v>
      </c>
      <c r="F156" s="13" t="s">
        <v>357</v>
      </c>
      <c r="G156" s="14" t="n">
        <v>817</v>
      </c>
      <c r="H156" s="14" t="n">
        <v>690</v>
      </c>
      <c r="I156" s="14" t="n">
        <v>34</v>
      </c>
      <c r="J156" s="14" t="n">
        <v>182</v>
      </c>
      <c r="K156" s="14" t="n">
        <v>325</v>
      </c>
      <c r="L156" s="14" t="n">
        <v>136</v>
      </c>
      <c r="M156" s="14" t="n">
        <v>13</v>
      </c>
      <c r="N156" s="14" t="n">
        <v>0</v>
      </c>
      <c r="O156" s="14" t="n">
        <v>127</v>
      </c>
    </row>
    <row r="157" customFormat="false" ht="15" hidden="false" customHeight="true" outlineLevel="0" collapsed="false">
      <c r="A157" s="13" t="n">
        <v>2025</v>
      </c>
      <c r="B157" s="13" t="s">
        <v>488</v>
      </c>
      <c r="C157" s="13" t="s">
        <v>125</v>
      </c>
      <c r="D157" s="13" t="s">
        <v>122</v>
      </c>
      <c r="E157" s="13" t="s">
        <v>203</v>
      </c>
      <c r="F157" s="13" t="s">
        <v>357</v>
      </c>
      <c r="G157" s="14" t="n">
        <v>5</v>
      </c>
      <c r="H157" s="14" t="n">
        <v>5</v>
      </c>
      <c r="I157" s="14" t="n">
        <v>0</v>
      </c>
      <c r="J157" s="14" t="n">
        <v>0</v>
      </c>
      <c r="K157" s="14" t="n">
        <v>4</v>
      </c>
      <c r="L157" s="14" t="n">
        <v>1</v>
      </c>
      <c r="M157" s="14" t="n">
        <v>0</v>
      </c>
      <c r="N157" s="14" t="n">
        <v>0</v>
      </c>
      <c r="O157" s="14" t="n">
        <v>0</v>
      </c>
    </row>
    <row r="158" customFormat="false" ht="15" hidden="false" customHeight="true" outlineLevel="0" collapsed="false">
      <c r="A158" s="13" t="n">
        <v>2026</v>
      </c>
      <c r="B158" s="13" t="s">
        <v>484</v>
      </c>
      <c r="C158" s="13" t="s">
        <v>492</v>
      </c>
      <c r="D158" s="13" t="s">
        <v>124</v>
      </c>
      <c r="E158" s="13" t="s">
        <v>123</v>
      </c>
      <c r="F158" s="13" t="s">
        <v>357</v>
      </c>
      <c r="G158" s="14" t="n">
        <v>62</v>
      </c>
      <c r="H158" s="14" t="n">
        <v>54</v>
      </c>
      <c r="I158" s="14" t="n">
        <v>7</v>
      </c>
      <c r="J158" s="14" t="n">
        <v>12</v>
      </c>
      <c r="K158" s="14" t="n">
        <v>28</v>
      </c>
      <c r="L158" s="14" t="n">
        <v>7</v>
      </c>
      <c r="M158" s="14" t="n">
        <v>0</v>
      </c>
      <c r="N158" s="14" t="n">
        <v>0</v>
      </c>
      <c r="O158" s="14" t="n">
        <v>8</v>
      </c>
    </row>
    <row r="159" customFormat="false" ht="15" hidden="false" customHeight="true" outlineLevel="0" collapsed="false">
      <c r="A159" s="13" t="n">
        <v>2026</v>
      </c>
      <c r="B159" s="13" t="s">
        <v>484</v>
      </c>
      <c r="C159" s="13" t="s">
        <v>492</v>
      </c>
      <c r="D159" s="13" t="s">
        <v>124</v>
      </c>
      <c r="E159" s="13" t="s">
        <v>126</v>
      </c>
      <c r="F159" s="13" t="s">
        <v>357</v>
      </c>
      <c r="G159" s="14" t="n">
        <v>25</v>
      </c>
      <c r="H159" s="14" t="n">
        <v>21</v>
      </c>
      <c r="I159" s="14" t="n">
        <v>4</v>
      </c>
      <c r="J159" s="14" t="n">
        <v>5</v>
      </c>
      <c r="K159" s="14" t="n">
        <v>5</v>
      </c>
      <c r="L159" s="14" t="n">
        <v>7</v>
      </c>
      <c r="M159" s="14" t="n">
        <v>0</v>
      </c>
      <c r="N159" s="14" t="n">
        <v>0</v>
      </c>
      <c r="O159" s="14" t="n">
        <v>4</v>
      </c>
    </row>
    <row r="160" customFormat="false" ht="15" hidden="false" customHeight="true" outlineLevel="0" collapsed="false">
      <c r="A160" s="13" t="n">
        <v>2026</v>
      </c>
      <c r="B160" s="13" t="s">
        <v>484</v>
      </c>
      <c r="C160" s="13" t="s">
        <v>492</v>
      </c>
      <c r="D160" s="13" t="s">
        <v>124</v>
      </c>
      <c r="E160" s="13" t="s">
        <v>202</v>
      </c>
      <c r="F160" s="13" t="s">
        <v>357</v>
      </c>
      <c r="G160" s="14" t="n">
        <v>216</v>
      </c>
      <c r="H160" s="14" t="n">
        <v>155</v>
      </c>
      <c r="I160" s="14" t="n">
        <v>11</v>
      </c>
      <c r="J160" s="14" t="n">
        <v>27</v>
      </c>
      <c r="K160" s="14" t="n">
        <v>58</v>
      </c>
      <c r="L160" s="14" t="n">
        <v>50</v>
      </c>
      <c r="M160" s="14" t="n">
        <v>9</v>
      </c>
      <c r="N160" s="14" t="n">
        <v>0</v>
      </c>
      <c r="O160" s="14" t="n">
        <v>61</v>
      </c>
    </row>
    <row r="161" customFormat="false" ht="15" hidden="false" customHeight="true" outlineLevel="0" collapsed="false">
      <c r="A161" s="13" t="n">
        <v>2026</v>
      </c>
      <c r="B161" s="13" t="s">
        <v>484</v>
      </c>
      <c r="C161" s="13" t="s">
        <v>492</v>
      </c>
      <c r="D161" s="13" t="s">
        <v>124</v>
      </c>
      <c r="E161" s="13" t="s">
        <v>128</v>
      </c>
      <c r="F161" s="13" t="s">
        <v>357</v>
      </c>
      <c r="G161" s="14" t="n">
        <v>781</v>
      </c>
      <c r="H161" s="14" t="n">
        <v>339</v>
      </c>
      <c r="I161" s="14" t="n">
        <v>8</v>
      </c>
      <c r="J161" s="14" t="n">
        <v>49</v>
      </c>
      <c r="K161" s="14" t="n">
        <v>108</v>
      </c>
      <c r="L161" s="14" t="n">
        <v>134</v>
      </c>
      <c r="M161" s="14" t="n">
        <v>39</v>
      </c>
      <c r="N161" s="14" t="n">
        <v>1</v>
      </c>
      <c r="O161" s="14" t="n">
        <v>442</v>
      </c>
    </row>
    <row r="162" customFormat="false" ht="15" hidden="false" customHeight="true" outlineLevel="0" collapsed="false">
      <c r="A162" s="13" t="n">
        <v>2026</v>
      </c>
      <c r="B162" s="13" t="s">
        <v>484</v>
      </c>
      <c r="C162" s="13" t="s">
        <v>492</v>
      </c>
      <c r="D162" s="13" t="s">
        <v>124</v>
      </c>
      <c r="E162" s="13" t="s">
        <v>203</v>
      </c>
      <c r="F162" s="13" t="s">
        <v>357</v>
      </c>
      <c r="G162" s="14" t="n">
        <v>8</v>
      </c>
      <c r="H162" s="14" t="n">
        <v>5</v>
      </c>
      <c r="I162" s="14" t="n">
        <v>0</v>
      </c>
      <c r="J162" s="14" t="n">
        <v>1</v>
      </c>
      <c r="K162" s="14" t="n">
        <v>3</v>
      </c>
      <c r="L162" s="14" t="n">
        <v>1</v>
      </c>
      <c r="M162" s="14" t="n">
        <v>0</v>
      </c>
      <c r="N162" s="14" t="n">
        <v>0</v>
      </c>
      <c r="O162" s="14" t="n">
        <v>3</v>
      </c>
    </row>
    <row r="163" customFormat="false" ht="15" hidden="false" customHeight="true" outlineLevel="0" collapsed="false">
      <c r="A163" s="13" t="n">
        <v>2026</v>
      </c>
      <c r="B163" s="13" t="s">
        <v>484</v>
      </c>
      <c r="C163" s="13" t="s">
        <v>492</v>
      </c>
      <c r="D163" s="13" t="s">
        <v>122</v>
      </c>
      <c r="E163" s="13" t="s">
        <v>123</v>
      </c>
      <c r="F163" s="13" t="s">
        <v>357</v>
      </c>
      <c r="G163" s="14" t="n">
        <v>178</v>
      </c>
      <c r="H163" s="14" t="n">
        <v>156</v>
      </c>
      <c r="I163" s="14" t="n">
        <v>6</v>
      </c>
      <c r="J163" s="14" t="n">
        <v>20</v>
      </c>
      <c r="K163" s="14" t="n">
        <v>55</v>
      </c>
      <c r="L163" s="14" t="n">
        <v>68</v>
      </c>
      <c r="M163" s="14" t="n">
        <v>7</v>
      </c>
      <c r="N163" s="14" t="n">
        <v>0</v>
      </c>
      <c r="O163" s="14" t="n">
        <v>22</v>
      </c>
    </row>
    <row r="164" customFormat="false" ht="15" hidden="false" customHeight="true" outlineLevel="0" collapsed="false">
      <c r="A164" s="13" t="n">
        <v>2026</v>
      </c>
      <c r="B164" s="13" t="s">
        <v>484</v>
      </c>
      <c r="C164" s="13" t="s">
        <v>492</v>
      </c>
      <c r="D164" s="13" t="s">
        <v>122</v>
      </c>
      <c r="E164" s="13" t="s">
        <v>126</v>
      </c>
      <c r="F164" s="13" t="s">
        <v>357</v>
      </c>
      <c r="G164" s="14" t="n">
        <v>11</v>
      </c>
      <c r="H164" s="14" t="n">
        <v>10</v>
      </c>
      <c r="I164" s="14" t="n">
        <v>0</v>
      </c>
      <c r="J164" s="14" t="n">
        <v>5</v>
      </c>
      <c r="K164" s="14" t="n">
        <v>3</v>
      </c>
      <c r="L164" s="14" t="n">
        <v>2</v>
      </c>
      <c r="M164" s="14" t="n">
        <v>0</v>
      </c>
      <c r="N164" s="14" t="n">
        <v>0</v>
      </c>
      <c r="O164" s="14" t="n">
        <v>1</v>
      </c>
    </row>
    <row r="165" customFormat="false" ht="15" hidden="false" customHeight="true" outlineLevel="0" collapsed="false">
      <c r="A165" s="13" t="n">
        <v>2026</v>
      </c>
      <c r="B165" s="13" t="s">
        <v>484</v>
      </c>
      <c r="C165" s="13" t="s">
        <v>492</v>
      </c>
      <c r="D165" s="13" t="s">
        <v>122</v>
      </c>
      <c r="E165" s="13" t="s">
        <v>202</v>
      </c>
      <c r="F165" s="13" t="s">
        <v>357</v>
      </c>
      <c r="G165" s="14" t="n">
        <v>269</v>
      </c>
      <c r="H165" s="14" t="n">
        <v>193</v>
      </c>
      <c r="I165" s="14" t="n">
        <v>6</v>
      </c>
      <c r="J165" s="14" t="n">
        <v>35</v>
      </c>
      <c r="K165" s="14" t="n">
        <v>83</v>
      </c>
      <c r="L165" s="14" t="n">
        <v>60</v>
      </c>
      <c r="M165" s="14" t="n">
        <v>9</v>
      </c>
      <c r="N165" s="14" t="n">
        <v>0</v>
      </c>
      <c r="O165" s="14" t="n">
        <v>76</v>
      </c>
    </row>
    <row r="166" customFormat="false" ht="15" hidden="false" customHeight="true" outlineLevel="0" collapsed="false">
      <c r="A166" s="13" t="n">
        <v>2026</v>
      </c>
      <c r="B166" s="13" t="s">
        <v>484</v>
      </c>
      <c r="C166" s="13" t="s">
        <v>492</v>
      </c>
      <c r="D166" s="13" t="s">
        <v>122</v>
      </c>
      <c r="E166" s="13" t="s">
        <v>128</v>
      </c>
      <c r="F166" s="13" t="s">
        <v>357</v>
      </c>
      <c r="G166" s="14" t="n">
        <v>1206</v>
      </c>
      <c r="H166" s="14" t="n">
        <v>844</v>
      </c>
      <c r="I166" s="14" t="n">
        <v>26</v>
      </c>
      <c r="J166" s="14" t="n">
        <v>180</v>
      </c>
      <c r="K166" s="14" t="n">
        <v>375</v>
      </c>
      <c r="L166" s="14" t="n">
        <v>235</v>
      </c>
      <c r="M166" s="14" t="n">
        <v>26</v>
      </c>
      <c r="N166" s="14" t="n">
        <v>2</v>
      </c>
      <c r="O166" s="14" t="n">
        <v>362</v>
      </c>
    </row>
    <row r="167" customFormat="false" ht="15" hidden="false" customHeight="true" outlineLevel="0" collapsed="false">
      <c r="A167" s="13" t="n">
        <v>2026</v>
      </c>
      <c r="B167" s="13" t="s">
        <v>484</v>
      </c>
      <c r="C167" s="13" t="s">
        <v>125</v>
      </c>
      <c r="D167" s="13" t="s">
        <v>124</v>
      </c>
      <c r="E167" s="13" t="s">
        <v>123</v>
      </c>
      <c r="F167" s="13" t="s">
        <v>357</v>
      </c>
      <c r="G167" s="14" t="n">
        <v>272</v>
      </c>
      <c r="H167" s="14" t="n">
        <v>234</v>
      </c>
      <c r="I167" s="14" t="n">
        <v>60</v>
      </c>
      <c r="J167" s="14" t="n">
        <v>61</v>
      </c>
      <c r="K167" s="14" t="n">
        <v>75</v>
      </c>
      <c r="L167" s="14" t="n">
        <v>33</v>
      </c>
      <c r="M167" s="14" t="n">
        <v>5</v>
      </c>
      <c r="N167" s="14" t="n">
        <v>0</v>
      </c>
      <c r="O167" s="14" t="n">
        <v>38</v>
      </c>
    </row>
    <row r="168" customFormat="false" ht="15" hidden="false" customHeight="true" outlineLevel="0" collapsed="false">
      <c r="A168" s="13" t="n">
        <v>2026</v>
      </c>
      <c r="B168" s="13" t="s">
        <v>484</v>
      </c>
      <c r="C168" s="13" t="s">
        <v>125</v>
      </c>
      <c r="D168" s="13" t="s">
        <v>124</v>
      </c>
      <c r="E168" s="13" t="s">
        <v>126</v>
      </c>
      <c r="F168" s="13" t="s">
        <v>357</v>
      </c>
      <c r="G168" s="14" t="n">
        <v>78</v>
      </c>
      <c r="H168" s="14" t="n">
        <v>66</v>
      </c>
      <c r="I168" s="14" t="n">
        <v>11</v>
      </c>
      <c r="J168" s="14" t="n">
        <v>24</v>
      </c>
      <c r="K168" s="14" t="n">
        <v>19</v>
      </c>
      <c r="L168" s="14" t="n">
        <v>12</v>
      </c>
      <c r="M168" s="14" t="n">
        <v>0</v>
      </c>
      <c r="N168" s="14" t="n">
        <v>0</v>
      </c>
      <c r="O168" s="14" t="n">
        <v>12</v>
      </c>
    </row>
    <row r="169" customFormat="false" ht="15" hidden="false" customHeight="true" outlineLevel="0" collapsed="false">
      <c r="A169" s="13" t="n">
        <v>2026</v>
      </c>
      <c r="B169" s="13" t="s">
        <v>484</v>
      </c>
      <c r="C169" s="13" t="s">
        <v>125</v>
      </c>
      <c r="D169" s="13" t="s">
        <v>124</v>
      </c>
      <c r="E169" s="13" t="s">
        <v>202</v>
      </c>
      <c r="F169" s="13" t="s">
        <v>357</v>
      </c>
      <c r="G169" s="14" t="n">
        <v>569</v>
      </c>
      <c r="H169" s="14" t="n">
        <v>430</v>
      </c>
      <c r="I169" s="14" t="n">
        <v>53</v>
      </c>
      <c r="J169" s="14" t="n">
        <v>77</v>
      </c>
      <c r="K169" s="14" t="n">
        <v>151</v>
      </c>
      <c r="L169" s="14" t="n">
        <v>133</v>
      </c>
      <c r="M169" s="14" t="n">
        <v>16</v>
      </c>
      <c r="N169" s="14" t="n">
        <v>0</v>
      </c>
      <c r="O169" s="14" t="n">
        <v>139</v>
      </c>
    </row>
    <row r="170" customFormat="false" ht="15" hidden="false" customHeight="true" outlineLevel="0" collapsed="false">
      <c r="A170" s="13" t="n">
        <v>2026</v>
      </c>
      <c r="B170" s="13" t="s">
        <v>484</v>
      </c>
      <c r="C170" s="13" t="s">
        <v>125</v>
      </c>
      <c r="D170" s="13" t="s">
        <v>124</v>
      </c>
      <c r="E170" s="13" t="s">
        <v>128</v>
      </c>
      <c r="F170" s="13" t="s">
        <v>357</v>
      </c>
      <c r="G170" s="14" t="n">
        <v>606</v>
      </c>
      <c r="H170" s="14" t="n">
        <v>319</v>
      </c>
      <c r="I170" s="14" t="n">
        <v>14</v>
      </c>
      <c r="J170" s="14" t="n">
        <v>54</v>
      </c>
      <c r="K170" s="14" t="n">
        <v>132</v>
      </c>
      <c r="L170" s="14" t="n">
        <v>101</v>
      </c>
      <c r="M170" s="14" t="n">
        <v>18</v>
      </c>
      <c r="N170" s="14" t="n">
        <v>0</v>
      </c>
      <c r="O170" s="14" t="n">
        <v>287</v>
      </c>
    </row>
    <row r="171" customFormat="false" ht="15" hidden="false" customHeight="true" outlineLevel="0" collapsed="false">
      <c r="A171" s="13" t="n">
        <v>2026</v>
      </c>
      <c r="B171" s="13" t="s">
        <v>484</v>
      </c>
      <c r="C171" s="13" t="s">
        <v>125</v>
      </c>
      <c r="D171" s="13" t="s">
        <v>124</v>
      </c>
      <c r="E171" s="13" t="s">
        <v>203</v>
      </c>
      <c r="F171" s="13" t="s">
        <v>357</v>
      </c>
      <c r="G171" s="14" t="n">
        <v>11</v>
      </c>
      <c r="H171" s="14" t="n">
        <v>5</v>
      </c>
      <c r="I171" s="14" t="n">
        <v>0</v>
      </c>
      <c r="J171" s="14" t="n">
        <v>0</v>
      </c>
      <c r="K171" s="14" t="n">
        <v>1</v>
      </c>
      <c r="L171" s="14" t="n">
        <v>3</v>
      </c>
      <c r="M171" s="14" t="n">
        <v>0</v>
      </c>
      <c r="N171" s="14" t="n">
        <v>1</v>
      </c>
      <c r="O171" s="14" t="n">
        <v>6</v>
      </c>
    </row>
    <row r="172" customFormat="false" ht="15" hidden="false" customHeight="true" outlineLevel="0" collapsed="false">
      <c r="A172" s="13" t="n">
        <v>2026</v>
      </c>
      <c r="B172" s="13" t="s">
        <v>484</v>
      </c>
      <c r="C172" s="13" t="s">
        <v>125</v>
      </c>
      <c r="D172" s="13" t="s">
        <v>122</v>
      </c>
      <c r="E172" s="13" t="s">
        <v>123</v>
      </c>
      <c r="F172" s="13" t="s">
        <v>357</v>
      </c>
      <c r="G172" s="14" t="n">
        <v>700</v>
      </c>
      <c r="H172" s="14" t="n">
        <v>640</v>
      </c>
      <c r="I172" s="14" t="n">
        <v>152</v>
      </c>
      <c r="J172" s="14" t="n">
        <v>204</v>
      </c>
      <c r="K172" s="14" t="n">
        <v>206</v>
      </c>
      <c r="L172" s="14" t="n">
        <v>77</v>
      </c>
      <c r="M172" s="14" t="n">
        <v>1</v>
      </c>
      <c r="N172" s="14" t="n">
        <v>0</v>
      </c>
      <c r="O172" s="14" t="n">
        <v>60</v>
      </c>
    </row>
    <row r="173" customFormat="false" ht="15" hidden="false" customHeight="true" outlineLevel="0" collapsed="false">
      <c r="A173" s="13" t="n">
        <v>2026</v>
      </c>
      <c r="B173" s="13" t="s">
        <v>484</v>
      </c>
      <c r="C173" s="13" t="s">
        <v>125</v>
      </c>
      <c r="D173" s="13" t="s">
        <v>122</v>
      </c>
      <c r="E173" s="13" t="s">
        <v>126</v>
      </c>
      <c r="F173" s="13" t="s">
        <v>357</v>
      </c>
      <c r="G173" s="14" t="n">
        <v>40</v>
      </c>
      <c r="H173" s="14" t="n">
        <v>36</v>
      </c>
      <c r="I173" s="14" t="n">
        <v>6</v>
      </c>
      <c r="J173" s="14" t="n">
        <v>11</v>
      </c>
      <c r="K173" s="14" t="n">
        <v>14</v>
      </c>
      <c r="L173" s="14" t="n">
        <v>5</v>
      </c>
      <c r="M173" s="14" t="n">
        <v>0</v>
      </c>
      <c r="N173" s="14" t="n">
        <v>0</v>
      </c>
      <c r="O173" s="14" t="n">
        <v>4</v>
      </c>
    </row>
    <row r="174" customFormat="false" ht="15" hidden="false" customHeight="true" outlineLevel="0" collapsed="false">
      <c r="A174" s="13" t="n">
        <v>2026</v>
      </c>
      <c r="B174" s="13" t="s">
        <v>484</v>
      </c>
      <c r="C174" s="13" t="s">
        <v>125</v>
      </c>
      <c r="D174" s="13" t="s">
        <v>122</v>
      </c>
      <c r="E174" s="13" t="s">
        <v>202</v>
      </c>
      <c r="F174" s="13" t="s">
        <v>357</v>
      </c>
      <c r="G174" s="14" t="n">
        <v>410</v>
      </c>
      <c r="H174" s="14" t="n">
        <v>381</v>
      </c>
      <c r="I174" s="14" t="n">
        <v>79</v>
      </c>
      <c r="J174" s="14" t="n">
        <v>137</v>
      </c>
      <c r="K174" s="14" t="n">
        <v>121</v>
      </c>
      <c r="L174" s="14" t="n">
        <v>40</v>
      </c>
      <c r="M174" s="14" t="n">
        <v>4</v>
      </c>
      <c r="N174" s="14" t="n">
        <v>0</v>
      </c>
      <c r="O174" s="14" t="n">
        <v>29</v>
      </c>
    </row>
    <row r="175" customFormat="false" ht="15" hidden="false" customHeight="true" outlineLevel="0" collapsed="false">
      <c r="A175" s="13" t="n">
        <v>2026</v>
      </c>
      <c r="B175" s="13" t="s">
        <v>484</v>
      </c>
      <c r="C175" s="13" t="s">
        <v>125</v>
      </c>
      <c r="D175" s="13" t="s">
        <v>122</v>
      </c>
      <c r="E175" s="13" t="s">
        <v>128</v>
      </c>
      <c r="F175" s="13" t="s">
        <v>357</v>
      </c>
      <c r="G175" s="14" t="n">
        <v>551</v>
      </c>
      <c r="H175" s="14" t="n">
        <v>462</v>
      </c>
      <c r="I175" s="14" t="n">
        <v>54</v>
      </c>
      <c r="J175" s="14" t="n">
        <v>149</v>
      </c>
      <c r="K175" s="14" t="n">
        <v>185</v>
      </c>
      <c r="L175" s="14" t="n">
        <v>64</v>
      </c>
      <c r="M175" s="14" t="n">
        <v>10</v>
      </c>
      <c r="N175" s="14" t="n">
        <v>0</v>
      </c>
      <c r="O175" s="14" t="n">
        <v>89</v>
      </c>
    </row>
    <row r="176" customFormat="false" ht="15" hidden="false" customHeight="true" outlineLevel="0" collapsed="false">
      <c r="A176" s="13" t="n">
        <v>2026</v>
      </c>
      <c r="B176" s="13" t="s">
        <v>484</v>
      </c>
      <c r="C176" s="13" t="s">
        <v>125</v>
      </c>
      <c r="D176" s="13" t="s">
        <v>122</v>
      </c>
      <c r="E176" s="13" t="s">
        <v>203</v>
      </c>
      <c r="F176" s="13" t="s">
        <v>357</v>
      </c>
      <c r="G176" s="14" t="n">
        <v>3</v>
      </c>
      <c r="H176" s="14" t="n">
        <v>1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1</v>
      </c>
      <c r="N176" s="14" t="n">
        <v>0</v>
      </c>
      <c r="O176" s="14" t="n">
        <v>2</v>
      </c>
    </row>
    <row r="177" customFormat="false" ht="15" hidden="false" customHeight="true" outlineLevel="0" collapsed="false">
      <c r="A177" s="13" t="n">
        <v>2026</v>
      </c>
      <c r="B177" s="13" t="s">
        <v>24</v>
      </c>
      <c r="C177" s="13" t="s">
        <v>492</v>
      </c>
      <c r="D177" s="13" t="s">
        <v>124</v>
      </c>
      <c r="E177" s="13" t="s">
        <v>123</v>
      </c>
      <c r="F177" s="13" t="s">
        <v>357</v>
      </c>
      <c r="G177" s="14" t="n">
        <v>571</v>
      </c>
      <c r="H177" s="14" t="n">
        <v>431</v>
      </c>
      <c r="I177" s="14" t="n">
        <v>49</v>
      </c>
      <c r="J177" s="14" t="n">
        <v>66</v>
      </c>
      <c r="K177" s="14" t="n">
        <v>149</v>
      </c>
      <c r="L177" s="14" t="n">
        <v>156</v>
      </c>
      <c r="M177" s="14" t="n">
        <v>11</v>
      </c>
      <c r="N177" s="14" t="n">
        <v>0</v>
      </c>
      <c r="O177" s="14" t="n">
        <v>140</v>
      </c>
    </row>
    <row r="178" customFormat="false" ht="15" hidden="false" customHeight="true" outlineLevel="0" collapsed="false">
      <c r="A178" s="13" t="n">
        <v>2026</v>
      </c>
      <c r="B178" s="13" t="s">
        <v>24</v>
      </c>
      <c r="C178" s="13" t="s">
        <v>492</v>
      </c>
      <c r="D178" s="13" t="s">
        <v>124</v>
      </c>
      <c r="E178" s="13" t="s">
        <v>126</v>
      </c>
      <c r="F178" s="13" t="s">
        <v>357</v>
      </c>
      <c r="G178" s="14" t="n">
        <v>322</v>
      </c>
      <c r="H178" s="14" t="n">
        <v>241</v>
      </c>
      <c r="I178" s="14" t="n">
        <v>28</v>
      </c>
      <c r="J178" s="14" t="n">
        <v>51</v>
      </c>
      <c r="K178" s="14" t="n">
        <v>67</v>
      </c>
      <c r="L178" s="14" t="n">
        <v>85</v>
      </c>
      <c r="M178" s="14" t="n">
        <v>10</v>
      </c>
      <c r="N178" s="14" t="n">
        <v>0</v>
      </c>
      <c r="O178" s="14" t="n">
        <v>81</v>
      </c>
    </row>
    <row r="179" customFormat="false" ht="15" hidden="false" customHeight="true" outlineLevel="0" collapsed="false">
      <c r="A179" s="13" t="n">
        <v>2026</v>
      </c>
      <c r="B179" s="13" t="s">
        <v>24</v>
      </c>
      <c r="C179" s="13" t="s">
        <v>492</v>
      </c>
      <c r="D179" s="13" t="s">
        <v>124</v>
      </c>
      <c r="E179" s="13" t="s">
        <v>202</v>
      </c>
      <c r="F179" s="13" t="s">
        <v>357</v>
      </c>
      <c r="G179" s="14" t="n">
        <v>2268</v>
      </c>
      <c r="H179" s="14" t="n">
        <v>1443</v>
      </c>
      <c r="I179" s="14" t="n">
        <v>44</v>
      </c>
      <c r="J179" s="14" t="n">
        <v>175</v>
      </c>
      <c r="K179" s="14" t="n">
        <v>435</v>
      </c>
      <c r="L179" s="14" t="n">
        <v>631</v>
      </c>
      <c r="M179" s="14" t="n">
        <v>158</v>
      </c>
      <c r="N179" s="14" t="n">
        <v>0</v>
      </c>
      <c r="O179" s="14" t="n">
        <v>825</v>
      </c>
    </row>
    <row r="180" customFormat="false" ht="15" hidden="false" customHeight="true" outlineLevel="0" collapsed="false">
      <c r="A180" s="13" t="n">
        <v>2026</v>
      </c>
      <c r="B180" s="13" t="s">
        <v>24</v>
      </c>
      <c r="C180" s="13" t="s">
        <v>492</v>
      </c>
      <c r="D180" s="13" t="s">
        <v>124</v>
      </c>
      <c r="E180" s="13" t="s">
        <v>128</v>
      </c>
      <c r="F180" s="13" t="s">
        <v>357</v>
      </c>
      <c r="G180" s="14" t="n">
        <v>2540</v>
      </c>
      <c r="H180" s="14" t="n">
        <v>1319</v>
      </c>
      <c r="I180" s="14" t="n">
        <v>17</v>
      </c>
      <c r="J180" s="14" t="n">
        <v>127</v>
      </c>
      <c r="K180" s="14" t="n">
        <v>421</v>
      </c>
      <c r="L180" s="14" t="n">
        <v>569</v>
      </c>
      <c r="M180" s="14" t="n">
        <v>181</v>
      </c>
      <c r="N180" s="14" t="n">
        <v>4</v>
      </c>
      <c r="O180" s="14" t="n">
        <v>1221</v>
      </c>
    </row>
    <row r="181" customFormat="false" ht="15" hidden="false" customHeight="true" outlineLevel="0" collapsed="false">
      <c r="A181" s="13" t="n">
        <v>2026</v>
      </c>
      <c r="B181" s="13" t="s">
        <v>24</v>
      </c>
      <c r="C181" s="13" t="s">
        <v>492</v>
      </c>
      <c r="D181" s="13" t="s">
        <v>124</v>
      </c>
      <c r="E181" s="13" t="s">
        <v>203</v>
      </c>
      <c r="F181" s="13" t="s">
        <v>357</v>
      </c>
      <c r="G181" s="14" t="n">
        <v>426</v>
      </c>
      <c r="H181" s="14" t="n">
        <v>245</v>
      </c>
      <c r="I181" s="14" t="n">
        <v>4</v>
      </c>
      <c r="J181" s="14" t="n">
        <v>26</v>
      </c>
      <c r="K181" s="14" t="n">
        <v>65</v>
      </c>
      <c r="L181" s="14" t="n">
        <v>106</v>
      </c>
      <c r="M181" s="14" t="n">
        <v>44</v>
      </c>
      <c r="N181" s="14" t="n">
        <v>0</v>
      </c>
      <c r="O181" s="14" t="n">
        <v>181</v>
      </c>
    </row>
    <row r="182" customFormat="false" ht="15" hidden="false" customHeight="true" outlineLevel="0" collapsed="false">
      <c r="A182" s="13" t="n">
        <v>2026</v>
      </c>
      <c r="B182" s="13" t="s">
        <v>24</v>
      </c>
      <c r="C182" s="13" t="s">
        <v>492</v>
      </c>
      <c r="D182" s="13" t="s">
        <v>122</v>
      </c>
      <c r="E182" s="13" t="s">
        <v>123</v>
      </c>
      <c r="F182" s="13" t="s">
        <v>357</v>
      </c>
      <c r="G182" s="14" t="n">
        <v>2688</v>
      </c>
      <c r="H182" s="14" t="n">
        <v>2320</v>
      </c>
      <c r="I182" s="14" t="n">
        <v>275</v>
      </c>
      <c r="J182" s="14" t="n">
        <v>542</v>
      </c>
      <c r="K182" s="14" t="n">
        <v>955</v>
      </c>
      <c r="L182" s="14" t="n">
        <v>529</v>
      </c>
      <c r="M182" s="14" t="n">
        <v>19</v>
      </c>
      <c r="N182" s="14" t="n">
        <v>0</v>
      </c>
      <c r="O182" s="14" t="n">
        <v>368</v>
      </c>
    </row>
    <row r="183" customFormat="false" ht="15" hidden="false" customHeight="true" outlineLevel="0" collapsed="false">
      <c r="A183" s="13" t="n">
        <v>2026</v>
      </c>
      <c r="B183" s="13" t="s">
        <v>24</v>
      </c>
      <c r="C183" s="13" t="s">
        <v>492</v>
      </c>
      <c r="D183" s="13" t="s">
        <v>122</v>
      </c>
      <c r="E183" s="13" t="s">
        <v>126</v>
      </c>
      <c r="F183" s="13" t="s">
        <v>357</v>
      </c>
      <c r="G183" s="14" t="n">
        <v>323</v>
      </c>
      <c r="H183" s="14" t="n">
        <v>285</v>
      </c>
      <c r="I183" s="14" t="n">
        <v>32</v>
      </c>
      <c r="J183" s="14" t="n">
        <v>57</v>
      </c>
      <c r="K183" s="14" t="n">
        <v>112</v>
      </c>
      <c r="L183" s="14" t="n">
        <v>82</v>
      </c>
      <c r="M183" s="14" t="n">
        <v>2</v>
      </c>
      <c r="N183" s="14" t="n">
        <v>0</v>
      </c>
      <c r="O183" s="14" t="n">
        <v>38</v>
      </c>
    </row>
    <row r="184" customFormat="false" ht="15" hidden="false" customHeight="true" outlineLevel="0" collapsed="false">
      <c r="A184" s="13" t="n">
        <v>2026</v>
      </c>
      <c r="B184" s="13" t="s">
        <v>24</v>
      </c>
      <c r="C184" s="13" t="s">
        <v>492</v>
      </c>
      <c r="D184" s="13" t="s">
        <v>122</v>
      </c>
      <c r="E184" s="13" t="s">
        <v>202</v>
      </c>
      <c r="F184" s="13" t="s">
        <v>357</v>
      </c>
      <c r="G184" s="14" t="n">
        <v>3205</v>
      </c>
      <c r="H184" s="14" t="n">
        <v>2600</v>
      </c>
      <c r="I184" s="14" t="n">
        <v>159</v>
      </c>
      <c r="J184" s="14" t="n">
        <v>476</v>
      </c>
      <c r="K184" s="14" t="n">
        <v>995</v>
      </c>
      <c r="L184" s="14" t="n">
        <v>877</v>
      </c>
      <c r="M184" s="14" t="n">
        <v>93</v>
      </c>
      <c r="N184" s="14" t="n">
        <v>0</v>
      </c>
      <c r="O184" s="14" t="n">
        <v>605</v>
      </c>
    </row>
    <row r="185" customFormat="false" ht="15" hidden="false" customHeight="true" outlineLevel="0" collapsed="false">
      <c r="A185" s="13" t="n">
        <v>2026</v>
      </c>
      <c r="B185" s="13" t="s">
        <v>24</v>
      </c>
      <c r="C185" s="13" t="s">
        <v>492</v>
      </c>
      <c r="D185" s="13" t="s">
        <v>122</v>
      </c>
      <c r="E185" s="13" t="s">
        <v>128</v>
      </c>
      <c r="F185" s="13" t="s">
        <v>357</v>
      </c>
      <c r="G185" s="14" t="n">
        <v>9119</v>
      </c>
      <c r="H185" s="14" t="n">
        <v>7705</v>
      </c>
      <c r="I185" s="14" t="n">
        <v>214</v>
      </c>
      <c r="J185" s="14" t="n">
        <v>1373</v>
      </c>
      <c r="K185" s="14" t="n">
        <v>3116</v>
      </c>
      <c r="L185" s="14" t="n">
        <v>2523</v>
      </c>
      <c r="M185" s="14" t="n">
        <v>476</v>
      </c>
      <c r="N185" s="14" t="n">
        <v>3</v>
      </c>
      <c r="O185" s="14" t="n">
        <v>1414</v>
      </c>
    </row>
    <row r="186" customFormat="false" ht="15" hidden="false" customHeight="true" outlineLevel="0" collapsed="false">
      <c r="A186" s="13" t="n">
        <v>2026</v>
      </c>
      <c r="B186" s="13" t="s">
        <v>24</v>
      </c>
      <c r="C186" s="13" t="s">
        <v>492</v>
      </c>
      <c r="D186" s="13" t="s">
        <v>122</v>
      </c>
      <c r="E186" s="13" t="s">
        <v>203</v>
      </c>
      <c r="F186" s="13" t="s">
        <v>357</v>
      </c>
      <c r="G186" s="14" t="n">
        <v>174</v>
      </c>
      <c r="H186" s="14" t="n">
        <v>163</v>
      </c>
      <c r="I186" s="14" t="n">
        <v>3</v>
      </c>
      <c r="J186" s="14" t="n">
        <v>30</v>
      </c>
      <c r="K186" s="14" t="n">
        <v>53</v>
      </c>
      <c r="L186" s="14" t="n">
        <v>59</v>
      </c>
      <c r="M186" s="14" t="n">
        <v>18</v>
      </c>
      <c r="N186" s="14" t="n">
        <v>0</v>
      </c>
      <c r="O186" s="14" t="n">
        <v>11</v>
      </c>
    </row>
    <row r="187" customFormat="false" ht="15" hidden="false" customHeight="true" outlineLevel="0" collapsed="false">
      <c r="A187" s="13" t="n">
        <v>2026</v>
      </c>
      <c r="B187" s="13" t="s">
        <v>24</v>
      </c>
      <c r="C187" s="13" t="s">
        <v>492</v>
      </c>
      <c r="D187" s="13" t="s">
        <v>122</v>
      </c>
      <c r="E187" s="13" t="s">
        <v>130</v>
      </c>
      <c r="F187" s="13" t="s">
        <v>357</v>
      </c>
      <c r="G187" s="14" t="n">
        <v>8</v>
      </c>
      <c r="H187" s="14" t="n">
        <v>8</v>
      </c>
      <c r="I187" s="14" t="n">
        <v>2</v>
      </c>
      <c r="J187" s="14" t="n">
        <v>4</v>
      </c>
      <c r="K187" s="14" t="n">
        <v>2</v>
      </c>
      <c r="L187" s="14" t="n">
        <v>0</v>
      </c>
      <c r="M187" s="14" t="n">
        <v>0</v>
      </c>
      <c r="N187" s="14" t="n">
        <v>0</v>
      </c>
      <c r="O187" s="14" t="n">
        <v>0</v>
      </c>
    </row>
    <row r="188" customFormat="false" ht="15" hidden="false" customHeight="true" outlineLevel="0" collapsed="false">
      <c r="A188" s="13" t="n">
        <v>2026</v>
      </c>
      <c r="B188" s="13" t="s">
        <v>24</v>
      </c>
      <c r="C188" s="13" t="s">
        <v>125</v>
      </c>
      <c r="D188" s="13" t="s">
        <v>124</v>
      </c>
      <c r="E188" s="13" t="s">
        <v>123</v>
      </c>
      <c r="F188" s="13" t="s">
        <v>357</v>
      </c>
      <c r="G188" s="14" t="n">
        <v>2374</v>
      </c>
      <c r="H188" s="14" t="n">
        <v>2023</v>
      </c>
      <c r="I188" s="14" t="n">
        <v>610</v>
      </c>
      <c r="J188" s="14" t="n">
        <v>552</v>
      </c>
      <c r="K188" s="14" t="n">
        <v>560</v>
      </c>
      <c r="L188" s="14" t="n">
        <v>289</v>
      </c>
      <c r="M188" s="14" t="n">
        <v>12</v>
      </c>
      <c r="N188" s="14" t="n">
        <v>0</v>
      </c>
      <c r="O188" s="14" t="n">
        <v>351</v>
      </c>
    </row>
    <row r="189" customFormat="false" ht="15" hidden="false" customHeight="true" outlineLevel="0" collapsed="false">
      <c r="A189" s="13" t="n">
        <v>2026</v>
      </c>
      <c r="B189" s="13" t="s">
        <v>24</v>
      </c>
      <c r="C189" s="13" t="s">
        <v>125</v>
      </c>
      <c r="D189" s="13" t="s">
        <v>124</v>
      </c>
      <c r="E189" s="13" t="s">
        <v>126</v>
      </c>
      <c r="F189" s="13" t="s">
        <v>357</v>
      </c>
      <c r="G189" s="14" t="n">
        <v>1485</v>
      </c>
      <c r="H189" s="14" t="n">
        <v>1287</v>
      </c>
      <c r="I189" s="14" t="n">
        <v>272</v>
      </c>
      <c r="J189" s="14" t="n">
        <v>378</v>
      </c>
      <c r="K189" s="14" t="n">
        <v>381</v>
      </c>
      <c r="L189" s="14" t="n">
        <v>228</v>
      </c>
      <c r="M189" s="14" t="n">
        <v>28</v>
      </c>
      <c r="N189" s="14" t="n">
        <v>0</v>
      </c>
      <c r="O189" s="14" t="n">
        <v>198</v>
      </c>
    </row>
    <row r="190" customFormat="false" ht="15" hidden="false" customHeight="true" outlineLevel="0" collapsed="false">
      <c r="A190" s="13" t="n">
        <v>2026</v>
      </c>
      <c r="B190" s="13" t="s">
        <v>24</v>
      </c>
      <c r="C190" s="13" t="s">
        <v>125</v>
      </c>
      <c r="D190" s="13" t="s">
        <v>124</v>
      </c>
      <c r="E190" s="13" t="s">
        <v>202</v>
      </c>
      <c r="F190" s="13" t="s">
        <v>357</v>
      </c>
      <c r="G190" s="14" t="n">
        <v>6470</v>
      </c>
      <c r="H190" s="14" t="n">
        <v>4692</v>
      </c>
      <c r="I190" s="14" t="n">
        <v>474</v>
      </c>
      <c r="J190" s="14" t="n">
        <v>887</v>
      </c>
      <c r="K190" s="14" t="n">
        <v>1418</v>
      </c>
      <c r="L190" s="14" t="n">
        <v>1535</v>
      </c>
      <c r="M190" s="14" t="n">
        <v>376</v>
      </c>
      <c r="N190" s="14" t="n">
        <v>2</v>
      </c>
      <c r="O190" s="14" t="n">
        <v>1778</v>
      </c>
    </row>
    <row r="191" customFormat="false" ht="15" hidden="false" customHeight="true" outlineLevel="0" collapsed="false">
      <c r="A191" s="13" t="n">
        <v>2026</v>
      </c>
      <c r="B191" s="13" t="s">
        <v>24</v>
      </c>
      <c r="C191" s="13" t="s">
        <v>125</v>
      </c>
      <c r="D191" s="13" t="s">
        <v>124</v>
      </c>
      <c r="E191" s="13" t="s">
        <v>128</v>
      </c>
      <c r="F191" s="13" t="s">
        <v>357</v>
      </c>
      <c r="G191" s="14" t="n">
        <v>2695</v>
      </c>
      <c r="H191" s="14" t="n">
        <v>1395</v>
      </c>
      <c r="I191" s="14" t="n">
        <v>36</v>
      </c>
      <c r="J191" s="14" t="n">
        <v>133</v>
      </c>
      <c r="K191" s="14" t="n">
        <v>388</v>
      </c>
      <c r="L191" s="14" t="n">
        <v>588</v>
      </c>
      <c r="M191" s="14" t="n">
        <v>244</v>
      </c>
      <c r="N191" s="14" t="n">
        <v>6</v>
      </c>
      <c r="O191" s="14" t="n">
        <v>1300</v>
      </c>
    </row>
    <row r="192" customFormat="false" ht="15" hidden="false" customHeight="true" outlineLevel="0" collapsed="false">
      <c r="A192" s="13" t="n">
        <v>2026</v>
      </c>
      <c r="B192" s="13" t="s">
        <v>24</v>
      </c>
      <c r="C192" s="13" t="s">
        <v>125</v>
      </c>
      <c r="D192" s="13" t="s">
        <v>124</v>
      </c>
      <c r="E192" s="13" t="s">
        <v>203</v>
      </c>
      <c r="F192" s="13" t="s">
        <v>357</v>
      </c>
      <c r="G192" s="14" t="n">
        <v>726</v>
      </c>
      <c r="H192" s="14" t="n">
        <v>484</v>
      </c>
      <c r="I192" s="14" t="n">
        <v>24</v>
      </c>
      <c r="J192" s="14" t="n">
        <v>45</v>
      </c>
      <c r="K192" s="14" t="n">
        <v>118</v>
      </c>
      <c r="L192" s="14" t="n">
        <v>179</v>
      </c>
      <c r="M192" s="14" t="n">
        <v>113</v>
      </c>
      <c r="N192" s="14" t="n">
        <v>5</v>
      </c>
      <c r="O192" s="14" t="n">
        <v>242</v>
      </c>
    </row>
    <row r="193" customFormat="false" ht="15" hidden="false" customHeight="true" outlineLevel="0" collapsed="false">
      <c r="A193" s="13" t="n">
        <v>2026</v>
      </c>
      <c r="B193" s="13" t="s">
        <v>24</v>
      </c>
      <c r="C193" s="13" t="s">
        <v>125</v>
      </c>
      <c r="D193" s="13" t="s">
        <v>122</v>
      </c>
      <c r="E193" s="13" t="s">
        <v>123</v>
      </c>
      <c r="F193" s="13" t="s">
        <v>357</v>
      </c>
      <c r="G193" s="14" t="n">
        <v>7437</v>
      </c>
      <c r="H193" s="14" t="n">
        <v>6542</v>
      </c>
      <c r="I193" s="14" t="n">
        <v>2455</v>
      </c>
      <c r="J193" s="14" t="n">
        <v>1792</v>
      </c>
      <c r="K193" s="14" t="n">
        <v>1670</v>
      </c>
      <c r="L193" s="14" t="n">
        <v>598</v>
      </c>
      <c r="M193" s="14" t="n">
        <v>27</v>
      </c>
      <c r="N193" s="14" t="n">
        <v>0</v>
      </c>
      <c r="O193" s="14" t="n">
        <v>895</v>
      </c>
    </row>
    <row r="194" customFormat="false" ht="15" hidden="false" customHeight="true" outlineLevel="0" collapsed="false">
      <c r="A194" s="13" t="n">
        <v>2026</v>
      </c>
      <c r="B194" s="13" t="s">
        <v>24</v>
      </c>
      <c r="C194" s="13" t="s">
        <v>125</v>
      </c>
      <c r="D194" s="13" t="s">
        <v>122</v>
      </c>
      <c r="E194" s="13" t="s">
        <v>126</v>
      </c>
      <c r="F194" s="13" t="s">
        <v>357</v>
      </c>
      <c r="G194" s="14" t="n">
        <v>837</v>
      </c>
      <c r="H194" s="14" t="n">
        <v>751</v>
      </c>
      <c r="I194" s="14" t="n">
        <v>246</v>
      </c>
      <c r="J194" s="14" t="n">
        <v>254</v>
      </c>
      <c r="K194" s="14" t="n">
        <v>190</v>
      </c>
      <c r="L194" s="14" t="n">
        <v>57</v>
      </c>
      <c r="M194" s="14" t="n">
        <v>4</v>
      </c>
      <c r="N194" s="14" t="n">
        <v>0</v>
      </c>
      <c r="O194" s="14" t="n">
        <v>86</v>
      </c>
    </row>
    <row r="195" customFormat="false" ht="15" hidden="false" customHeight="true" outlineLevel="0" collapsed="false">
      <c r="A195" s="13" t="n">
        <v>2026</v>
      </c>
      <c r="B195" s="13" t="s">
        <v>24</v>
      </c>
      <c r="C195" s="13" t="s">
        <v>125</v>
      </c>
      <c r="D195" s="13" t="s">
        <v>122</v>
      </c>
      <c r="E195" s="13" t="s">
        <v>202</v>
      </c>
      <c r="F195" s="13" t="s">
        <v>357</v>
      </c>
      <c r="G195" s="14" t="n">
        <v>5194</v>
      </c>
      <c r="H195" s="14" t="n">
        <v>4279</v>
      </c>
      <c r="I195" s="14" t="n">
        <v>720</v>
      </c>
      <c r="J195" s="14" t="n">
        <v>1141</v>
      </c>
      <c r="K195" s="14" t="n">
        <v>1456</v>
      </c>
      <c r="L195" s="14" t="n">
        <v>866</v>
      </c>
      <c r="M195" s="14" t="n">
        <v>96</v>
      </c>
      <c r="N195" s="14" t="n">
        <v>0</v>
      </c>
      <c r="O195" s="14" t="n">
        <v>915</v>
      </c>
    </row>
    <row r="196" customFormat="false" ht="15" hidden="false" customHeight="true" outlineLevel="0" collapsed="false">
      <c r="A196" s="13" t="n">
        <v>2026</v>
      </c>
      <c r="B196" s="13" t="s">
        <v>24</v>
      </c>
      <c r="C196" s="13" t="s">
        <v>125</v>
      </c>
      <c r="D196" s="13" t="s">
        <v>122</v>
      </c>
      <c r="E196" s="13" t="s">
        <v>128</v>
      </c>
      <c r="F196" s="13" t="s">
        <v>357</v>
      </c>
      <c r="G196" s="14" t="n">
        <v>2620</v>
      </c>
      <c r="H196" s="14" t="n">
        <v>2275</v>
      </c>
      <c r="I196" s="14" t="n">
        <v>170</v>
      </c>
      <c r="J196" s="14" t="n">
        <v>519</v>
      </c>
      <c r="K196" s="14" t="n">
        <v>795</v>
      </c>
      <c r="L196" s="14" t="n">
        <v>627</v>
      </c>
      <c r="M196" s="14" t="n">
        <v>162</v>
      </c>
      <c r="N196" s="14" t="n">
        <v>2</v>
      </c>
      <c r="O196" s="14" t="n">
        <v>345</v>
      </c>
    </row>
    <row r="197" customFormat="false" ht="15" hidden="false" customHeight="true" outlineLevel="0" collapsed="false">
      <c r="A197" s="13" t="n">
        <v>2026</v>
      </c>
      <c r="B197" s="13" t="s">
        <v>24</v>
      </c>
      <c r="C197" s="13" t="s">
        <v>125</v>
      </c>
      <c r="D197" s="13" t="s">
        <v>122</v>
      </c>
      <c r="E197" s="13" t="s">
        <v>203</v>
      </c>
      <c r="F197" s="13" t="s">
        <v>357</v>
      </c>
      <c r="G197" s="14" t="n">
        <v>446</v>
      </c>
      <c r="H197" s="14" t="n">
        <v>374</v>
      </c>
      <c r="I197" s="14" t="n">
        <v>43</v>
      </c>
      <c r="J197" s="14" t="n">
        <v>93</v>
      </c>
      <c r="K197" s="14" t="n">
        <v>101</v>
      </c>
      <c r="L197" s="14" t="n">
        <v>101</v>
      </c>
      <c r="M197" s="14" t="n">
        <v>35</v>
      </c>
      <c r="N197" s="14" t="n">
        <v>1</v>
      </c>
      <c r="O197" s="14" t="n">
        <v>72</v>
      </c>
    </row>
    <row r="198" customFormat="false" ht="15" hidden="false" customHeight="true" outlineLevel="0" collapsed="false">
      <c r="A198" s="13" t="n">
        <v>2026</v>
      </c>
      <c r="B198" s="13" t="s">
        <v>487</v>
      </c>
      <c r="C198" s="13" t="s">
        <v>492</v>
      </c>
      <c r="D198" s="13" t="s">
        <v>124</v>
      </c>
      <c r="E198" s="13" t="s">
        <v>123</v>
      </c>
      <c r="F198" s="13" t="s">
        <v>357</v>
      </c>
      <c r="G198" s="14" t="n">
        <v>227</v>
      </c>
      <c r="H198" s="14" t="n">
        <v>180</v>
      </c>
      <c r="I198" s="14" t="n">
        <v>32</v>
      </c>
      <c r="J198" s="14" t="n">
        <v>43</v>
      </c>
      <c r="K198" s="14" t="n">
        <v>60</v>
      </c>
      <c r="L198" s="14" t="n">
        <v>45</v>
      </c>
      <c r="M198" s="14" t="n">
        <v>0</v>
      </c>
      <c r="N198" s="14" t="n">
        <v>0</v>
      </c>
      <c r="O198" s="14" t="n">
        <v>47</v>
      </c>
    </row>
    <row r="199" customFormat="false" ht="15" hidden="false" customHeight="true" outlineLevel="0" collapsed="false">
      <c r="A199" s="13" t="n">
        <v>2026</v>
      </c>
      <c r="B199" s="13" t="s">
        <v>487</v>
      </c>
      <c r="C199" s="13" t="s">
        <v>492</v>
      </c>
      <c r="D199" s="13" t="s">
        <v>124</v>
      </c>
      <c r="E199" s="13" t="s">
        <v>126</v>
      </c>
      <c r="F199" s="13" t="s">
        <v>357</v>
      </c>
      <c r="G199" s="14" t="n">
        <v>76</v>
      </c>
      <c r="H199" s="14" t="n">
        <v>59</v>
      </c>
      <c r="I199" s="14" t="n">
        <v>9</v>
      </c>
      <c r="J199" s="14" t="n">
        <v>13</v>
      </c>
      <c r="K199" s="14" t="n">
        <v>21</v>
      </c>
      <c r="L199" s="14" t="n">
        <v>16</v>
      </c>
      <c r="M199" s="14" t="n">
        <v>0</v>
      </c>
      <c r="N199" s="14" t="n">
        <v>0</v>
      </c>
      <c r="O199" s="14" t="n">
        <v>17</v>
      </c>
    </row>
    <row r="200" customFormat="false" ht="15" hidden="false" customHeight="true" outlineLevel="0" collapsed="false">
      <c r="A200" s="13" t="n">
        <v>2026</v>
      </c>
      <c r="B200" s="13" t="s">
        <v>487</v>
      </c>
      <c r="C200" s="13" t="s">
        <v>492</v>
      </c>
      <c r="D200" s="13" t="s">
        <v>124</v>
      </c>
      <c r="E200" s="13" t="s">
        <v>202</v>
      </c>
      <c r="F200" s="13" t="s">
        <v>357</v>
      </c>
      <c r="G200" s="14" t="n">
        <v>494</v>
      </c>
      <c r="H200" s="14" t="n">
        <v>349</v>
      </c>
      <c r="I200" s="14" t="n">
        <v>18</v>
      </c>
      <c r="J200" s="14" t="n">
        <v>48</v>
      </c>
      <c r="K200" s="14" t="n">
        <v>123</v>
      </c>
      <c r="L200" s="14" t="n">
        <v>134</v>
      </c>
      <c r="M200" s="14" t="n">
        <v>26</v>
      </c>
      <c r="N200" s="14" t="n">
        <v>0</v>
      </c>
      <c r="O200" s="14" t="n">
        <v>145</v>
      </c>
    </row>
    <row r="201" customFormat="false" ht="15" hidden="false" customHeight="true" outlineLevel="0" collapsed="false">
      <c r="A201" s="13" t="n">
        <v>2026</v>
      </c>
      <c r="B201" s="13" t="s">
        <v>487</v>
      </c>
      <c r="C201" s="13" t="s">
        <v>492</v>
      </c>
      <c r="D201" s="13" t="s">
        <v>124</v>
      </c>
      <c r="E201" s="13" t="s">
        <v>128</v>
      </c>
      <c r="F201" s="13" t="s">
        <v>357</v>
      </c>
      <c r="G201" s="14" t="n">
        <v>1386</v>
      </c>
      <c r="H201" s="14" t="n">
        <v>792</v>
      </c>
      <c r="I201" s="14" t="n">
        <v>11</v>
      </c>
      <c r="J201" s="14" t="n">
        <v>69</v>
      </c>
      <c r="K201" s="14" t="n">
        <v>295</v>
      </c>
      <c r="L201" s="14" t="n">
        <v>313</v>
      </c>
      <c r="M201" s="14" t="n">
        <v>103</v>
      </c>
      <c r="N201" s="14" t="n">
        <v>1</v>
      </c>
      <c r="O201" s="14" t="n">
        <v>594</v>
      </c>
    </row>
    <row r="202" customFormat="false" ht="15" hidden="false" customHeight="true" outlineLevel="0" collapsed="false">
      <c r="A202" s="13" t="n">
        <v>2026</v>
      </c>
      <c r="B202" s="13" t="s">
        <v>487</v>
      </c>
      <c r="C202" s="13" t="s">
        <v>492</v>
      </c>
      <c r="D202" s="13" t="s">
        <v>124</v>
      </c>
      <c r="E202" s="13" t="s">
        <v>203</v>
      </c>
      <c r="F202" s="13" t="s">
        <v>357</v>
      </c>
      <c r="G202" s="14" t="n">
        <v>35</v>
      </c>
      <c r="H202" s="14" t="n">
        <v>19</v>
      </c>
      <c r="I202" s="14" t="n">
        <v>1</v>
      </c>
      <c r="J202" s="14" t="n">
        <v>7</v>
      </c>
      <c r="K202" s="14" t="n">
        <v>5</v>
      </c>
      <c r="L202" s="14" t="n">
        <v>6</v>
      </c>
      <c r="M202" s="14" t="n">
        <v>0</v>
      </c>
      <c r="N202" s="14" t="n">
        <v>0</v>
      </c>
      <c r="O202" s="14" t="n">
        <v>16</v>
      </c>
    </row>
    <row r="203" customFormat="false" ht="15" hidden="false" customHeight="true" outlineLevel="0" collapsed="false">
      <c r="A203" s="13" t="n">
        <v>2026</v>
      </c>
      <c r="B203" s="13" t="s">
        <v>487</v>
      </c>
      <c r="C203" s="13" t="s">
        <v>492</v>
      </c>
      <c r="D203" s="13" t="s">
        <v>122</v>
      </c>
      <c r="E203" s="13" t="s">
        <v>123</v>
      </c>
      <c r="F203" s="13" t="s">
        <v>357</v>
      </c>
      <c r="G203" s="14" t="n">
        <v>632</v>
      </c>
      <c r="H203" s="14" t="n">
        <v>589</v>
      </c>
      <c r="I203" s="14" t="n">
        <v>70</v>
      </c>
      <c r="J203" s="14" t="n">
        <v>183</v>
      </c>
      <c r="K203" s="14" t="n">
        <v>246</v>
      </c>
      <c r="L203" s="14" t="n">
        <v>89</v>
      </c>
      <c r="M203" s="14" t="n">
        <v>1</v>
      </c>
      <c r="N203" s="14" t="n">
        <v>0</v>
      </c>
      <c r="O203" s="14" t="n">
        <v>43</v>
      </c>
    </row>
    <row r="204" customFormat="false" ht="15" hidden="false" customHeight="true" outlineLevel="0" collapsed="false">
      <c r="A204" s="13" t="n">
        <v>2026</v>
      </c>
      <c r="B204" s="13" t="s">
        <v>487</v>
      </c>
      <c r="C204" s="13" t="s">
        <v>492</v>
      </c>
      <c r="D204" s="13" t="s">
        <v>122</v>
      </c>
      <c r="E204" s="13" t="s">
        <v>126</v>
      </c>
      <c r="F204" s="13" t="s">
        <v>357</v>
      </c>
      <c r="G204" s="14" t="n">
        <v>59</v>
      </c>
      <c r="H204" s="14" t="n">
        <v>52</v>
      </c>
      <c r="I204" s="14" t="n">
        <v>5</v>
      </c>
      <c r="J204" s="14" t="n">
        <v>15</v>
      </c>
      <c r="K204" s="14" t="n">
        <v>17</v>
      </c>
      <c r="L204" s="14" t="n">
        <v>15</v>
      </c>
      <c r="M204" s="14" t="n">
        <v>0</v>
      </c>
      <c r="N204" s="14" t="n">
        <v>0</v>
      </c>
      <c r="O204" s="14" t="n">
        <v>7</v>
      </c>
    </row>
    <row r="205" customFormat="false" ht="15" hidden="false" customHeight="true" outlineLevel="0" collapsed="false">
      <c r="A205" s="13" t="n">
        <v>2026</v>
      </c>
      <c r="B205" s="13" t="s">
        <v>487</v>
      </c>
      <c r="C205" s="13" t="s">
        <v>492</v>
      </c>
      <c r="D205" s="13" t="s">
        <v>122</v>
      </c>
      <c r="E205" s="13" t="s">
        <v>202</v>
      </c>
      <c r="F205" s="13" t="s">
        <v>357</v>
      </c>
      <c r="G205" s="14" t="n">
        <v>843</v>
      </c>
      <c r="H205" s="14" t="n">
        <v>707</v>
      </c>
      <c r="I205" s="14" t="n">
        <v>30</v>
      </c>
      <c r="J205" s="14" t="n">
        <v>109</v>
      </c>
      <c r="K205" s="14" t="n">
        <v>268</v>
      </c>
      <c r="L205" s="14" t="n">
        <v>279</v>
      </c>
      <c r="M205" s="14" t="n">
        <v>21</v>
      </c>
      <c r="N205" s="14" t="n">
        <v>0</v>
      </c>
      <c r="O205" s="14" t="n">
        <v>136</v>
      </c>
    </row>
    <row r="206" customFormat="false" ht="15" hidden="false" customHeight="true" outlineLevel="0" collapsed="false">
      <c r="A206" s="13" t="n">
        <v>2026</v>
      </c>
      <c r="B206" s="13" t="s">
        <v>487</v>
      </c>
      <c r="C206" s="13" t="s">
        <v>492</v>
      </c>
      <c r="D206" s="13" t="s">
        <v>122</v>
      </c>
      <c r="E206" s="13" t="s">
        <v>128</v>
      </c>
      <c r="F206" s="13" t="s">
        <v>357</v>
      </c>
      <c r="G206" s="14" t="n">
        <v>1798</v>
      </c>
      <c r="H206" s="14" t="n">
        <v>1570</v>
      </c>
      <c r="I206" s="14" t="n">
        <v>63</v>
      </c>
      <c r="J206" s="14" t="n">
        <v>354</v>
      </c>
      <c r="K206" s="14" t="n">
        <v>725</v>
      </c>
      <c r="L206" s="14" t="n">
        <v>377</v>
      </c>
      <c r="M206" s="14" t="n">
        <v>51</v>
      </c>
      <c r="N206" s="14" t="n">
        <v>0</v>
      </c>
      <c r="O206" s="14" t="n">
        <v>228</v>
      </c>
    </row>
    <row r="207" customFormat="false" ht="15" hidden="false" customHeight="true" outlineLevel="0" collapsed="false">
      <c r="A207" s="13" t="n">
        <v>2026</v>
      </c>
      <c r="B207" s="13" t="s">
        <v>487</v>
      </c>
      <c r="C207" s="13" t="s">
        <v>125</v>
      </c>
      <c r="D207" s="13" t="s">
        <v>124</v>
      </c>
      <c r="E207" s="13" t="s">
        <v>123</v>
      </c>
      <c r="F207" s="13" t="s">
        <v>357</v>
      </c>
      <c r="G207" s="14" t="n">
        <v>995</v>
      </c>
      <c r="H207" s="14" t="n">
        <v>834</v>
      </c>
      <c r="I207" s="14" t="n">
        <v>248</v>
      </c>
      <c r="J207" s="14" t="n">
        <v>241</v>
      </c>
      <c r="K207" s="14" t="n">
        <v>253</v>
      </c>
      <c r="L207" s="14" t="n">
        <v>86</v>
      </c>
      <c r="M207" s="14" t="n">
        <v>6</v>
      </c>
      <c r="N207" s="14" t="n">
        <v>0</v>
      </c>
      <c r="O207" s="14" t="n">
        <v>161</v>
      </c>
    </row>
    <row r="208" customFormat="false" ht="15" hidden="false" customHeight="true" outlineLevel="0" collapsed="false">
      <c r="A208" s="13" t="n">
        <v>2026</v>
      </c>
      <c r="B208" s="13" t="s">
        <v>487</v>
      </c>
      <c r="C208" s="13" t="s">
        <v>125</v>
      </c>
      <c r="D208" s="13" t="s">
        <v>124</v>
      </c>
      <c r="E208" s="13" t="s">
        <v>126</v>
      </c>
      <c r="F208" s="13" t="s">
        <v>357</v>
      </c>
      <c r="G208" s="14" t="n">
        <v>408</v>
      </c>
      <c r="H208" s="14" t="n">
        <v>375</v>
      </c>
      <c r="I208" s="14" t="n">
        <v>79</v>
      </c>
      <c r="J208" s="14" t="n">
        <v>112</v>
      </c>
      <c r="K208" s="14" t="n">
        <v>122</v>
      </c>
      <c r="L208" s="14" t="n">
        <v>59</v>
      </c>
      <c r="M208" s="14" t="n">
        <v>3</v>
      </c>
      <c r="N208" s="14" t="n">
        <v>0</v>
      </c>
      <c r="O208" s="14" t="n">
        <v>33</v>
      </c>
    </row>
    <row r="209" customFormat="false" ht="15" hidden="false" customHeight="true" outlineLevel="0" collapsed="false">
      <c r="A209" s="13" t="n">
        <v>2026</v>
      </c>
      <c r="B209" s="13" t="s">
        <v>487</v>
      </c>
      <c r="C209" s="13" t="s">
        <v>125</v>
      </c>
      <c r="D209" s="13" t="s">
        <v>124</v>
      </c>
      <c r="E209" s="13" t="s">
        <v>202</v>
      </c>
      <c r="F209" s="13" t="s">
        <v>357</v>
      </c>
      <c r="G209" s="14" t="n">
        <v>1712</v>
      </c>
      <c r="H209" s="14" t="n">
        <v>1338</v>
      </c>
      <c r="I209" s="14" t="n">
        <v>190</v>
      </c>
      <c r="J209" s="14" t="n">
        <v>256</v>
      </c>
      <c r="K209" s="14" t="n">
        <v>417</v>
      </c>
      <c r="L209" s="14" t="n">
        <v>411</v>
      </c>
      <c r="M209" s="14" t="n">
        <v>64</v>
      </c>
      <c r="N209" s="14" t="n">
        <v>0</v>
      </c>
      <c r="O209" s="14" t="n">
        <v>374</v>
      </c>
    </row>
    <row r="210" customFormat="false" ht="15" hidden="false" customHeight="true" outlineLevel="0" collapsed="false">
      <c r="A210" s="13" t="n">
        <v>2026</v>
      </c>
      <c r="B210" s="13" t="s">
        <v>487</v>
      </c>
      <c r="C210" s="13" t="s">
        <v>125</v>
      </c>
      <c r="D210" s="13" t="s">
        <v>124</v>
      </c>
      <c r="E210" s="13" t="s">
        <v>128</v>
      </c>
      <c r="F210" s="13" t="s">
        <v>357</v>
      </c>
      <c r="G210" s="14" t="n">
        <v>1061</v>
      </c>
      <c r="H210" s="14" t="n">
        <v>583</v>
      </c>
      <c r="I210" s="14" t="n">
        <v>4</v>
      </c>
      <c r="J210" s="14" t="n">
        <v>56</v>
      </c>
      <c r="K210" s="14" t="n">
        <v>168</v>
      </c>
      <c r="L210" s="14" t="n">
        <v>278</v>
      </c>
      <c r="M210" s="14" t="n">
        <v>76</v>
      </c>
      <c r="N210" s="14" t="n">
        <v>1</v>
      </c>
      <c r="O210" s="14" t="n">
        <v>478</v>
      </c>
    </row>
    <row r="211" customFormat="false" ht="15" hidden="false" customHeight="true" outlineLevel="0" collapsed="false">
      <c r="A211" s="13" t="n">
        <v>2026</v>
      </c>
      <c r="B211" s="13" t="s">
        <v>487</v>
      </c>
      <c r="C211" s="13" t="s">
        <v>125</v>
      </c>
      <c r="D211" s="13" t="s">
        <v>124</v>
      </c>
      <c r="E211" s="13" t="s">
        <v>203</v>
      </c>
      <c r="F211" s="13" t="s">
        <v>357</v>
      </c>
      <c r="G211" s="14" t="n">
        <v>26</v>
      </c>
      <c r="H211" s="14" t="n">
        <v>16</v>
      </c>
      <c r="I211" s="14" t="n">
        <v>1</v>
      </c>
      <c r="J211" s="14" t="n">
        <v>3</v>
      </c>
      <c r="K211" s="14" t="n">
        <v>9</v>
      </c>
      <c r="L211" s="14" t="n">
        <v>1</v>
      </c>
      <c r="M211" s="14" t="n">
        <v>2</v>
      </c>
      <c r="N211" s="14" t="n">
        <v>0</v>
      </c>
      <c r="O211" s="14" t="n">
        <v>10</v>
      </c>
    </row>
    <row r="212" customFormat="false" ht="15" hidden="false" customHeight="true" outlineLevel="0" collapsed="false">
      <c r="A212" s="13" t="n">
        <v>2026</v>
      </c>
      <c r="B212" s="13" t="s">
        <v>487</v>
      </c>
      <c r="C212" s="13" t="s">
        <v>125</v>
      </c>
      <c r="D212" s="13" t="s">
        <v>122</v>
      </c>
      <c r="E212" s="13" t="s">
        <v>123</v>
      </c>
      <c r="F212" s="13" t="s">
        <v>357</v>
      </c>
      <c r="G212" s="14" t="n">
        <v>2580</v>
      </c>
      <c r="H212" s="14" t="n">
        <v>2385</v>
      </c>
      <c r="I212" s="14" t="n">
        <v>742</v>
      </c>
      <c r="J212" s="14" t="n">
        <v>852</v>
      </c>
      <c r="K212" s="14" t="n">
        <v>634</v>
      </c>
      <c r="L212" s="14" t="n">
        <v>155</v>
      </c>
      <c r="M212" s="14" t="n">
        <v>2</v>
      </c>
      <c r="N212" s="14" t="n">
        <v>0</v>
      </c>
      <c r="O212" s="14" t="n">
        <v>195</v>
      </c>
    </row>
    <row r="213" customFormat="false" ht="15" hidden="false" customHeight="true" outlineLevel="0" collapsed="false">
      <c r="A213" s="13" t="n">
        <v>2026</v>
      </c>
      <c r="B213" s="13" t="s">
        <v>487</v>
      </c>
      <c r="C213" s="13" t="s">
        <v>125</v>
      </c>
      <c r="D213" s="13" t="s">
        <v>122</v>
      </c>
      <c r="E213" s="13" t="s">
        <v>126</v>
      </c>
      <c r="F213" s="13" t="s">
        <v>357</v>
      </c>
      <c r="G213" s="14" t="n">
        <v>142</v>
      </c>
      <c r="H213" s="14" t="n">
        <v>132</v>
      </c>
      <c r="I213" s="14" t="n">
        <v>34</v>
      </c>
      <c r="J213" s="14" t="n">
        <v>46</v>
      </c>
      <c r="K213" s="14" t="n">
        <v>45</v>
      </c>
      <c r="L213" s="14" t="n">
        <v>6</v>
      </c>
      <c r="M213" s="14" t="n">
        <v>1</v>
      </c>
      <c r="N213" s="14" t="n">
        <v>0</v>
      </c>
      <c r="O213" s="14" t="n">
        <v>10</v>
      </c>
    </row>
    <row r="214" customFormat="false" ht="15" hidden="false" customHeight="true" outlineLevel="0" collapsed="false">
      <c r="A214" s="13" t="n">
        <v>2026</v>
      </c>
      <c r="B214" s="13" t="s">
        <v>487</v>
      </c>
      <c r="C214" s="13" t="s">
        <v>125</v>
      </c>
      <c r="D214" s="13" t="s">
        <v>122</v>
      </c>
      <c r="E214" s="13" t="s">
        <v>202</v>
      </c>
      <c r="F214" s="13" t="s">
        <v>357</v>
      </c>
      <c r="G214" s="14" t="n">
        <v>1218</v>
      </c>
      <c r="H214" s="14" t="n">
        <v>1129</v>
      </c>
      <c r="I214" s="14" t="n">
        <v>212</v>
      </c>
      <c r="J214" s="14" t="n">
        <v>388</v>
      </c>
      <c r="K214" s="14" t="n">
        <v>358</v>
      </c>
      <c r="L214" s="14" t="n">
        <v>161</v>
      </c>
      <c r="M214" s="14" t="n">
        <v>10</v>
      </c>
      <c r="N214" s="14" t="n">
        <v>0</v>
      </c>
      <c r="O214" s="14" t="n">
        <v>89</v>
      </c>
    </row>
    <row r="215" customFormat="false" ht="15" hidden="false" customHeight="true" outlineLevel="0" collapsed="false">
      <c r="A215" s="13" t="n">
        <v>2026</v>
      </c>
      <c r="B215" s="13" t="s">
        <v>487</v>
      </c>
      <c r="C215" s="13" t="s">
        <v>125</v>
      </c>
      <c r="D215" s="13" t="s">
        <v>122</v>
      </c>
      <c r="E215" s="13" t="s">
        <v>128</v>
      </c>
      <c r="F215" s="13" t="s">
        <v>357</v>
      </c>
      <c r="G215" s="14" t="n">
        <v>1185</v>
      </c>
      <c r="H215" s="14" t="n">
        <v>991</v>
      </c>
      <c r="I215" s="14" t="n">
        <v>65</v>
      </c>
      <c r="J215" s="14" t="n">
        <v>347</v>
      </c>
      <c r="K215" s="14" t="n">
        <v>442</v>
      </c>
      <c r="L215" s="14" t="n">
        <v>130</v>
      </c>
      <c r="M215" s="14" t="n">
        <v>7</v>
      </c>
      <c r="N215" s="14" t="n">
        <v>0</v>
      </c>
      <c r="O215" s="14" t="n">
        <v>194</v>
      </c>
    </row>
    <row r="216" customFormat="false" ht="15" hidden="false" customHeight="true" outlineLevel="0" collapsed="false">
      <c r="A216" s="13" t="n">
        <v>2026</v>
      </c>
      <c r="B216" s="13" t="s">
        <v>487</v>
      </c>
      <c r="C216" s="13" t="s">
        <v>125</v>
      </c>
      <c r="D216" s="13" t="s">
        <v>122</v>
      </c>
      <c r="E216" s="13" t="s">
        <v>203</v>
      </c>
      <c r="F216" s="13" t="s">
        <v>357</v>
      </c>
      <c r="G216" s="14" t="n">
        <v>6</v>
      </c>
      <c r="H216" s="14" t="n">
        <v>4</v>
      </c>
      <c r="I216" s="14" t="n">
        <v>1</v>
      </c>
      <c r="J216" s="14" t="n">
        <v>1</v>
      </c>
      <c r="K216" s="14" t="n">
        <v>0</v>
      </c>
      <c r="L216" s="14" t="n">
        <v>0</v>
      </c>
      <c r="M216" s="14" t="n">
        <v>2</v>
      </c>
      <c r="N216" s="14" t="n">
        <v>0</v>
      </c>
      <c r="O216" s="14" t="n">
        <v>2</v>
      </c>
    </row>
    <row r="217" customFormat="false" ht="15" hidden="false" customHeight="true" outlineLevel="0" collapsed="false">
      <c r="A217" s="13" t="n">
        <v>2026</v>
      </c>
      <c r="B217" s="13" t="s">
        <v>488</v>
      </c>
      <c r="C217" s="13" t="s">
        <v>492</v>
      </c>
      <c r="D217" s="13" t="s">
        <v>124</v>
      </c>
      <c r="E217" s="13" t="s">
        <v>123</v>
      </c>
      <c r="F217" s="13" t="s">
        <v>357</v>
      </c>
      <c r="G217" s="14" t="n">
        <v>198</v>
      </c>
      <c r="H217" s="14" t="n">
        <v>153</v>
      </c>
      <c r="I217" s="14" t="n">
        <v>30</v>
      </c>
      <c r="J217" s="14" t="n">
        <v>34</v>
      </c>
      <c r="K217" s="14" t="n">
        <v>56</v>
      </c>
      <c r="L217" s="14" t="n">
        <v>31</v>
      </c>
      <c r="M217" s="14" t="n">
        <v>2</v>
      </c>
      <c r="N217" s="14" t="n">
        <v>0</v>
      </c>
      <c r="O217" s="14" t="n">
        <v>45</v>
      </c>
    </row>
    <row r="218" customFormat="false" ht="15" hidden="false" customHeight="true" outlineLevel="0" collapsed="false">
      <c r="A218" s="13" t="n">
        <v>2026</v>
      </c>
      <c r="B218" s="13" t="s">
        <v>488</v>
      </c>
      <c r="C218" s="13" t="s">
        <v>492</v>
      </c>
      <c r="D218" s="13" t="s">
        <v>124</v>
      </c>
      <c r="E218" s="13" t="s">
        <v>126</v>
      </c>
      <c r="F218" s="13" t="s">
        <v>357</v>
      </c>
      <c r="G218" s="14" t="n">
        <v>122</v>
      </c>
      <c r="H218" s="14" t="n">
        <v>108</v>
      </c>
      <c r="I218" s="14" t="n">
        <v>21</v>
      </c>
      <c r="J218" s="14" t="n">
        <v>28</v>
      </c>
      <c r="K218" s="14" t="n">
        <v>38</v>
      </c>
      <c r="L218" s="14" t="n">
        <v>16</v>
      </c>
      <c r="M218" s="14" t="n">
        <v>5</v>
      </c>
      <c r="N218" s="14" t="n">
        <v>0</v>
      </c>
      <c r="O218" s="14" t="n">
        <v>14</v>
      </c>
    </row>
    <row r="219" customFormat="false" ht="15" hidden="false" customHeight="true" outlineLevel="0" collapsed="false">
      <c r="A219" s="13" t="n">
        <v>2026</v>
      </c>
      <c r="B219" s="13" t="s">
        <v>488</v>
      </c>
      <c r="C219" s="13" t="s">
        <v>492</v>
      </c>
      <c r="D219" s="13" t="s">
        <v>124</v>
      </c>
      <c r="E219" s="13" t="s">
        <v>202</v>
      </c>
      <c r="F219" s="13" t="s">
        <v>357</v>
      </c>
      <c r="G219" s="14" t="n">
        <v>639</v>
      </c>
      <c r="H219" s="14" t="n">
        <v>401</v>
      </c>
      <c r="I219" s="14" t="n">
        <v>29</v>
      </c>
      <c r="J219" s="14" t="n">
        <v>55</v>
      </c>
      <c r="K219" s="14" t="n">
        <v>108</v>
      </c>
      <c r="L219" s="14" t="n">
        <v>152</v>
      </c>
      <c r="M219" s="14" t="n">
        <v>57</v>
      </c>
      <c r="N219" s="14" t="n">
        <v>0</v>
      </c>
      <c r="O219" s="14" t="n">
        <v>238</v>
      </c>
    </row>
    <row r="220" customFormat="false" ht="15" hidden="false" customHeight="true" outlineLevel="0" collapsed="false">
      <c r="A220" s="13" t="n">
        <v>2026</v>
      </c>
      <c r="B220" s="13" t="s">
        <v>488</v>
      </c>
      <c r="C220" s="13" t="s">
        <v>492</v>
      </c>
      <c r="D220" s="13" t="s">
        <v>124</v>
      </c>
      <c r="E220" s="13" t="s">
        <v>128</v>
      </c>
      <c r="F220" s="13" t="s">
        <v>357</v>
      </c>
      <c r="G220" s="14" t="n">
        <v>773</v>
      </c>
      <c r="H220" s="14" t="n">
        <v>271</v>
      </c>
      <c r="I220" s="14" t="n">
        <v>2</v>
      </c>
      <c r="J220" s="14" t="n">
        <v>29</v>
      </c>
      <c r="K220" s="14" t="n">
        <v>78</v>
      </c>
      <c r="L220" s="14" t="n">
        <v>123</v>
      </c>
      <c r="M220" s="14" t="n">
        <v>39</v>
      </c>
      <c r="N220" s="14" t="n">
        <v>0</v>
      </c>
      <c r="O220" s="14" t="n">
        <v>502</v>
      </c>
    </row>
    <row r="221" customFormat="false" ht="15" hidden="false" customHeight="true" outlineLevel="0" collapsed="false">
      <c r="A221" s="13" t="n">
        <v>2026</v>
      </c>
      <c r="B221" s="13" t="s">
        <v>488</v>
      </c>
      <c r="C221" s="13" t="s">
        <v>492</v>
      </c>
      <c r="D221" s="13" t="s">
        <v>124</v>
      </c>
      <c r="E221" s="13" t="s">
        <v>203</v>
      </c>
      <c r="F221" s="13" t="s">
        <v>357</v>
      </c>
      <c r="G221" s="14" t="n">
        <v>3</v>
      </c>
      <c r="H221" s="14" t="n">
        <v>3</v>
      </c>
      <c r="I221" s="14" t="n">
        <v>0</v>
      </c>
      <c r="J221" s="14" t="n">
        <v>0</v>
      </c>
      <c r="K221" s="14" t="n">
        <v>3</v>
      </c>
      <c r="L221" s="14" t="n">
        <v>0</v>
      </c>
      <c r="M221" s="14" t="n">
        <v>0</v>
      </c>
      <c r="N221" s="14" t="n">
        <v>0</v>
      </c>
      <c r="O221" s="14" t="n">
        <v>0</v>
      </c>
    </row>
    <row r="222" customFormat="false" ht="15" hidden="false" customHeight="true" outlineLevel="0" collapsed="false">
      <c r="A222" s="13" t="n">
        <v>2026</v>
      </c>
      <c r="B222" s="13" t="s">
        <v>488</v>
      </c>
      <c r="C222" s="13" t="s">
        <v>492</v>
      </c>
      <c r="D222" s="13" t="s">
        <v>122</v>
      </c>
      <c r="E222" s="13" t="s">
        <v>123</v>
      </c>
      <c r="F222" s="13" t="s">
        <v>357</v>
      </c>
      <c r="G222" s="14" t="n">
        <v>734</v>
      </c>
      <c r="H222" s="14" t="n">
        <v>656</v>
      </c>
      <c r="I222" s="14" t="n">
        <v>148</v>
      </c>
      <c r="J222" s="14" t="n">
        <v>176</v>
      </c>
      <c r="K222" s="14" t="n">
        <v>225</v>
      </c>
      <c r="L222" s="14" t="n">
        <v>104</v>
      </c>
      <c r="M222" s="14" t="n">
        <v>3</v>
      </c>
      <c r="N222" s="14" t="n">
        <v>0</v>
      </c>
      <c r="O222" s="14" t="n">
        <v>78</v>
      </c>
    </row>
    <row r="223" customFormat="false" ht="15" hidden="false" customHeight="true" outlineLevel="0" collapsed="false">
      <c r="A223" s="13" t="n">
        <v>2026</v>
      </c>
      <c r="B223" s="13" t="s">
        <v>488</v>
      </c>
      <c r="C223" s="13" t="s">
        <v>492</v>
      </c>
      <c r="D223" s="13" t="s">
        <v>122</v>
      </c>
      <c r="E223" s="13" t="s">
        <v>126</v>
      </c>
      <c r="F223" s="13" t="s">
        <v>357</v>
      </c>
      <c r="G223" s="14" t="n">
        <v>91</v>
      </c>
      <c r="H223" s="14" t="n">
        <v>73</v>
      </c>
      <c r="I223" s="14" t="n">
        <v>12</v>
      </c>
      <c r="J223" s="14" t="n">
        <v>15</v>
      </c>
      <c r="K223" s="14" t="n">
        <v>30</v>
      </c>
      <c r="L223" s="14" t="n">
        <v>15</v>
      </c>
      <c r="M223" s="14" t="n">
        <v>1</v>
      </c>
      <c r="N223" s="14" t="n">
        <v>0</v>
      </c>
      <c r="O223" s="14" t="n">
        <v>18</v>
      </c>
    </row>
    <row r="224" customFormat="false" ht="15" hidden="false" customHeight="true" outlineLevel="0" collapsed="false">
      <c r="A224" s="13" t="n">
        <v>2026</v>
      </c>
      <c r="B224" s="13" t="s">
        <v>488</v>
      </c>
      <c r="C224" s="13" t="s">
        <v>492</v>
      </c>
      <c r="D224" s="13" t="s">
        <v>122</v>
      </c>
      <c r="E224" s="13" t="s">
        <v>202</v>
      </c>
      <c r="F224" s="13" t="s">
        <v>357</v>
      </c>
      <c r="G224" s="14" t="n">
        <v>969</v>
      </c>
      <c r="H224" s="14" t="n">
        <v>784</v>
      </c>
      <c r="I224" s="14" t="n">
        <v>58</v>
      </c>
      <c r="J224" s="14" t="n">
        <v>139</v>
      </c>
      <c r="K224" s="14" t="n">
        <v>291</v>
      </c>
      <c r="L224" s="14" t="n">
        <v>266</v>
      </c>
      <c r="M224" s="14" t="n">
        <v>30</v>
      </c>
      <c r="N224" s="14" t="n">
        <v>0</v>
      </c>
      <c r="O224" s="14" t="n">
        <v>185</v>
      </c>
    </row>
    <row r="225" customFormat="false" ht="15" hidden="false" customHeight="true" outlineLevel="0" collapsed="false">
      <c r="A225" s="13" t="n">
        <v>2026</v>
      </c>
      <c r="B225" s="13" t="s">
        <v>488</v>
      </c>
      <c r="C225" s="13" t="s">
        <v>492</v>
      </c>
      <c r="D225" s="13" t="s">
        <v>122</v>
      </c>
      <c r="E225" s="13" t="s">
        <v>128</v>
      </c>
      <c r="F225" s="13" t="s">
        <v>357</v>
      </c>
      <c r="G225" s="14" t="n">
        <v>2537</v>
      </c>
      <c r="H225" s="14" t="n">
        <v>1898</v>
      </c>
      <c r="I225" s="14" t="n">
        <v>48</v>
      </c>
      <c r="J225" s="14" t="n">
        <v>401</v>
      </c>
      <c r="K225" s="14" t="n">
        <v>844</v>
      </c>
      <c r="L225" s="14" t="n">
        <v>525</v>
      </c>
      <c r="M225" s="14" t="n">
        <v>80</v>
      </c>
      <c r="N225" s="14" t="n">
        <v>0</v>
      </c>
      <c r="O225" s="14" t="n">
        <v>639</v>
      </c>
    </row>
    <row r="226" customFormat="false" ht="15" hidden="false" customHeight="true" outlineLevel="0" collapsed="false">
      <c r="A226" s="13" t="n">
        <v>2026</v>
      </c>
      <c r="B226" s="13" t="s">
        <v>488</v>
      </c>
      <c r="C226" s="13" t="s">
        <v>125</v>
      </c>
      <c r="D226" s="13" t="s">
        <v>124</v>
      </c>
      <c r="E226" s="13" t="s">
        <v>123</v>
      </c>
      <c r="F226" s="13" t="s">
        <v>357</v>
      </c>
      <c r="G226" s="14" t="n">
        <v>753</v>
      </c>
      <c r="H226" s="14" t="n">
        <v>608</v>
      </c>
      <c r="I226" s="14" t="n">
        <v>212</v>
      </c>
      <c r="J226" s="14" t="n">
        <v>169</v>
      </c>
      <c r="K226" s="14" t="n">
        <v>160</v>
      </c>
      <c r="L226" s="14" t="n">
        <v>65</v>
      </c>
      <c r="M226" s="14" t="n">
        <v>2</v>
      </c>
      <c r="N226" s="14" t="n">
        <v>0</v>
      </c>
      <c r="O226" s="14" t="n">
        <v>145</v>
      </c>
    </row>
    <row r="227" customFormat="false" ht="15" hidden="false" customHeight="true" outlineLevel="0" collapsed="false">
      <c r="A227" s="13" t="n">
        <v>2026</v>
      </c>
      <c r="B227" s="13" t="s">
        <v>488</v>
      </c>
      <c r="C227" s="13" t="s">
        <v>125</v>
      </c>
      <c r="D227" s="13" t="s">
        <v>124</v>
      </c>
      <c r="E227" s="13" t="s">
        <v>126</v>
      </c>
      <c r="F227" s="13" t="s">
        <v>357</v>
      </c>
      <c r="G227" s="14" t="n">
        <v>377</v>
      </c>
      <c r="H227" s="14" t="n">
        <v>332</v>
      </c>
      <c r="I227" s="14" t="n">
        <v>69</v>
      </c>
      <c r="J227" s="14" t="n">
        <v>79</v>
      </c>
      <c r="K227" s="14" t="n">
        <v>123</v>
      </c>
      <c r="L227" s="14" t="n">
        <v>57</v>
      </c>
      <c r="M227" s="14" t="n">
        <v>4</v>
      </c>
      <c r="N227" s="14" t="n">
        <v>0</v>
      </c>
      <c r="O227" s="14" t="n">
        <v>45</v>
      </c>
    </row>
    <row r="228" customFormat="false" ht="15" hidden="false" customHeight="true" outlineLevel="0" collapsed="false">
      <c r="A228" s="13" t="n">
        <v>2026</v>
      </c>
      <c r="B228" s="13" t="s">
        <v>488</v>
      </c>
      <c r="C228" s="13" t="s">
        <v>125</v>
      </c>
      <c r="D228" s="13" t="s">
        <v>124</v>
      </c>
      <c r="E228" s="13" t="s">
        <v>202</v>
      </c>
      <c r="F228" s="13" t="s">
        <v>357</v>
      </c>
      <c r="G228" s="14" t="n">
        <v>1603</v>
      </c>
      <c r="H228" s="14" t="n">
        <v>1139</v>
      </c>
      <c r="I228" s="14" t="n">
        <v>107</v>
      </c>
      <c r="J228" s="14" t="n">
        <v>173</v>
      </c>
      <c r="K228" s="14" t="n">
        <v>344</v>
      </c>
      <c r="L228" s="14" t="n">
        <v>434</v>
      </c>
      <c r="M228" s="14" t="n">
        <v>81</v>
      </c>
      <c r="N228" s="14" t="n">
        <v>0</v>
      </c>
      <c r="O228" s="14" t="n">
        <v>464</v>
      </c>
    </row>
    <row r="229" customFormat="false" ht="15" hidden="false" customHeight="true" outlineLevel="0" collapsed="false">
      <c r="A229" s="13" t="n">
        <v>2026</v>
      </c>
      <c r="B229" s="13" t="s">
        <v>488</v>
      </c>
      <c r="C229" s="13" t="s">
        <v>125</v>
      </c>
      <c r="D229" s="13" t="s">
        <v>124</v>
      </c>
      <c r="E229" s="13" t="s">
        <v>128</v>
      </c>
      <c r="F229" s="13" t="s">
        <v>357</v>
      </c>
      <c r="G229" s="14" t="n">
        <v>753</v>
      </c>
      <c r="H229" s="14" t="n">
        <v>423</v>
      </c>
      <c r="I229" s="14" t="n">
        <v>3</v>
      </c>
      <c r="J229" s="14" t="n">
        <v>23</v>
      </c>
      <c r="K229" s="14" t="n">
        <v>123</v>
      </c>
      <c r="L229" s="14" t="n">
        <v>215</v>
      </c>
      <c r="M229" s="14" t="n">
        <v>59</v>
      </c>
      <c r="N229" s="14" t="n">
        <v>0</v>
      </c>
      <c r="O229" s="14" t="n">
        <v>330</v>
      </c>
    </row>
    <row r="230" customFormat="false" ht="15" hidden="false" customHeight="true" outlineLevel="0" collapsed="false">
      <c r="A230" s="13" t="n">
        <v>2026</v>
      </c>
      <c r="B230" s="13" t="s">
        <v>488</v>
      </c>
      <c r="C230" s="13" t="s">
        <v>125</v>
      </c>
      <c r="D230" s="13" t="s">
        <v>124</v>
      </c>
      <c r="E230" s="13" t="s">
        <v>203</v>
      </c>
      <c r="F230" s="13" t="s">
        <v>357</v>
      </c>
      <c r="G230" s="14" t="n">
        <v>17</v>
      </c>
      <c r="H230" s="14" t="n">
        <v>10</v>
      </c>
      <c r="I230" s="14" t="n">
        <v>1</v>
      </c>
      <c r="J230" s="14" t="n">
        <v>1</v>
      </c>
      <c r="K230" s="14" t="n">
        <v>4</v>
      </c>
      <c r="L230" s="14" t="n">
        <v>3</v>
      </c>
      <c r="M230" s="14" t="n">
        <v>1</v>
      </c>
      <c r="N230" s="14" t="n">
        <v>0</v>
      </c>
      <c r="O230" s="14" t="n">
        <v>7</v>
      </c>
    </row>
    <row r="231" customFormat="false" ht="15" hidden="false" customHeight="true" outlineLevel="0" collapsed="false">
      <c r="A231" s="13" t="n">
        <v>2026</v>
      </c>
      <c r="B231" s="13" t="s">
        <v>488</v>
      </c>
      <c r="C231" s="13" t="s">
        <v>125</v>
      </c>
      <c r="D231" s="13" t="s">
        <v>122</v>
      </c>
      <c r="E231" s="13" t="s">
        <v>123</v>
      </c>
      <c r="F231" s="13" t="s">
        <v>357</v>
      </c>
      <c r="G231" s="14" t="n">
        <v>1976</v>
      </c>
      <c r="H231" s="14" t="n">
        <v>1771</v>
      </c>
      <c r="I231" s="14" t="n">
        <v>622</v>
      </c>
      <c r="J231" s="14" t="n">
        <v>525</v>
      </c>
      <c r="K231" s="14" t="n">
        <v>474</v>
      </c>
      <c r="L231" s="14" t="n">
        <v>150</v>
      </c>
      <c r="M231" s="14" t="n">
        <v>0</v>
      </c>
      <c r="N231" s="14" t="n">
        <v>0</v>
      </c>
      <c r="O231" s="14" t="n">
        <v>205</v>
      </c>
    </row>
    <row r="232" customFormat="false" ht="15" hidden="false" customHeight="true" outlineLevel="0" collapsed="false">
      <c r="A232" s="13" t="n">
        <v>2026</v>
      </c>
      <c r="B232" s="13" t="s">
        <v>488</v>
      </c>
      <c r="C232" s="13" t="s">
        <v>125</v>
      </c>
      <c r="D232" s="13" t="s">
        <v>122</v>
      </c>
      <c r="E232" s="13" t="s">
        <v>126</v>
      </c>
      <c r="F232" s="13" t="s">
        <v>357</v>
      </c>
      <c r="G232" s="14" t="n">
        <v>226</v>
      </c>
      <c r="H232" s="14" t="n">
        <v>200</v>
      </c>
      <c r="I232" s="14" t="n">
        <v>61</v>
      </c>
      <c r="J232" s="14" t="n">
        <v>57</v>
      </c>
      <c r="K232" s="14" t="n">
        <v>58</v>
      </c>
      <c r="L232" s="14" t="n">
        <v>23</v>
      </c>
      <c r="M232" s="14" t="n">
        <v>1</v>
      </c>
      <c r="N232" s="14" t="n">
        <v>0</v>
      </c>
      <c r="O232" s="14" t="n">
        <v>26</v>
      </c>
    </row>
    <row r="233" customFormat="false" ht="15" hidden="false" customHeight="true" outlineLevel="0" collapsed="false">
      <c r="A233" s="13" t="n">
        <v>2026</v>
      </c>
      <c r="B233" s="13" t="s">
        <v>488</v>
      </c>
      <c r="C233" s="13" t="s">
        <v>125</v>
      </c>
      <c r="D233" s="13" t="s">
        <v>122</v>
      </c>
      <c r="E233" s="13" t="s">
        <v>202</v>
      </c>
      <c r="F233" s="13" t="s">
        <v>357</v>
      </c>
      <c r="G233" s="14" t="n">
        <v>1333</v>
      </c>
      <c r="H233" s="14" t="n">
        <v>1145</v>
      </c>
      <c r="I233" s="14" t="n">
        <v>175</v>
      </c>
      <c r="J233" s="14" t="n">
        <v>296</v>
      </c>
      <c r="K233" s="14" t="n">
        <v>412</v>
      </c>
      <c r="L233" s="14" t="n">
        <v>239</v>
      </c>
      <c r="M233" s="14" t="n">
        <v>23</v>
      </c>
      <c r="N233" s="14" t="n">
        <v>0</v>
      </c>
      <c r="O233" s="14" t="n">
        <v>188</v>
      </c>
    </row>
    <row r="234" customFormat="false" ht="15" hidden="false" customHeight="true" outlineLevel="0" collapsed="false">
      <c r="A234" s="13" t="n">
        <v>2026</v>
      </c>
      <c r="B234" s="13" t="s">
        <v>488</v>
      </c>
      <c r="C234" s="13" t="s">
        <v>125</v>
      </c>
      <c r="D234" s="13" t="s">
        <v>122</v>
      </c>
      <c r="E234" s="13" t="s">
        <v>128</v>
      </c>
      <c r="F234" s="13" t="s">
        <v>357</v>
      </c>
      <c r="G234" s="14" t="n">
        <v>948</v>
      </c>
      <c r="H234" s="14" t="n">
        <v>714</v>
      </c>
      <c r="I234" s="14" t="n">
        <v>29</v>
      </c>
      <c r="J234" s="14" t="n">
        <v>214</v>
      </c>
      <c r="K234" s="14" t="n">
        <v>302</v>
      </c>
      <c r="L234" s="14" t="n">
        <v>157</v>
      </c>
      <c r="M234" s="14" t="n">
        <v>12</v>
      </c>
      <c r="N234" s="14" t="n">
        <v>0</v>
      </c>
      <c r="O234" s="14" t="n">
        <v>234</v>
      </c>
    </row>
    <row r="235" customFormat="false" ht="15" hidden="false" customHeight="true" outlineLevel="0" collapsed="false">
      <c r="A235" s="13" t="n">
        <v>2026</v>
      </c>
      <c r="B235" s="13" t="s">
        <v>488</v>
      </c>
      <c r="C235" s="13" t="s">
        <v>125</v>
      </c>
      <c r="D235" s="13" t="s">
        <v>122</v>
      </c>
      <c r="E235" s="13" t="s">
        <v>203</v>
      </c>
      <c r="F235" s="13" t="s">
        <v>357</v>
      </c>
      <c r="G235" s="14" t="n">
        <v>14</v>
      </c>
      <c r="H235" s="14" t="n">
        <v>11</v>
      </c>
      <c r="I235" s="14" t="n">
        <v>2</v>
      </c>
      <c r="J235" s="14" t="n">
        <v>2</v>
      </c>
      <c r="K235" s="14" t="n">
        <v>4</v>
      </c>
      <c r="L235" s="14" t="n">
        <v>2</v>
      </c>
      <c r="M235" s="14" t="n">
        <v>1</v>
      </c>
      <c r="N235" s="14" t="n">
        <v>0</v>
      </c>
      <c r="O235" s="1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5"/>
    <col collapsed="false" customWidth="true" hidden="false" outlineLevel="0" max="3" min="3" style="13" width="16"/>
    <col collapsed="false" customWidth="true" hidden="false" outlineLevel="0" max="4" min="4" style="13" width="32"/>
    <col collapsed="false" customWidth="true" hidden="false" outlineLevel="0" max="5" min="5" style="13" width="14"/>
    <col collapsed="false" customWidth="true" hidden="false" outlineLevel="0" max="14" min="6" style="13" width="12"/>
  </cols>
  <sheetData>
    <row r="1" customFormat="false" ht="15" hidden="false" customHeight="true" outlineLevel="0" collapsed="false">
      <c r="A1" s="13" t="s">
        <v>3</v>
      </c>
      <c r="B1" s="13" t="s">
        <v>482</v>
      </c>
      <c r="C1" s="13" t="s">
        <v>210</v>
      </c>
      <c r="D1" s="13" t="s">
        <v>114</v>
      </c>
      <c r="E1" s="13" t="s">
        <v>483</v>
      </c>
      <c r="F1" s="13" t="s">
        <v>4</v>
      </c>
      <c r="G1" s="13" t="s">
        <v>198</v>
      </c>
      <c r="H1" s="13" t="s">
        <v>199</v>
      </c>
      <c r="I1" s="13" t="s">
        <v>116</v>
      </c>
      <c r="J1" s="13" t="s">
        <v>117</v>
      </c>
      <c r="K1" s="13" t="s">
        <v>118</v>
      </c>
      <c r="L1" s="13" t="s">
        <v>119</v>
      </c>
      <c r="M1" s="13" t="s">
        <v>120</v>
      </c>
      <c r="N1" s="13" t="s">
        <v>479</v>
      </c>
    </row>
    <row r="2" customFormat="false" ht="15" hidden="false" customHeight="true" outlineLevel="0" collapsed="false">
      <c r="A2" s="13" t="n">
        <v>2024</v>
      </c>
      <c r="B2" s="13" t="s">
        <v>125</v>
      </c>
      <c r="C2" s="13" t="s">
        <v>24</v>
      </c>
      <c r="D2" s="13" t="s">
        <v>123</v>
      </c>
      <c r="E2" s="13" t="s">
        <v>357</v>
      </c>
      <c r="F2" s="14" t="n">
        <v>2505</v>
      </c>
      <c r="G2" s="14" t="n">
        <v>1553</v>
      </c>
      <c r="H2" s="14" t="n">
        <v>666</v>
      </c>
      <c r="I2" s="14" t="n">
        <v>132</v>
      </c>
      <c r="J2" s="14" t="n">
        <v>128</v>
      </c>
      <c r="K2" s="14" t="n">
        <v>336</v>
      </c>
      <c r="L2" s="14" t="n">
        <v>280</v>
      </c>
      <c r="M2" s="14" t="n">
        <v>11</v>
      </c>
      <c r="N2" s="14" t="n">
        <v>952</v>
      </c>
    </row>
    <row r="3" customFormat="false" ht="15" hidden="false" customHeight="true" outlineLevel="0" collapsed="false">
      <c r="A3" s="13" t="n">
        <v>2024</v>
      </c>
      <c r="B3" s="13" t="s">
        <v>125</v>
      </c>
      <c r="C3" s="13" t="s">
        <v>24</v>
      </c>
      <c r="D3" s="13" t="s">
        <v>126</v>
      </c>
      <c r="E3" s="13" t="s">
        <v>357</v>
      </c>
      <c r="F3" s="14" t="n">
        <v>768</v>
      </c>
      <c r="G3" s="14" t="n">
        <v>408</v>
      </c>
      <c r="H3" s="14" t="n">
        <v>2</v>
      </c>
      <c r="I3" s="14" t="n">
        <v>8</v>
      </c>
      <c r="J3" s="14" t="n">
        <v>34</v>
      </c>
      <c r="K3" s="14" t="n">
        <v>103</v>
      </c>
      <c r="L3" s="14" t="n">
        <v>182</v>
      </c>
      <c r="M3" s="14" t="n">
        <v>79</v>
      </c>
      <c r="N3" s="14" t="n">
        <v>360</v>
      </c>
    </row>
    <row r="4" customFormat="false" ht="15" hidden="false" customHeight="true" outlineLevel="0" collapsed="false">
      <c r="A4" s="13" t="n">
        <v>2024</v>
      </c>
      <c r="B4" s="13" t="s">
        <v>125</v>
      </c>
      <c r="C4" s="13" t="s">
        <v>24</v>
      </c>
      <c r="D4" s="13" t="s">
        <v>202</v>
      </c>
      <c r="E4" s="13" t="s">
        <v>357</v>
      </c>
      <c r="F4" s="14" t="n">
        <v>1582</v>
      </c>
      <c r="G4" s="14" t="n">
        <v>595</v>
      </c>
      <c r="H4" s="14" t="n">
        <v>1</v>
      </c>
      <c r="I4" s="14" t="n">
        <v>4</v>
      </c>
      <c r="J4" s="14" t="n">
        <v>31</v>
      </c>
      <c r="K4" s="14" t="n">
        <v>165</v>
      </c>
      <c r="L4" s="14" t="n">
        <v>380</v>
      </c>
      <c r="M4" s="14" t="n">
        <v>14</v>
      </c>
      <c r="N4" s="14" t="n">
        <v>987</v>
      </c>
    </row>
    <row r="5" customFormat="false" ht="15" hidden="false" customHeight="true" outlineLevel="0" collapsed="false">
      <c r="A5" s="13" t="n">
        <v>2024</v>
      </c>
      <c r="B5" s="13" t="s">
        <v>125</v>
      </c>
      <c r="C5" s="13" t="s">
        <v>24</v>
      </c>
      <c r="D5" s="13" t="s">
        <v>128</v>
      </c>
      <c r="E5" s="13" t="s">
        <v>357</v>
      </c>
      <c r="F5" s="14" t="n">
        <v>9086</v>
      </c>
      <c r="G5" s="14" t="n">
        <v>3939</v>
      </c>
      <c r="H5" s="14" t="n">
        <v>25</v>
      </c>
      <c r="I5" s="14" t="n">
        <v>203</v>
      </c>
      <c r="J5" s="14" t="n">
        <v>850</v>
      </c>
      <c r="K5" s="14" t="n">
        <v>1530</v>
      </c>
      <c r="L5" s="14" t="n">
        <v>1219</v>
      </c>
      <c r="M5" s="14" t="n">
        <v>112</v>
      </c>
      <c r="N5" s="14" t="n">
        <v>5147</v>
      </c>
    </row>
    <row r="6" customFormat="false" ht="15" hidden="false" customHeight="true" outlineLevel="0" collapsed="false">
      <c r="A6" s="13" t="n">
        <v>2024</v>
      </c>
      <c r="B6" s="13" t="s">
        <v>125</v>
      </c>
      <c r="C6" s="13" t="s">
        <v>24</v>
      </c>
      <c r="D6" s="13" t="s">
        <v>203</v>
      </c>
      <c r="E6" s="13" t="s">
        <v>357</v>
      </c>
      <c r="F6" s="14" t="n">
        <v>1187</v>
      </c>
      <c r="G6" s="14" t="n">
        <v>425</v>
      </c>
      <c r="H6" s="14" t="n">
        <v>0</v>
      </c>
      <c r="I6" s="14" t="n">
        <v>11</v>
      </c>
      <c r="J6" s="14" t="n">
        <v>53</v>
      </c>
      <c r="K6" s="14" t="n">
        <v>139</v>
      </c>
      <c r="L6" s="14" t="n">
        <v>193</v>
      </c>
      <c r="M6" s="14" t="n">
        <v>29</v>
      </c>
      <c r="N6" s="14" t="n">
        <v>762</v>
      </c>
    </row>
    <row r="7" customFormat="false" ht="15" hidden="false" customHeight="true" outlineLevel="0" collapsed="false">
      <c r="A7" s="13" t="n">
        <v>2024</v>
      </c>
      <c r="B7" s="13" t="s">
        <v>125</v>
      </c>
      <c r="C7" s="13" t="s">
        <v>24</v>
      </c>
      <c r="D7" s="13" t="s">
        <v>419</v>
      </c>
      <c r="E7" s="13" t="s">
        <v>357</v>
      </c>
      <c r="F7" s="14" t="n">
        <v>36</v>
      </c>
      <c r="G7" s="14" t="n">
        <v>10</v>
      </c>
      <c r="H7" s="14" t="n">
        <v>0</v>
      </c>
      <c r="I7" s="14" t="n">
        <v>3</v>
      </c>
      <c r="J7" s="14" t="n">
        <v>5</v>
      </c>
      <c r="K7" s="14" t="n">
        <v>2</v>
      </c>
      <c r="L7" s="14" t="n">
        <v>0</v>
      </c>
      <c r="M7" s="14" t="n">
        <v>0</v>
      </c>
      <c r="N7" s="14" t="n">
        <v>26</v>
      </c>
    </row>
    <row r="8" customFormat="false" ht="15" hidden="false" customHeight="true" outlineLevel="0" collapsed="false">
      <c r="A8" s="13" t="n">
        <v>2024</v>
      </c>
      <c r="B8" s="13" t="s">
        <v>125</v>
      </c>
      <c r="C8" s="13" t="s">
        <v>24</v>
      </c>
      <c r="D8" s="13" t="s">
        <v>129</v>
      </c>
      <c r="E8" s="13" t="s">
        <v>357</v>
      </c>
      <c r="F8" s="14" t="n">
        <v>30</v>
      </c>
      <c r="G8" s="14" t="n">
        <v>5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5</v>
      </c>
      <c r="N8" s="14" t="n">
        <v>25</v>
      </c>
    </row>
    <row r="9" customFormat="false" ht="15" hidden="false" customHeight="true" outlineLevel="0" collapsed="false">
      <c r="A9" s="13" t="n">
        <v>2024</v>
      </c>
      <c r="B9" s="13" t="s">
        <v>125</v>
      </c>
      <c r="C9" s="13" t="s">
        <v>24</v>
      </c>
      <c r="D9" s="13" t="s">
        <v>493</v>
      </c>
      <c r="E9" s="13" t="s">
        <v>357</v>
      </c>
      <c r="F9" s="14" t="n">
        <v>5</v>
      </c>
      <c r="G9" s="14" t="n">
        <v>1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1</v>
      </c>
      <c r="N9" s="14" t="n">
        <v>4</v>
      </c>
    </row>
    <row r="10" customFormat="false" ht="15" hidden="false" customHeight="true" outlineLevel="0" collapsed="false">
      <c r="A10" s="13" t="n">
        <v>2024</v>
      </c>
      <c r="B10" s="13" t="s">
        <v>125</v>
      </c>
      <c r="C10" s="13" t="s">
        <v>24</v>
      </c>
      <c r="D10" s="13" t="s">
        <v>494</v>
      </c>
      <c r="E10" s="13" t="s">
        <v>357</v>
      </c>
      <c r="F10" s="14" t="n">
        <v>3</v>
      </c>
      <c r="G10" s="14" t="n">
        <v>1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1</v>
      </c>
      <c r="N10" s="14" t="n">
        <v>2</v>
      </c>
    </row>
    <row r="11" customFormat="false" ht="15" hidden="false" customHeight="true" outlineLevel="0" collapsed="false">
      <c r="A11" s="13" t="n">
        <v>2024</v>
      </c>
      <c r="B11" s="13" t="s">
        <v>125</v>
      </c>
      <c r="C11" s="13" t="s">
        <v>24</v>
      </c>
      <c r="D11" s="13" t="s">
        <v>485</v>
      </c>
      <c r="E11" s="13" t="s">
        <v>486</v>
      </c>
      <c r="F11" s="14" t="n">
        <v>15202</v>
      </c>
      <c r="G11" s="14" t="n">
        <v>6937</v>
      </c>
      <c r="H11" s="14" t="n">
        <v>694</v>
      </c>
      <c r="I11" s="14" t="n">
        <v>361</v>
      </c>
      <c r="J11" s="14" t="n">
        <v>1101</v>
      </c>
      <c r="K11" s="14" t="n">
        <v>2275</v>
      </c>
      <c r="L11" s="14" t="n">
        <v>2254</v>
      </c>
      <c r="M11" s="14" t="n">
        <v>252</v>
      </c>
      <c r="N11" s="14" t="n">
        <v>8265</v>
      </c>
    </row>
    <row r="12" customFormat="false" ht="15" hidden="false" customHeight="true" outlineLevel="0" collapsed="false">
      <c r="A12" s="13" t="n">
        <v>2024</v>
      </c>
      <c r="B12" s="13" t="s">
        <v>125</v>
      </c>
      <c r="C12" s="13" t="s">
        <v>487</v>
      </c>
      <c r="D12" s="13" t="s">
        <v>123</v>
      </c>
      <c r="E12" s="13" t="s">
        <v>357</v>
      </c>
      <c r="F12" s="14" t="n">
        <v>702</v>
      </c>
      <c r="G12" s="14" t="n">
        <v>538</v>
      </c>
      <c r="H12" s="14" t="n">
        <v>194</v>
      </c>
      <c r="I12" s="14" t="n">
        <v>71</v>
      </c>
      <c r="J12" s="14" t="n">
        <v>75</v>
      </c>
      <c r="K12" s="14" t="n">
        <v>122</v>
      </c>
      <c r="L12" s="14" t="n">
        <v>72</v>
      </c>
      <c r="M12" s="14" t="n">
        <v>4</v>
      </c>
      <c r="N12" s="14" t="n">
        <v>164</v>
      </c>
    </row>
    <row r="13" customFormat="false" ht="15" hidden="false" customHeight="true" outlineLevel="0" collapsed="false">
      <c r="A13" s="13" t="n">
        <v>2024</v>
      </c>
      <c r="B13" s="13" t="s">
        <v>125</v>
      </c>
      <c r="C13" s="13" t="s">
        <v>487</v>
      </c>
      <c r="D13" s="13" t="s">
        <v>126</v>
      </c>
      <c r="E13" s="13" t="s">
        <v>357</v>
      </c>
      <c r="F13" s="14" t="n">
        <v>164</v>
      </c>
      <c r="G13" s="14" t="n">
        <v>97</v>
      </c>
      <c r="H13" s="14" t="n">
        <v>5</v>
      </c>
      <c r="I13" s="14" t="n">
        <v>7</v>
      </c>
      <c r="J13" s="14" t="n">
        <v>15</v>
      </c>
      <c r="K13" s="14" t="n">
        <v>31</v>
      </c>
      <c r="L13" s="14" t="n">
        <v>19</v>
      </c>
      <c r="M13" s="14" t="n">
        <v>20</v>
      </c>
      <c r="N13" s="14" t="n">
        <v>67</v>
      </c>
    </row>
    <row r="14" customFormat="false" ht="15" hidden="false" customHeight="true" outlineLevel="0" collapsed="false">
      <c r="A14" s="13" t="n">
        <v>2024</v>
      </c>
      <c r="B14" s="13" t="s">
        <v>125</v>
      </c>
      <c r="C14" s="13" t="s">
        <v>487</v>
      </c>
      <c r="D14" s="13" t="s">
        <v>202</v>
      </c>
      <c r="E14" s="13" t="s">
        <v>357</v>
      </c>
      <c r="F14" s="14" t="n">
        <v>282</v>
      </c>
      <c r="G14" s="14" t="n">
        <v>147</v>
      </c>
      <c r="H14" s="14" t="n">
        <v>0</v>
      </c>
      <c r="I14" s="14" t="n">
        <v>3</v>
      </c>
      <c r="J14" s="14" t="n">
        <v>13</v>
      </c>
      <c r="K14" s="14" t="n">
        <v>51</v>
      </c>
      <c r="L14" s="14" t="n">
        <v>78</v>
      </c>
      <c r="M14" s="14" t="n">
        <v>2</v>
      </c>
      <c r="N14" s="14" t="n">
        <v>135</v>
      </c>
    </row>
    <row r="15" customFormat="false" ht="15" hidden="false" customHeight="true" outlineLevel="0" collapsed="false">
      <c r="A15" s="13" t="n">
        <v>2024</v>
      </c>
      <c r="B15" s="13" t="s">
        <v>125</v>
      </c>
      <c r="C15" s="13" t="s">
        <v>487</v>
      </c>
      <c r="D15" s="13" t="s">
        <v>128</v>
      </c>
      <c r="E15" s="13" t="s">
        <v>357</v>
      </c>
      <c r="F15" s="14" t="n">
        <v>2436</v>
      </c>
      <c r="G15" s="14" t="n">
        <v>1118</v>
      </c>
      <c r="H15" s="14" t="n">
        <v>6</v>
      </c>
      <c r="I15" s="14" t="n">
        <v>57</v>
      </c>
      <c r="J15" s="14" t="n">
        <v>306</v>
      </c>
      <c r="K15" s="14" t="n">
        <v>486</v>
      </c>
      <c r="L15" s="14" t="n">
        <v>245</v>
      </c>
      <c r="M15" s="14" t="n">
        <v>18</v>
      </c>
      <c r="N15" s="14" t="n">
        <v>1318</v>
      </c>
    </row>
    <row r="16" customFormat="false" ht="15" hidden="false" customHeight="true" outlineLevel="0" collapsed="false">
      <c r="A16" s="13" t="n">
        <v>2024</v>
      </c>
      <c r="B16" s="13" t="s">
        <v>125</v>
      </c>
      <c r="C16" s="13" t="s">
        <v>487</v>
      </c>
      <c r="D16" s="13" t="s">
        <v>203</v>
      </c>
      <c r="E16" s="13" t="s">
        <v>357</v>
      </c>
      <c r="F16" s="14" t="n">
        <v>30</v>
      </c>
      <c r="G16" s="14" t="n">
        <v>11</v>
      </c>
      <c r="H16" s="14" t="n">
        <v>0</v>
      </c>
      <c r="I16" s="14" t="n">
        <v>0</v>
      </c>
      <c r="J16" s="14" t="n">
        <v>1</v>
      </c>
      <c r="K16" s="14" t="n">
        <v>5</v>
      </c>
      <c r="L16" s="14" t="n">
        <v>4</v>
      </c>
      <c r="M16" s="14" t="n">
        <v>1</v>
      </c>
      <c r="N16" s="14" t="n">
        <v>19</v>
      </c>
    </row>
    <row r="17" customFormat="false" ht="15" hidden="false" customHeight="true" outlineLevel="0" collapsed="false">
      <c r="A17" s="13" t="n">
        <v>2024</v>
      </c>
      <c r="B17" s="13" t="s">
        <v>125</v>
      </c>
      <c r="C17" s="13" t="s">
        <v>487</v>
      </c>
      <c r="D17" s="13" t="s">
        <v>419</v>
      </c>
      <c r="E17" s="13" t="s">
        <v>357</v>
      </c>
      <c r="F17" s="14" t="n">
        <v>15</v>
      </c>
      <c r="G17" s="14" t="n">
        <v>4</v>
      </c>
      <c r="H17" s="14" t="n">
        <v>0</v>
      </c>
      <c r="I17" s="14" t="n">
        <v>0</v>
      </c>
      <c r="J17" s="14" t="n">
        <v>3</v>
      </c>
      <c r="K17" s="14" t="n">
        <v>0</v>
      </c>
      <c r="L17" s="14" t="n">
        <v>0</v>
      </c>
      <c r="M17" s="14" t="n">
        <v>1</v>
      </c>
      <c r="N17" s="14" t="n">
        <v>11</v>
      </c>
    </row>
    <row r="18" customFormat="false" ht="15" hidden="false" customHeight="true" outlineLevel="0" collapsed="false">
      <c r="A18" s="13" t="n">
        <v>2024</v>
      </c>
      <c r="B18" s="13" t="s">
        <v>125</v>
      </c>
      <c r="C18" s="13" t="s">
        <v>487</v>
      </c>
      <c r="D18" s="13" t="s">
        <v>129</v>
      </c>
      <c r="E18" s="13" t="s">
        <v>357</v>
      </c>
      <c r="F18" s="14" t="n">
        <v>1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1</v>
      </c>
    </row>
    <row r="19" customFormat="false" ht="15" hidden="false" customHeight="true" outlineLevel="0" collapsed="false">
      <c r="A19" s="13" t="n">
        <v>2024</v>
      </c>
      <c r="B19" s="13" t="s">
        <v>125</v>
      </c>
      <c r="C19" s="13" t="s">
        <v>487</v>
      </c>
      <c r="D19" s="13" t="s">
        <v>493</v>
      </c>
      <c r="E19" s="13" t="s">
        <v>357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</row>
    <row r="20" customFormat="false" ht="15" hidden="false" customHeight="true" outlineLevel="0" collapsed="false">
      <c r="A20" s="13" t="n">
        <v>2024</v>
      </c>
      <c r="B20" s="13" t="s">
        <v>125</v>
      </c>
      <c r="C20" s="13" t="s">
        <v>487</v>
      </c>
      <c r="D20" s="13" t="s">
        <v>494</v>
      </c>
      <c r="E20" s="13" t="s">
        <v>357</v>
      </c>
      <c r="F20" s="14" t="n">
        <v>1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1</v>
      </c>
    </row>
    <row r="21" customFormat="false" ht="15" hidden="false" customHeight="true" outlineLevel="0" collapsed="false">
      <c r="A21" s="13" t="n">
        <v>2024</v>
      </c>
      <c r="B21" s="13" t="s">
        <v>125</v>
      </c>
      <c r="C21" s="13" t="s">
        <v>487</v>
      </c>
      <c r="D21" s="13" t="s">
        <v>485</v>
      </c>
      <c r="E21" s="13" t="s">
        <v>486</v>
      </c>
      <c r="F21" s="14" t="n">
        <v>3631</v>
      </c>
      <c r="G21" s="14" t="n">
        <v>1915</v>
      </c>
      <c r="H21" s="14" t="n">
        <v>205</v>
      </c>
      <c r="I21" s="14" t="n">
        <v>138</v>
      </c>
      <c r="J21" s="14" t="n">
        <v>413</v>
      </c>
      <c r="K21" s="14" t="n">
        <v>695</v>
      </c>
      <c r="L21" s="14" t="n">
        <v>418</v>
      </c>
      <c r="M21" s="14" t="n">
        <v>46</v>
      </c>
      <c r="N21" s="14" t="n">
        <v>1716</v>
      </c>
    </row>
    <row r="22" customFormat="false" ht="15" hidden="false" customHeight="true" outlineLevel="0" collapsed="false">
      <c r="A22" s="13" t="n">
        <v>2024</v>
      </c>
      <c r="B22" s="13" t="s">
        <v>125</v>
      </c>
      <c r="C22" s="13" t="s">
        <v>488</v>
      </c>
      <c r="D22" s="13" t="s">
        <v>123</v>
      </c>
      <c r="E22" s="13" t="s">
        <v>357</v>
      </c>
      <c r="F22" s="14" t="n">
        <v>649</v>
      </c>
      <c r="G22" s="14" t="n">
        <v>501</v>
      </c>
      <c r="H22" s="14" t="n">
        <v>228</v>
      </c>
      <c r="I22" s="14" t="n">
        <v>40</v>
      </c>
      <c r="J22" s="14" t="n">
        <v>47</v>
      </c>
      <c r="K22" s="14" t="n">
        <v>115</v>
      </c>
      <c r="L22" s="14" t="n">
        <v>69</v>
      </c>
      <c r="M22" s="14" t="n">
        <v>2</v>
      </c>
      <c r="N22" s="14" t="n">
        <v>148</v>
      </c>
    </row>
    <row r="23" customFormat="false" ht="15" hidden="false" customHeight="true" outlineLevel="0" collapsed="false">
      <c r="A23" s="13" t="n">
        <v>2024</v>
      </c>
      <c r="B23" s="13" t="s">
        <v>125</v>
      </c>
      <c r="C23" s="13" t="s">
        <v>488</v>
      </c>
      <c r="D23" s="13" t="s">
        <v>126</v>
      </c>
      <c r="E23" s="13" t="s">
        <v>357</v>
      </c>
      <c r="F23" s="14" t="n">
        <v>158</v>
      </c>
      <c r="G23" s="14" t="n">
        <v>99</v>
      </c>
      <c r="H23" s="14" t="n">
        <v>1</v>
      </c>
      <c r="I23" s="14" t="n">
        <v>4</v>
      </c>
      <c r="J23" s="14" t="n">
        <v>13</v>
      </c>
      <c r="K23" s="14" t="n">
        <v>31</v>
      </c>
      <c r="L23" s="14" t="n">
        <v>31</v>
      </c>
      <c r="M23" s="14" t="n">
        <v>19</v>
      </c>
      <c r="N23" s="14" t="n">
        <v>59</v>
      </c>
    </row>
    <row r="24" customFormat="false" ht="15" hidden="false" customHeight="true" outlineLevel="0" collapsed="false">
      <c r="A24" s="13" t="n">
        <v>2024</v>
      </c>
      <c r="B24" s="13" t="s">
        <v>125</v>
      </c>
      <c r="C24" s="13" t="s">
        <v>488</v>
      </c>
      <c r="D24" s="13" t="s">
        <v>202</v>
      </c>
      <c r="E24" s="13" t="s">
        <v>357</v>
      </c>
      <c r="F24" s="14" t="n">
        <v>364</v>
      </c>
      <c r="G24" s="14" t="n">
        <v>181</v>
      </c>
      <c r="H24" s="14" t="n">
        <v>0</v>
      </c>
      <c r="I24" s="14" t="n">
        <v>1</v>
      </c>
      <c r="J24" s="14" t="n">
        <v>5</v>
      </c>
      <c r="K24" s="14" t="n">
        <v>63</v>
      </c>
      <c r="L24" s="14" t="n">
        <v>110</v>
      </c>
      <c r="M24" s="14" t="n">
        <v>2</v>
      </c>
      <c r="N24" s="14" t="n">
        <v>183</v>
      </c>
    </row>
    <row r="25" customFormat="false" ht="15" hidden="false" customHeight="true" outlineLevel="0" collapsed="false">
      <c r="A25" s="13" t="n">
        <v>2024</v>
      </c>
      <c r="B25" s="13" t="s">
        <v>125</v>
      </c>
      <c r="C25" s="13" t="s">
        <v>488</v>
      </c>
      <c r="D25" s="13" t="s">
        <v>128</v>
      </c>
      <c r="E25" s="13" t="s">
        <v>357</v>
      </c>
      <c r="F25" s="14" t="n">
        <v>1548</v>
      </c>
      <c r="G25" s="14" t="n">
        <v>661</v>
      </c>
      <c r="H25" s="14" t="n">
        <v>4</v>
      </c>
      <c r="I25" s="14" t="n">
        <v>36</v>
      </c>
      <c r="J25" s="14" t="n">
        <v>144</v>
      </c>
      <c r="K25" s="14" t="n">
        <v>255</v>
      </c>
      <c r="L25" s="14" t="n">
        <v>207</v>
      </c>
      <c r="M25" s="14" t="n">
        <v>15</v>
      </c>
      <c r="N25" s="14" t="n">
        <v>887</v>
      </c>
    </row>
    <row r="26" customFormat="false" ht="15" hidden="false" customHeight="true" outlineLevel="0" collapsed="false">
      <c r="A26" s="13" t="n">
        <v>2024</v>
      </c>
      <c r="B26" s="13" t="s">
        <v>125</v>
      </c>
      <c r="C26" s="13" t="s">
        <v>488</v>
      </c>
      <c r="D26" s="13" t="s">
        <v>203</v>
      </c>
      <c r="E26" s="13" t="s">
        <v>357</v>
      </c>
      <c r="F26" s="14" t="n">
        <v>67</v>
      </c>
      <c r="G26" s="14" t="n">
        <v>17</v>
      </c>
      <c r="H26" s="14" t="n">
        <v>0</v>
      </c>
      <c r="I26" s="14" t="n">
        <v>0</v>
      </c>
      <c r="J26" s="14" t="n">
        <v>3</v>
      </c>
      <c r="K26" s="14" t="n">
        <v>8</v>
      </c>
      <c r="L26" s="14" t="n">
        <v>4</v>
      </c>
      <c r="M26" s="14" t="n">
        <v>2</v>
      </c>
      <c r="N26" s="14" t="n">
        <v>50</v>
      </c>
    </row>
    <row r="27" customFormat="false" ht="15" hidden="false" customHeight="true" outlineLevel="0" collapsed="false">
      <c r="A27" s="13" t="n">
        <v>2024</v>
      </c>
      <c r="B27" s="13" t="s">
        <v>125</v>
      </c>
      <c r="C27" s="13" t="s">
        <v>488</v>
      </c>
      <c r="D27" s="13" t="s">
        <v>419</v>
      </c>
      <c r="E27" s="13" t="s">
        <v>357</v>
      </c>
      <c r="F27" s="14" t="n">
        <v>14</v>
      </c>
      <c r="G27" s="14" t="n">
        <v>4</v>
      </c>
      <c r="H27" s="14" t="n">
        <v>0</v>
      </c>
      <c r="I27" s="14" t="n">
        <v>1</v>
      </c>
      <c r="J27" s="14" t="n">
        <v>0</v>
      </c>
      <c r="K27" s="14" t="n">
        <v>3</v>
      </c>
      <c r="L27" s="14" t="n">
        <v>0</v>
      </c>
      <c r="M27" s="14" t="n">
        <v>0</v>
      </c>
      <c r="N27" s="14" t="n">
        <v>10</v>
      </c>
    </row>
    <row r="28" customFormat="false" ht="15" hidden="false" customHeight="true" outlineLevel="0" collapsed="false">
      <c r="A28" s="13" t="n">
        <v>2024</v>
      </c>
      <c r="B28" s="13" t="s">
        <v>125</v>
      </c>
      <c r="C28" s="13" t="s">
        <v>488</v>
      </c>
      <c r="D28" s="13" t="s">
        <v>129</v>
      </c>
      <c r="E28" s="13" t="s">
        <v>357</v>
      </c>
      <c r="F28" s="14" t="n">
        <v>2</v>
      </c>
      <c r="G28" s="14" t="n">
        <v>1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1</v>
      </c>
      <c r="N28" s="14" t="n">
        <v>1</v>
      </c>
    </row>
    <row r="29" customFormat="false" ht="15" hidden="false" customHeight="true" outlineLevel="0" collapsed="false">
      <c r="A29" s="13" t="n">
        <v>2024</v>
      </c>
      <c r="B29" s="13" t="s">
        <v>125</v>
      </c>
      <c r="C29" s="13" t="s">
        <v>488</v>
      </c>
      <c r="D29" s="13" t="s">
        <v>494</v>
      </c>
      <c r="E29" s="13" t="s">
        <v>357</v>
      </c>
      <c r="F29" s="14" t="n">
        <v>1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</v>
      </c>
    </row>
    <row r="30" customFormat="false" ht="15" hidden="false" customHeight="true" outlineLevel="0" collapsed="false">
      <c r="A30" s="13" t="n">
        <v>2024</v>
      </c>
      <c r="B30" s="13" t="s">
        <v>125</v>
      </c>
      <c r="C30" s="13" t="s">
        <v>488</v>
      </c>
      <c r="D30" s="13" t="s">
        <v>485</v>
      </c>
      <c r="E30" s="13" t="s">
        <v>486</v>
      </c>
      <c r="F30" s="14" t="n">
        <v>2803</v>
      </c>
      <c r="G30" s="14" t="n">
        <v>1464</v>
      </c>
      <c r="H30" s="14" t="n">
        <v>233</v>
      </c>
      <c r="I30" s="14" t="n">
        <v>82</v>
      </c>
      <c r="J30" s="14" t="n">
        <v>212</v>
      </c>
      <c r="K30" s="14" t="n">
        <v>475</v>
      </c>
      <c r="L30" s="14" t="n">
        <v>421</v>
      </c>
      <c r="M30" s="14" t="n">
        <v>41</v>
      </c>
      <c r="N30" s="14" t="n">
        <v>1339</v>
      </c>
    </row>
    <row r="31" customFormat="false" ht="15" hidden="false" customHeight="true" outlineLevel="0" collapsed="false">
      <c r="A31" s="13" t="n">
        <v>2024</v>
      </c>
      <c r="B31" s="13" t="s">
        <v>125</v>
      </c>
      <c r="C31" s="13" t="s">
        <v>484</v>
      </c>
      <c r="D31" s="13" t="s">
        <v>123</v>
      </c>
      <c r="E31" s="13" t="s">
        <v>357</v>
      </c>
      <c r="F31" s="14" t="n">
        <v>241</v>
      </c>
      <c r="G31" s="14" t="n">
        <v>160</v>
      </c>
      <c r="H31" s="14" t="n">
        <v>65</v>
      </c>
      <c r="I31" s="14" t="n">
        <v>16</v>
      </c>
      <c r="J31" s="14" t="n">
        <v>18</v>
      </c>
      <c r="K31" s="14" t="n">
        <v>33</v>
      </c>
      <c r="L31" s="14" t="n">
        <v>27</v>
      </c>
      <c r="M31" s="14" t="n">
        <v>1</v>
      </c>
      <c r="N31" s="14" t="n">
        <v>81</v>
      </c>
    </row>
    <row r="32" customFormat="false" ht="15" hidden="false" customHeight="true" outlineLevel="0" collapsed="false">
      <c r="A32" s="13" t="n">
        <v>2024</v>
      </c>
      <c r="B32" s="13" t="s">
        <v>125</v>
      </c>
      <c r="C32" s="13" t="s">
        <v>484</v>
      </c>
      <c r="D32" s="13" t="s">
        <v>126</v>
      </c>
      <c r="E32" s="13" t="s">
        <v>357</v>
      </c>
      <c r="F32" s="14" t="n">
        <v>73</v>
      </c>
      <c r="G32" s="14" t="n">
        <v>56</v>
      </c>
      <c r="H32" s="14" t="n">
        <v>0</v>
      </c>
      <c r="I32" s="14" t="n">
        <v>5</v>
      </c>
      <c r="J32" s="14" t="n">
        <v>12</v>
      </c>
      <c r="K32" s="14" t="n">
        <v>16</v>
      </c>
      <c r="L32" s="14" t="n">
        <v>13</v>
      </c>
      <c r="M32" s="14" t="n">
        <v>10</v>
      </c>
      <c r="N32" s="14" t="n">
        <v>17</v>
      </c>
    </row>
    <row r="33" customFormat="false" ht="15" hidden="false" customHeight="true" outlineLevel="0" collapsed="false">
      <c r="A33" s="13" t="n">
        <v>2024</v>
      </c>
      <c r="B33" s="13" t="s">
        <v>125</v>
      </c>
      <c r="C33" s="13" t="s">
        <v>484</v>
      </c>
      <c r="D33" s="13" t="s">
        <v>202</v>
      </c>
      <c r="E33" s="13" t="s">
        <v>357</v>
      </c>
      <c r="F33" s="14" t="n">
        <v>123</v>
      </c>
      <c r="G33" s="14" t="n">
        <v>60</v>
      </c>
      <c r="H33" s="14" t="n">
        <v>0</v>
      </c>
      <c r="I33" s="14" t="n">
        <v>2</v>
      </c>
      <c r="J33" s="14" t="n">
        <v>7</v>
      </c>
      <c r="K33" s="14" t="n">
        <v>11</v>
      </c>
      <c r="L33" s="14" t="n">
        <v>40</v>
      </c>
      <c r="M33" s="14" t="n">
        <v>0</v>
      </c>
      <c r="N33" s="14" t="n">
        <v>63</v>
      </c>
    </row>
    <row r="34" customFormat="false" ht="15" hidden="false" customHeight="true" outlineLevel="0" collapsed="false">
      <c r="A34" s="13" t="n">
        <v>2024</v>
      </c>
      <c r="B34" s="13" t="s">
        <v>125</v>
      </c>
      <c r="C34" s="13" t="s">
        <v>484</v>
      </c>
      <c r="D34" s="13" t="s">
        <v>128</v>
      </c>
      <c r="E34" s="13" t="s">
        <v>357</v>
      </c>
      <c r="F34" s="14" t="n">
        <v>1695</v>
      </c>
      <c r="G34" s="14" t="n">
        <v>763</v>
      </c>
      <c r="H34" s="14" t="n">
        <v>14</v>
      </c>
      <c r="I34" s="14" t="n">
        <v>58</v>
      </c>
      <c r="J34" s="14" t="n">
        <v>178</v>
      </c>
      <c r="K34" s="14" t="n">
        <v>309</v>
      </c>
      <c r="L34" s="14" t="n">
        <v>187</v>
      </c>
      <c r="M34" s="14" t="n">
        <v>17</v>
      </c>
      <c r="N34" s="14" t="n">
        <v>932</v>
      </c>
    </row>
    <row r="35" customFormat="false" ht="15" hidden="false" customHeight="true" outlineLevel="0" collapsed="false">
      <c r="A35" s="13" t="n">
        <v>2024</v>
      </c>
      <c r="B35" s="13" t="s">
        <v>125</v>
      </c>
      <c r="C35" s="13" t="s">
        <v>484</v>
      </c>
      <c r="D35" s="13" t="s">
        <v>203</v>
      </c>
      <c r="E35" s="13" t="s">
        <v>357</v>
      </c>
      <c r="F35" s="14" t="n">
        <v>35</v>
      </c>
      <c r="G35" s="14" t="n">
        <v>23</v>
      </c>
      <c r="H35" s="14" t="n">
        <v>0</v>
      </c>
      <c r="I35" s="14" t="n">
        <v>0</v>
      </c>
      <c r="J35" s="14" t="n">
        <v>0</v>
      </c>
      <c r="K35" s="14" t="n">
        <v>10</v>
      </c>
      <c r="L35" s="14" t="n">
        <v>12</v>
      </c>
      <c r="M35" s="14" t="n">
        <v>1</v>
      </c>
      <c r="N35" s="14" t="n">
        <v>12</v>
      </c>
    </row>
    <row r="36" customFormat="false" ht="15" hidden="false" customHeight="true" outlineLevel="0" collapsed="false">
      <c r="A36" s="13" t="n">
        <v>2024</v>
      </c>
      <c r="B36" s="13" t="s">
        <v>125</v>
      </c>
      <c r="C36" s="13" t="s">
        <v>484</v>
      </c>
      <c r="D36" s="13" t="s">
        <v>419</v>
      </c>
      <c r="E36" s="13" t="s">
        <v>357</v>
      </c>
      <c r="F36" s="14" t="n">
        <v>3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3</v>
      </c>
    </row>
    <row r="37" customFormat="false" ht="15" hidden="false" customHeight="true" outlineLevel="0" collapsed="false">
      <c r="A37" s="13" t="n">
        <v>2024</v>
      </c>
      <c r="B37" s="13" t="s">
        <v>125</v>
      </c>
      <c r="C37" s="13" t="s">
        <v>484</v>
      </c>
      <c r="D37" s="13" t="s">
        <v>129</v>
      </c>
      <c r="E37" s="13" t="s">
        <v>357</v>
      </c>
      <c r="F37" s="14" t="n">
        <v>2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2</v>
      </c>
    </row>
    <row r="38" customFormat="false" ht="15" hidden="false" customHeight="true" outlineLevel="0" collapsed="false">
      <c r="A38" s="13" t="n">
        <v>2024</v>
      </c>
      <c r="B38" s="13" t="s">
        <v>125</v>
      </c>
      <c r="C38" s="13" t="s">
        <v>484</v>
      </c>
      <c r="D38" s="13" t="s">
        <v>494</v>
      </c>
      <c r="E38" s="13" t="s">
        <v>357</v>
      </c>
      <c r="F38" s="14" t="n">
        <v>2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2</v>
      </c>
    </row>
    <row r="39" customFormat="false" ht="15" hidden="false" customHeight="true" outlineLevel="0" collapsed="false">
      <c r="A39" s="13" t="n">
        <v>2024</v>
      </c>
      <c r="B39" s="13" t="s">
        <v>125</v>
      </c>
      <c r="C39" s="13" t="s">
        <v>484</v>
      </c>
      <c r="D39" s="13" t="s">
        <v>485</v>
      </c>
      <c r="E39" s="13" t="s">
        <v>486</v>
      </c>
      <c r="F39" s="14" t="n">
        <v>2174</v>
      </c>
      <c r="G39" s="14" t="n">
        <v>1062</v>
      </c>
      <c r="H39" s="14" t="n">
        <v>79</v>
      </c>
      <c r="I39" s="14" t="n">
        <v>81</v>
      </c>
      <c r="J39" s="14" t="n">
        <v>215</v>
      </c>
      <c r="K39" s="14" t="n">
        <v>379</v>
      </c>
      <c r="L39" s="14" t="n">
        <v>279</v>
      </c>
      <c r="M39" s="14" t="n">
        <v>29</v>
      </c>
      <c r="N39" s="14" t="n">
        <v>1112</v>
      </c>
    </row>
    <row r="40" customFormat="false" ht="15" hidden="false" customHeight="true" outlineLevel="0" collapsed="false">
      <c r="A40" s="13" t="n">
        <v>2024</v>
      </c>
      <c r="B40" s="13" t="s">
        <v>125</v>
      </c>
      <c r="C40" s="13" t="s">
        <v>489</v>
      </c>
      <c r="D40" s="13" t="s">
        <v>495</v>
      </c>
      <c r="E40" s="13" t="s">
        <v>137</v>
      </c>
      <c r="F40" s="14" t="n">
        <v>23810</v>
      </c>
      <c r="G40" s="14" t="n">
        <v>11378</v>
      </c>
      <c r="H40" s="14" t="n">
        <v>1211</v>
      </c>
      <c r="I40" s="14" t="n">
        <v>662</v>
      </c>
      <c r="J40" s="14" t="n">
        <v>1941</v>
      </c>
      <c r="K40" s="14" t="n">
        <v>3824</v>
      </c>
      <c r="L40" s="14" t="n">
        <v>3372</v>
      </c>
      <c r="M40" s="14" t="n">
        <v>368</v>
      </c>
      <c r="N40" s="14" t="n">
        <v>12432</v>
      </c>
    </row>
    <row r="41" customFormat="false" ht="15" hidden="false" customHeight="true" outlineLevel="0" collapsed="false">
      <c r="A41" s="13" t="n">
        <v>2025</v>
      </c>
      <c r="B41" s="13" t="s">
        <v>125</v>
      </c>
      <c r="C41" s="13" t="s">
        <v>24</v>
      </c>
      <c r="D41" s="13" t="s">
        <v>123</v>
      </c>
      <c r="E41" s="13" t="s">
        <v>357</v>
      </c>
      <c r="F41" s="14" t="n">
        <v>2470</v>
      </c>
      <c r="G41" s="14" t="n">
        <v>1670</v>
      </c>
      <c r="H41" s="14" t="n">
        <v>817</v>
      </c>
      <c r="I41" s="14" t="n">
        <v>114</v>
      </c>
      <c r="J41" s="14" t="n">
        <v>138</v>
      </c>
      <c r="K41" s="14" t="n">
        <v>359</v>
      </c>
      <c r="L41" s="14" t="n">
        <v>238</v>
      </c>
      <c r="M41" s="14" t="n">
        <v>4</v>
      </c>
      <c r="N41" s="14" t="n">
        <v>800</v>
      </c>
    </row>
    <row r="42" customFormat="false" ht="15" hidden="false" customHeight="true" outlineLevel="0" collapsed="false">
      <c r="A42" s="13" t="n">
        <v>2025</v>
      </c>
      <c r="B42" s="13" t="s">
        <v>125</v>
      </c>
      <c r="C42" s="13" t="s">
        <v>24</v>
      </c>
      <c r="D42" s="13" t="s">
        <v>126</v>
      </c>
      <c r="E42" s="13" t="s">
        <v>357</v>
      </c>
      <c r="F42" s="14" t="n">
        <v>493</v>
      </c>
      <c r="G42" s="14" t="n">
        <v>268</v>
      </c>
      <c r="H42" s="14" t="n">
        <v>0</v>
      </c>
      <c r="I42" s="14" t="n">
        <v>7</v>
      </c>
      <c r="J42" s="14" t="n">
        <v>28</v>
      </c>
      <c r="K42" s="14" t="n">
        <v>79</v>
      </c>
      <c r="L42" s="14" t="n">
        <v>66</v>
      </c>
      <c r="M42" s="14" t="n">
        <v>88</v>
      </c>
      <c r="N42" s="14" t="n">
        <v>225</v>
      </c>
    </row>
    <row r="43" customFormat="false" ht="15" hidden="false" customHeight="true" outlineLevel="0" collapsed="false">
      <c r="A43" s="13" t="n">
        <v>2025</v>
      </c>
      <c r="B43" s="13" t="s">
        <v>125</v>
      </c>
      <c r="C43" s="13" t="s">
        <v>24</v>
      </c>
      <c r="D43" s="13" t="s">
        <v>202</v>
      </c>
      <c r="E43" s="13" t="s">
        <v>357</v>
      </c>
      <c r="F43" s="14" t="n">
        <v>1792</v>
      </c>
      <c r="G43" s="14" t="n">
        <v>892</v>
      </c>
      <c r="H43" s="14" t="n">
        <v>3</v>
      </c>
      <c r="I43" s="14" t="n">
        <v>7</v>
      </c>
      <c r="J43" s="14" t="n">
        <v>71</v>
      </c>
      <c r="K43" s="14" t="n">
        <v>459</v>
      </c>
      <c r="L43" s="14" t="n">
        <v>345</v>
      </c>
      <c r="M43" s="14" t="n">
        <v>7</v>
      </c>
      <c r="N43" s="14" t="n">
        <v>900</v>
      </c>
    </row>
    <row r="44" customFormat="false" ht="15" hidden="false" customHeight="true" outlineLevel="0" collapsed="false">
      <c r="A44" s="13" t="n">
        <v>2025</v>
      </c>
      <c r="B44" s="13" t="s">
        <v>125</v>
      </c>
      <c r="C44" s="13" t="s">
        <v>24</v>
      </c>
      <c r="D44" s="13" t="s">
        <v>128</v>
      </c>
      <c r="E44" s="13" t="s">
        <v>357</v>
      </c>
      <c r="F44" s="14" t="n">
        <v>8261</v>
      </c>
      <c r="G44" s="14" t="n">
        <v>3548</v>
      </c>
      <c r="H44" s="14" t="n">
        <v>36</v>
      </c>
      <c r="I44" s="14" t="n">
        <v>361</v>
      </c>
      <c r="J44" s="14" t="n">
        <v>869</v>
      </c>
      <c r="K44" s="14" t="n">
        <v>1355</v>
      </c>
      <c r="L44" s="14" t="n">
        <v>853</v>
      </c>
      <c r="M44" s="14" t="n">
        <v>74</v>
      </c>
      <c r="N44" s="14" t="n">
        <v>4713</v>
      </c>
    </row>
    <row r="45" customFormat="false" ht="15" hidden="false" customHeight="true" outlineLevel="0" collapsed="false">
      <c r="A45" s="13" t="n">
        <v>2025</v>
      </c>
      <c r="B45" s="13" t="s">
        <v>125</v>
      </c>
      <c r="C45" s="13" t="s">
        <v>24</v>
      </c>
      <c r="D45" s="13" t="s">
        <v>203</v>
      </c>
      <c r="E45" s="13" t="s">
        <v>357</v>
      </c>
      <c r="F45" s="14" t="n">
        <v>1099</v>
      </c>
      <c r="G45" s="14" t="n">
        <v>522</v>
      </c>
      <c r="H45" s="14" t="n">
        <v>2</v>
      </c>
      <c r="I45" s="14" t="n">
        <v>17</v>
      </c>
      <c r="J45" s="14" t="n">
        <v>58</v>
      </c>
      <c r="K45" s="14" t="n">
        <v>163</v>
      </c>
      <c r="L45" s="14" t="n">
        <v>260</v>
      </c>
      <c r="M45" s="14" t="n">
        <v>22</v>
      </c>
      <c r="N45" s="14" t="n">
        <v>577</v>
      </c>
    </row>
    <row r="46" customFormat="false" ht="15" hidden="false" customHeight="true" outlineLevel="0" collapsed="false">
      <c r="A46" s="13" t="n">
        <v>2025</v>
      </c>
      <c r="B46" s="13" t="s">
        <v>125</v>
      </c>
      <c r="C46" s="13" t="s">
        <v>24</v>
      </c>
      <c r="D46" s="13" t="s">
        <v>419</v>
      </c>
      <c r="E46" s="13" t="s">
        <v>357</v>
      </c>
      <c r="F46" s="14" t="n">
        <v>38</v>
      </c>
      <c r="G46" s="14" t="n">
        <v>16</v>
      </c>
      <c r="H46" s="14" t="n">
        <v>0</v>
      </c>
      <c r="I46" s="14" t="n">
        <v>6</v>
      </c>
      <c r="J46" s="14" t="n">
        <v>7</v>
      </c>
      <c r="K46" s="14" t="n">
        <v>2</v>
      </c>
      <c r="L46" s="14" t="n">
        <v>1</v>
      </c>
      <c r="M46" s="14" t="n">
        <v>0</v>
      </c>
      <c r="N46" s="14" t="n">
        <v>22</v>
      </c>
    </row>
    <row r="47" customFormat="false" ht="15" hidden="false" customHeight="true" outlineLevel="0" collapsed="false">
      <c r="A47" s="13" t="n">
        <v>2025</v>
      </c>
      <c r="B47" s="13" t="s">
        <v>125</v>
      </c>
      <c r="C47" s="13" t="s">
        <v>24</v>
      </c>
      <c r="D47" s="13" t="s">
        <v>129</v>
      </c>
      <c r="E47" s="13" t="s">
        <v>357</v>
      </c>
      <c r="F47" s="14" t="n">
        <v>72</v>
      </c>
      <c r="G47" s="14" t="n">
        <v>25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25</v>
      </c>
      <c r="N47" s="14" t="n">
        <v>47</v>
      </c>
    </row>
    <row r="48" customFormat="false" ht="15" hidden="false" customHeight="true" outlineLevel="0" collapsed="false">
      <c r="A48" s="13" t="n">
        <v>2025</v>
      </c>
      <c r="B48" s="13" t="s">
        <v>125</v>
      </c>
      <c r="C48" s="13" t="s">
        <v>24</v>
      </c>
      <c r="D48" s="13" t="s">
        <v>493</v>
      </c>
      <c r="E48" s="13" t="s">
        <v>357</v>
      </c>
      <c r="F48" s="14" t="n">
        <v>2</v>
      </c>
      <c r="G48" s="14" t="n">
        <v>1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1</v>
      </c>
      <c r="N48" s="14" t="n">
        <v>1</v>
      </c>
    </row>
    <row r="49" customFormat="false" ht="15" hidden="false" customHeight="true" outlineLevel="0" collapsed="false">
      <c r="A49" s="13" t="n">
        <v>2025</v>
      </c>
      <c r="B49" s="13" t="s">
        <v>125</v>
      </c>
      <c r="C49" s="13" t="s">
        <v>24</v>
      </c>
      <c r="D49" s="13" t="s">
        <v>494</v>
      </c>
      <c r="E49" s="13" t="s">
        <v>357</v>
      </c>
      <c r="F49" s="14" t="n">
        <v>20</v>
      </c>
      <c r="G49" s="14" t="n">
        <v>3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3</v>
      </c>
      <c r="N49" s="14" t="n">
        <v>17</v>
      </c>
    </row>
    <row r="50" customFormat="false" ht="15" hidden="false" customHeight="true" outlineLevel="0" collapsed="false">
      <c r="A50" s="13" t="n">
        <v>2025</v>
      </c>
      <c r="B50" s="13" t="s">
        <v>125</v>
      </c>
      <c r="C50" s="13" t="s">
        <v>24</v>
      </c>
      <c r="D50" s="13" t="s">
        <v>485</v>
      </c>
      <c r="E50" s="13" t="s">
        <v>486</v>
      </c>
      <c r="F50" s="14" t="n">
        <v>14247</v>
      </c>
      <c r="G50" s="14" t="n">
        <v>6945</v>
      </c>
      <c r="H50" s="14" t="n">
        <v>858</v>
      </c>
      <c r="I50" s="14" t="n">
        <v>512</v>
      </c>
      <c r="J50" s="14" t="n">
        <v>1171</v>
      </c>
      <c r="K50" s="14" t="n">
        <v>2417</v>
      </c>
      <c r="L50" s="14" t="n">
        <v>1763</v>
      </c>
      <c r="M50" s="14" t="n">
        <v>224</v>
      </c>
      <c r="N50" s="14" t="n">
        <v>7302</v>
      </c>
    </row>
    <row r="51" customFormat="false" ht="15" hidden="false" customHeight="true" outlineLevel="0" collapsed="false">
      <c r="A51" s="13" t="n">
        <v>2025</v>
      </c>
      <c r="B51" s="13" t="s">
        <v>125</v>
      </c>
      <c r="C51" s="13" t="s">
        <v>487</v>
      </c>
      <c r="D51" s="13" t="s">
        <v>123</v>
      </c>
      <c r="E51" s="13" t="s">
        <v>357</v>
      </c>
      <c r="F51" s="14" t="n">
        <v>672</v>
      </c>
      <c r="G51" s="14" t="n">
        <v>531</v>
      </c>
      <c r="H51" s="14" t="n">
        <v>263</v>
      </c>
      <c r="I51" s="14" t="n">
        <v>70</v>
      </c>
      <c r="J51" s="14" t="n">
        <v>61</v>
      </c>
      <c r="K51" s="14" t="n">
        <v>104</v>
      </c>
      <c r="L51" s="14" t="n">
        <v>29</v>
      </c>
      <c r="M51" s="14" t="n">
        <v>4</v>
      </c>
      <c r="N51" s="14" t="n">
        <v>141</v>
      </c>
    </row>
    <row r="52" customFormat="false" ht="15" hidden="false" customHeight="true" outlineLevel="0" collapsed="false">
      <c r="A52" s="13" t="n">
        <v>2025</v>
      </c>
      <c r="B52" s="13" t="s">
        <v>125</v>
      </c>
      <c r="C52" s="13" t="s">
        <v>487</v>
      </c>
      <c r="D52" s="13" t="s">
        <v>126</v>
      </c>
      <c r="E52" s="13" t="s">
        <v>357</v>
      </c>
      <c r="F52" s="14" t="n">
        <v>112</v>
      </c>
      <c r="G52" s="14" t="n">
        <v>85</v>
      </c>
      <c r="H52" s="14" t="n">
        <v>1</v>
      </c>
      <c r="I52" s="14" t="n">
        <v>3</v>
      </c>
      <c r="J52" s="14" t="n">
        <v>16</v>
      </c>
      <c r="K52" s="14" t="n">
        <v>32</v>
      </c>
      <c r="L52" s="14" t="n">
        <v>12</v>
      </c>
      <c r="M52" s="14" t="n">
        <v>21</v>
      </c>
      <c r="N52" s="14" t="n">
        <v>27</v>
      </c>
    </row>
    <row r="53" customFormat="false" ht="15" hidden="false" customHeight="true" outlineLevel="0" collapsed="false">
      <c r="A53" s="13" t="n">
        <v>2025</v>
      </c>
      <c r="B53" s="13" t="s">
        <v>125</v>
      </c>
      <c r="C53" s="13" t="s">
        <v>487</v>
      </c>
      <c r="D53" s="13" t="s">
        <v>202</v>
      </c>
      <c r="E53" s="13" t="s">
        <v>357</v>
      </c>
      <c r="F53" s="14" t="n">
        <v>289</v>
      </c>
      <c r="G53" s="14" t="n">
        <v>153</v>
      </c>
      <c r="H53" s="14" t="n">
        <v>1</v>
      </c>
      <c r="I53" s="14" t="n">
        <v>4</v>
      </c>
      <c r="J53" s="14" t="n">
        <v>19</v>
      </c>
      <c r="K53" s="14" t="n">
        <v>81</v>
      </c>
      <c r="L53" s="14" t="n">
        <v>48</v>
      </c>
      <c r="M53" s="14" t="n">
        <v>0</v>
      </c>
      <c r="N53" s="14" t="n">
        <v>136</v>
      </c>
    </row>
    <row r="54" customFormat="false" ht="15" hidden="false" customHeight="true" outlineLevel="0" collapsed="false">
      <c r="A54" s="13" t="n">
        <v>2025</v>
      </c>
      <c r="B54" s="13" t="s">
        <v>125</v>
      </c>
      <c r="C54" s="13" t="s">
        <v>487</v>
      </c>
      <c r="D54" s="13" t="s">
        <v>128</v>
      </c>
      <c r="E54" s="13" t="s">
        <v>357</v>
      </c>
      <c r="F54" s="14" t="n">
        <v>2254</v>
      </c>
      <c r="G54" s="14" t="n">
        <v>1041</v>
      </c>
      <c r="H54" s="14" t="n">
        <v>7</v>
      </c>
      <c r="I54" s="14" t="n">
        <v>94</v>
      </c>
      <c r="J54" s="14" t="n">
        <v>304</v>
      </c>
      <c r="K54" s="14" t="n">
        <v>405</v>
      </c>
      <c r="L54" s="14" t="n">
        <v>219</v>
      </c>
      <c r="M54" s="14" t="n">
        <v>12</v>
      </c>
      <c r="N54" s="14" t="n">
        <v>1213</v>
      </c>
    </row>
    <row r="55" customFormat="false" ht="15" hidden="false" customHeight="true" outlineLevel="0" collapsed="false">
      <c r="A55" s="13" t="n">
        <v>2025</v>
      </c>
      <c r="B55" s="13" t="s">
        <v>125</v>
      </c>
      <c r="C55" s="13" t="s">
        <v>487</v>
      </c>
      <c r="D55" s="13" t="s">
        <v>203</v>
      </c>
      <c r="E55" s="13" t="s">
        <v>357</v>
      </c>
      <c r="F55" s="14" t="n">
        <v>37</v>
      </c>
      <c r="G55" s="14" t="n">
        <v>21</v>
      </c>
      <c r="H55" s="14" t="n">
        <v>0</v>
      </c>
      <c r="I55" s="14" t="n">
        <v>1</v>
      </c>
      <c r="J55" s="14" t="n">
        <v>1</v>
      </c>
      <c r="K55" s="14" t="n">
        <v>7</v>
      </c>
      <c r="L55" s="14" t="n">
        <v>11</v>
      </c>
      <c r="M55" s="14" t="n">
        <v>1</v>
      </c>
      <c r="N55" s="14" t="n">
        <v>16</v>
      </c>
    </row>
    <row r="56" customFormat="false" ht="15" hidden="false" customHeight="true" outlineLevel="0" collapsed="false">
      <c r="A56" s="13" t="n">
        <v>2025</v>
      </c>
      <c r="B56" s="13" t="s">
        <v>125</v>
      </c>
      <c r="C56" s="13" t="s">
        <v>487</v>
      </c>
      <c r="D56" s="13" t="s">
        <v>419</v>
      </c>
      <c r="E56" s="13" t="s">
        <v>357</v>
      </c>
      <c r="F56" s="14" t="n">
        <v>18</v>
      </c>
      <c r="G56" s="14" t="n">
        <v>8</v>
      </c>
      <c r="H56" s="14" t="n">
        <v>0</v>
      </c>
      <c r="I56" s="14" t="n">
        <v>1</v>
      </c>
      <c r="J56" s="14" t="n">
        <v>5</v>
      </c>
      <c r="K56" s="14" t="n">
        <v>2</v>
      </c>
      <c r="L56" s="14" t="n">
        <v>0</v>
      </c>
      <c r="M56" s="14" t="n">
        <v>0</v>
      </c>
      <c r="N56" s="14" t="n">
        <v>10</v>
      </c>
    </row>
    <row r="57" customFormat="false" ht="15" hidden="false" customHeight="true" outlineLevel="0" collapsed="false">
      <c r="A57" s="13" t="n">
        <v>2025</v>
      </c>
      <c r="B57" s="13" t="s">
        <v>125</v>
      </c>
      <c r="C57" s="13" t="s">
        <v>487</v>
      </c>
      <c r="D57" s="13" t="s">
        <v>494</v>
      </c>
      <c r="E57" s="13" t="s">
        <v>357</v>
      </c>
      <c r="F57" s="14" t="n">
        <v>1</v>
      </c>
      <c r="G57" s="14" t="n">
        <v>1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1</v>
      </c>
      <c r="N57" s="14" t="n">
        <v>0</v>
      </c>
    </row>
    <row r="58" customFormat="false" ht="15" hidden="false" customHeight="true" outlineLevel="0" collapsed="false">
      <c r="A58" s="13" t="n">
        <v>2025</v>
      </c>
      <c r="B58" s="13" t="s">
        <v>125</v>
      </c>
      <c r="C58" s="13" t="s">
        <v>487</v>
      </c>
      <c r="D58" s="13" t="s">
        <v>485</v>
      </c>
      <c r="E58" s="13" t="s">
        <v>486</v>
      </c>
      <c r="F58" s="14" t="n">
        <v>3383</v>
      </c>
      <c r="G58" s="14" t="n">
        <v>1840</v>
      </c>
      <c r="H58" s="14" t="n">
        <v>272</v>
      </c>
      <c r="I58" s="14" t="n">
        <v>173</v>
      </c>
      <c r="J58" s="14" t="n">
        <v>406</v>
      </c>
      <c r="K58" s="14" t="n">
        <v>631</v>
      </c>
      <c r="L58" s="14" t="n">
        <v>319</v>
      </c>
      <c r="M58" s="14" t="n">
        <v>39</v>
      </c>
      <c r="N58" s="14" t="n">
        <v>1543</v>
      </c>
    </row>
    <row r="59" customFormat="false" ht="15" hidden="false" customHeight="true" outlineLevel="0" collapsed="false">
      <c r="A59" s="13" t="n">
        <v>2025</v>
      </c>
      <c r="B59" s="13" t="s">
        <v>125</v>
      </c>
      <c r="C59" s="13" t="s">
        <v>488</v>
      </c>
      <c r="D59" s="13" t="s">
        <v>123</v>
      </c>
      <c r="E59" s="13" t="s">
        <v>357</v>
      </c>
      <c r="F59" s="14" t="n">
        <v>695</v>
      </c>
      <c r="G59" s="14" t="n">
        <v>499</v>
      </c>
      <c r="H59" s="14" t="n">
        <v>264</v>
      </c>
      <c r="I59" s="14" t="n">
        <v>44</v>
      </c>
      <c r="J59" s="14" t="n">
        <v>34</v>
      </c>
      <c r="K59" s="14" t="n">
        <v>127</v>
      </c>
      <c r="L59" s="14" t="n">
        <v>28</v>
      </c>
      <c r="M59" s="14" t="n">
        <v>2</v>
      </c>
      <c r="N59" s="14" t="n">
        <v>196</v>
      </c>
    </row>
    <row r="60" customFormat="false" ht="15" hidden="false" customHeight="true" outlineLevel="0" collapsed="false">
      <c r="A60" s="13" t="n">
        <v>2025</v>
      </c>
      <c r="B60" s="13" t="s">
        <v>125</v>
      </c>
      <c r="C60" s="13" t="s">
        <v>488</v>
      </c>
      <c r="D60" s="13" t="s">
        <v>126</v>
      </c>
      <c r="E60" s="13" t="s">
        <v>357</v>
      </c>
      <c r="F60" s="14" t="n">
        <v>88</v>
      </c>
      <c r="G60" s="14" t="n">
        <v>50</v>
      </c>
      <c r="H60" s="14" t="n">
        <v>1</v>
      </c>
      <c r="I60" s="14" t="n">
        <v>3</v>
      </c>
      <c r="J60" s="14" t="n">
        <v>5</v>
      </c>
      <c r="K60" s="14" t="n">
        <v>21</v>
      </c>
      <c r="L60" s="14" t="n">
        <v>8</v>
      </c>
      <c r="M60" s="14" t="n">
        <v>12</v>
      </c>
      <c r="N60" s="14" t="n">
        <v>38</v>
      </c>
    </row>
    <row r="61" customFormat="false" ht="15" hidden="false" customHeight="true" outlineLevel="0" collapsed="false">
      <c r="A61" s="13" t="n">
        <v>2025</v>
      </c>
      <c r="B61" s="13" t="s">
        <v>125</v>
      </c>
      <c r="C61" s="13" t="s">
        <v>488</v>
      </c>
      <c r="D61" s="13" t="s">
        <v>202</v>
      </c>
      <c r="E61" s="13" t="s">
        <v>357</v>
      </c>
      <c r="F61" s="14" t="n">
        <v>332</v>
      </c>
      <c r="G61" s="14" t="n">
        <v>203</v>
      </c>
      <c r="H61" s="14" t="n">
        <v>1</v>
      </c>
      <c r="I61" s="14" t="n">
        <v>0</v>
      </c>
      <c r="J61" s="14" t="n">
        <v>7</v>
      </c>
      <c r="K61" s="14" t="n">
        <v>110</v>
      </c>
      <c r="L61" s="14" t="n">
        <v>85</v>
      </c>
      <c r="M61" s="14" t="n">
        <v>0</v>
      </c>
      <c r="N61" s="14" t="n">
        <v>129</v>
      </c>
    </row>
    <row r="62" customFormat="false" ht="15" hidden="false" customHeight="true" outlineLevel="0" collapsed="false">
      <c r="A62" s="13" t="n">
        <v>2025</v>
      </c>
      <c r="B62" s="13" t="s">
        <v>125</v>
      </c>
      <c r="C62" s="13" t="s">
        <v>488</v>
      </c>
      <c r="D62" s="13" t="s">
        <v>128</v>
      </c>
      <c r="E62" s="13" t="s">
        <v>357</v>
      </c>
      <c r="F62" s="14" t="n">
        <v>1575</v>
      </c>
      <c r="G62" s="14" t="n">
        <v>752</v>
      </c>
      <c r="H62" s="14" t="n">
        <v>4</v>
      </c>
      <c r="I62" s="14" t="n">
        <v>58</v>
      </c>
      <c r="J62" s="14" t="n">
        <v>180</v>
      </c>
      <c r="K62" s="14" t="n">
        <v>336</v>
      </c>
      <c r="L62" s="14" t="n">
        <v>166</v>
      </c>
      <c r="M62" s="14" t="n">
        <v>8</v>
      </c>
      <c r="N62" s="14" t="n">
        <v>823</v>
      </c>
    </row>
    <row r="63" customFormat="false" ht="15" hidden="false" customHeight="true" outlineLevel="0" collapsed="false">
      <c r="A63" s="13" t="n">
        <v>2025</v>
      </c>
      <c r="B63" s="13" t="s">
        <v>125</v>
      </c>
      <c r="C63" s="13" t="s">
        <v>488</v>
      </c>
      <c r="D63" s="13" t="s">
        <v>203</v>
      </c>
      <c r="E63" s="13" t="s">
        <v>357</v>
      </c>
      <c r="F63" s="14" t="n">
        <v>44</v>
      </c>
      <c r="G63" s="14" t="n">
        <v>14</v>
      </c>
      <c r="H63" s="14" t="n">
        <v>0</v>
      </c>
      <c r="I63" s="14" t="n">
        <v>0</v>
      </c>
      <c r="J63" s="14" t="n">
        <v>4</v>
      </c>
      <c r="K63" s="14" t="n">
        <v>6</v>
      </c>
      <c r="L63" s="14" t="n">
        <v>4</v>
      </c>
      <c r="M63" s="14" t="n">
        <v>0</v>
      </c>
      <c r="N63" s="14" t="n">
        <v>30</v>
      </c>
    </row>
    <row r="64" customFormat="false" ht="15" hidden="false" customHeight="true" outlineLevel="0" collapsed="false">
      <c r="A64" s="13" t="n">
        <v>2025</v>
      </c>
      <c r="B64" s="13" t="s">
        <v>125</v>
      </c>
      <c r="C64" s="13" t="s">
        <v>488</v>
      </c>
      <c r="D64" s="13" t="s">
        <v>419</v>
      </c>
      <c r="E64" s="13" t="s">
        <v>357</v>
      </c>
      <c r="F64" s="14" t="n">
        <v>20</v>
      </c>
      <c r="G64" s="14" t="n">
        <v>6</v>
      </c>
      <c r="H64" s="14" t="n">
        <v>0</v>
      </c>
      <c r="I64" s="14" t="n">
        <v>1</v>
      </c>
      <c r="J64" s="14" t="n">
        <v>3</v>
      </c>
      <c r="K64" s="14" t="n">
        <v>2</v>
      </c>
      <c r="L64" s="14" t="n">
        <v>0</v>
      </c>
      <c r="M64" s="14" t="n">
        <v>0</v>
      </c>
      <c r="N64" s="14" t="n">
        <v>14</v>
      </c>
    </row>
    <row r="65" customFormat="false" ht="15" hidden="false" customHeight="true" outlineLevel="0" collapsed="false">
      <c r="A65" s="13" t="n">
        <v>2025</v>
      </c>
      <c r="B65" s="13" t="s">
        <v>125</v>
      </c>
      <c r="C65" s="13" t="s">
        <v>488</v>
      </c>
      <c r="D65" s="13" t="s">
        <v>129</v>
      </c>
      <c r="E65" s="13" t="s">
        <v>357</v>
      </c>
      <c r="F65" s="14" t="n">
        <v>3</v>
      </c>
      <c r="G65" s="14" t="n">
        <v>1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1</v>
      </c>
      <c r="N65" s="14" t="n">
        <v>2</v>
      </c>
    </row>
    <row r="66" customFormat="false" ht="15" hidden="false" customHeight="true" outlineLevel="0" collapsed="false">
      <c r="A66" s="13" t="n">
        <v>2025</v>
      </c>
      <c r="B66" s="13" t="s">
        <v>125</v>
      </c>
      <c r="C66" s="13" t="s">
        <v>488</v>
      </c>
      <c r="D66" s="13" t="s">
        <v>494</v>
      </c>
      <c r="E66" s="13" t="s">
        <v>357</v>
      </c>
      <c r="F66" s="14" t="n">
        <v>12</v>
      </c>
      <c r="G66" s="14" t="n">
        <v>4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4</v>
      </c>
      <c r="N66" s="14" t="n">
        <v>8</v>
      </c>
    </row>
    <row r="67" customFormat="false" ht="15" hidden="false" customHeight="true" outlineLevel="0" collapsed="false">
      <c r="A67" s="13" t="n">
        <v>2025</v>
      </c>
      <c r="B67" s="13" t="s">
        <v>125</v>
      </c>
      <c r="C67" s="13" t="s">
        <v>488</v>
      </c>
      <c r="D67" s="13" t="s">
        <v>485</v>
      </c>
      <c r="E67" s="13" t="s">
        <v>486</v>
      </c>
      <c r="F67" s="14" t="n">
        <v>2769</v>
      </c>
      <c r="G67" s="14" t="n">
        <v>1529</v>
      </c>
      <c r="H67" s="14" t="n">
        <v>270</v>
      </c>
      <c r="I67" s="14" t="n">
        <v>106</v>
      </c>
      <c r="J67" s="14" t="n">
        <v>233</v>
      </c>
      <c r="K67" s="14" t="n">
        <v>602</v>
      </c>
      <c r="L67" s="14" t="n">
        <v>291</v>
      </c>
      <c r="M67" s="14" t="n">
        <v>27</v>
      </c>
      <c r="N67" s="14" t="n">
        <v>1240</v>
      </c>
    </row>
    <row r="68" customFormat="false" ht="15" hidden="false" customHeight="true" outlineLevel="0" collapsed="false">
      <c r="A68" s="13" t="n">
        <v>2025</v>
      </c>
      <c r="B68" s="13" t="s">
        <v>125</v>
      </c>
      <c r="C68" s="13" t="s">
        <v>484</v>
      </c>
      <c r="D68" s="13" t="s">
        <v>123</v>
      </c>
      <c r="E68" s="13" t="s">
        <v>357</v>
      </c>
      <c r="F68" s="14" t="n">
        <v>282</v>
      </c>
      <c r="G68" s="14" t="n">
        <v>197</v>
      </c>
      <c r="H68" s="14" t="n">
        <v>100</v>
      </c>
      <c r="I68" s="14" t="n">
        <v>14</v>
      </c>
      <c r="J68" s="14" t="n">
        <v>22</v>
      </c>
      <c r="K68" s="14" t="n">
        <v>46</v>
      </c>
      <c r="L68" s="14" t="n">
        <v>14</v>
      </c>
      <c r="M68" s="14" t="n">
        <v>1</v>
      </c>
      <c r="N68" s="14" t="n">
        <v>85</v>
      </c>
    </row>
    <row r="69" customFormat="false" ht="15" hidden="false" customHeight="true" outlineLevel="0" collapsed="false">
      <c r="A69" s="13" t="n">
        <v>2025</v>
      </c>
      <c r="B69" s="13" t="s">
        <v>125</v>
      </c>
      <c r="C69" s="13" t="s">
        <v>484</v>
      </c>
      <c r="D69" s="13" t="s">
        <v>126</v>
      </c>
      <c r="E69" s="13" t="s">
        <v>357</v>
      </c>
      <c r="F69" s="14" t="n">
        <v>46</v>
      </c>
      <c r="G69" s="14" t="n">
        <v>27</v>
      </c>
      <c r="H69" s="14" t="n">
        <v>1</v>
      </c>
      <c r="I69" s="14" t="n">
        <v>1</v>
      </c>
      <c r="J69" s="14" t="n">
        <v>4</v>
      </c>
      <c r="K69" s="14" t="n">
        <v>8</v>
      </c>
      <c r="L69" s="14" t="n">
        <v>0</v>
      </c>
      <c r="M69" s="14" t="n">
        <v>13</v>
      </c>
      <c r="N69" s="14" t="n">
        <v>19</v>
      </c>
    </row>
    <row r="70" customFormat="false" ht="15" hidden="false" customHeight="true" outlineLevel="0" collapsed="false">
      <c r="A70" s="13" t="n">
        <v>2025</v>
      </c>
      <c r="B70" s="13" t="s">
        <v>125</v>
      </c>
      <c r="C70" s="13" t="s">
        <v>484</v>
      </c>
      <c r="D70" s="13" t="s">
        <v>202</v>
      </c>
      <c r="E70" s="13" t="s">
        <v>357</v>
      </c>
      <c r="F70" s="14" t="n">
        <v>149</v>
      </c>
      <c r="G70" s="14" t="n">
        <v>71</v>
      </c>
      <c r="H70" s="14" t="n">
        <v>0</v>
      </c>
      <c r="I70" s="14" t="n">
        <v>1</v>
      </c>
      <c r="J70" s="14" t="n">
        <v>9</v>
      </c>
      <c r="K70" s="14" t="n">
        <v>39</v>
      </c>
      <c r="L70" s="14" t="n">
        <v>22</v>
      </c>
      <c r="M70" s="14" t="n">
        <v>0</v>
      </c>
      <c r="N70" s="14" t="n">
        <v>78</v>
      </c>
    </row>
    <row r="71" customFormat="false" ht="15" hidden="false" customHeight="true" outlineLevel="0" collapsed="false">
      <c r="A71" s="13" t="n">
        <v>2025</v>
      </c>
      <c r="B71" s="13" t="s">
        <v>125</v>
      </c>
      <c r="C71" s="13" t="s">
        <v>484</v>
      </c>
      <c r="D71" s="13" t="s">
        <v>128</v>
      </c>
      <c r="E71" s="13" t="s">
        <v>357</v>
      </c>
      <c r="F71" s="14" t="n">
        <v>1827</v>
      </c>
      <c r="G71" s="14" t="n">
        <v>780</v>
      </c>
      <c r="H71" s="14" t="n">
        <v>7</v>
      </c>
      <c r="I71" s="14" t="n">
        <v>95</v>
      </c>
      <c r="J71" s="14" t="n">
        <v>217</v>
      </c>
      <c r="K71" s="14" t="n">
        <v>299</v>
      </c>
      <c r="L71" s="14" t="n">
        <v>150</v>
      </c>
      <c r="M71" s="14" t="n">
        <v>12</v>
      </c>
      <c r="N71" s="14" t="n">
        <v>1047</v>
      </c>
    </row>
    <row r="72" customFormat="false" ht="15" hidden="false" customHeight="true" outlineLevel="0" collapsed="false">
      <c r="A72" s="13" t="n">
        <v>2025</v>
      </c>
      <c r="B72" s="13" t="s">
        <v>125</v>
      </c>
      <c r="C72" s="13" t="s">
        <v>484</v>
      </c>
      <c r="D72" s="13" t="s">
        <v>203</v>
      </c>
      <c r="E72" s="13" t="s">
        <v>357</v>
      </c>
      <c r="F72" s="14" t="n">
        <v>25</v>
      </c>
      <c r="G72" s="14" t="n">
        <v>10</v>
      </c>
      <c r="H72" s="14" t="n">
        <v>0</v>
      </c>
      <c r="I72" s="14" t="n">
        <v>0</v>
      </c>
      <c r="J72" s="14" t="n">
        <v>0</v>
      </c>
      <c r="K72" s="14" t="n">
        <v>3</v>
      </c>
      <c r="L72" s="14" t="n">
        <v>5</v>
      </c>
      <c r="M72" s="14" t="n">
        <v>2</v>
      </c>
      <c r="N72" s="14" t="n">
        <v>15</v>
      </c>
    </row>
    <row r="73" customFormat="false" ht="15" hidden="false" customHeight="true" outlineLevel="0" collapsed="false">
      <c r="A73" s="13" t="n">
        <v>2025</v>
      </c>
      <c r="B73" s="13" t="s">
        <v>125</v>
      </c>
      <c r="C73" s="13" t="s">
        <v>484</v>
      </c>
      <c r="D73" s="13" t="s">
        <v>419</v>
      </c>
      <c r="E73" s="13" t="s">
        <v>357</v>
      </c>
      <c r="F73" s="14" t="n">
        <v>14</v>
      </c>
      <c r="G73" s="14" t="n">
        <v>11</v>
      </c>
      <c r="H73" s="14" t="n">
        <v>0</v>
      </c>
      <c r="I73" s="14" t="n">
        <v>4</v>
      </c>
      <c r="J73" s="14" t="n">
        <v>6</v>
      </c>
      <c r="K73" s="14" t="n">
        <v>1</v>
      </c>
      <c r="L73" s="14" t="n">
        <v>0</v>
      </c>
      <c r="M73" s="14" t="n">
        <v>0</v>
      </c>
      <c r="N73" s="14" t="n">
        <v>3</v>
      </c>
    </row>
    <row r="74" customFormat="false" ht="15" hidden="false" customHeight="true" outlineLevel="0" collapsed="false">
      <c r="A74" s="13" t="n">
        <v>2025</v>
      </c>
      <c r="B74" s="13" t="s">
        <v>125</v>
      </c>
      <c r="C74" s="13" t="s">
        <v>484</v>
      </c>
      <c r="D74" s="13" t="s">
        <v>129</v>
      </c>
      <c r="E74" s="13" t="s">
        <v>357</v>
      </c>
      <c r="F74" s="14" t="n">
        <v>3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3</v>
      </c>
    </row>
    <row r="75" customFormat="false" ht="15" hidden="false" customHeight="true" outlineLevel="0" collapsed="false">
      <c r="A75" s="13" t="n">
        <v>2025</v>
      </c>
      <c r="B75" s="13" t="s">
        <v>125</v>
      </c>
      <c r="C75" s="13" t="s">
        <v>484</v>
      </c>
      <c r="D75" s="13" t="s">
        <v>494</v>
      </c>
      <c r="E75" s="13" t="s">
        <v>357</v>
      </c>
      <c r="F75" s="14" t="n">
        <v>4</v>
      </c>
      <c r="G75" s="14" t="n">
        <v>2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2</v>
      </c>
      <c r="N75" s="14" t="n">
        <v>2</v>
      </c>
    </row>
    <row r="76" customFormat="false" ht="15" hidden="false" customHeight="true" outlineLevel="0" collapsed="false">
      <c r="A76" s="13" t="n">
        <v>2025</v>
      </c>
      <c r="B76" s="13" t="s">
        <v>125</v>
      </c>
      <c r="C76" s="13" t="s">
        <v>484</v>
      </c>
      <c r="D76" s="13" t="s">
        <v>485</v>
      </c>
      <c r="E76" s="13" t="s">
        <v>486</v>
      </c>
      <c r="F76" s="14" t="n">
        <v>2350</v>
      </c>
      <c r="G76" s="14" t="n">
        <v>1098</v>
      </c>
      <c r="H76" s="14" t="n">
        <v>108</v>
      </c>
      <c r="I76" s="14" t="n">
        <v>115</v>
      </c>
      <c r="J76" s="14" t="n">
        <v>258</v>
      </c>
      <c r="K76" s="14" t="n">
        <v>396</v>
      </c>
      <c r="L76" s="14" t="n">
        <v>191</v>
      </c>
      <c r="M76" s="14" t="n">
        <v>30</v>
      </c>
      <c r="N76" s="14" t="n">
        <v>1252</v>
      </c>
    </row>
    <row r="77" customFormat="false" ht="15" hidden="false" customHeight="true" outlineLevel="0" collapsed="false">
      <c r="A77" s="13" t="n">
        <v>2025</v>
      </c>
      <c r="B77" s="13" t="s">
        <v>125</v>
      </c>
      <c r="C77" s="13" t="s">
        <v>489</v>
      </c>
      <c r="D77" s="13" t="s">
        <v>495</v>
      </c>
      <c r="E77" s="13" t="s">
        <v>137</v>
      </c>
      <c r="F77" s="14" t="n">
        <v>22749</v>
      </c>
      <c r="G77" s="14" t="n">
        <v>11412</v>
      </c>
      <c r="H77" s="14" t="n">
        <v>1508</v>
      </c>
      <c r="I77" s="14" t="n">
        <v>906</v>
      </c>
      <c r="J77" s="14" t="n">
        <v>2068</v>
      </c>
      <c r="K77" s="14" t="n">
        <v>4046</v>
      </c>
      <c r="L77" s="14" t="n">
        <v>2564</v>
      </c>
      <c r="M77" s="14" t="n">
        <v>320</v>
      </c>
      <c r="N77" s="14" t="n">
        <v>11337</v>
      </c>
    </row>
    <row r="78" customFormat="false" ht="15" hidden="false" customHeight="true" outlineLevel="0" collapsed="false">
      <c r="A78" s="13" t="n">
        <v>2026</v>
      </c>
      <c r="B78" s="13" t="s">
        <v>125</v>
      </c>
      <c r="C78" s="13" t="s">
        <v>24</v>
      </c>
      <c r="D78" s="13" t="s">
        <v>123</v>
      </c>
      <c r="E78" s="13" t="s">
        <v>357</v>
      </c>
      <c r="F78" s="14" t="n">
        <v>1898</v>
      </c>
      <c r="G78" s="14" t="n">
        <v>1207</v>
      </c>
      <c r="H78" s="14" t="n">
        <v>621</v>
      </c>
      <c r="I78" s="14" t="n">
        <v>89</v>
      </c>
      <c r="J78" s="14" t="n">
        <v>94</v>
      </c>
      <c r="K78" s="14" t="n">
        <v>305</v>
      </c>
      <c r="L78" s="14" t="n">
        <v>96</v>
      </c>
      <c r="M78" s="14" t="n">
        <v>2</v>
      </c>
      <c r="N78" s="14" t="n">
        <v>691</v>
      </c>
    </row>
    <row r="79" customFormat="false" ht="15" hidden="false" customHeight="true" outlineLevel="0" collapsed="false">
      <c r="A79" s="13" t="n">
        <v>2026</v>
      </c>
      <c r="B79" s="13" t="s">
        <v>125</v>
      </c>
      <c r="C79" s="13" t="s">
        <v>24</v>
      </c>
      <c r="D79" s="13" t="s">
        <v>126</v>
      </c>
      <c r="E79" s="13" t="s">
        <v>357</v>
      </c>
      <c r="F79" s="14" t="n">
        <v>335</v>
      </c>
      <c r="G79" s="14" t="n">
        <v>142</v>
      </c>
      <c r="H79" s="14" t="n">
        <v>3</v>
      </c>
      <c r="I79" s="14" t="n">
        <v>4</v>
      </c>
      <c r="J79" s="14" t="n">
        <v>23</v>
      </c>
      <c r="K79" s="14" t="n">
        <v>38</v>
      </c>
      <c r="L79" s="14" t="n">
        <v>22</v>
      </c>
      <c r="M79" s="14" t="n">
        <v>52</v>
      </c>
      <c r="N79" s="14" t="n">
        <v>193</v>
      </c>
    </row>
    <row r="80" customFormat="false" ht="15" hidden="false" customHeight="true" outlineLevel="0" collapsed="false">
      <c r="A80" s="13" t="n">
        <v>2026</v>
      </c>
      <c r="B80" s="13" t="s">
        <v>125</v>
      </c>
      <c r="C80" s="13" t="s">
        <v>24</v>
      </c>
      <c r="D80" s="13" t="s">
        <v>202</v>
      </c>
      <c r="E80" s="13" t="s">
        <v>357</v>
      </c>
      <c r="F80" s="14" t="n">
        <v>1529</v>
      </c>
      <c r="G80" s="14" t="n">
        <v>596</v>
      </c>
      <c r="H80" s="14" t="n">
        <v>1</v>
      </c>
      <c r="I80" s="14" t="n">
        <v>4</v>
      </c>
      <c r="J80" s="14" t="n">
        <v>48</v>
      </c>
      <c r="K80" s="14" t="n">
        <v>267</v>
      </c>
      <c r="L80" s="14" t="n">
        <v>271</v>
      </c>
      <c r="M80" s="14" t="n">
        <v>5</v>
      </c>
      <c r="N80" s="14" t="n">
        <v>933</v>
      </c>
    </row>
    <row r="81" customFormat="false" ht="15" hidden="false" customHeight="true" outlineLevel="0" collapsed="false">
      <c r="A81" s="13" t="n">
        <v>2026</v>
      </c>
      <c r="B81" s="13" t="s">
        <v>125</v>
      </c>
      <c r="C81" s="13" t="s">
        <v>24</v>
      </c>
      <c r="D81" s="13" t="s">
        <v>128</v>
      </c>
      <c r="E81" s="13" t="s">
        <v>357</v>
      </c>
      <c r="F81" s="14" t="n">
        <v>9154</v>
      </c>
      <c r="G81" s="14" t="n">
        <v>3693</v>
      </c>
      <c r="H81" s="14" t="n">
        <v>50</v>
      </c>
      <c r="I81" s="14" t="n">
        <v>312</v>
      </c>
      <c r="J81" s="14" t="n">
        <v>877</v>
      </c>
      <c r="K81" s="14" t="n">
        <v>1355</v>
      </c>
      <c r="L81" s="14" t="n">
        <v>1001</v>
      </c>
      <c r="M81" s="14" t="n">
        <v>98</v>
      </c>
      <c r="N81" s="14" t="n">
        <v>5461</v>
      </c>
    </row>
    <row r="82" customFormat="false" ht="15" hidden="false" customHeight="true" outlineLevel="0" collapsed="false">
      <c r="A82" s="13" t="n">
        <v>2026</v>
      </c>
      <c r="B82" s="13" t="s">
        <v>125</v>
      </c>
      <c r="C82" s="13" t="s">
        <v>24</v>
      </c>
      <c r="D82" s="13" t="s">
        <v>203</v>
      </c>
      <c r="E82" s="13" t="s">
        <v>357</v>
      </c>
      <c r="F82" s="14" t="n">
        <v>1029</v>
      </c>
      <c r="G82" s="14" t="n">
        <v>497</v>
      </c>
      <c r="H82" s="14" t="n">
        <v>3</v>
      </c>
      <c r="I82" s="14" t="n">
        <v>27</v>
      </c>
      <c r="J82" s="14" t="n">
        <v>67</v>
      </c>
      <c r="K82" s="14" t="n">
        <v>145</v>
      </c>
      <c r="L82" s="14" t="n">
        <v>237</v>
      </c>
      <c r="M82" s="14" t="n">
        <v>18</v>
      </c>
      <c r="N82" s="14" t="n">
        <v>532</v>
      </c>
    </row>
    <row r="83" customFormat="false" ht="15" hidden="false" customHeight="true" outlineLevel="0" collapsed="false">
      <c r="A83" s="13" t="n">
        <v>2026</v>
      </c>
      <c r="B83" s="13" t="s">
        <v>125</v>
      </c>
      <c r="C83" s="13" t="s">
        <v>24</v>
      </c>
      <c r="D83" s="13" t="s">
        <v>419</v>
      </c>
      <c r="E83" s="13" t="s">
        <v>357</v>
      </c>
      <c r="F83" s="14" t="n">
        <v>53</v>
      </c>
      <c r="G83" s="14" t="n">
        <v>34</v>
      </c>
      <c r="H83" s="14" t="n">
        <v>3</v>
      </c>
      <c r="I83" s="14" t="n">
        <v>9</v>
      </c>
      <c r="J83" s="14" t="n">
        <v>11</v>
      </c>
      <c r="K83" s="14" t="n">
        <v>9</v>
      </c>
      <c r="L83" s="14" t="n">
        <v>2</v>
      </c>
      <c r="M83" s="14" t="n">
        <v>0</v>
      </c>
      <c r="N83" s="14" t="n">
        <v>19</v>
      </c>
    </row>
    <row r="84" customFormat="false" ht="15" hidden="false" customHeight="true" outlineLevel="0" collapsed="false">
      <c r="A84" s="13" t="n">
        <v>2026</v>
      </c>
      <c r="B84" s="13" t="s">
        <v>125</v>
      </c>
      <c r="C84" s="13" t="s">
        <v>24</v>
      </c>
      <c r="D84" s="13" t="s">
        <v>129</v>
      </c>
      <c r="E84" s="13" t="s">
        <v>357</v>
      </c>
      <c r="F84" s="14" t="n">
        <v>33</v>
      </c>
      <c r="G84" s="14" t="n">
        <v>5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5</v>
      </c>
      <c r="N84" s="14" t="n">
        <v>28</v>
      </c>
    </row>
    <row r="85" customFormat="false" ht="15" hidden="false" customHeight="true" outlineLevel="0" collapsed="false">
      <c r="A85" s="13" t="n">
        <v>2026</v>
      </c>
      <c r="B85" s="13" t="s">
        <v>125</v>
      </c>
      <c r="C85" s="13" t="s">
        <v>24</v>
      </c>
      <c r="D85" s="13" t="s">
        <v>493</v>
      </c>
      <c r="E85" s="13" t="s">
        <v>357</v>
      </c>
      <c r="F85" s="14" t="n">
        <v>4</v>
      </c>
      <c r="G85" s="14" t="n">
        <v>2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2</v>
      </c>
      <c r="N85" s="14" t="n">
        <v>2</v>
      </c>
    </row>
    <row r="86" customFormat="false" ht="15" hidden="false" customHeight="true" outlineLevel="0" collapsed="false">
      <c r="A86" s="13" t="n">
        <v>2026</v>
      </c>
      <c r="B86" s="13" t="s">
        <v>125</v>
      </c>
      <c r="C86" s="13" t="s">
        <v>24</v>
      </c>
      <c r="D86" s="13" t="s">
        <v>494</v>
      </c>
      <c r="E86" s="13" t="s">
        <v>357</v>
      </c>
      <c r="F86" s="14" t="n">
        <v>15</v>
      </c>
      <c r="G86" s="14" t="n">
        <v>6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6</v>
      </c>
      <c r="N86" s="14" t="n">
        <v>9</v>
      </c>
    </row>
    <row r="87" customFormat="false" ht="15" hidden="false" customHeight="true" outlineLevel="0" collapsed="false">
      <c r="A87" s="13" t="n">
        <v>2026</v>
      </c>
      <c r="B87" s="13" t="s">
        <v>125</v>
      </c>
      <c r="C87" s="13" t="s">
        <v>24</v>
      </c>
      <c r="D87" s="13" t="s">
        <v>485</v>
      </c>
      <c r="E87" s="13" t="s">
        <v>486</v>
      </c>
      <c r="F87" s="14" t="n">
        <v>14050</v>
      </c>
      <c r="G87" s="14" t="n">
        <v>6182</v>
      </c>
      <c r="H87" s="14" t="n">
        <v>681</v>
      </c>
      <c r="I87" s="14" t="n">
        <v>445</v>
      </c>
      <c r="J87" s="14" t="n">
        <v>1120</v>
      </c>
      <c r="K87" s="14" t="n">
        <v>2119</v>
      </c>
      <c r="L87" s="14" t="n">
        <v>1629</v>
      </c>
      <c r="M87" s="14" t="n">
        <v>188</v>
      </c>
      <c r="N87" s="14" t="n">
        <v>7868</v>
      </c>
    </row>
    <row r="88" customFormat="false" ht="15" hidden="false" customHeight="true" outlineLevel="0" collapsed="false">
      <c r="A88" s="13" t="n">
        <v>2026</v>
      </c>
      <c r="B88" s="13" t="s">
        <v>125</v>
      </c>
      <c r="C88" s="13" t="s">
        <v>487</v>
      </c>
      <c r="D88" s="13" t="s">
        <v>123</v>
      </c>
      <c r="E88" s="13" t="s">
        <v>357</v>
      </c>
      <c r="F88" s="14" t="n">
        <v>458</v>
      </c>
      <c r="G88" s="14" t="n">
        <v>322</v>
      </c>
      <c r="H88" s="14" t="n">
        <v>180</v>
      </c>
      <c r="I88" s="14" t="n">
        <v>45</v>
      </c>
      <c r="J88" s="14" t="n">
        <v>39</v>
      </c>
      <c r="K88" s="14" t="n">
        <v>49</v>
      </c>
      <c r="L88" s="14" t="n">
        <v>8</v>
      </c>
      <c r="M88" s="14" t="n">
        <v>1</v>
      </c>
      <c r="N88" s="14" t="n">
        <v>136</v>
      </c>
    </row>
    <row r="89" customFormat="false" ht="15" hidden="false" customHeight="true" outlineLevel="0" collapsed="false">
      <c r="A89" s="13" t="n">
        <v>2026</v>
      </c>
      <c r="B89" s="13" t="s">
        <v>125</v>
      </c>
      <c r="C89" s="13" t="s">
        <v>487</v>
      </c>
      <c r="D89" s="13" t="s">
        <v>126</v>
      </c>
      <c r="E89" s="13" t="s">
        <v>357</v>
      </c>
      <c r="F89" s="14" t="n">
        <v>67</v>
      </c>
      <c r="G89" s="14" t="n">
        <v>41</v>
      </c>
      <c r="H89" s="14" t="n">
        <v>1</v>
      </c>
      <c r="I89" s="14" t="n">
        <v>6</v>
      </c>
      <c r="J89" s="14" t="n">
        <v>2</v>
      </c>
      <c r="K89" s="14" t="n">
        <v>12</v>
      </c>
      <c r="L89" s="14" t="n">
        <v>5</v>
      </c>
      <c r="M89" s="14" t="n">
        <v>15</v>
      </c>
      <c r="N89" s="14" t="n">
        <v>26</v>
      </c>
    </row>
    <row r="90" customFormat="false" ht="15" hidden="false" customHeight="true" outlineLevel="0" collapsed="false">
      <c r="A90" s="13" t="n">
        <v>2026</v>
      </c>
      <c r="B90" s="13" t="s">
        <v>125</v>
      </c>
      <c r="C90" s="13" t="s">
        <v>487</v>
      </c>
      <c r="D90" s="13" t="s">
        <v>202</v>
      </c>
      <c r="E90" s="13" t="s">
        <v>357</v>
      </c>
      <c r="F90" s="14" t="n">
        <v>308</v>
      </c>
      <c r="G90" s="14" t="n">
        <v>135</v>
      </c>
      <c r="H90" s="14" t="n">
        <v>1</v>
      </c>
      <c r="I90" s="14" t="n">
        <v>6</v>
      </c>
      <c r="J90" s="14" t="n">
        <v>19</v>
      </c>
      <c r="K90" s="14" t="n">
        <v>63</v>
      </c>
      <c r="L90" s="14" t="n">
        <v>46</v>
      </c>
      <c r="M90" s="14" t="n">
        <v>0</v>
      </c>
      <c r="N90" s="14" t="n">
        <v>173</v>
      </c>
    </row>
    <row r="91" customFormat="false" ht="15" hidden="false" customHeight="true" outlineLevel="0" collapsed="false">
      <c r="A91" s="13" t="n">
        <v>2026</v>
      </c>
      <c r="B91" s="13" t="s">
        <v>125</v>
      </c>
      <c r="C91" s="13" t="s">
        <v>487</v>
      </c>
      <c r="D91" s="13" t="s">
        <v>128</v>
      </c>
      <c r="E91" s="13" t="s">
        <v>357</v>
      </c>
      <c r="F91" s="14" t="n">
        <v>2427</v>
      </c>
      <c r="G91" s="14" t="n">
        <v>1075</v>
      </c>
      <c r="H91" s="14" t="n">
        <v>8</v>
      </c>
      <c r="I91" s="14" t="n">
        <v>55</v>
      </c>
      <c r="J91" s="14" t="n">
        <v>292</v>
      </c>
      <c r="K91" s="14" t="n">
        <v>475</v>
      </c>
      <c r="L91" s="14" t="n">
        <v>238</v>
      </c>
      <c r="M91" s="14" t="n">
        <v>7</v>
      </c>
      <c r="N91" s="14" t="n">
        <v>1352</v>
      </c>
    </row>
    <row r="92" customFormat="false" ht="15" hidden="false" customHeight="true" outlineLevel="0" collapsed="false">
      <c r="A92" s="13" t="n">
        <v>2026</v>
      </c>
      <c r="B92" s="13" t="s">
        <v>125</v>
      </c>
      <c r="C92" s="13" t="s">
        <v>487</v>
      </c>
      <c r="D92" s="13" t="s">
        <v>203</v>
      </c>
      <c r="E92" s="13" t="s">
        <v>357</v>
      </c>
      <c r="F92" s="14" t="n">
        <v>31</v>
      </c>
      <c r="G92" s="14" t="n">
        <v>18</v>
      </c>
      <c r="H92" s="14" t="n">
        <v>0</v>
      </c>
      <c r="I92" s="14" t="n">
        <v>2</v>
      </c>
      <c r="J92" s="14" t="n">
        <v>5</v>
      </c>
      <c r="K92" s="14" t="n">
        <v>3</v>
      </c>
      <c r="L92" s="14" t="n">
        <v>8</v>
      </c>
      <c r="M92" s="14" t="n">
        <v>0</v>
      </c>
      <c r="N92" s="14" t="n">
        <v>13</v>
      </c>
    </row>
    <row r="93" customFormat="false" ht="15" hidden="false" customHeight="true" outlineLevel="0" collapsed="false">
      <c r="A93" s="13" t="n">
        <v>2026</v>
      </c>
      <c r="B93" s="13" t="s">
        <v>125</v>
      </c>
      <c r="C93" s="13" t="s">
        <v>487</v>
      </c>
      <c r="D93" s="13" t="s">
        <v>419</v>
      </c>
      <c r="E93" s="13" t="s">
        <v>357</v>
      </c>
      <c r="F93" s="14" t="n">
        <v>11</v>
      </c>
      <c r="G93" s="14" t="n">
        <v>6</v>
      </c>
      <c r="H93" s="14" t="n">
        <v>0</v>
      </c>
      <c r="I93" s="14" t="n">
        <v>0</v>
      </c>
      <c r="J93" s="14" t="n">
        <v>3</v>
      </c>
      <c r="K93" s="14" t="n">
        <v>1</v>
      </c>
      <c r="L93" s="14" t="n">
        <v>2</v>
      </c>
      <c r="M93" s="14" t="n">
        <v>0</v>
      </c>
      <c r="N93" s="14" t="n">
        <v>5</v>
      </c>
    </row>
    <row r="94" customFormat="false" ht="15" hidden="false" customHeight="true" outlineLevel="0" collapsed="false">
      <c r="A94" s="13" t="n">
        <v>2026</v>
      </c>
      <c r="B94" s="13" t="s">
        <v>125</v>
      </c>
      <c r="C94" s="13" t="s">
        <v>487</v>
      </c>
      <c r="D94" s="13" t="s">
        <v>129</v>
      </c>
      <c r="E94" s="13" t="s">
        <v>357</v>
      </c>
      <c r="F94" s="14" t="n">
        <v>1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1</v>
      </c>
    </row>
    <row r="95" customFormat="false" ht="15" hidden="false" customHeight="true" outlineLevel="0" collapsed="false">
      <c r="A95" s="13" t="n">
        <v>2026</v>
      </c>
      <c r="B95" s="13" t="s">
        <v>125</v>
      </c>
      <c r="C95" s="13" t="s">
        <v>487</v>
      </c>
      <c r="D95" s="13" t="s">
        <v>494</v>
      </c>
      <c r="E95" s="13" t="s">
        <v>357</v>
      </c>
      <c r="F95" s="14" t="n">
        <v>1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1</v>
      </c>
    </row>
    <row r="96" customFormat="false" ht="15" hidden="false" customHeight="true" outlineLevel="0" collapsed="false">
      <c r="A96" s="13" t="n">
        <v>2026</v>
      </c>
      <c r="B96" s="13" t="s">
        <v>125</v>
      </c>
      <c r="C96" s="13" t="s">
        <v>487</v>
      </c>
      <c r="D96" s="13" t="s">
        <v>485</v>
      </c>
      <c r="E96" s="13" t="s">
        <v>486</v>
      </c>
      <c r="F96" s="14" t="n">
        <v>3304</v>
      </c>
      <c r="G96" s="14" t="n">
        <v>1597</v>
      </c>
      <c r="H96" s="14" t="n">
        <v>190</v>
      </c>
      <c r="I96" s="14" t="n">
        <v>114</v>
      </c>
      <c r="J96" s="14" t="n">
        <v>360</v>
      </c>
      <c r="K96" s="14" t="n">
        <v>603</v>
      </c>
      <c r="L96" s="14" t="n">
        <v>307</v>
      </c>
      <c r="M96" s="14" t="n">
        <v>23</v>
      </c>
      <c r="N96" s="14" t="n">
        <v>1707</v>
      </c>
    </row>
    <row r="97" customFormat="false" ht="15" hidden="false" customHeight="true" outlineLevel="0" collapsed="false">
      <c r="A97" s="13" t="n">
        <v>2026</v>
      </c>
      <c r="B97" s="13" t="s">
        <v>125</v>
      </c>
      <c r="C97" s="13" t="s">
        <v>488</v>
      </c>
      <c r="D97" s="13" t="s">
        <v>123</v>
      </c>
      <c r="E97" s="13" t="s">
        <v>357</v>
      </c>
      <c r="F97" s="14" t="n">
        <v>436</v>
      </c>
      <c r="G97" s="14" t="n">
        <v>304</v>
      </c>
      <c r="H97" s="14" t="n">
        <v>184</v>
      </c>
      <c r="I97" s="14" t="n">
        <v>29</v>
      </c>
      <c r="J97" s="14" t="n">
        <v>23</v>
      </c>
      <c r="K97" s="14" t="n">
        <v>52</v>
      </c>
      <c r="L97" s="14" t="n">
        <v>15</v>
      </c>
      <c r="M97" s="14" t="n">
        <v>1</v>
      </c>
      <c r="N97" s="14" t="n">
        <v>132</v>
      </c>
    </row>
    <row r="98" customFormat="false" ht="15" hidden="false" customHeight="true" outlineLevel="0" collapsed="false">
      <c r="A98" s="13" t="n">
        <v>2026</v>
      </c>
      <c r="B98" s="13" t="s">
        <v>125</v>
      </c>
      <c r="C98" s="13" t="s">
        <v>488</v>
      </c>
      <c r="D98" s="13" t="s">
        <v>126</v>
      </c>
      <c r="E98" s="13" t="s">
        <v>357</v>
      </c>
      <c r="F98" s="14" t="n">
        <v>65</v>
      </c>
      <c r="G98" s="14" t="n">
        <v>29</v>
      </c>
      <c r="H98" s="14" t="n">
        <v>1</v>
      </c>
      <c r="I98" s="14" t="n">
        <v>6</v>
      </c>
      <c r="J98" s="14" t="n">
        <v>2</v>
      </c>
      <c r="K98" s="14" t="n">
        <v>5</v>
      </c>
      <c r="L98" s="14" t="n">
        <v>3</v>
      </c>
      <c r="M98" s="14" t="n">
        <v>12</v>
      </c>
      <c r="N98" s="14" t="n">
        <v>36</v>
      </c>
    </row>
    <row r="99" customFormat="false" ht="15" hidden="false" customHeight="true" outlineLevel="0" collapsed="false">
      <c r="A99" s="13" t="n">
        <v>2026</v>
      </c>
      <c r="B99" s="13" t="s">
        <v>125</v>
      </c>
      <c r="C99" s="13" t="s">
        <v>488</v>
      </c>
      <c r="D99" s="13" t="s">
        <v>202</v>
      </c>
      <c r="E99" s="13" t="s">
        <v>357</v>
      </c>
      <c r="F99" s="14" t="n">
        <v>314</v>
      </c>
      <c r="G99" s="14" t="n">
        <v>147</v>
      </c>
      <c r="H99" s="14" t="n">
        <v>1</v>
      </c>
      <c r="I99" s="14" t="n">
        <v>2</v>
      </c>
      <c r="J99" s="14" t="n">
        <v>17</v>
      </c>
      <c r="K99" s="14" t="n">
        <v>79</v>
      </c>
      <c r="L99" s="14" t="n">
        <v>48</v>
      </c>
      <c r="M99" s="14" t="n">
        <v>0</v>
      </c>
      <c r="N99" s="14" t="n">
        <v>167</v>
      </c>
    </row>
    <row r="100" customFormat="false" ht="15" hidden="false" customHeight="true" outlineLevel="0" collapsed="false">
      <c r="A100" s="13" t="n">
        <v>2026</v>
      </c>
      <c r="B100" s="13" t="s">
        <v>125</v>
      </c>
      <c r="C100" s="13" t="s">
        <v>488</v>
      </c>
      <c r="D100" s="13" t="s">
        <v>128</v>
      </c>
      <c r="E100" s="13" t="s">
        <v>357</v>
      </c>
      <c r="F100" s="14" t="n">
        <v>1693</v>
      </c>
      <c r="G100" s="14" t="n">
        <v>664</v>
      </c>
      <c r="H100" s="14" t="n">
        <v>11</v>
      </c>
      <c r="I100" s="14" t="n">
        <v>50</v>
      </c>
      <c r="J100" s="14" t="n">
        <v>164</v>
      </c>
      <c r="K100" s="14" t="n">
        <v>284</v>
      </c>
      <c r="L100" s="14" t="n">
        <v>151</v>
      </c>
      <c r="M100" s="14" t="n">
        <v>4</v>
      </c>
      <c r="N100" s="14" t="n">
        <v>1029</v>
      </c>
    </row>
    <row r="101" customFormat="false" ht="15" hidden="false" customHeight="true" outlineLevel="0" collapsed="false">
      <c r="A101" s="13" t="n">
        <v>2026</v>
      </c>
      <c r="B101" s="13" t="s">
        <v>125</v>
      </c>
      <c r="C101" s="13" t="s">
        <v>488</v>
      </c>
      <c r="D101" s="13" t="s">
        <v>203</v>
      </c>
      <c r="E101" s="13" t="s">
        <v>357</v>
      </c>
      <c r="F101" s="14" t="n">
        <v>45</v>
      </c>
      <c r="G101" s="14" t="n">
        <v>13</v>
      </c>
      <c r="H101" s="14" t="n">
        <v>0</v>
      </c>
      <c r="I101" s="14" t="n">
        <v>2</v>
      </c>
      <c r="J101" s="14" t="n">
        <v>1</v>
      </c>
      <c r="K101" s="14" t="n">
        <v>3</v>
      </c>
      <c r="L101" s="14" t="n">
        <v>7</v>
      </c>
      <c r="M101" s="14" t="n">
        <v>0</v>
      </c>
      <c r="N101" s="14" t="n">
        <v>32</v>
      </c>
    </row>
    <row r="102" customFormat="false" ht="15" hidden="false" customHeight="true" outlineLevel="0" collapsed="false">
      <c r="A102" s="13" t="n">
        <v>2026</v>
      </c>
      <c r="B102" s="13" t="s">
        <v>125</v>
      </c>
      <c r="C102" s="13" t="s">
        <v>488</v>
      </c>
      <c r="D102" s="13" t="s">
        <v>419</v>
      </c>
      <c r="E102" s="13" t="s">
        <v>357</v>
      </c>
      <c r="F102" s="14" t="n">
        <v>25</v>
      </c>
      <c r="G102" s="14" t="n">
        <v>19</v>
      </c>
      <c r="H102" s="14" t="n">
        <v>1</v>
      </c>
      <c r="I102" s="14" t="n">
        <v>3</v>
      </c>
      <c r="J102" s="14" t="n">
        <v>10</v>
      </c>
      <c r="K102" s="14" t="n">
        <v>4</v>
      </c>
      <c r="L102" s="14" t="n">
        <v>1</v>
      </c>
      <c r="M102" s="14" t="n">
        <v>0</v>
      </c>
      <c r="N102" s="14" t="n">
        <v>6</v>
      </c>
    </row>
    <row r="103" customFormat="false" ht="15" hidden="false" customHeight="true" outlineLevel="0" collapsed="false">
      <c r="A103" s="13" t="n">
        <v>2026</v>
      </c>
      <c r="B103" s="13" t="s">
        <v>125</v>
      </c>
      <c r="C103" s="13" t="s">
        <v>488</v>
      </c>
      <c r="D103" s="13" t="s">
        <v>129</v>
      </c>
      <c r="E103" s="13" t="s">
        <v>357</v>
      </c>
      <c r="F103" s="14" t="n">
        <v>1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1</v>
      </c>
    </row>
    <row r="104" customFormat="false" ht="15" hidden="false" customHeight="true" outlineLevel="0" collapsed="false">
      <c r="A104" s="13" t="n">
        <v>2026</v>
      </c>
      <c r="B104" s="13" t="s">
        <v>125</v>
      </c>
      <c r="C104" s="13" t="s">
        <v>488</v>
      </c>
      <c r="D104" s="13" t="s">
        <v>493</v>
      </c>
      <c r="E104" s="13" t="s">
        <v>357</v>
      </c>
      <c r="F104" s="14" t="n">
        <v>1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1</v>
      </c>
    </row>
    <row r="105" customFormat="false" ht="15" hidden="false" customHeight="true" outlineLevel="0" collapsed="false">
      <c r="A105" s="13" t="n">
        <v>2026</v>
      </c>
      <c r="B105" s="13" t="s">
        <v>125</v>
      </c>
      <c r="C105" s="13" t="s">
        <v>488</v>
      </c>
      <c r="D105" s="13" t="s">
        <v>494</v>
      </c>
      <c r="E105" s="13" t="s">
        <v>357</v>
      </c>
      <c r="F105" s="14" t="n">
        <v>1</v>
      </c>
      <c r="G105" s="14" t="n">
        <v>1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1</v>
      </c>
      <c r="N105" s="14" t="n">
        <v>0</v>
      </c>
    </row>
    <row r="106" customFormat="false" ht="15" hidden="false" customHeight="true" outlineLevel="0" collapsed="false">
      <c r="A106" s="13" t="n">
        <v>2026</v>
      </c>
      <c r="B106" s="13" t="s">
        <v>125</v>
      </c>
      <c r="C106" s="13" t="s">
        <v>488</v>
      </c>
      <c r="D106" s="13" t="s">
        <v>485</v>
      </c>
      <c r="E106" s="13" t="s">
        <v>486</v>
      </c>
      <c r="F106" s="14" t="n">
        <v>2581</v>
      </c>
      <c r="G106" s="14" t="n">
        <v>1177</v>
      </c>
      <c r="H106" s="14" t="n">
        <v>198</v>
      </c>
      <c r="I106" s="14" t="n">
        <v>92</v>
      </c>
      <c r="J106" s="14" t="n">
        <v>217</v>
      </c>
      <c r="K106" s="14" t="n">
        <v>427</v>
      </c>
      <c r="L106" s="14" t="n">
        <v>225</v>
      </c>
      <c r="M106" s="14" t="n">
        <v>18</v>
      </c>
      <c r="N106" s="14" t="n">
        <v>1404</v>
      </c>
    </row>
    <row r="107" customFormat="false" ht="15" hidden="false" customHeight="true" outlineLevel="0" collapsed="false">
      <c r="A107" s="13" t="n">
        <v>2026</v>
      </c>
      <c r="B107" s="13" t="s">
        <v>125</v>
      </c>
      <c r="C107" s="13" t="s">
        <v>484</v>
      </c>
      <c r="D107" s="13" t="s">
        <v>123</v>
      </c>
      <c r="E107" s="13" t="s">
        <v>357</v>
      </c>
      <c r="F107" s="14" t="n">
        <v>197</v>
      </c>
      <c r="G107" s="14" t="n">
        <v>139</v>
      </c>
      <c r="H107" s="14" t="n">
        <v>68</v>
      </c>
      <c r="I107" s="14" t="n">
        <v>21</v>
      </c>
      <c r="J107" s="14" t="n">
        <v>17</v>
      </c>
      <c r="K107" s="14" t="n">
        <v>28</v>
      </c>
      <c r="L107" s="14" t="n">
        <v>4</v>
      </c>
      <c r="M107" s="14" t="n">
        <v>1</v>
      </c>
      <c r="N107" s="14" t="n">
        <v>58</v>
      </c>
    </row>
    <row r="108" customFormat="false" ht="15" hidden="false" customHeight="true" outlineLevel="0" collapsed="false">
      <c r="A108" s="13" t="n">
        <v>2026</v>
      </c>
      <c r="B108" s="13" t="s">
        <v>125</v>
      </c>
      <c r="C108" s="13" t="s">
        <v>484</v>
      </c>
      <c r="D108" s="13" t="s">
        <v>126</v>
      </c>
      <c r="E108" s="13" t="s">
        <v>357</v>
      </c>
      <c r="F108" s="14" t="n">
        <v>40</v>
      </c>
      <c r="G108" s="14" t="n">
        <v>25</v>
      </c>
      <c r="H108" s="14" t="n">
        <v>0</v>
      </c>
      <c r="I108" s="14" t="n">
        <v>2</v>
      </c>
      <c r="J108" s="14" t="n">
        <v>0</v>
      </c>
      <c r="K108" s="14" t="n">
        <v>6</v>
      </c>
      <c r="L108" s="14" t="n">
        <v>2</v>
      </c>
      <c r="M108" s="14" t="n">
        <v>15</v>
      </c>
      <c r="N108" s="14" t="n">
        <v>15</v>
      </c>
    </row>
    <row r="109" customFormat="false" ht="15" hidden="false" customHeight="true" outlineLevel="0" collapsed="false">
      <c r="A109" s="13" t="n">
        <v>2026</v>
      </c>
      <c r="B109" s="13" t="s">
        <v>125</v>
      </c>
      <c r="C109" s="13" t="s">
        <v>484</v>
      </c>
      <c r="D109" s="13" t="s">
        <v>202</v>
      </c>
      <c r="E109" s="13" t="s">
        <v>357</v>
      </c>
      <c r="F109" s="14" t="n">
        <v>134</v>
      </c>
      <c r="G109" s="14" t="n">
        <v>68</v>
      </c>
      <c r="H109" s="14" t="n">
        <v>1</v>
      </c>
      <c r="I109" s="14" t="n">
        <v>0</v>
      </c>
      <c r="J109" s="14" t="n">
        <v>14</v>
      </c>
      <c r="K109" s="14" t="n">
        <v>32</v>
      </c>
      <c r="L109" s="14" t="n">
        <v>21</v>
      </c>
      <c r="M109" s="14" t="n">
        <v>0</v>
      </c>
      <c r="N109" s="14" t="n">
        <v>66</v>
      </c>
    </row>
    <row r="110" customFormat="false" ht="15" hidden="false" customHeight="true" outlineLevel="0" collapsed="false">
      <c r="A110" s="13" t="n">
        <v>2026</v>
      </c>
      <c r="B110" s="13" t="s">
        <v>125</v>
      </c>
      <c r="C110" s="13" t="s">
        <v>484</v>
      </c>
      <c r="D110" s="13" t="s">
        <v>128</v>
      </c>
      <c r="E110" s="13" t="s">
        <v>357</v>
      </c>
      <c r="F110" s="14" t="n">
        <v>2040</v>
      </c>
      <c r="G110" s="14" t="n">
        <v>494</v>
      </c>
      <c r="H110" s="14" t="n">
        <v>16</v>
      </c>
      <c r="I110" s="14" t="n">
        <v>51</v>
      </c>
      <c r="J110" s="14" t="n">
        <v>153</v>
      </c>
      <c r="K110" s="14" t="n">
        <v>163</v>
      </c>
      <c r="L110" s="14" t="n">
        <v>109</v>
      </c>
      <c r="M110" s="14" t="n">
        <v>2</v>
      </c>
      <c r="N110" s="14" t="n">
        <v>1546</v>
      </c>
    </row>
    <row r="111" customFormat="false" ht="15" hidden="false" customHeight="true" outlineLevel="0" collapsed="false">
      <c r="A111" s="13" t="n">
        <v>2026</v>
      </c>
      <c r="B111" s="13" t="s">
        <v>125</v>
      </c>
      <c r="C111" s="13" t="s">
        <v>484</v>
      </c>
      <c r="D111" s="13" t="s">
        <v>203</v>
      </c>
      <c r="E111" s="13" t="s">
        <v>357</v>
      </c>
      <c r="F111" s="14" t="n">
        <v>19</v>
      </c>
      <c r="G111" s="14" t="n">
        <v>8</v>
      </c>
      <c r="H111" s="14" t="n">
        <v>1</v>
      </c>
      <c r="I111" s="14" t="n">
        <v>0</v>
      </c>
      <c r="J111" s="14" t="n">
        <v>0</v>
      </c>
      <c r="K111" s="14" t="n">
        <v>1</v>
      </c>
      <c r="L111" s="14" t="n">
        <v>6</v>
      </c>
      <c r="M111" s="14" t="n">
        <v>0</v>
      </c>
      <c r="N111" s="14" t="n">
        <v>11</v>
      </c>
    </row>
    <row r="112" customFormat="false" ht="15" hidden="false" customHeight="true" outlineLevel="0" collapsed="false">
      <c r="A112" s="13" t="n">
        <v>2026</v>
      </c>
      <c r="B112" s="13" t="s">
        <v>125</v>
      </c>
      <c r="C112" s="13" t="s">
        <v>484</v>
      </c>
      <c r="D112" s="13" t="s">
        <v>419</v>
      </c>
      <c r="E112" s="13" t="s">
        <v>357</v>
      </c>
      <c r="F112" s="14" t="n">
        <v>4</v>
      </c>
      <c r="G112" s="14" t="n">
        <v>1</v>
      </c>
      <c r="H112" s="14" t="n">
        <v>0</v>
      </c>
      <c r="I112" s="14" t="n">
        <v>1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3</v>
      </c>
    </row>
    <row r="113" customFormat="false" ht="15" hidden="false" customHeight="true" outlineLevel="0" collapsed="false">
      <c r="A113" s="13" t="n">
        <v>2026</v>
      </c>
      <c r="B113" s="13" t="s">
        <v>125</v>
      </c>
      <c r="C113" s="13" t="s">
        <v>484</v>
      </c>
      <c r="D113" s="13" t="s">
        <v>129</v>
      </c>
      <c r="E113" s="13" t="s">
        <v>357</v>
      </c>
      <c r="F113" s="14" t="n">
        <v>2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2</v>
      </c>
    </row>
    <row r="114" customFormat="false" ht="15" hidden="false" customHeight="true" outlineLevel="0" collapsed="false">
      <c r="A114" s="13" t="n">
        <v>2026</v>
      </c>
      <c r="B114" s="13" t="s">
        <v>125</v>
      </c>
      <c r="C114" s="13" t="s">
        <v>484</v>
      </c>
      <c r="D114" s="13" t="s">
        <v>485</v>
      </c>
      <c r="E114" s="13" t="s">
        <v>486</v>
      </c>
      <c r="F114" s="14" t="n">
        <v>2436</v>
      </c>
      <c r="G114" s="14" t="n">
        <v>735</v>
      </c>
      <c r="H114" s="14" t="n">
        <v>86</v>
      </c>
      <c r="I114" s="14" t="n">
        <v>75</v>
      </c>
      <c r="J114" s="14" t="n">
        <v>184</v>
      </c>
      <c r="K114" s="14" t="n">
        <v>230</v>
      </c>
      <c r="L114" s="14" t="n">
        <v>142</v>
      </c>
      <c r="M114" s="14" t="n">
        <v>18</v>
      </c>
      <c r="N114" s="14" t="n">
        <v>1701</v>
      </c>
    </row>
    <row r="115" customFormat="false" ht="15" hidden="false" customHeight="true" outlineLevel="0" collapsed="false">
      <c r="A115" s="13" t="n">
        <v>2026</v>
      </c>
      <c r="B115" s="13" t="s">
        <v>125</v>
      </c>
      <c r="C115" s="13" t="s">
        <v>489</v>
      </c>
      <c r="D115" s="13" t="s">
        <v>495</v>
      </c>
      <c r="E115" s="13" t="s">
        <v>137</v>
      </c>
      <c r="F115" s="14" t="n">
        <v>22371</v>
      </c>
      <c r="G115" s="14" t="n">
        <v>9691</v>
      </c>
      <c r="H115" s="14" t="n">
        <v>1155</v>
      </c>
      <c r="I115" s="14" t="n">
        <v>726</v>
      </c>
      <c r="J115" s="14" t="n">
        <v>1881</v>
      </c>
      <c r="K115" s="14" t="n">
        <v>3379</v>
      </c>
      <c r="L115" s="14" t="n">
        <v>2303</v>
      </c>
      <c r="M115" s="14" t="n">
        <v>247</v>
      </c>
      <c r="N115" s="14" t="n">
        <v>12680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6"/>
    <col collapsed="false" customWidth="true" hidden="false" outlineLevel="0" max="3" min="3" style="13" width="12"/>
    <col collapsed="false" customWidth="true" hidden="false" outlineLevel="0" max="4" min="4" style="13" width="26"/>
    <col collapsed="false" customWidth="true" hidden="false" outlineLevel="0" max="14" min="5" style="13" width="12"/>
  </cols>
  <sheetData>
    <row r="1" customFormat="false" ht="15" hidden="false" customHeight="true" outlineLevel="0" collapsed="false">
      <c r="A1" s="13" t="s">
        <v>3</v>
      </c>
      <c r="B1" s="13" t="s">
        <v>210</v>
      </c>
      <c r="C1" s="13" t="s">
        <v>113</v>
      </c>
      <c r="D1" s="13" t="s">
        <v>114</v>
      </c>
      <c r="E1" s="13" t="s">
        <v>483</v>
      </c>
      <c r="F1" s="13" t="s">
        <v>4</v>
      </c>
      <c r="G1" s="13" t="s">
        <v>198</v>
      </c>
      <c r="H1" s="13" t="s">
        <v>199</v>
      </c>
      <c r="I1" s="13" t="s">
        <v>116</v>
      </c>
      <c r="J1" s="13" t="s">
        <v>117</v>
      </c>
      <c r="K1" s="13" t="s">
        <v>118</v>
      </c>
      <c r="L1" s="13" t="s">
        <v>119</v>
      </c>
      <c r="M1" s="13" t="s">
        <v>120</v>
      </c>
      <c r="N1" s="13" t="s">
        <v>479</v>
      </c>
    </row>
    <row r="2" customFormat="false" ht="15" hidden="false" customHeight="true" outlineLevel="0" collapsed="false">
      <c r="A2" s="13" t="n">
        <v>2024</v>
      </c>
      <c r="B2" s="13" t="s">
        <v>484</v>
      </c>
      <c r="C2" s="13" t="s">
        <v>124</v>
      </c>
      <c r="D2" s="13" t="s">
        <v>123</v>
      </c>
      <c r="E2" s="13" t="s">
        <v>357</v>
      </c>
      <c r="F2" s="14" t="n">
        <v>118</v>
      </c>
      <c r="G2" s="14" t="n">
        <v>65</v>
      </c>
      <c r="H2" s="14" t="n">
        <v>30</v>
      </c>
      <c r="I2" s="14" t="n">
        <v>7</v>
      </c>
      <c r="J2" s="14" t="n">
        <v>6</v>
      </c>
      <c r="K2" s="14" t="n">
        <v>15</v>
      </c>
      <c r="L2" s="14" t="n">
        <v>7</v>
      </c>
      <c r="M2" s="14" t="n">
        <v>0</v>
      </c>
      <c r="N2" s="14" t="n">
        <v>53</v>
      </c>
    </row>
    <row r="3" customFormat="false" ht="15" hidden="false" customHeight="true" outlineLevel="0" collapsed="false">
      <c r="A3" s="13" t="n">
        <v>2024</v>
      </c>
      <c r="B3" s="13" t="s">
        <v>484</v>
      </c>
      <c r="C3" s="13" t="s">
        <v>124</v>
      </c>
      <c r="D3" s="13" t="s">
        <v>126</v>
      </c>
      <c r="E3" s="13" t="s">
        <v>357</v>
      </c>
      <c r="F3" s="14" t="n">
        <v>51</v>
      </c>
      <c r="G3" s="14" t="n">
        <v>41</v>
      </c>
      <c r="H3" s="14" t="n">
        <v>0</v>
      </c>
      <c r="I3" s="14" t="n">
        <v>5</v>
      </c>
      <c r="J3" s="14" t="n">
        <v>9</v>
      </c>
      <c r="K3" s="14" t="n">
        <v>11</v>
      </c>
      <c r="L3" s="14" t="n">
        <v>9</v>
      </c>
      <c r="M3" s="14" t="n">
        <v>7</v>
      </c>
      <c r="N3" s="14" t="n">
        <v>10</v>
      </c>
    </row>
    <row r="4" customFormat="false" ht="15" hidden="false" customHeight="true" outlineLevel="0" collapsed="false">
      <c r="A4" s="13" t="n">
        <v>2024</v>
      </c>
      <c r="B4" s="13" t="s">
        <v>484</v>
      </c>
      <c r="C4" s="13" t="s">
        <v>124</v>
      </c>
      <c r="D4" s="13" t="s">
        <v>202</v>
      </c>
      <c r="E4" s="13" t="s">
        <v>357</v>
      </c>
      <c r="F4" s="14" t="n">
        <v>80</v>
      </c>
      <c r="G4" s="14" t="n">
        <v>37</v>
      </c>
      <c r="H4" s="14" t="n">
        <v>0</v>
      </c>
      <c r="I4" s="14" t="n">
        <v>2</v>
      </c>
      <c r="J4" s="14" t="n">
        <v>6</v>
      </c>
      <c r="K4" s="14" t="n">
        <v>4</v>
      </c>
      <c r="L4" s="14" t="n">
        <v>25</v>
      </c>
      <c r="M4" s="14" t="n">
        <v>0</v>
      </c>
      <c r="N4" s="14" t="n">
        <v>43</v>
      </c>
    </row>
    <row r="5" customFormat="false" ht="15" hidden="false" customHeight="true" outlineLevel="0" collapsed="false">
      <c r="A5" s="13" t="n">
        <v>2024</v>
      </c>
      <c r="B5" s="13" t="s">
        <v>484</v>
      </c>
      <c r="C5" s="13" t="s">
        <v>124</v>
      </c>
      <c r="D5" s="13" t="s">
        <v>128</v>
      </c>
      <c r="E5" s="13" t="s">
        <v>357</v>
      </c>
      <c r="F5" s="14" t="n">
        <v>1181</v>
      </c>
      <c r="G5" s="14" t="n">
        <v>455</v>
      </c>
      <c r="H5" s="14" t="n">
        <v>2</v>
      </c>
      <c r="I5" s="14" t="n">
        <v>14</v>
      </c>
      <c r="J5" s="14" t="n">
        <v>80</v>
      </c>
      <c r="K5" s="14" t="n">
        <v>209</v>
      </c>
      <c r="L5" s="14" t="n">
        <v>137</v>
      </c>
      <c r="M5" s="14" t="n">
        <v>13</v>
      </c>
      <c r="N5" s="14" t="n">
        <v>726</v>
      </c>
    </row>
    <row r="6" customFormat="false" ht="15" hidden="false" customHeight="true" outlineLevel="0" collapsed="false">
      <c r="A6" s="13" t="n">
        <v>2024</v>
      </c>
      <c r="B6" s="13" t="s">
        <v>484</v>
      </c>
      <c r="C6" s="13" t="s">
        <v>124</v>
      </c>
      <c r="D6" s="13" t="s">
        <v>203</v>
      </c>
      <c r="E6" s="13" t="s">
        <v>357</v>
      </c>
      <c r="F6" s="14" t="n">
        <v>32</v>
      </c>
      <c r="G6" s="14" t="n">
        <v>23</v>
      </c>
      <c r="H6" s="14" t="n">
        <v>0</v>
      </c>
      <c r="I6" s="14" t="n">
        <v>0</v>
      </c>
      <c r="J6" s="14" t="n">
        <v>0</v>
      </c>
      <c r="K6" s="14" t="n">
        <v>10</v>
      </c>
      <c r="L6" s="14" t="n">
        <v>12</v>
      </c>
      <c r="M6" s="14" t="n">
        <v>1</v>
      </c>
      <c r="N6" s="14" t="n">
        <v>9</v>
      </c>
    </row>
    <row r="7" customFormat="false" ht="15" hidden="false" customHeight="true" outlineLevel="0" collapsed="false">
      <c r="A7" s="13" t="n">
        <v>2024</v>
      </c>
      <c r="B7" s="13" t="s">
        <v>484</v>
      </c>
      <c r="C7" s="13" t="s">
        <v>124</v>
      </c>
      <c r="D7" s="13" t="s">
        <v>419</v>
      </c>
      <c r="E7" s="13" t="s">
        <v>357</v>
      </c>
      <c r="F7" s="14" t="n">
        <v>3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3</v>
      </c>
    </row>
    <row r="8" customFormat="false" ht="15" hidden="false" customHeight="true" outlineLevel="0" collapsed="false">
      <c r="A8" s="13" t="n">
        <v>2024</v>
      </c>
      <c r="B8" s="13" t="s">
        <v>484</v>
      </c>
      <c r="C8" s="13" t="s">
        <v>124</v>
      </c>
      <c r="D8" s="13" t="s">
        <v>129</v>
      </c>
      <c r="E8" s="13" t="s">
        <v>357</v>
      </c>
      <c r="F8" s="14" t="n">
        <v>2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2</v>
      </c>
    </row>
    <row r="9" customFormat="false" ht="15" hidden="false" customHeight="true" outlineLevel="0" collapsed="false">
      <c r="A9" s="13" t="n">
        <v>2024</v>
      </c>
      <c r="B9" s="13" t="s">
        <v>484</v>
      </c>
      <c r="C9" s="13" t="s">
        <v>122</v>
      </c>
      <c r="D9" s="13" t="s">
        <v>123</v>
      </c>
      <c r="E9" s="13" t="s">
        <v>357</v>
      </c>
      <c r="F9" s="14" t="n">
        <v>123</v>
      </c>
      <c r="G9" s="14" t="n">
        <v>95</v>
      </c>
      <c r="H9" s="14" t="n">
        <v>35</v>
      </c>
      <c r="I9" s="14" t="n">
        <v>9</v>
      </c>
      <c r="J9" s="14" t="n">
        <v>12</v>
      </c>
      <c r="K9" s="14" t="n">
        <v>18</v>
      </c>
      <c r="L9" s="14" t="n">
        <v>20</v>
      </c>
      <c r="M9" s="14" t="n">
        <v>1</v>
      </c>
      <c r="N9" s="14" t="n">
        <v>28</v>
      </c>
    </row>
    <row r="10" customFormat="false" ht="15" hidden="false" customHeight="true" outlineLevel="0" collapsed="false">
      <c r="A10" s="13" t="n">
        <v>2024</v>
      </c>
      <c r="B10" s="13" t="s">
        <v>484</v>
      </c>
      <c r="C10" s="13" t="s">
        <v>122</v>
      </c>
      <c r="D10" s="13" t="s">
        <v>126</v>
      </c>
      <c r="E10" s="13" t="s">
        <v>357</v>
      </c>
      <c r="F10" s="14" t="n">
        <v>22</v>
      </c>
      <c r="G10" s="14" t="n">
        <v>15</v>
      </c>
      <c r="H10" s="14" t="n">
        <v>0</v>
      </c>
      <c r="I10" s="14" t="n">
        <v>0</v>
      </c>
      <c r="J10" s="14" t="n">
        <v>3</v>
      </c>
      <c r="K10" s="14" t="n">
        <v>5</v>
      </c>
      <c r="L10" s="14" t="n">
        <v>4</v>
      </c>
      <c r="M10" s="14" t="n">
        <v>3</v>
      </c>
      <c r="N10" s="14" t="n">
        <v>7</v>
      </c>
    </row>
    <row r="11" customFormat="false" ht="15" hidden="false" customHeight="true" outlineLevel="0" collapsed="false">
      <c r="A11" s="13" t="n">
        <v>2024</v>
      </c>
      <c r="B11" s="13" t="s">
        <v>484</v>
      </c>
      <c r="C11" s="13" t="s">
        <v>122</v>
      </c>
      <c r="D11" s="13" t="s">
        <v>202</v>
      </c>
      <c r="E11" s="13" t="s">
        <v>357</v>
      </c>
      <c r="F11" s="14" t="n">
        <v>43</v>
      </c>
      <c r="G11" s="14" t="n">
        <v>23</v>
      </c>
      <c r="H11" s="14" t="n">
        <v>0</v>
      </c>
      <c r="I11" s="14" t="n">
        <v>0</v>
      </c>
      <c r="J11" s="14" t="n">
        <v>1</v>
      </c>
      <c r="K11" s="14" t="n">
        <v>7</v>
      </c>
      <c r="L11" s="14" t="n">
        <v>15</v>
      </c>
      <c r="M11" s="14" t="n">
        <v>0</v>
      </c>
      <c r="N11" s="14" t="n">
        <v>20</v>
      </c>
    </row>
    <row r="12" customFormat="false" ht="15" hidden="false" customHeight="true" outlineLevel="0" collapsed="false">
      <c r="A12" s="13" t="n">
        <v>2024</v>
      </c>
      <c r="B12" s="13" t="s">
        <v>484</v>
      </c>
      <c r="C12" s="13" t="s">
        <v>122</v>
      </c>
      <c r="D12" s="13" t="s">
        <v>128</v>
      </c>
      <c r="E12" s="13" t="s">
        <v>357</v>
      </c>
      <c r="F12" s="14" t="n">
        <v>514</v>
      </c>
      <c r="G12" s="14" t="n">
        <v>308</v>
      </c>
      <c r="H12" s="14" t="n">
        <v>12</v>
      </c>
      <c r="I12" s="14" t="n">
        <v>44</v>
      </c>
      <c r="J12" s="14" t="n">
        <v>98</v>
      </c>
      <c r="K12" s="14" t="n">
        <v>100</v>
      </c>
      <c r="L12" s="14" t="n">
        <v>50</v>
      </c>
      <c r="M12" s="14" t="n">
        <v>4</v>
      </c>
      <c r="N12" s="14" t="n">
        <v>206</v>
      </c>
    </row>
    <row r="13" customFormat="false" ht="15" hidden="false" customHeight="true" outlineLevel="0" collapsed="false">
      <c r="A13" s="13" t="n">
        <v>2024</v>
      </c>
      <c r="B13" s="13" t="s">
        <v>484</v>
      </c>
      <c r="C13" s="13" t="s">
        <v>122</v>
      </c>
      <c r="D13" s="13" t="s">
        <v>203</v>
      </c>
      <c r="E13" s="13" t="s">
        <v>357</v>
      </c>
      <c r="F13" s="14" t="n">
        <v>3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3</v>
      </c>
    </row>
    <row r="14" customFormat="false" ht="15" hidden="false" customHeight="true" outlineLevel="0" collapsed="false">
      <c r="A14" s="13" t="n">
        <v>2024</v>
      </c>
      <c r="B14" s="13" t="s">
        <v>484</v>
      </c>
      <c r="C14" s="13" t="s">
        <v>122</v>
      </c>
      <c r="D14" s="13" t="s">
        <v>494</v>
      </c>
      <c r="E14" s="13" t="s">
        <v>357</v>
      </c>
      <c r="F14" s="14" t="n">
        <v>2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2</v>
      </c>
    </row>
    <row r="15" customFormat="false" ht="15" hidden="false" customHeight="true" outlineLevel="0" collapsed="false">
      <c r="A15" s="13" t="n">
        <v>2024</v>
      </c>
      <c r="B15" s="13" t="s">
        <v>24</v>
      </c>
      <c r="C15" s="13" t="s">
        <v>124</v>
      </c>
      <c r="D15" s="13" t="s">
        <v>123</v>
      </c>
      <c r="E15" s="13" t="s">
        <v>357</v>
      </c>
      <c r="F15" s="14" t="n">
        <v>882</v>
      </c>
      <c r="G15" s="14" t="n">
        <v>487</v>
      </c>
      <c r="H15" s="14" t="n">
        <v>200</v>
      </c>
      <c r="I15" s="14" t="n">
        <v>33</v>
      </c>
      <c r="J15" s="14" t="n">
        <v>35</v>
      </c>
      <c r="K15" s="14" t="n">
        <v>104</v>
      </c>
      <c r="L15" s="14" t="n">
        <v>110</v>
      </c>
      <c r="M15" s="14" t="n">
        <v>5</v>
      </c>
      <c r="N15" s="14" t="n">
        <v>395</v>
      </c>
    </row>
    <row r="16" customFormat="false" ht="15" hidden="false" customHeight="true" outlineLevel="0" collapsed="false">
      <c r="A16" s="13" t="n">
        <v>2024</v>
      </c>
      <c r="B16" s="13" t="s">
        <v>24</v>
      </c>
      <c r="C16" s="13" t="s">
        <v>124</v>
      </c>
      <c r="D16" s="13" t="s">
        <v>126</v>
      </c>
      <c r="E16" s="13" t="s">
        <v>357</v>
      </c>
      <c r="F16" s="14" t="n">
        <v>553</v>
      </c>
      <c r="G16" s="14" t="n">
        <v>283</v>
      </c>
      <c r="H16" s="14" t="n">
        <v>1</v>
      </c>
      <c r="I16" s="14" t="n">
        <v>5</v>
      </c>
      <c r="J16" s="14" t="n">
        <v>26</v>
      </c>
      <c r="K16" s="14" t="n">
        <v>71</v>
      </c>
      <c r="L16" s="14" t="n">
        <v>133</v>
      </c>
      <c r="M16" s="14" t="n">
        <v>47</v>
      </c>
      <c r="N16" s="14" t="n">
        <v>270</v>
      </c>
    </row>
    <row r="17" customFormat="false" ht="15" hidden="false" customHeight="true" outlineLevel="0" collapsed="false">
      <c r="A17" s="13" t="n">
        <v>2024</v>
      </c>
      <c r="B17" s="13" t="s">
        <v>24</v>
      </c>
      <c r="C17" s="13" t="s">
        <v>124</v>
      </c>
      <c r="D17" s="13" t="s">
        <v>202</v>
      </c>
      <c r="E17" s="13" t="s">
        <v>357</v>
      </c>
      <c r="F17" s="14" t="n">
        <v>1009</v>
      </c>
      <c r="G17" s="14" t="n">
        <v>359</v>
      </c>
      <c r="H17" s="14" t="n">
        <v>1</v>
      </c>
      <c r="I17" s="14" t="n">
        <v>2</v>
      </c>
      <c r="J17" s="14" t="n">
        <v>16</v>
      </c>
      <c r="K17" s="14" t="n">
        <v>86</v>
      </c>
      <c r="L17" s="14" t="n">
        <v>245</v>
      </c>
      <c r="M17" s="14" t="n">
        <v>9</v>
      </c>
      <c r="N17" s="14" t="n">
        <v>650</v>
      </c>
    </row>
    <row r="18" customFormat="false" ht="15" hidden="false" customHeight="true" outlineLevel="0" collapsed="false">
      <c r="A18" s="13" t="n">
        <v>2024</v>
      </c>
      <c r="B18" s="13" t="s">
        <v>24</v>
      </c>
      <c r="C18" s="13" t="s">
        <v>124</v>
      </c>
      <c r="D18" s="13" t="s">
        <v>128</v>
      </c>
      <c r="E18" s="13" t="s">
        <v>357</v>
      </c>
      <c r="F18" s="14" t="n">
        <v>4607</v>
      </c>
      <c r="G18" s="14" t="n">
        <v>1410</v>
      </c>
      <c r="H18" s="14" t="n">
        <v>3</v>
      </c>
      <c r="I18" s="14" t="n">
        <v>41</v>
      </c>
      <c r="J18" s="14" t="n">
        <v>219</v>
      </c>
      <c r="K18" s="14" t="n">
        <v>563</v>
      </c>
      <c r="L18" s="14" t="n">
        <v>522</v>
      </c>
      <c r="M18" s="14" t="n">
        <v>62</v>
      </c>
      <c r="N18" s="14" t="n">
        <v>3197</v>
      </c>
    </row>
    <row r="19" customFormat="false" ht="15" hidden="false" customHeight="true" outlineLevel="0" collapsed="false">
      <c r="A19" s="13" t="n">
        <v>2024</v>
      </c>
      <c r="B19" s="13" t="s">
        <v>24</v>
      </c>
      <c r="C19" s="13" t="s">
        <v>124</v>
      </c>
      <c r="D19" s="13" t="s">
        <v>203</v>
      </c>
      <c r="E19" s="13" t="s">
        <v>357</v>
      </c>
      <c r="F19" s="14" t="n">
        <v>916</v>
      </c>
      <c r="G19" s="14" t="n">
        <v>277</v>
      </c>
      <c r="H19" s="14" t="n">
        <v>0</v>
      </c>
      <c r="I19" s="14" t="n">
        <v>2</v>
      </c>
      <c r="J19" s="14" t="n">
        <v>30</v>
      </c>
      <c r="K19" s="14" t="n">
        <v>97</v>
      </c>
      <c r="L19" s="14" t="n">
        <v>133</v>
      </c>
      <c r="M19" s="14" t="n">
        <v>15</v>
      </c>
      <c r="N19" s="14" t="n">
        <v>639</v>
      </c>
    </row>
    <row r="20" customFormat="false" ht="15" hidden="false" customHeight="true" outlineLevel="0" collapsed="false">
      <c r="A20" s="13" t="n">
        <v>2024</v>
      </c>
      <c r="B20" s="13" t="s">
        <v>24</v>
      </c>
      <c r="C20" s="13" t="s">
        <v>124</v>
      </c>
      <c r="D20" s="13" t="s">
        <v>419</v>
      </c>
      <c r="E20" s="13" t="s">
        <v>357</v>
      </c>
      <c r="F20" s="14" t="n">
        <v>30</v>
      </c>
      <c r="G20" s="14" t="n">
        <v>6</v>
      </c>
      <c r="H20" s="14" t="n">
        <v>0</v>
      </c>
      <c r="I20" s="14" t="n">
        <v>1</v>
      </c>
      <c r="J20" s="14" t="n">
        <v>3</v>
      </c>
      <c r="K20" s="14" t="n">
        <v>2</v>
      </c>
      <c r="L20" s="14" t="n">
        <v>0</v>
      </c>
      <c r="M20" s="14" t="n">
        <v>0</v>
      </c>
      <c r="N20" s="14" t="n">
        <v>24</v>
      </c>
    </row>
    <row r="21" customFormat="false" ht="15" hidden="false" customHeight="true" outlineLevel="0" collapsed="false">
      <c r="A21" s="13" t="n">
        <v>2024</v>
      </c>
      <c r="B21" s="13" t="s">
        <v>24</v>
      </c>
      <c r="C21" s="13" t="s">
        <v>124</v>
      </c>
      <c r="D21" s="13" t="s">
        <v>129</v>
      </c>
      <c r="E21" s="13" t="s">
        <v>357</v>
      </c>
      <c r="F21" s="14" t="n">
        <v>27</v>
      </c>
      <c r="G21" s="14" t="n">
        <v>3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3</v>
      </c>
      <c r="N21" s="14" t="n">
        <v>24</v>
      </c>
    </row>
    <row r="22" customFormat="false" ht="15" hidden="false" customHeight="true" outlineLevel="0" collapsed="false">
      <c r="A22" s="13" t="n">
        <v>2024</v>
      </c>
      <c r="B22" s="13" t="s">
        <v>24</v>
      </c>
      <c r="C22" s="13" t="s">
        <v>124</v>
      </c>
      <c r="D22" s="13" t="s">
        <v>493</v>
      </c>
      <c r="E22" s="13" t="s">
        <v>357</v>
      </c>
      <c r="F22" s="14" t="n">
        <v>4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4</v>
      </c>
    </row>
    <row r="23" customFormat="false" ht="15" hidden="false" customHeight="true" outlineLevel="0" collapsed="false">
      <c r="A23" s="13" t="n">
        <v>2024</v>
      </c>
      <c r="B23" s="13" t="s">
        <v>24</v>
      </c>
      <c r="C23" s="13" t="s">
        <v>124</v>
      </c>
      <c r="D23" s="13" t="s">
        <v>494</v>
      </c>
      <c r="E23" s="13" t="s">
        <v>357</v>
      </c>
      <c r="F23" s="14" t="n">
        <v>1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1</v>
      </c>
    </row>
    <row r="24" customFormat="false" ht="15" hidden="false" customHeight="true" outlineLevel="0" collapsed="false">
      <c r="A24" s="13" t="n">
        <v>2024</v>
      </c>
      <c r="B24" s="13" t="s">
        <v>24</v>
      </c>
      <c r="C24" s="13" t="s">
        <v>122</v>
      </c>
      <c r="D24" s="13" t="s">
        <v>123</v>
      </c>
      <c r="E24" s="13" t="s">
        <v>357</v>
      </c>
      <c r="F24" s="14" t="n">
        <v>1623</v>
      </c>
      <c r="G24" s="14" t="n">
        <v>1066</v>
      </c>
      <c r="H24" s="14" t="n">
        <v>466</v>
      </c>
      <c r="I24" s="14" t="n">
        <v>99</v>
      </c>
      <c r="J24" s="14" t="n">
        <v>93</v>
      </c>
      <c r="K24" s="14" t="n">
        <v>232</v>
      </c>
      <c r="L24" s="14" t="n">
        <v>170</v>
      </c>
      <c r="M24" s="14" t="n">
        <v>6</v>
      </c>
      <c r="N24" s="14" t="n">
        <v>557</v>
      </c>
    </row>
    <row r="25" customFormat="false" ht="15" hidden="false" customHeight="true" outlineLevel="0" collapsed="false">
      <c r="A25" s="13" t="n">
        <v>2024</v>
      </c>
      <c r="B25" s="13" t="s">
        <v>24</v>
      </c>
      <c r="C25" s="13" t="s">
        <v>122</v>
      </c>
      <c r="D25" s="13" t="s">
        <v>126</v>
      </c>
      <c r="E25" s="13" t="s">
        <v>357</v>
      </c>
      <c r="F25" s="14" t="n">
        <v>215</v>
      </c>
      <c r="G25" s="14" t="n">
        <v>125</v>
      </c>
      <c r="H25" s="14" t="n">
        <v>1</v>
      </c>
      <c r="I25" s="14" t="n">
        <v>3</v>
      </c>
      <c r="J25" s="14" t="n">
        <v>8</v>
      </c>
      <c r="K25" s="14" t="n">
        <v>32</v>
      </c>
      <c r="L25" s="14" t="n">
        <v>49</v>
      </c>
      <c r="M25" s="14" t="n">
        <v>32</v>
      </c>
      <c r="N25" s="14" t="n">
        <v>90</v>
      </c>
    </row>
    <row r="26" customFormat="false" ht="15" hidden="false" customHeight="true" outlineLevel="0" collapsed="false">
      <c r="A26" s="13" t="n">
        <v>2024</v>
      </c>
      <c r="B26" s="13" t="s">
        <v>24</v>
      </c>
      <c r="C26" s="13" t="s">
        <v>122</v>
      </c>
      <c r="D26" s="13" t="s">
        <v>202</v>
      </c>
      <c r="E26" s="13" t="s">
        <v>357</v>
      </c>
      <c r="F26" s="14" t="n">
        <v>573</v>
      </c>
      <c r="G26" s="14" t="n">
        <v>236</v>
      </c>
      <c r="H26" s="14" t="n">
        <v>0</v>
      </c>
      <c r="I26" s="14" t="n">
        <v>2</v>
      </c>
      <c r="J26" s="14" t="n">
        <v>15</v>
      </c>
      <c r="K26" s="14" t="n">
        <v>79</v>
      </c>
      <c r="L26" s="14" t="n">
        <v>135</v>
      </c>
      <c r="M26" s="14" t="n">
        <v>5</v>
      </c>
      <c r="N26" s="14" t="n">
        <v>337</v>
      </c>
    </row>
    <row r="27" customFormat="false" ht="15" hidden="false" customHeight="true" outlineLevel="0" collapsed="false">
      <c r="A27" s="13" t="n">
        <v>2024</v>
      </c>
      <c r="B27" s="13" t="s">
        <v>24</v>
      </c>
      <c r="C27" s="13" t="s">
        <v>122</v>
      </c>
      <c r="D27" s="13" t="s">
        <v>128</v>
      </c>
      <c r="E27" s="13" t="s">
        <v>357</v>
      </c>
      <c r="F27" s="14" t="n">
        <v>4479</v>
      </c>
      <c r="G27" s="14" t="n">
        <v>2529</v>
      </c>
      <c r="H27" s="14" t="n">
        <v>22</v>
      </c>
      <c r="I27" s="14" t="n">
        <v>162</v>
      </c>
      <c r="J27" s="14" t="n">
        <v>631</v>
      </c>
      <c r="K27" s="14" t="n">
        <v>967</v>
      </c>
      <c r="L27" s="14" t="n">
        <v>697</v>
      </c>
      <c r="M27" s="14" t="n">
        <v>50</v>
      </c>
      <c r="N27" s="14" t="n">
        <v>1950</v>
      </c>
    </row>
    <row r="28" customFormat="false" ht="15" hidden="false" customHeight="true" outlineLevel="0" collapsed="false">
      <c r="A28" s="13" t="n">
        <v>2024</v>
      </c>
      <c r="B28" s="13" t="s">
        <v>24</v>
      </c>
      <c r="C28" s="13" t="s">
        <v>122</v>
      </c>
      <c r="D28" s="13" t="s">
        <v>203</v>
      </c>
      <c r="E28" s="13" t="s">
        <v>357</v>
      </c>
      <c r="F28" s="14" t="n">
        <v>271</v>
      </c>
      <c r="G28" s="14" t="n">
        <v>148</v>
      </c>
      <c r="H28" s="14" t="n">
        <v>0</v>
      </c>
      <c r="I28" s="14" t="n">
        <v>9</v>
      </c>
      <c r="J28" s="14" t="n">
        <v>23</v>
      </c>
      <c r="K28" s="14" t="n">
        <v>42</v>
      </c>
      <c r="L28" s="14" t="n">
        <v>60</v>
      </c>
      <c r="M28" s="14" t="n">
        <v>14</v>
      </c>
      <c r="N28" s="14" t="n">
        <v>123</v>
      </c>
    </row>
    <row r="29" customFormat="false" ht="15" hidden="false" customHeight="true" outlineLevel="0" collapsed="false">
      <c r="A29" s="13" t="n">
        <v>2024</v>
      </c>
      <c r="B29" s="13" t="s">
        <v>24</v>
      </c>
      <c r="C29" s="13" t="s">
        <v>122</v>
      </c>
      <c r="D29" s="13" t="s">
        <v>419</v>
      </c>
      <c r="E29" s="13" t="s">
        <v>357</v>
      </c>
      <c r="F29" s="14" t="n">
        <v>6</v>
      </c>
      <c r="G29" s="14" t="n">
        <v>4</v>
      </c>
      <c r="H29" s="14" t="n">
        <v>0</v>
      </c>
      <c r="I29" s="14" t="n">
        <v>2</v>
      </c>
      <c r="J29" s="14" t="n">
        <v>2</v>
      </c>
      <c r="K29" s="14" t="n">
        <v>0</v>
      </c>
      <c r="L29" s="14" t="n">
        <v>0</v>
      </c>
      <c r="M29" s="14" t="n">
        <v>0</v>
      </c>
      <c r="N29" s="14" t="n">
        <v>2</v>
      </c>
    </row>
    <row r="30" customFormat="false" ht="15" hidden="false" customHeight="true" outlineLevel="0" collapsed="false">
      <c r="A30" s="13" t="n">
        <v>2024</v>
      </c>
      <c r="B30" s="13" t="s">
        <v>24</v>
      </c>
      <c r="C30" s="13" t="s">
        <v>122</v>
      </c>
      <c r="D30" s="13" t="s">
        <v>129</v>
      </c>
      <c r="E30" s="13" t="s">
        <v>357</v>
      </c>
      <c r="F30" s="14" t="n">
        <v>3</v>
      </c>
      <c r="G30" s="14" t="n">
        <v>2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2</v>
      </c>
      <c r="N30" s="14" t="n">
        <v>1</v>
      </c>
    </row>
    <row r="31" customFormat="false" ht="15" hidden="false" customHeight="true" outlineLevel="0" collapsed="false">
      <c r="A31" s="13" t="n">
        <v>2024</v>
      </c>
      <c r="B31" s="13" t="s">
        <v>24</v>
      </c>
      <c r="C31" s="13" t="s">
        <v>122</v>
      </c>
      <c r="D31" s="13" t="s">
        <v>493</v>
      </c>
      <c r="E31" s="13" t="s">
        <v>357</v>
      </c>
      <c r="F31" s="14" t="n">
        <v>1</v>
      </c>
      <c r="G31" s="14" t="n">
        <v>1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1</v>
      </c>
      <c r="N31" s="14" t="n">
        <v>0</v>
      </c>
    </row>
    <row r="32" customFormat="false" ht="15" hidden="false" customHeight="true" outlineLevel="0" collapsed="false">
      <c r="A32" s="13" t="n">
        <v>2024</v>
      </c>
      <c r="B32" s="13" t="s">
        <v>24</v>
      </c>
      <c r="C32" s="13" t="s">
        <v>122</v>
      </c>
      <c r="D32" s="13" t="s">
        <v>494</v>
      </c>
      <c r="E32" s="13" t="s">
        <v>357</v>
      </c>
      <c r="F32" s="14" t="n">
        <v>2</v>
      </c>
      <c r="G32" s="14" t="n">
        <v>1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1</v>
      </c>
      <c r="N32" s="14" t="n">
        <v>1</v>
      </c>
    </row>
    <row r="33" customFormat="false" ht="15" hidden="false" customHeight="true" outlineLevel="0" collapsed="false">
      <c r="A33" s="13" t="n">
        <v>2024</v>
      </c>
      <c r="B33" s="13" t="s">
        <v>487</v>
      </c>
      <c r="C33" s="13" t="s">
        <v>124</v>
      </c>
      <c r="D33" s="13" t="s">
        <v>123</v>
      </c>
      <c r="E33" s="13" t="s">
        <v>357</v>
      </c>
      <c r="F33" s="14" t="n">
        <v>218</v>
      </c>
      <c r="G33" s="14" t="n">
        <v>155</v>
      </c>
      <c r="H33" s="14" t="n">
        <v>59</v>
      </c>
      <c r="I33" s="14" t="n">
        <v>19</v>
      </c>
      <c r="J33" s="14" t="n">
        <v>22</v>
      </c>
      <c r="K33" s="14" t="n">
        <v>33</v>
      </c>
      <c r="L33" s="14" t="n">
        <v>21</v>
      </c>
      <c r="M33" s="14" t="n">
        <v>1</v>
      </c>
      <c r="N33" s="14" t="n">
        <v>63</v>
      </c>
    </row>
    <row r="34" customFormat="false" ht="15" hidden="false" customHeight="true" outlineLevel="0" collapsed="false">
      <c r="A34" s="13" t="n">
        <v>2024</v>
      </c>
      <c r="B34" s="13" t="s">
        <v>487</v>
      </c>
      <c r="C34" s="13" t="s">
        <v>124</v>
      </c>
      <c r="D34" s="13" t="s">
        <v>126</v>
      </c>
      <c r="E34" s="13" t="s">
        <v>357</v>
      </c>
      <c r="F34" s="14" t="n">
        <v>117</v>
      </c>
      <c r="G34" s="14" t="n">
        <v>66</v>
      </c>
      <c r="H34" s="14" t="n">
        <v>2</v>
      </c>
      <c r="I34" s="14" t="n">
        <v>3</v>
      </c>
      <c r="J34" s="14" t="n">
        <v>11</v>
      </c>
      <c r="K34" s="14" t="n">
        <v>22</v>
      </c>
      <c r="L34" s="14" t="n">
        <v>15</v>
      </c>
      <c r="M34" s="14" t="n">
        <v>13</v>
      </c>
      <c r="N34" s="14" t="n">
        <v>51</v>
      </c>
    </row>
    <row r="35" customFormat="false" ht="15" hidden="false" customHeight="true" outlineLevel="0" collapsed="false">
      <c r="A35" s="13" t="n">
        <v>2024</v>
      </c>
      <c r="B35" s="13" t="s">
        <v>487</v>
      </c>
      <c r="C35" s="13" t="s">
        <v>124</v>
      </c>
      <c r="D35" s="13" t="s">
        <v>202</v>
      </c>
      <c r="E35" s="13" t="s">
        <v>357</v>
      </c>
      <c r="F35" s="14" t="n">
        <v>179</v>
      </c>
      <c r="G35" s="14" t="n">
        <v>87</v>
      </c>
      <c r="H35" s="14" t="n">
        <v>0</v>
      </c>
      <c r="I35" s="14" t="n">
        <v>1</v>
      </c>
      <c r="J35" s="14" t="n">
        <v>10</v>
      </c>
      <c r="K35" s="14" t="n">
        <v>26</v>
      </c>
      <c r="L35" s="14" t="n">
        <v>50</v>
      </c>
      <c r="M35" s="14" t="n">
        <v>0</v>
      </c>
      <c r="N35" s="14" t="n">
        <v>92</v>
      </c>
    </row>
    <row r="36" customFormat="false" ht="15" hidden="false" customHeight="true" outlineLevel="0" collapsed="false">
      <c r="A36" s="13" t="n">
        <v>2024</v>
      </c>
      <c r="B36" s="13" t="s">
        <v>487</v>
      </c>
      <c r="C36" s="13" t="s">
        <v>124</v>
      </c>
      <c r="D36" s="13" t="s">
        <v>128</v>
      </c>
      <c r="E36" s="13" t="s">
        <v>357</v>
      </c>
      <c r="F36" s="14" t="n">
        <v>1497</v>
      </c>
      <c r="G36" s="14" t="n">
        <v>496</v>
      </c>
      <c r="H36" s="14" t="n">
        <v>1</v>
      </c>
      <c r="I36" s="14" t="n">
        <v>14</v>
      </c>
      <c r="J36" s="14" t="n">
        <v>98</v>
      </c>
      <c r="K36" s="14" t="n">
        <v>211</v>
      </c>
      <c r="L36" s="14" t="n">
        <v>157</v>
      </c>
      <c r="M36" s="14" t="n">
        <v>15</v>
      </c>
      <c r="N36" s="14" t="n">
        <v>1001</v>
      </c>
    </row>
    <row r="37" customFormat="false" ht="15" hidden="false" customHeight="true" outlineLevel="0" collapsed="false">
      <c r="A37" s="13" t="n">
        <v>2024</v>
      </c>
      <c r="B37" s="13" t="s">
        <v>487</v>
      </c>
      <c r="C37" s="13" t="s">
        <v>124</v>
      </c>
      <c r="D37" s="13" t="s">
        <v>203</v>
      </c>
      <c r="E37" s="13" t="s">
        <v>357</v>
      </c>
      <c r="F37" s="14" t="n">
        <v>30</v>
      </c>
      <c r="G37" s="14" t="n">
        <v>11</v>
      </c>
      <c r="H37" s="14" t="n">
        <v>0</v>
      </c>
      <c r="I37" s="14" t="n">
        <v>0</v>
      </c>
      <c r="J37" s="14" t="n">
        <v>1</v>
      </c>
      <c r="K37" s="14" t="n">
        <v>5</v>
      </c>
      <c r="L37" s="14" t="n">
        <v>4</v>
      </c>
      <c r="M37" s="14" t="n">
        <v>1</v>
      </c>
      <c r="N37" s="14" t="n">
        <v>19</v>
      </c>
    </row>
    <row r="38" customFormat="false" ht="15" hidden="false" customHeight="true" outlineLevel="0" collapsed="false">
      <c r="A38" s="13" t="n">
        <v>2024</v>
      </c>
      <c r="B38" s="13" t="s">
        <v>487</v>
      </c>
      <c r="C38" s="13" t="s">
        <v>124</v>
      </c>
      <c r="D38" s="13" t="s">
        <v>419</v>
      </c>
      <c r="E38" s="13" t="s">
        <v>357</v>
      </c>
      <c r="F38" s="14" t="n">
        <v>9</v>
      </c>
      <c r="G38" s="14" t="n">
        <v>2</v>
      </c>
      <c r="H38" s="14" t="n">
        <v>0</v>
      </c>
      <c r="I38" s="14" t="n">
        <v>0</v>
      </c>
      <c r="J38" s="14" t="n">
        <v>1</v>
      </c>
      <c r="K38" s="14" t="n">
        <v>0</v>
      </c>
      <c r="L38" s="14" t="n">
        <v>0</v>
      </c>
      <c r="M38" s="14" t="n">
        <v>1</v>
      </c>
      <c r="N38" s="14" t="n">
        <v>7</v>
      </c>
    </row>
    <row r="39" customFormat="false" ht="15" hidden="false" customHeight="true" outlineLevel="0" collapsed="false">
      <c r="A39" s="13" t="n">
        <v>2024</v>
      </c>
      <c r="B39" s="13" t="s">
        <v>487</v>
      </c>
      <c r="C39" s="13" t="s">
        <v>124</v>
      </c>
      <c r="D39" s="13" t="s">
        <v>129</v>
      </c>
      <c r="E39" s="13" t="s">
        <v>357</v>
      </c>
      <c r="F39" s="14" t="n">
        <v>1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1</v>
      </c>
    </row>
    <row r="40" customFormat="false" ht="15" hidden="false" customHeight="true" outlineLevel="0" collapsed="false">
      <c r="A40" s="13" t="n">
        <v>2024</v>
      </c>
      <c r="B40" s="13" t="s">
        <v>487</v>
      </c>
      <c r="C40" s="13" t="s">
        <v>124</v>
      </c>
      <c r="D40" s="13" t="s">
        <v>493</v>
      </c>
      <c r="E40" s="13" t="s">
        <v>357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</row>
    <row r="41" customFormat="false" ht="15" hidden="false" customHeight="true" outlineLevel="0" collapsed="false">
      <c r="A41" s="13" t="n">
        <v>2024</v>
      </c>
      <c r="B41" s="13" t="s">
        <v>487</v>
      </c>
      <c r="C41" s="13" t="s">
        <v>124</v>
      </c>
      <c r="D41" s="13" t="s">
        <v>494</v>
      </c>
      <c r="E41" s="13" t="s">
        <v>357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</row>
    <row r="42" customFormat="false" ht="15" hidden="false" customHeight="true" outlineLevel="0" collapsed="false">
      <c r="A42" s="13" t="n">
        <v>2024</v>
      </c>
      <c r="B42" s="13" t="s">
        <v>487</v>
      </c>
      <c r="C42" s="13" t="s">
        <v>122</v>
      </c>
      <c r="D42" s="13" t="s">
        <v>123</v>
      </c>
      <c r="E42" s="13" t="s">
        <v>357</v>
      </c>
      <c r="F42" s="14" t="n">
        <v>484</v>
      </c>
      <c r="G42" s="14" t="n">
        <v>383</v>
      </c>
      <c r="H42" s="14" t="n">
        <v>135</v>
      </c>
      <c r="I42" s="14" t="n">
        <v>52</v>
      </c>
      <c r="J42" s="14" t="n">
        <v>53</v>
      </c>
      <c r="K42" s="14" t="n">
        <v>89</v>
      </c>
      <c r="L42" s="14" t="n">
        <v>51</v>
      </c>
      <c r="M42" s="14" t="n">
        <v>3</v>
      </c>
      <c r="N42" s="14" t="n">
        <v>101</v>
      </c>
    </row>
    <row r="43" customFormat="false" ht="15" hidden="false" customHeight="true" outlineLevel="0" collapsed="false">
      <c r="A43" s="13" t="n">
        <v>2024</v>
      </c>
      <c r="B43" s="13" t="s">
        <v>487</v>
      </c>
      <c r="C43" s="13" t="s">
        <v>122</v>
      </c>
      <c r="D43" s="13" t="s">
        <v>126</v>
      </c>
      <c r="E43" s="13" t="s">
        <v>357</v>
      </c>
      <c r="F43" s="14" t="n">
        <v>47</v>
      </c>
      <c r="G43" s="14" t="n">
        <v>31</v>
      </c>
      <c r="H43" s="14" t="n">
        <v>3</v>
      </c>
      <c r="I43" s="14" t="n">
        <v>4</v>
      </c>
      <c r="J43" s="14" t="n">
        <v>4</v>
      </c>
      <c r="K43" s="14" t="n">
        <v>9</v>
      </c>
      <c r="L43" s="14" t="n">
        <v>4</v>
      </c>
      <c r="M43" s="14" t="n">
        <v>7</v>
      </c>
      <c r="N43" s="14" t="n">
        <v>16</v>
      </c>
    </row>
    <row r="44" customFormat="false" ht="15" hidden="false" customHeight="true" outlineLevel="0" collapsed="false">
      <c r="A44" s="13" t="n">
        <v>2024</v>
      </c>
      <c r="B44" s="13" t="s">
        <v>487</v>
      </c>
      <c r="C44" s="13" t="s">
        <v>122</v>
      </c>
      <c r="D44" s="13" t="s">
        <v>202</v>
      </c>
      <c r="E44" s="13" t="s">
        <v>357</v>
      </c>
      <c r="F44" s="14" t="n">
        <v>103</v>
      </c>
      <c r="G44" s="14" t="n">
        <v>60</v>
      </c>
      <c r="H44" s="14" t="n">
        <v>0</v>
      </c>
      <c r="I44" s="14" t="n">
        <v>2</v>
      </c>
      <c r="J44" s="14" t="n">
        <v>3</v>
      </c>
      <c r="K44" s="14" t="n">
        <v>25</v>
      </c>
      <c r="L44" s="14" t="n">
        <v>28</v>
      </c>
      <c r="M44" s="14" t="n">
        <v>2</v>
      </c>
      <c r="N44" s="14" t="n">
        <v>43</v>
      </c>
    </row>
    <row r="45" customFormat="false" ht="15" hidden="false" customHeight="true" outlineLevel="0" collapsed="false">
      <c r="A45" s="13" t="n">
        <v>2024</v>
      </c>
      <c r="B45" s="13" t="s">
        <v>487</v>
      </c>
      <c r="C45" s="13" t="s">
        <v>122</v>
      </c>
      <c r="D45" s="13" t="s">
        <v>128</v>
      </c>
      <c r="E45" s="13" t="s">
        <v>357</v>
      </c>
      <c r="F45" s="14" t="n">
        <v>939</v>
      </c>
      <c r="G45" s="14" t="n">
        <v>622</v>
      </c>
      <c r="H45" s="14" t="n">
        <v>5</v>
      </c>
      <c r="I45" s="14" t="n">
        <v>43</v>
      </c>
      <c r="J45" s="14" t="n">
        <v>208</v>
      </c>
      <c r="K45" s="14" t="n">
        <v>275</v>
      </c>
      <c r="L45" s="14" t="n">
        <v>88</v>
      </c>
      <c r="M45" s="14" t="n">
        <v>3</v>
      </c>
      <c r="N45" s="14" t="n">
        <v>317</v>
      </c>
    </row>
    <row r="46" customFormat="false" ht="15" hidden="false" customHeight="true" outlineLevel="0" collapsed="false">
      <c r="A46" s="13" t="n">
        <v>2024</v>
      </c>
      <c r="B46" s="13" t="s">
        <v>487</v>
      </c>
      <c r="C46" s="13" t="s">
        <v>122</v>
      </c>
      <c r="D46" s="13" t="s">
        <v>419</v>
      </c>
      <c r="E46" s="13" t="s">
        <v>357</v>
      </c>
      <c r="F46" s="14" t="n">
        <v>6</v>
      </c>
      <c r="G46" s="14" t="n">
        <v>2</v>
      </c>
      <c r="H46" s="14" t="n">
        <v>0</v>
      </c>
      <c r="I46" s="14" t="n">
        <v>0</v>
      </c>
      <c r="J46" s="14" t="n">
        <v>2</v>
      </c>
      <c r="K46" s="14" t="n">
        <v>0</v>
      </c>
      <c r="L46" s="14" t="n">
        <v>0</v>
      </c>
      <c r="M46" s="14" t="n">
        <v>0</v>
      </c>
      <c r="N46" s="14" t="n">
        <v>4</v>
      </c>
    </row>
    <row r="47" customFormat="false" ht="15" hidden="false" customHeight="true" outlineLevel="0" collapsed="false">
      <c r="A47" s="13" t="n">
        <v>2024</v>
      </c>
      <c r="B47" s="13" t="s">
        <v>487</v>
      </c>
      <c r="C47" s="13" t="s">
        <v>122</v>
      </c>
      <c r="D47" s="13" t="s">
        <v>494</v>
      </c>
      <c r="E47" s="13" t="s">
        <v>357</v>
      </c>
      <c r="F47" s="14" t="n">
        <v>1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1</v>
      </c>
    </row>
    <row r="48" customFormat="false" ht="15" hidden="false" customHeight="true" outlineLevel="0" collapsed="false">
      <c r="A48" s="13" t="n">
        <v>2024</v>
      </c>
      <c r="B48" s="13" t="s">
        <v>488</v>
      </c>
      <c r="C48" s="13" t="s">
        <v>124</v>
      </c>
      <c r="D48" s="13" t="s">
        <v>123</v>
      </c>
      <c r="E48" s="13" t="s">
        <v>357</v>
      </c>
      <c r="F48" s="14" t="n">
        <v>157</v>
      </c>
      <c r="G48" s="14" t="n">
        <v>99</v>
      </c>
      <c r="H48" s="14" t="n">
        <v>62</v>
      </c>
      <c r="I48" s="14" t="n">
        <v>9</v>
      </c>
      <c r="J48" s="14" t="n">
        <v>7</v>
      </c>
      <c r="K48" s="14" t="n">
        <v>17</v>
      </c>
      <c r="L48" s="14" t="n">
        <v>4</v>
      </c>
      <c r="M48" s="14" t="n">
        <v>0</v>
      </c>
      <c r="N48" s="14" t="n">
        <v>58</v>
      </c>
    </row>
    <row r="49" customFormat="false" ht="15" hidden="false" customHeight="true" outlineLevel="0" collapsed="false">
      <c r="A49" s="13" t="n">
        <v>2024</v>
      </c>
      <c r="B49" s="13" t="s">
        <v>488</v>
      </c>
      <c r="C49" s="13" t="s">
        <v>124</v>
      </c>
      <c r="D49" s="13" t="s">
        <v>126</v>
      </c>
      <c r="E49" s="13" t="s">
        <v>357</v>
      </c>
      <c r="F49" s="14" t="n">
        <v>84</v>
      </c>
      <c r="G49" s="14" t="n">
        <v>51</v>
      </c>
      <c r="H49" s="14" t="n">
        <v>1</v>
      </c>
      <c r="I49" s="14" t="n">
        <v>2</v>
      </c>
      <c r="J49" s="14" t="n">
        <v>8</v>
      </c>
      <c r="K49" s="14" t="n">
        <v>18</v>
      </c>
      <c r="L49" s="14" t="n">
        <v>16</v>
      </c>
      <c r="M49" s="14" t="n">
        <v>6</v>
      </c>
      <c r="N49" s="14" t="n">
        <v>33</v>
      </c>
    </row>
    <row r="50" customFormat="false" ht="15" hidden="false" customHeight="true" outlineLevel="0" collapsed="false">
      <c r="A50" s="13" t="n">
        <v>2024</v>
      </c>
      <c r="B50" s="13" t="s">
        <v>488</v>
      </c>
      <c r="C50" s="13" t="s">
        <v>124</v>
      </c>
      <c r="D50" s="13" t="s">
        <v>202</v>
      </c>
      <c r="E50" s="13" t="s">
        <v>357</v>
      </c>
      <c r="F50" s="14" t="n">
        <v>198</v>
      </c>
      <c r="G50" s="14" t="n">
        <v>82</v>
      </c>
      <c r="H50" s="14" t="n">
        <v>0</v>
      </c>
      <c r="I50" s="14" t="n">
        <v>0</v>
      </c>
      <c r="J50" s="14" t="n">
        <v>2</v>
      </c>
      <c r="K50" s="14" t="n">
        <v>24</v>
      </c>
      <c r="L50" s="14" t="n">
        <v>55</v>
      </c>
      <c r="M50" s="14" t="n">
        <v>1</v>
      </c>
      <c r="N50" s="14" t="n">
        <v>116</v>
      </c>
    </row>
    <row r="51" customFormat="false" ht="15" hidden="false" customHeight="true" outlineLevel="0" collapsed="false">
      <c r="A51" s="13" t="n">
        <v>2024</v>
      </c>
      <c r="B51" s="13" t="s">
        <v>488</v>
      </c>
      <c r="C51" s="13" t="s">
        <v>124</v>
      </c>
      <c r="D51" s="13" t="s">
        <v>128</v>
      </c>
      <c r="E51" s="13" t="s">
        <v>357</v>
      </c>
      <c r="F51" s="14" t="n">
        <v>687</v>
      </c>
      <c r="G51" s="14" t="n">
        <v>198</v>
      </c>
      <c r="H51" s="14" t="n">
        <v>1</v>
      </c>
      <c r="I51" s="14" t="n">
        <v>7</v>
      </c>
      <c r="J51" s="14" t="n">
        <v>33</v>
      </c>
      <c r="K51" s="14" t="n">
        <v>69</v>
      </c>
      <c r="L51" s="14" t="n">
        <v>84</v>
      </c>
      <c r="M51" s="14" t="n">
        <v>4</v>
      </c>
      <c r="N51" s="14" t="n">
        <v>489</v>
      </c>
    </row>
    <row r="52" customFormat="false" ht="15" hidden="false" customHeight="true" outlineLevel="0" collapsed="false">
      <c r="A52" s="13" t="n">
        <v>2024</v>
      </c>
      <c r="B52" s="13" t="s">
        <v>488</v>
      </c>
      <c r="C52" s="13" t="s">
        <v>124</v>
      </c>
      <c r="D52" s="13" t="s">
        <v>203</v>
      </c>
      <c r="E52" s="13" t="s">
        <v>357</v>
      </c>
      <c r="F52" s="14" t="n">
        <v>54</v>
      </c>
      <c r="G52" s="14" t="n">
        <v>11</v>
      </c>
      <c r="H52" s="14" t="n">
        <v>0</v>
      </c>
      <c r="I52" s="14" t="n">
        <v>0</v>
      </c>
      <c r="J52" s="14" t="n">
        <v>1</v>
      </c>
      <c r="K52" s="14" t="n">
        <v>6</v>
      </c>
      <c r="L52" s="14" t="n">
        <v>3</v>
      </c>
      <c r="M52" s="14" t="n">
        <v>1</v>
      </c>
      <c r="N52" s="14" t="n">
        <v>43</v>
      </c>
    </row>
    <row r="53" customFormat="false" ht="15" hidden="false" customHeight="true" outlineLevel="0" collapsed="false">
      <c r="A53" s="13" t="n">
        <v>2024</v>
      </c>
      <c r="B53" s="13" t="s">
        <v>488</v>
      </c>
      <c r="C53" s="13" t="s">
        <v>124</v>
      </c>
      <c r="D53" s="13" t="s">
        <v>419</v>
      </c>
      <c r="E53" s="13" t="s">
        <v>357</v>
      </c>
      <c r="F53" s="14" t="n">
        <v>3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3</v>
      </c>
    </row>
    <row r="54" customFormat="false" ht="15" hidden="false" customHeight="true" outlineLevel="0" collapsed="false">
      <c r="A54" s="13" t="n">
        <v>2024</v>
      </c>
      <c r="B54" s="13" t="s">
        <v>488</v>
      </c>
      <c r="C54" s="13" t="s">
        <v>124</v>
      </c>
      <c r="D54" s="13" t="s">
        <v>129</v>
      </c>
      <c r="E54" s="13" t="s">
        <v>357</v>
      </c>
      <c r="F54" s="14" t="n">
        <v>2</v>
      </c>
      <c r="G54" s="14" t="n">
        <v>1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1</v>
      </c>
      <c r="N54" s="14" t="n">
        <v>1</v>
      </c>
    </row>
    <row r="55" customFormat="false" ht="15" hidden="false" customHeight="true" outlineLevel="0" collapsed="false">
      <c r="A55" s="13" t="n">
        <v>2024</v>
      </c>
      <c r="B55" s="13" t="s">
        <v>488</v>
      </c>
      <c r="C55" s="13" t="s">
        <v>124</v>
      </c>
      <c r="D55" s="13" t="s">
        <v>494</v>
      </c>
      <c r="E55" s="13" t="s">
        <v>357</v>
      </c>
      <c r="F55" s="14" t="n">
        <v>1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1</v>
      </c>
    </row>
    <row r="56" customFormat="false" ht="15" hidden="false" customHeight="true" outlineLevel="0" collapsed="false">
      <c r="A56" s="13" t="n">
        <v>2024</v>
      </c>
      <c r="B56" s="13" t="s">
        <v>488</v>
      </c>
      <c r="C56" s="13" t="s">
        <v>122</v>
      </c>
      <c r="D56" s="13" t="s">
        <v>123</v>
      </c>
      <c r="E56" s="13" t="s">
        <v>357</v>
      </c>
      <c r="F56" s="14" t="n">
        <v>492</v>
      </c>
      <c r="G56" s="14" t="n">
        <v>402</v>
      </c>
      <c r="H56" s="14" t="n">
        <v>166</v>
      </c>
      <c r="I56" s="14" t="n">
        <v>31</v>
      </c>
      <c r="J56" s="14" t="n">
        <v>40</v>
      </c>
      <c r="K56" s="14" t="n">
        <v>98</v>
      </c>
      <c r="L56" s="14" t="n">
        <v>65</v>
      </c>
      <c r="M56" s="14" t="n">
        <v>2</v>
      </c>
      <c r="N56" s="14" t="n">
        <v>90</v>
      </c>
    </row>
    <row r="57" customFormat="false" ht="15" hidden="false" customHeight="true" outlineLevel="0" collapsed="false">
      <c r="A57" s="13" t="n">
        <v>2024</v>
      </c>
      <c r="B57" s="13" t="s">
        <v>488</v>
      </c>
      <c r="C57" s="13" t="s">
        <v>122</v>
      </c>
      <c r="D57" s="13" t="s">
        <v>126</v>
      </c>
      <c r="E57" s="13" t="s">
        <v>357</v>
      </c>
      <c r="F57" s="14" t="n">
        <v>74</v>
      </c>
      <c r="G57" s="14" t="n">
        <v>48</v>
      </c>
      <c r="H57" s="14" t="n">
        <v>0</v>
      </c>
      <c r="I57" s="14" t="n">
        <v>2</v>
      </c>
      <c r="J57" s="14" t="n">
        <v>5</v>
      </c>
      <c r="K57" s="14" t="n">
        <v>13</v>
      </c>
      <c r="L57" s="14" t="n">
        <v>15</v>
      </c>
      <c r="M57" s="14" t="n">
        <v>13</v>
      </c>
      <c r="N57" s="14" t="n">
        <v>26</v>
      </c>
    </row>
    <row r="58" customFormat="false" ht="15" hidden="false" customHeight="true" outlineLevel="0" collapsed="false">
      <c r="A58" s="13" t="n">
        <v>2024</v>
      </c>
      <c r="B58" s="13" t="s">
        <v>488</v>
      </c>
      <c r="C58" s="13" t="s">
        <v>122</v>
      </c>
      <c r="D58" s="13" t="s">
        <v>202</v>
      </c>
      <c r="E58" s="13" t="s">
        <v>357</v>
      </c>
      <c r="F58" s="14" t="n">
        <v>166</v>
      </c>
      <c r="G58" s="14" t="n">
        <v>99</v>
      </c>
      <c r="H58" s="14" t="n">
        <v>0</v>
      </c>
      <c r="I58" s="14" t="n">
        <v>1</v>
      </c>
      <c r="J58" s="14" t="n">
        <v>3</v>
      </c>
      <c r="K58" s="14" t="n">
        <v>39</v>
      </c>
      <c r="L58" s="14" t="n">
        <v>55</v>
      </c>
      <c r="M58" s="14" t="n">
        <v>1</v>
      </c>
      <c r="N58" s="14" t="n">
        <v>67</v>
      </c>
    </row>
    <row r="59" customFormat="false" ht="15" hidden="false" customHeight="true" outlineLevel="0" collapsed="false">
      <c r="A59" s="13" t="n">
        <v>2024</v>
      </c>
      <c r="B59" s="13" t="s">
        <v>488</v>
      </c>
      <c r="C59" s="13" t="s">
        <v>122</v>
      </c>
      <c r="D59" s="13" t="s">
        <v>128</v>
      </c>
      <c r="E59" s="13" t="s">
        <v>357</v>
      </c>
      <c r="F59" s="14" t="n">
        <v>861</v>
      </c>
      <c r="G59" s="14" t="n">
        <v>463</v>
      </c>
      <c r="H59" s="14" t="n">
        <v>3</v>
      </c>
      <c r="I59" s="14" t="n">
        <v>29</v>
      </c>
      <c r="J59" s="14" t="n">
        <v>111</v>
      </c>
      <c r="K59" s="14" t="n">
        <v>186</v>
      </c>
      <c r="L59" s="14" t="n">
        <v>123</v>
      </c>
      <c r="M59" s="14" t="n">
        <v>11</v>
      </c>
      <c r="N59" s="14" t="n">
        <v>398</v>
      </c>
    </row>
    <row r="60" customFormat="false" ht="15" hidden="false" customHeight="true" outlineLevel="0" collapsed="false">
      <c r="A60" s="13" t="n">
        <v>2024</v>
      </c>
      <c r="B60" s="13" t="s">
        <v>488</v>
      </c>
      <c r="C60" s="13" t="s">
        <v>122</v>
      </c>
      <c r="D60" s="13" t="s">
        <v>203</v>
      </c>
      <c r="E60" s="13" t="s">
        <v>357</v>
      </c>
      <c r="F60" s="14" t="n">
        <v>13</v>
      </c>
      <c r="G60" s="14" t="n">
        <v>6</v>
      </c>
      <c r="H60" s="14" t="n">
        <v>0</v>
      </c>
      <c r="I60" s="14" t="n">
        <v>0</v>
      </c>
      <c r="J60" s="14" t="n">
        <v>2</v>
      </c>
      <c r="K60" s="14" t="n">
        <v>2</v>
      </c>
      <c r="L60" s="14" t="n">
        <v>1</v>
      </c>
      <c r="M60" s="14" t="n">
        <v>1</v>
      </c>
      <c r="N60" s="14" t="n">
        <v>7</v>
      </c>
    </row>
    <row r="61" customFormat="false" ht="15" hidden="false" customHeight="true" outlineLevel="0" collapsed="false">
      <c r="A61" s="13" t="n">
        <v>2024</v>
      </c>
      <c r="B61" s="13" t="s">
        <v>488</v>
      </c>
      <c r="C61" s="13" t="s">
        <v>122</v>
      </c>
      <c r="D61" s="13" t="s">
        <v>419</v>
      </c>
      <c r="E61" s="13" t="s">
        <v>357</v>
      </c>
      <c r="F61" s="14" t="n">
        <v>11</v>
      </c>
      <c r="G61" s="14" t="n">
        <v>4</v>
      </c>
      <c r="H61" s="14" t="n">
        <v>0</v>
      </c>
      <c r="I61" s="14" t="n">
        <v>1</v>
      </c>
      <c r="J61" s="14" t="n">
        <v>0</v>
      </c>
      <c r="K61" s="14" t="n">
        <v>3</v>
      </c>
      <c r="L61" s="14" t="n">
        <v>0</v>
      </c>
      <c r="M61" s="14" t="n">
        <v>0</v>
      </c>
      <c r="N61" s="14" t="n">
        <v>7</v>
      </c>
    </row>
    <row r="62" customFormat="false" ht="15" hidden="false" customHeight="true" outlineLevel="0" collapsed="false">
      <c r="A62" s="13" t="n">
        <v>2024</v>
      </c>
      <c r="B62" s="13" t="s">
        <v>488</v>
      </c>
      <c r="C62" s="13" t="s">
        <v>122</v>
      </c>
      <c r="D62" s="13" t="s">
        <v>494</v>
      </c>
      <c r="E62" s="13" t="s">
        <v>357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</row>
    <row r="63" customFormat="false" ht="15" hidden="false" customHeight="true" outlineLevel="0" collapsed="false">
      <c r="A63" s="13" t="n">
        <v>2025</v>
      </c>
      <c r="B63" s="13" t="s">
        <v>484</v>
      </c>
      <c r="C63" s="13" t="s">
        <v>124</v>
      </c>
      <c r="D63" s="13" t="s">
        <v>123</v>
      </c>
      <c r="E63" s="13" t="s">
        <v>357</v>
      </c>
      <c r="F63" s="14" t="n">
        <v>94</v>
      </c>
      <c r="G63" s="14" t="n">
        <v>57</v>
      </c>
      <c r="H63" s="14" t="n">
        <v>34</v>
      </c>
      <c r="I63" s="14" t="n">
        <v>4</v>
      </c>
      <c r="J63" s="14" t="n">
        <v>5</v>
      </c>
      <c r="K63" s="14" t="n">
        <v>11</v>
      </c>
      <c r="L63" s="14" t="n">
        <v>3</v>
      </c>
      <c r="M63" s="14" t="n">
        <v>0</v>
      </c>
      <c r="N63" s="14" t="n">
        <v>37</v>
      </c>
    </row>
    <row r="64" customFormat="false" ht="15" hidden="false" customHeight="true" outlineLevel="0" collapsed="false">
      <c r="A64" s="13" t="n">
        <v>2025</v>
      </c>
      <c r="B64" s="13" t="s">
        <v>484</v>
      </c>
      <c r="C64" s="13" t="s">
        <v>124</v>
      </c>
      <c r="D64" s="13" t="s">
        <v>126</v>
      </c>
      <c r="E64" s="13" t="s">
        <v>357</v>
      </c>
      <c r="F64" s="14" t="n">
        <v>25</v>
      </c>
      <c r="G64" s="14" t="n">
        <v>13</v>
      </c>
      <c r="H64" s="14" t="n">
        <v>0</v>
      </c>
      <c r="I64" s="14" t="n">
        <v>1</v>
      </c>
      <c r="J64" s="14" t="n">
        <v>3</v>
      </c>
      <c r="K64" s="14" t="n">
        <v>5</v>
      </c>
      <c r="L64" s="14" t="n">
        <v>0</v>
      </c>
      <c r="M64" s="14" t="n">
        <v>4</v>
      </c>
      <c r="N64" s="14" t="n">
        <v>12</v>
      </c>
    </row>
    <row r="65" customFormat="false" ht="15" hidden="false" customHeight="true" outlineLevel="0" collapsed="false">
      <c r="A65" s="13" t="n">
        <v>2025</v>
      </c>
      <c r="B65" s="13" t="s">
        <v>484</v>
      </c>
      <c r="C65" s="13" t="s">
        <v>124</v>
      </c>
      <c r="D65" s="13" t="s">
        <v>202</v>
      </c>
      <c r="E65" s="13" t="s">
        <v>357</v>
      </c>
      <c r="F65" s="14" t="n">
        <v>98</v>
      </c>
      <c r="G65" s="14" t="n">
        <v>37</v>
      </c>
      <c r="H65" s="14" t="n">
        <v>0</v>
      </c>
      <c r="I65" s="14" t="n">
        <v>1</v>
      </c>
      <c r="J65" s="14" t="n">
        <v>6</v>
      </c>
      <c r="K65" s="14" t="n">
        <v>20</v>
      </c>
      <c r="L65" s="14" t="n">
        <v>10</v>
      </c>
      <c r="M65" s="14" t="n">
        <v>0</v>
      </c>
      <c r="N65" s="14" t="n">
        <v>61</v>
      </c>
    </row>
    <row r="66" customFormat="false" ht="15" hidden="false" customHeight="true" outlineLevel="0" collapsed="false">
      <c r="A66" s="13" t="n">
        <v>2025</v>
      </c>
      <c r="B66" s="13" t="s">
        <v>484</v>
      </c>
      <c r="C66" s="13" t="s">
        <v>124</v>
      </c>
      <c r="D66" s="13" t="s">
        <v>128</v>
      </c>
      <c r="E66" s="13" t="s">
        <v>357</v>
      </c>
      <c r="F66" s="14" t="n">
        <v>1246</v>
      </c>
      <c r="G66" s="14" t="n">
        <v>444</v>
      </c>
      <c r="H66" s="14" t="n">
        <v>0</v>
      </c>
      <c r="I66" s="14" t="n">
        <v>24</v>
      </c>
      <c r="J66" s="14" t="n">
        <v>98</v>
      </c>
      <c r="K66" s="14" t="n">
        <v>194</v>
      </c>
      <c r="L66" s="14" t="n">
        <v>121</v>
      </c>
      <c r="M66" s="14" t="n">
        <v>7</v>
      </c>
      <c r="N66" s="14" t="n">
        <v>802</v>
      </c>
    </row>
    <row r="67" customFormat="false" ht="15" hidden="false" customHeight="true" outlineLevel="0" collapsed="false">
      <c r="A67" s="13" t="n">
        <v>2025</v>
      </c>
      <c r="B67" s="13" t="s">
        <v>484</v>
      </c>
      <c r="C67" s="13" t="s">
        <v>124</v>
      </c>
      <c r="D67" s="13" t="s">
        <v>203</v>
      </c>
      <c r="E67" s="13" t="s">
        <v>357</v>
      </c>
      <c r="F67" s="14" t="n">
        <v>20</v>
      </c>
      <c r="G67" s="14" t="n">
        <v>7</v>
      </c>
      <c r="H67" s="14" t="n">
        <v>0</v>
      </c>
      <c r="I67" s="14" t="n">
        <v>0</v>
      </c>
      <c r="J67" s="14" t="n">
        <v>0</v>
      </c>
      <c r="K67" s="14" t="n">
        <v>2</v>
      </c>
      <c r="L67" s="14" t="n">
        <v>4</v>
      </c>
      <c r="M67" s="14" t="n">
        <v>1</v>
      </c>
      <c r="N67" s="14" t="n">
        <v>13</v>
      </c>
    </row>
    <row r="68" customFormat="false" ht="15" hidden="false" customHeight="true" outlineLevel="0" collapsed="false">
      <c r="A68" s="13" t="n">
        <v>2025</v>
      </c>
      <c r="B68" s="13" t="s">
        <v>484</v>
      </c>
      <c r="C68" s="13" t="s">
        <v>124</v>
      </c>
      <c r="D68" s="13" t="s">
        <v>419</v>
      </c>
      <c r="E68" s="13" t="s">
        <v>357</v>
      </c>
      <c r="F68" s="14" t="n">
        <v>13</v>
      </c>
      <c r="G68" s="14" t="n">
        <v>11</v>
      </c>
      <c r="H68" s="14" t="n">
        <v>0</v>
      </c>
      <c r="I68" s="14" t="n">
        <v>4</v>
      </c>
      <c r="J68" s="14" t="n">
        <v>6</v>
      </c>
      <c r="K68" s="14" t="n">
        <v>1</v>
      </c>
      <c r="L68" s="14" t="n">
        <v>0</v>
      </c>
      <c r="M68" s="14" t="n">
        <v>0</v>
      </c>
      <c r="N68" s="14" t="n">
        <v>2</v>
      </c>
    </row>
    <row r="69" customFormat="false" ht="15" hidden="false" customHeight="true" outlineLevel="0" collapsed="false">
      <c r="A69" s="13" t="n">
        <v>2025</v>
      </c>
      <c r="B69" s="13" t="s">
        <v>484</v>
      </c>
      <c r="C69" s="13" t="s">
        <v>124</v>
      </c>
      <c r="D69" s="13" t="s">
        <v>129</v>
      </c>
      <c r="E69" s="13" t="s">
        <v>357</v>
      </c>
      <c r="F69" s="14" t="n">
        <v>2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2</v>
      </c>
    </row>
    <row r="70" customFormat="false" ht="15" hidden="false" customHeight="true" outlineLevel="0" collapsed="false">
      <c r="A70" s="13" t="n">
        <v>2025</v>
      </c>
      <c r="B70" s="13" t="s">
        <v>484</v>
      </c>
      <c r="C70" s="13" t="s">
        <v>124</v>
      </c>
      <c r="D70" s="13" t="s">
        <v>494</v>
      </c>
      <c r="E70" s="13" t="s">
        <v>357</v>
      </c>
      <c r="F70" s="14" t="n">
        <v>2</v>
      </c>
      <c r="G70" s="14" t="n">
        <v>1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1</v>
      </c>
      <c r="N70" s="14" t="n">
        <v>1</v>
      </c>
    </row>
    <row r="71" customFormat="false" ht="15" hidden="false" customHeight="true" outlineLevel="0" collapsed="false">
      <c r="A71" s="13" t="n">
        <v>2025</v>
      </c>
      <c r="B71" s="13" t="s">
        <v>484</v>
      </c>
      <c r="C71" s="13" t="s">
        <v>122</v>
      </c>
      <c r="D71" s="13" t="s">
        <v>123</v>
      </c>
      <c r="E71" s="13" t="s">
        <v>357</v>
      </c>
      <c r="F71" s="14" t="n">
        <v>188</v>
      </c>
      <c r="G71" s="14" t="n">
        <v>140</v>
      </c>
      <c r="H71" s="14" t="n">
        <v>66</v>
      </c>
      <c r="I71" s="14" t="n">
        <v>10</v>
      </c>
      <c r="J71" s="14" t="n">
        <v>17</v>
      </c>
      <c r="K71" s="14" t="n">
        <v>35</v>
      </c>
      <c r="L71" s="14" t="n">
        <v>11</v>
      </c>
      <c r="M71" s="14" t="n">
        <v>1</v>
      </c>
      <c r="N71" s="14" t="n">
        <v>48</v>
      </c>
    </row>
    <row r="72" customFormat="false" ht="15" hidden="false" customHeight="true" outlineLevel="0" collapsed="false">
      <c r="A72" s="13" t="n">
        <v>2025</v>
      </c>
      <c r="B72" s="13" t="s">
        <v>484</v>
      </c>
      <c r="C72" s="13" t="s">
        <v>122</v>
      </c>
      <c r="D72" s="13" t="s">
        <v>126</v>
      </c>
      <c r="E72" s="13" t="s">
        <v>357</v>
      </c>
      <c r="F72" s="14" t="n">
        <v>21</v>
      </c>
      <c r="G72" s="14" t="n">
        <v>14</v>
      </c>
      <c r="H72" s="14" t="n">
        <v>1</v>
      </c>
      <c r="I72" s="14" t="n">
        <v>0</v>
      </c>
      <c r="J72" s="14" t="n">
        <v>1</v>
      </c>
      <c r="K72" s="14" t="n">
        <v>3</v>
      </c>
      <c r="L72" s="14" t="n">
        <v>0</v>
      </c>
      <c r="M72" s="14" t="n">
        <v>9</v>
      </c>
      <c r="N72" s="14" t="n">
        <v>7</v>
      </c>
    </row>
    <row r="73" customFormat="false" ht="15" hidden="false" customHeight="true" outlineLevel="0" collapsed="false">
      <c r="A73" s="13" t="n">
        <v>2025</v>
      </c>
      <c r="B73" s="13" t="s">
        <v>484</v>
      </c>
      <c r="C73" s="13" t="s">
        <v>122</v>
      </c>
      <c r="D73" s="13" t="s">
        <v>202</v>
      </c>
      <c r="E73" s="13" t="s">
        <v>357</v>
      </c>
      <c r="F73" s="14" t="n">
        <v>51</v>
      </c>
      <c r="G73" s="14" t="n">
        <v>34</v>
      </c>
      <c r="H73" s="14" t="n">
        <v>0</v>
      </c>
      <c r="I73" s="14" t="n">
        <v>0</v>
      </c>
      <c r="J73" s="14" t="n">
        <v>3</v>
      </c>
      <c r="K73" s="14" t="n">
        <v>19</v>
      </c>
      <c r="L73" s="14" t="n">
        <v>12</v>
      </c>
      <c r="M73" s="14" t="n">
        <v>0</v>
      </c>
      <c r="N73" s="14" t="n">
        <v>17</v>
      </c>
    </row>
    <row r="74" customFormat="false" ht="15" hidden="false" customHeight="true" outlineLevel="0" collapsed="false">
      <c r="A74" s="13" t="n">
        <v>2025</v>
      </c>
      <c r="B74" s="13" t="s">
        <v>484</v>
      </c>
      <c r="C74" s="13" t="s">
        <v>122</v>
      </c>
      <c r="D74" s="13" t="s">
        <v>128</v>
      </c>
      <c r="E74" s="13" t="s">
        <v>357</v>
      </c>
      <c r="F74" s="14" t="n">
        <v>581</v>
      </c>
      <c r="G74" s="14" t="n">
        <v>336</v>
      </c>
      <c r="H74" s="14" t="n">
        <v>7</v>
      </c>
      <c r="I74" s="14" t="n">
        <v>71</v>
      </c>
      <c r="J74" s="14" t="n">
        <v>119</v>
      </c>
      <c r="K74" s="14" t="n">
        <v>105</v>
      </c>
      <c r="L74" s="14" t="n">
        <v>29</v>
      </c>
      <c r="M74" s="14" t="n">
        <v>5</v>
      </c>
      <c r="N74" s="14" t="n">
        <v>245</v>
      </c>
    </row>
    <row r="75" customFormat="false" ht="15" hidden="false" customHeight="true" outlineLevel="0" collapsed="false">
      <c r="A75" s="13" t="n">
        <v>2025</v>
      </c>
      <c r="B75" s="13" t="s">
        <v>484</v>
      </c>
      <c r="C75" s="13" t="s">
        <v>122</v>
      </c>
      <c r="D75" s="13" t="s">
        <v>203</v>
      </c>
      <c r="E75" s="13" t="s">
        <v>357</v>
      </c>
      <c r="F75" s="14" t="n">
        <v>5</v>
      </c>
      <c r="G75" s="14" t="n">
        <v>3</v>
      </c>
      <c r="H75" s="14" t="n">
        <v>0</v>
      </c>
      <c r="I75" s="14" t="n">
        <v>0</v>
      </c>
      <c r="J75" s="14" t="n">
        <v>0</v>
      </c>
      <c r="K75" s="14" t="n">
        <v>1</v>
      </c>
      <c r="L75" s="14" t="n">
        <v>1</v>
      </c>
      <c r="M75" s="14" t="n">
        <v>1</v>
      </c>
      <c r="N75" s="14" t="n">
        <v>2</v>
      </c>
    </row>
    <row r="76" customFormat="false" ht="15" hidden="false" customHeight="true" outlineLevel="0" collapsed="false">
      <c r="A76" s="13" t="n">
        <v>2025</v>
      </c>
      <c r="B76" s="13" t="s">
        <v>484</v>
      </c>
      <c r="C76" s="13" t="s">
        <v>122</v>
      </c>
      <c r="D76" s="13" t="s">
        <v>419</v>
      </c>
      <c r="E76" s="13" t="s">
        <v>357</v>
      </c>
      <c r="F76" s="14" t="n">
        <v>1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1</v>
      </c>
    </row>
    <row r="77" customFormat="false" ht="15" hidden="false" customHeight="true" outlineLevel="0" collapsed="false">
      <c r="A77" s="13" t="n">
        <v>2025</v>
      </c>
      <c r="B77" s="13" t="s">
        <v>484</v>
      </c>
      <c r="C77" s="13" t="s">
        <v>122</v>
      </c>
      <c r="D77" s="13" t="s">
        <v>129</v>
      </c>
      <c r="E77" s="13" t="s">
        <v>357</v>
      </c>
      <c r="F77" s="14" t="n">
        <v>1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</v>
      </c>
    </row>
    <row r="78" customFormat="false" ht="15" hidden="false" customHeight="true" outlineLevel="0" collapsed="false">
      <c r="A78" s="13" t="n">
        <v>2025</v>
      </c>
      <c r="B78" s="13" t="s">
        <v>484</v>
      </c>
      <c r="C78" s="13" t="s">
        <v>122</v>
      </c>
      <c r="D78" s="13" t="s">
        <v>494</v>
      </c>
      <c r="E78" s="13" t="s">
        <v>357</v>
      </c>
      <c r="F78" s="14" t="n">
        <v>2</v>
      </c>
      <c r="G78" s="14" t="n">
        <v>1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1</v>
      </c>
      <c r="N78" s="14" t="n">
        <v>1</v>
      </c>
    </row>
    <row r="79" customFormat="false" ht="15" hidden="false" customHeight="true" outlineLevel="0" collapsed="false">
      <c r="A79" s="13" t="n">
        <v>2025</v>
      </c>
      <c r="B79" s="13" t="s">
        <v>24</v>
      </c>
      <c r="C79" s="13" t="s">
        <v>124</v>
      </c>
      <c r="D79" s="13" t="s">
        <v>123</v>
      </c>
      <c r="E79" s="13" t="s">
        <v>357</v>
      </c>
      <c r="F79" s="14" t="n">
        <v>845</v>
      </c>
      <c r="G79" s="14" t="n">
        <v>534</v>
      </c>
      <c r="H79" s="14" t="n">
        <v>230</v>
      </c>
      <c r="I79" s="14" t="n">
        <v>32</v>
      </c>
      <c r="J79" s="14" t="n">
        <v>44</v>
      </c>
      <c r="K79" s="14" t="n">
        <v>112</v>
      </c>
      <c r="L79" s="14" t="n">
        <v>114</v>
      </c>
      <c r="M79" s="14" t="n">
        <v>2</v>
      </c>
      <c r="N79" s="14" t="n">
        <v>311</v>
      </c>
    </row>
    <row r="80" customFormat="false" ht="15" hidden="false" customHeight="true" outlineLevel="0" collapsed="false">
      <c r="A80" s="13" t="n">
        <v>2025</v>
      </c>
      <c r="B80" s="13" t="s">
        <v>24</v>
      </c>
      <c r="C80" s="13" t="s">
        <v>124</v>
      </c>
      <c r="D80" s="13" t="s">
        <v>126</v>
      </c>
      <c r="E80" s="13" t="s">
        <v>357</v>
      </c>
      <c r="F80" s="14" t="n">
        <v>341</v>
      </c>
      <c r="G80" s="14" t="n">
        <v>185</v>
      </c>
      <c r="H80" s="14" t="n">
        <v>0</v>
      </c>
      <c r="I80" s="14" t="n">
        <v>6</v>
      </c>
      <c r="J80" s="14" t="n">
        <v>22</v>
      </c>
      <c r="K80" s="14" t="n">
        <v>58</v>
      </c>
      <c r="L80" s="14" t="n">
        <v>54</v>
      </c>
      <c r="M80" s="14" t="n">
        <v>45</v>
      </c>
      <c r="N80" s="14" t="n">
        <v>156</v>
      </c>
    </row>
    <row r="81" customFormat="false" ht="15" hidden="false" customHeight="true" outlineLevel="0" collapsed="false">
      <c r="A81" s="13" t="n">
        <v>2025</v>
      </c>
      <c r="B81" s="13" t="s">
        <v>24</v>
      </c>
      <c r="C81" s="13" t="s">
        <v>124</v>
      </c>
      <c r="D81" s="13" t="s">
        <v>202</v>
      </c>
      <c r="E81" s="13" t="s">
        <v>357</v>
      </c>
      <c r="F81" s="14" t="n">
        <v>1183</v>
      </c>
      <c r="G81" s="14" t="n">
        <v>609</v>
      </c>
      <c r="H81" s="14" t="n">
        <v>0</v>
      </c>
      <c r="I81" s="14" t="n">
        <v>3</v>
      </c>
      <c r="J81" s="14" t="n">
        <v>41</v>
      </c>
      <c r="K81" s="14" t="n">
        <v>284</v>
      </c>
      <c r="L81" s="14" t="n">
        <v>275</v>
      </c>
      <c r="M81" s="14" t="n">
        <v>6</v>
      </c>
      <c r="N81" s="14" t="n">
        <v>574</v>
      </c>
    </row>
    <row r="82" customFormat="false" ht="15" hidden="false" customHeight="true" outlineLevel="0" collapsed="false">
      <c r="A82" s="13" t="n">
        <v>2025</v>
      </c>
      <c r="B82" s="13" t="s">
        <v>24</v>
      </c>
      <c r="C82" s="13" t="s">
        <v>124</v>
      </c>
      <c r="D82" s="13" t="s">
        <v>128</v>
      </c>
      <c r="E82" s="13" t="s">
        <v>357</v>
      </c>
      <c r="F82" s="14" t="n">
        <v>4100</v>
      </c>
      <c r="G82" s="14" t="n">
        <v>1324</v>
      </c>
      <c r="H82" s="14" t="n">
        <v>4</v>
      </c>
      <c r="I82" s="14" t="n">
        <v>70</v>
      </c>
      <c r="J82" s="14" t="n">
        <v>198</v>
      </c>
      <c r="K82" s="14" t="n">
        <v>520</v>
      </c>
      <c r="L82" s="14" t="n">
        <v>475</v>
      </c>
      <c r="M82" s="14" t="n">
        <v>57</v>
      </c>
      <c r="N82" s="14" t="n">
        <v>2776</v>
      </c>
    </row>
    <row r="83" customFormat="false" ht="15" hidden="false" customHeight="true" outlineLevel="0" collapsed="false">
      <c r="A83" s="13" t="n">
        <v>2025</v>
      </c>
      <c r="B83" s="13" t="s">
        <v>24</v>
      </c>
      <c r="C83" s="13" t="s">
        <v>124</v>
      </c>
      <c r="D83" s="13" t="s">
        <v>203</v>
      </c>
      <c r="E83" s="13" t="s">
        <v>357</v>
      </c>
      <c r="F83" s="14" t="n">
        <v>864</v>
      </c>
      <c r="G83" s="14" t="n">
        <v>379</v>
      </c>
      <c r="H83" s="14" t="n">
        <v>0</v>
      </c>
      <c r="I83" s="14" t="n">
        <v>5</v>
      </c>
      <c r="J83" s="14" t="n">
        <v>30</v>
      </c>
      <c r="K83" s="14" t="n">
        <v>118</v>
      </c>
      <c r="L83" s="14" t="n">
        <v>209</v>
      </c>
      <c r="M83" s="14" t="n">
        <v>17</v>
      </c>
      <c r="N83" s="14" t="n">
        <v>485</v>
      </c>
    </row>
    <row r="84" customFormat="false" ht="15" hidden="false" customHeight="true" outlineLevel="0" collapsed="false">
      <c r="A84" s="13" t="n">
        <v>2025</v>
      </c>
      <c r="B84" s="13" t="s">
        <v>24</v>
      </c>
      <c r="C84" s="13" t="s">
        <v>124</v>
      </c>
      <c r="D84" s="13" t="s">
        <v>419</v>
      </c>
      <c r="E84" s="13" t="s">
        <v>357</v>
      </c>
      <c r="F84" s="14" t="n">
        <v>20</v>
      </c>
      <c r="G84" s="14" t="n">
        <v>5</v>
      </c>
      <c r="H84" s="14" t="n">
        <v>0</v>
      </c>
      <c r="I84" s="14" t="n">
        <v>0</v>
      </c>
      <c r="J84" s="14" t="n">
        <v>3</v>
      </c>
      <c r="K84" s="14" t="n">
        <v>1</v>
      </c>
      <c r="L84" s="14" t="n">
        <v>1</v>
      </c>
      <c r="M84" s="14" t="n">
        <v>0</v>
      </c>
      <c r="N84" s="14" t="n">
        <v>15</v>
      </c>
    </row>
    <row r="85" customFormat="false" ht="15" hidden="false" customHeight="true" outlineLevel="0" collapsed="false">
      <c r="A85" s="13" t="n">
        <v>2025</v>
      </c>
      <c r="B85" s="13" t="s">
        <v>24</v>
      </c>
      <c r="C85" s="13" t="s">
        <v>124</v>
      </c>
      <c r="D85" s="13" t="s">
        <v>129</v>
      </c>
      <c r="E85" s="13" t="s">
        <v>357</v>
      </c>
      <c r="F85" s="14" t="n">
        <v>55</v>
      </c>
      <c r="G85" s="14" t="n">
        <v>16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16</v>
      </c>
      <c r="N85" s="14" t="n">
        <v>39</v>
      </c>
    </row>
    <row r="86" customFormat="false" ht="15" hidden="false" customHeight="true" outlineLevel="0" collapsed="false">
      <c r="A86" s="13" t="n">
        <v>2025</v>
      </c>
      <c r="B86" s="13" t="s">
        <v>24</v>
      </c>
      <c r="C86" s="13" t="s">
        <v>124</v>
      </c>
      <c r="D86" s="13" t="s">
        <v>493</v>
      </c>
      <c r="E86" s="13" t="s">
        <v>357</v>
      </c>
      <c r="F86" s="14" t="n">
        <v>2</v>
      </c>
      <c r="G86" s="14" t="n">
        <v>1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1</v>
      </c>
      <c r="N86" s="14" t="n">
        <v>1</v>
      </c>
    </row>
    <row r="87" customFormat="false" ht="15" hidden="false" customHeight="true" outlineLevel="0" collapsed="false">
      <c r="A87" s="13" t="n">
        <v>2025</v>
      </c>
      <c r="B87" s="13" t="s">
        <v>24</v>
      </c>
      <c r="C87" s="13" t="s">
        <v>124</v>
      </c>
      <c r="D87" s="13" t="s">
        <v>494</v>
      </c>
      <c r="E87" s="13" t="s">
        <v>357</v>
      </c>
      <c r="F87" s="14" t="n">
        <v>11</v>
      </c>
      <c r="G87" s="14" t="n">
        <v>1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1</v>
      </c>
      <c r="N87" s="14" t="n">
        <v>10</v>
      </c>
    </row>
    <row r="88" customFormat="false" ht="15" hidden="false" customHeight="true" outlineLevel="0" collapsed="false">
      <c r="A88" s="13" t="n">
        <v>2025</v>
      </c>
      <c r="B88" s="13" t="s">
        <v>24</v>
      </c>
      <c r="C88" s="13" t="s">
        <v>122</v>
      </c>
      <c r="D88" s="13" t="s">
        <v>123</v>
      </c>
      <c r="E88" s="13" t="s">
        <v>357</v>
      </c>
      <c r="F88" s="14" t="n">
        <v>1625</v>
      </c>
      <c r="G88" s="14" t="n">
        <v>1136</v>
      </c>
      <c r="H88" s="14" t="n">
        <v>587</v>
      </c>
      <c r="I88" s="14" t="n">
        <v>82</v>
      </c>
      <c r="J88" s="14" t="n">
        <v>94</v>
      </c>
      <c r="K88" s="14" t="n">
        <v>247</v>
      </c>
      <c r="L88" s="14" t="n">
        <v>124</v>
      </c>
      <c r="M88" s="14" t="n">
        <v>2</v>
      </c>
      <c r="N88" s="14" t="n">
        <v>489</v>
      </c>
    </row>
    <row r="89" customFormat="false" ht="15" hidden="false" customHeight="true" outlineLevel="0" collapsed="false">
      <c r="A89" s="13" t="n">
        <v>2025</v>
      </c>
      <c r="B89" s="13" t="s">
        <v>24</v>
      </c>
      <c r="C89" s="13" t="s">
        <v>122</v>
      </c>
      <c r="D89" s="13" t="s">
        <v>126</v>
      </c>
      <c r="E89" s="13" t="s">
        <v>357</v>
      </c>
      <c r="F89" s="14" t="n">
        <v>152</v>
      </c>
      <c r="G89" s="14" t="n">
        <v>83</v>
      </c>
      <c r="H89" s="14" t="n">
        <v>0</v>
      </c>
      <c r="I89" s="14" t="n">
        <v>1</v>
      </c>
      <c r="J89" s="14" t="n">
        <v>6</v>
      </c>
      <c r="K89" s="14" t="n">
        <v>21</v>
      </c>
      <c r="L89" s="14" t="n">
        <v>12</v>
      </c>
      <c r="M89" s="14" t="n">
        <v>43</v>
      </c>
      <c r="N89" s="14" t="n">
        <v>69</v>
      </c>
    </row>
    <row r="90" customFormat="false" ht="15" hidden="false" customHeight="true" outlineLevel="0" collapsed="false">
      <c r="A90" s="13" t="n">
        <v>2025</v>
      </c>
      <c r="B90" s="13" t="s">
        <v>24</v>
      </c>
      <c r="C90" s="13" t="s">
        <v>122</v>
      </c>
      <c r="D90" s="13" t="s">
        <v>202</v>
      </c>
      <c r="E90" s="13" t="s">
        <v>357</v>
      </c>
      <c r="F90" s="14" t="n">
        <v>609</v>
      </c>
      <c r="G90" s="14" t="n">
        <v>283</v>
      </c>
      <c r="H90" s="14" t="n">
        <v>3</v>
      </c>
      <c r="I90" s="14" t="n">
        <v>4</v>
      </c>
      <c r="J90" s="14" t="n">
        <v>30</v>
      </c>
      <c r="K90" s="14" t="n">
        <v>175</v>
      </c>
      <c r="L90" s="14" t="n">
        <v>70</v>
      </c>
      <c r="M90" s="14" t="n">
        <v>1</v>
      </c>
      <c r="N90" s="14" t="n">
        <v>326</v>
      </c>
    </row>
    <row r="91" customFormat="false" ht="15" hidden="false" customHeight="true" outlineLevel="0" collapsed="false">
      <c r="A91" s="13" t="n">
        <v>2025</v>
      </c>
      <c r="B91" s="13" t="s">
        <v>24</v>
      </c>
      <c r="C91" s="13" t="s">
        <v>122</v>
      </c>
      <c r="D91" s="13" t="s">
        <v>128</v>
      </c>
      <c r="E91" s="13" t="s">
        <v>357</v>
      </c>
      <c r="F91" s="14" t="n">
        <v>4161</v>
      </c>
      <c r="G91" s="14" t="n">
        <v>2224</v>
      </c>
      <c r="H91" s="14" t="n">
        <v>32</v>
      </c>
      <c r="I91" s="14" t="n">
        <v>291</v>
      </c>
      <c r="J91" s="14" t="n">
        <v>671</v>
      </c>
      <c r="K91" s="14" t="n">
        <v>835</v>
      </c>
      <c r="L91" s="14" t="n">
        <v>378</v>
      </c>
      <c r="M91" s="14" t="n">
        <v>17</v>
      </c>
      <c r="N91" s="14" t="n">
        <v>1937</v>
      </c>
    </row>
    <row r="92" customFormat="false" ht="15" hidden="false" customHeight="true" outlineLevel="0" collapsed="false">
      <c r="A92" s="13" t="n">
        <v>2025</v>
      </c>
      <c r="B92" s="13" t="s">
        <v>24</v>
      </c>
      <c r="C92" s="13" t="s">
        <v>122</v>
      </c>
      <c r="D92" s="13" t="s">
        <v>203</v>
      </c>
      <c r="E92" s="13" t="s">
        <v>357</v>
      </c>
      <c r="F92" s="14" t="n">
        <v>235</v>
      </c>
      <c r="G92" s="14" t="n">
        <v>143</v>
      </c>
      <c r="H92" s="14" t="n">
        <v>2</v>
      </c>
      <c r="I92" s="14" t="n">
        <v>12</v>
      </c>
      <c r="J92" s="14" t="n">
        <v>28</v>
      </c>
      <c r="K92" s="14" t="n">
        <v>45</v>
      </c>
      <c r="L92" s="14" t="n">
        <v>51</v>
      </c>
      <c r="M92" s="14" t="n">
        <v>5</v>
      </c>
      <c r="N92" s="14" t="n">
        <v>92</v>
      </c>
    </row>
    <row r="93" customFormat="false" ht="15" hidden="false" customHeight="true" outlineLevel="0" collapsed="false">
      <c r="A93" s="13" t="n">
        <v>2025</v>
      </c>
      <c r="B93" s="13" t="s">
        <v>24</v>
      </c>
      <c r="C93" s="13" t="s">
        <v>122</v>
      </c>
      <c r="D93" s="13" t="s">
        <v>419</v>
      </c>
      <c r="E93" s="13" t="s">
        <v>357</v>
      </c>
      <c r="F93" s="14" t="n">
        <v>18</v>
      </c>
      <c r="G93" s="14" t="n">
        <v>11</v>
      </c>
      <c r="H93" s="14" t="n">
        <v>0</v>
      </c>
      <c r="I93" s="14" t="n">
        <v>6</v>
      </c>
      <c r="J93" s="14" t="n">
        <v>4</v>
      </c>
      <c r="K93" s="14" t="n">
        <v>1</v>
      </c>
      <c r="L93" s="14" t="n">
        <v>0</v>
      </c>
      <c r="M93" s="14" t="n">
        <v>0</v>
      </c>
      <c r="N93" s="14" t="n">
        <v>7</v>
      </c>
    </row>
    <row r="94" customFormat="false" ht="15" hidden="false" customHeight="true" outlineLevel="0" collapsed="false">
      <c r="A94" s="13" t="n">
        <v>2025</v>
      </c>
      <c r="B94" s="13" t="s">
        <v>24</v>
      </c>
      <c r="C94" s="13" t="s">
        <v>122</v>
      </c>
      <c r="D94" s="13" t="s">
        <v>129</v>
      </c>
      <c r="E94" s="13" t="s">
        <v>357</v>
      </c>
      <c r="F94" s="14" t="n">
        <v>17</v>
      </c>
      <c r="G94" s="14" t="n">
        <v>9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9</v>
      </c>
      <c r="N94" s="14" t="n">
        <v>8</v>
      </c>
    </row>
    <row r="95" customFormat="false" ht="15" hidden="false" customHeight="true" outlineLevel="0" collapsed="false">
      <c r="A95" s="13" t="n">
        <v>2025</v>
      </c>
      <c r="B95" s="13" t="s">
        <v>24</v>
      </c>
      <c r="C95" s="13" t="s">
        <v>122</v>
      </c>
      <c r="D95" s="13" t="s">
        <v>494</v>
      </c>
      <c r="E95" s="13" t="s">
        <v>357</v>
      </c>
      <c r="F95" s="14" t="n">
        <v>9</v>
      </c>
      <c r="G95" s="14" t="n">
        <v>2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2</v>
      </c>
      <c r="N95" s="14" t="n">
        <v>7</v>
      </c>
    </row>
    <row r="96" customFormat="false" ht="15" hidden="false" customHeight="true" outlineLevel="0" collapsed="false">
      <c r="A96" s="13" t="n">
        <v>2025</v>
      </c>
      <c r="B96" s="13" t="s">
        <v>487</v>
      </c>
      <c r="C96" s="13" t="s">
        <v>124</v>
      </c>
      <c r="D96" s="13" t="s">
        <v>123</v>
      </c>
      <c r="E96" s="13" t="s">
        <v>357</v>
      </c>
      <c r="F96" s="14" t="n">
        <v>236</v>
      </c>
      <c r="G96" s="14" t="n">
        <v>178</v>
      </c>
      <c r="H96" s="14" t="n">
        <v>77</v>
      </c>
      <c r="I96" s="14" t="n">
        <v>22</v>
      </c>
      <c r="J96" s="14" t="n">
        <v>22</v>
      </c>
      <c r="K96" s="14" t="n">
        <v>49</v>
      </c>
      <c r="L96" s="14" t="n">
        <v>7</v>
      </c>
      <c r="M96" s="14" t="n">
        <v>1</v>
      </c>
      <c r="N96" s="14" t="n">
        <v>58</v>
      </c>
    </row>
    <row r="97" customFormat="false" ht="15" hidden="false" customHeight="true" outlineLevel="0" collapsed="false">
      <c r="A97" s="13" t="n">
        <v>2025</v>
      </c>
      <c r="B97" s="13" t="s">
        <v>487</v>
      </c>
      <c r="C97" s="13" t="s">
        <v>124</v>
      </c>
      <c r="D97" s="13" t="s">
        <v>126</v>
      </c>
      <c r="E97" s="13" t="s">
        <v>357</v>
      </c>
      <c r="F97" s="14" t="n">
        <v>79</v>
      </c>
      <c r="G97" s="14" t="n">
        <v>57</v>
      </c>
      <c r="H97" s="14" t="n">
        <v>1</v>
      </c>
      <c r="I97" s="14" t="n">
        <v>2</v>
      </c>
      <c r="J97" s="14" t="n">
        <v>14</v>
      </c>
      <c r="K97" s="14" t="n">
        <v>18</v>
      </c>
      <c r="L97" s="14" t="n">
        <v>8</v>
      </c>
      <c r="M97" s="14" t="n">
        <v>14</v>
      </c>
      <c r="N97" s="14" t="n">
        <v>22</v>
      </c>
    </row>
    <row r="98" customFormat="false" ht="15" hidden="false" customHeight="true" outlineLevel="0" collapsed="false">
      <c r="A98" s="13" t="n">
        <v>2025</v>
      </c>
      <c r="B98" s="13" t="s">
        <v>487</v>
      </c>
      <c r="C98" s="13" t="s">
        <v>124</v>
      </c>
      <c r="D98" s="13" t="s">
        <v>202</v>
      </c>
      <c r="E98" s="13" t="s">
        <v>357</v>
      </c>
      <c r="F98" s="14" t="n">
        <v>206</v>
      </c>
      <c r="G98" s="14" t="n">
        <v>105</v>
      </c>
      <c r="H98" s="14" t="n">
        <v>0</v>
      </c>
      <c r="I98" s="14" t="n">
        <v>2</v>
      </c>
      <c r="J98" s="14" t="n">
        <v>13</v>
      </c>
      <c r="K98" s="14" t="n">
        <v>56</v>
      </c>
      <c r="L98" s="14" t="n">
        <v>34</v>
      </c>
      <c r="M98" s="14" t="n">
        <v>0</v>
      </c>
      <c r="N98" s="14" t="n">
        <v>101</v>
      </c>
    </row>
    <row r="99" customFormat="false" ht="15" hidden="false" customHeight="true" outlineLevel="0" collapsed="false">
      <c r="A99" s="13" t="n">
        <v>2025</v>
      </c>
      <c r="B99" s="13" t="s">
        <v>487</v>
      </c>
      <c r="C99" s="13" t="s">
        <v>124</v>
      </c>
      <c r="D99" s="13" t="s">
        <v>128</v>
      </c>
      <c r="E99" s="13" t="s">
        <v>357</v>
      </c>
      <c r="F99" s="14" t="n">
        <v>1504</v>
      </c>
      <c r="G99" s="14" t="n">
        <v>582</v>
      </c>
      <c r="H99" s="14" t="n">
        <v>1</v>
      </c>
      <c r="I99" s="14" t="n">
        <v>20</v>
      </c>
      <c r="J99" s="14" t="n">
        <v>123</v>
      </c>
      <c r="K99" s="14" t="n">
        <v>245</v>
      </c>
      <c r="L99" s="14" t="n">
        <v>182</v>
      </c>
      <c r="M99" s="14" t="n">
        <v>11</v>
      </c>
      <c r="N99" s="14" t="n">
        <v>922</v>
      </c>
    </row>
    <row r="100" customFormat="false" ht="15" hidden="false" customHeight="true" outlineLevel="0" collapsed="false">
      <c r="A100" s="13" t="n">
        <v>2025</v>
      </c>
      <c r="B100" s="13" t="s">
        <v>487</v>
      </c>
      <c r="C100" s="13" t="s">
        <v>124</v>
      </c>
      <c r="D100" s="13" t="s">
        <v>203</v>
      </c>
      <c r="E100" s="13" t="s">
        <v>357</v>
      </c>
      <c r="F100" s="14" t="n">
        <v>36</v>
      </c>
      <c r="G100" s="14" t="n">
        <v>21</v>
      </c>
      <c r="H100" s="14" t="n">
        <v>0</v>
      </c>
      <c r="I100" s="14" t="n">
        <v>1</v>
      </c>
      <c r="J100" s="14" t="n">
        <v>1</v>
      </c>
      <c r="K100" s="14" t="n">
        <v>7</v>
      </c>
      <c r="L100" s="14" t="n">
        <v>11</v>
      </c>
      <c r="M100" s="14" t="n">
        <v>1</v>
      </c>
      <c r="N100" s="14" t="n">
        <v>15</v>
      </c>
    </row>
    <row r="101" customFormat="false" ht="15" hidden="false" customHeight="true" outlineLevel="0" collapsed="false">
      <c r="A101" s="13" t="n">
        <v>2025</v>
      </c>
      <c r="B101" s="13" t="s">
        <v>487</v>
      </c>
      <c r="C101" s="13" t="s">
        <v>124</v>
      </c>
      <c r="D101" s="13" t="s">
        <v>419</v>
      </c>
      <c r="E101" s="13" t="s">
        <v>357</v>
      </c>
      <c r="F101" s="14" t="n">
        <v>12</v>
      </c>
      <c r="G101" s="14" t="n">
        <v>5</v>
      </c>
      <c r="H101" s="14" t="n">
        <v>0</v>
      </c>
      <c r="I101" s="14" t="n">
        <v>0</v>
      </c>
      <c r="J101" s="14" t="n">
        <v>3</v>
      </c>
      <c r="K101" s="14" t="n">
        <v>2</v>
      </c>
      <c r="L101" s="14" t="n">
        <v>0</v>
      </c>
      <c r="M101" s="14" t="n">
        <v>0</v>
      </c>
      <c r="N101" s="14" t="n">
        <v>7</v>
      </c>
    </row>
    <row r="102" customFormat="false" ht="15" hidden="false" customHeight="true" outlineLevel="0" collapsed="false">
      <c r="A102" s="13" t="n">
        <v>2025</v>
      </c>
      <c r="B102" s="13" t="s">
        <v>487</v>
      </c>
      <c r="C102" s="13" t="s">
        <v>122</v>
      </c>
      <c r="D102" s="13" t="s">
        <v>123</v>
      </c>
      <c r="E102" s="13" t="s">
        <v>357</v>
      </c>
      <c r="F102" s="14" t="n">
        <v>436</v>
      </c>
      <c r="G102" s="14" t="n">
        <v>353</v>
      </c>
      <c r="H102" s="14" t="n">
        <v>186</v>
      </c>
      <c r="I102" s="14" t="n">
        <v>48</v>
      </c>
      <c r="J102" s="14" t="n">
        <v>39</v>
      </c>
      <c r="K102" s="14" t="n">
        <v>55</v>
      </c>
      <c r="L102" s="14" t="n">
        <v>22</v>
      </c>
      <c r="M102" s="14" t="n">
        <v>3</v>
      </c>
      <c r="N102" s="14" t="n">
        <v>83</v>
      </c>
    </row>
    <row r="103" customFormat="false" ht="15" hidden="false" customHeight="true" outlineLevel="0" collapsed="false">
      <c r="A103" s="13" t="n">
        <v>2025</v>
      </c>
      <c r="B103" s="13" t="s">
        <v>487</v>
      </c>
      <c r="C103" s="13" t="s">
        <v>122</v>
      </c>
      <c r="D103" s="13" t="s">
        <v>126</v>
      </c>
      <c r="E103" s="13" t="s">
        <v>357</v>
      </c>
      <c r="F103" s="14" t="n">
        <v>33</v>
      </c>
      <c r="G103" s="14" t="n">
        <v>28</v>
      </c>
      <c r="H103" s="14" t="n">
        <v>0</v>
      </c>
      <c r="I103" s="14" t="n">
        <v>1</v>
      </c>
      <c r="J103" s="14" t="n">
        <v>2</v>
      </c>
      <c r="K103" s="14" t="n">
        <v>14</v>
      </c>
      <c r="L103" s="14" t="n">
        <v>4</v>
      </c>
      <c r="M103" s="14" t="n">
        <v>7</v>
      </c>
      <c r="N103" s="14" t="n">
        <v>5</v>
      </c>
    </row>
    <row r="104" customFormat="false" ht="15" hidden="false" customHeight="true" outlineLevel="0" collapsed="false">
      <c r="A104" s="13" t="n">
        <v>2025</v>
      </c>
      <c r="B104" s="13" t="s">
        <v>487</v>
      </c>
      <c r="C104" s="13" t="s">
        <v>122</v>
      </c>
      <c r="D104" s="13" t="s">
        <v>202</v>
      </c>
      <c r="E104" s="13" t="s">
        <v>357</v>
      </c>
      <c r="F104" s="14" t="n">
        <v>83</v>
      </c>
      <c r="G104" s="14" t="n">
        <v>48</v>
      </c>
      <c r="H104" s="14" t="n">
        <v>1</v>
      </c>
      <c r="I104" s="14" t="n">
        <v>2</v>
      </c>
      <c r="J104" s="14" t="n">
        <v>6</v>
      </c>
      <c r="K104" s="14" t="n">
        <v>25</v>
      </c>
      <c r="L104" s="14" t="n">
        <v>14</v>
      </c>
      <c r="M104" s="14" t="n">
        <v>0</v>
      </c>
      <c r="N104" s="14" t="n">
        <v>35</v>
      </c>
    </row>
    <row r="105" customFormat="false" ht="15" hidden="false" customHeight="true" outlineLevel="0" collapsed="false">
      <c r="A105" s="13" t="n">
        <v>2025</v>
      </c>
      <c r="B105" s="13" t="s">
        <v>487</v>
      </c>
      <c r="C105" s="13" t="s">
        <v>122</v>
      </c>
      <c r="D105" s="13" t="s">
        <v>128</v>
      </c>
      <c r="E105" s="13" t="s">
        <v>357</v>
      </c>
      <c r="F105" s="14" t="n">
        <v>750</v>
      </c>
      <c r="G105" s="14" t="n">
        <v>459</v>
      </c>
      <c r="H105" s="14" t="n">
        <v>6</v>
      </c>
      <c r="I105" s="14" t="n">
        <v>74</v>
      </c>
      <c r="J105" s="14" t="n">
        <v>181</v>
      </c>
      <c r="K105" s="14" t="n">
        <v>160</v>
      </c>
      <c r="L105" s="14" t="n">
        <v>37</v>
      </c>
      <c r="M105" s="14" t="n">
        <v>1</v>
      </c>
      <c r="N105" s="14" t="n">
        <v>291</v>
      </c>
    </row>
    <row r="106" customFormat="false" ht="15" hidden="false" customHeight="true" outlineLevel="0" collapsed="false">
      <c r="A106" s="13" t="n">
        <v>2025</v>
      </c>
      <c r="B106" s="13" t="s">
        <v>487</v>
      </c>
      <c r="C106" s="13" t="s">
        <v>122</v>
      </c>
      <c r="D106" s="13" t="s">
        <v>203</v>
      </c>
      <c r="E106" s="13" t="s">
        <v>357</v>
      </c>
      <c r="F106" s="14" t="n">
        <v>1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1</v>
      </c>
    </row>
    <row r="107" customFormat="false" ht="15" hidden="false" customHeight="true" outlineLevel="0" collapsed="false">
      <c r="A107" s="13" t="n">
        <v>2025</v>
      </c>
      <c r="B107" s="13" t="s">
        <v>487</v>
      </c>
      <c r="C107" s="13" t="s">
        <v>122</v>
      </c>
      <c r="D107" s="13" t="s">
        <v>419</v>
      </c>
      <c r="E107" s="13" t="s">
        <v>357</v>
      </c>
      <c r="F107" s="14" t="n">
        <v>6</v>
      </c>
      <c r="G107" s="14" t="n">
        <v>3</v>
      </c>
      <c r="H107" s="14" t="n">
        <v>0</v>
      </c>
      <c r="I107" s="14" t="n">
        <v>1</v>
      </c>
      <c r="J107" s="14" t="n">
        <v>2</v>
      </c>
      <c r="K107" s="14" t="n">
        <v>0</v>
      </c>
      <c r="L107" s="14" t="n">
        <v>0</v>
      </c>
      <c r="M107" s="14" t="n">
        <v>0</v>
      </c>
      <c r="N107" s="14" t="n">
        <v>3</v>
      </c>
    </row>
    <row r="108" customFormat="false" ht="15" hidden="false" customHeight="true" outlineLevel="0" collapsed="false">
      <c r="A108" s="13" t="n">
        <v>2025</v>
      </c>
      <c r="B108" s="13" t="s">
        <v>487</v>
      </c>
      <c r="C108" s="13" t="s">
        <v>122</v>
      </c>
      <c r="D108" s="13" t="s">
        <v>494</v>
      </c>
      <c r="E108" s="13" t="s">
        <v>357</v>
      </c>
      <c r="F108" s="14" t="n">
        <v>1</v>
      </c>
      <c r="G108" s="14" t="n">
        <v>1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1</v>
      </c>
      <c r="N108" s="14" t="n">
        <v>0</v>
      </c>
    </row>
    <row r="109" customFormat="false" ht="15" hidden="false" customHeight="true" outlineLevel="0" collapsed="false">
      <c r="A109" s="13" t="n">
        <v>2025</v>
      </c>
      <c r="B109" s="13" t="s">
        <v>488</v>
      </c>
      <c r="C109" s="13" t="s">
        <v>124</v>
      </c>
      <c r="D109" s="13" t="s">
        <v>123</v>
      </c>
      <c r="E109" s="13" t="s">
        <v>357</v>
      </c>
      <c r="F109" s="14" t="n">
        <v>209</v>
      </c>
      <c r="G109" s="14" t="n">
        <v>144</v>
      </c>
      <c r="H109" s="14" t="n">
        <v>67</v>
      </c>
      <c r="I109" s="14" t="n">
        <v>9</v>
      </c>
      <c r="J109" s="14" t="n">
        <v>7</v>
      </c>
      <c r="K109" s="14" t="n">
        <v>52</v>
      </c>
      <c r="L109" s="14" t="n">
        <v>9</v>
      </c>
      <c r="M109" s="14" t="n">
        <v>0</v>
      </c>
      <c r="N109" s="14" t="n">
        <v>65</v>
      </c>
    </row>
    <row r="110" customFormat="false" ht="15" hidden="false" customHeight="true" outlineLevel="0" collapsed="false">
      <c r="A110" s="13" t="n">
        <v>2025</v>
      </c>
      <c r="B110" s="13" t="s">
        <v>488</v>
      </c>
      <c r="C110" s="13" t="s">
        <v>124</v>
      </c>
      <c r="D110" s="13" t="s">
        <v>126</v>
      </c>
      <c r="E110" s="13" t="s">
        <v>357</v>
      </c>
      <c r="F110" s="14" t="n">
        <v>59</v>
      </c>
      <c r="G110" s="14" t="n">
        <v>33</v>
      </c>
      <c r="H110" s="14" t="n">
        <v>0</v>
      </c>
      <c r="I110" s="14" t="n">
        <v>3</v>
      </c>
      <c r="J110" s="14" t="n">
        <v>3</v>
      </c>
      <c r="K110" s="14" t="n">
        <v>15</v>
      </c>
      <c r="L110" s="14" t="n">
        <v>7</v>
      </c>
      <c r="M110" s="14" t="n">
        <v>5</v>
      </c>
      <c r="N110" s="14" t="n">
        <v>26</v>
      </c>
    </row>
    <row r="111" customFormat="false" ht="15" hidden="false" customHeight="true" outlineLevel="0" collapsed="false">
      <c r="A111" s="13" t="n">
        <v>2025</v>
      </c>
      <c r="B111" s="13" t="s">
        <v>488</v>
      </c>
      <c r="C111" s="13" t="s">
        <v>124</v>
      </c>
      <c r="D111" s="13" t="s">
        <v>202</v>
      </c>
      <c r="E111" s="13" t="s">
        <v>357</v>
      </c>
      <c r="F111" s="14" t="n">
        <v>232</v>
      </c>
      <c r="G111" s="14" t="n">
        <v>136</v>
      </c>
      <c r="H111" s="14" t="n">
        <v>0</v>
      </c>
      <c r="I111" s="14" t="n">
        <v>0</v>
      </c>
      <c r="J111" s="14" t="n">
        <v>3</v>
      </c>
      <c r="K111" s="14" t="n">
        <v>69</v>
      </c>
      <c r="L111" s="14" t="n">
        <v>64</v>
      </c>
      <c r="M111" s="14" t="n">
        <v>0</v>
      </c>
      <c r="N111" s="14" t="n">
        <v>96</v>
      </c>
    </row>
    <row r="112" customFormat="false" ht="15" hidden="false" customHeight="true" outlineLevel="0" collapsed="false">
      <c r="A112" s="13" t="n">
        <v>2025</v>
      </c>
      <c r="B112" s="13" t="s">
        <v>488</v>
      </c>
      <c r="C112" s="13" t="s">
        <v>124</v>
      </c>
      <c r="D112" s="13" t="s">
        <v>128</v>
      </c>
      <c r="E112" s="13" t="s">
        <v>357</v>
      </c>
      <c r="F112" s="14" t="n">
        <v>833</v>
      </c>
      <c r="G112" s="14" t="n">
        <v>360</v>
      </c>
      <c r="H112" s="14" t="n">
        <v>0</v>
      </c>
      <c r="I112" s="14" t="n">
        <v>11</v>
      </c>
      <c r="J112" s="14" t="n">
        <v>59</v>
      </c>
      <c r="K112" s="14" t="n">
        <v>173</v>
      </c>
      <c r="L112" s="14" t="n">
        <v>111</v>
      </c>
      <c r="M112" s="14" t="n">
        <v>6</v>
      </c>
      <c r="N112" s="14" t="n">
        <v>473</v>
      </c>
    </row>
    <row r="113" customFormat="false" ht="15" hidden="false" customHeight="true" outlineLevel="0" collapsed="false">
      <c r="A113" s="13" t="n">
        <v>2025</v>
      </c>
      <c r="B113" s="13" t="s">
        <v>488</v>
      </c>
      <c r="C113" s="13" t="s">
        <v>124</v>
      </c>
      <c r="D113" s="13" t="s">
        <v>203</v>
      </c>
      <c r="E113" s="13" t="s">
        <v>357</v>
      </c>
      <c r="F113" s="14" t="n">
        <v>34</v>
      </c>
      <c r="G113" s="14" t="n">
        <v>9</v>
      </c>
      <c r="H113" s="14" t="n">
        <v>0</v>
      </c>
      <c r="I113" s="14" t="n">
        <v>0</v>
      </c>
      <c r="J113" s="14" t="n">
        <v>1</v>
      </c>
      <c r="K113" s="14" t="n">
        <v>4</v>
      </c>
      <c r="L113" s="14" t="n">
        <v>4</v>
      </c>
      <c r="M113" s="14" t="n">
        <v>0</v>
      </c>
      <c r="N113" s="14" t="n">
        <v>25</v>
      </c>
    </row>
    <row r="114" customFormat="false" ht="15" hidden="false" customHeight="true" outlineLevel="0" collapsed="false">
      <c r="A114" s="13" t="n">
        <v>2025</v>
      </c>
      <c r="B114" s="13" t="s">
        <v>488</v>
      </c>
      <c r="C114" s="13" t="s">
        <v>124</v>
      </c>
      <c r="D114" s="13" t="s">
        <v>419</v>
      </c>
      <c r="E114" s="13" t="s">
        <v>357</v>
      </c>
      <c r="F114" s="14" t="n">
        <v>13</v>
      </c>
      <c r="G114" s="14" t="n">
        <v>3</v>
      </c>
      <c r="H114" s="14" t="n">
        <v>0</v>
      </c>
      <c r="I114" s="14" t="n">
        <v>0</v>
      </c>
      <c r="J114" s="14" t="n">
        <v>1</v>
      </c>
      <c r="K114" s="14" t="n">
        <v>2</v>
      </c>
      <c r="L114" s="14" t="n">
        <v>0</v>
      </c>
      <c r="M114" s="14" t="n">
        <v>0</v>
      </c>
      <c r="N114" s="14" t="n">
        <v>10</v>
      </c>
    </row>
    <row r="115" customFormat="false" ht="15" hidden="false" customHeight="true" outlineLevel="0" collapsed="false">
      <c r="A115" s="13" t="n">
        <v>2025</v>
      </c>
      <c r="B115" s="13" t="s">
        <v>488</v>
      </c>
      <c r="C115" s="13" t="s">
        <v>124</v>
      </c>
      <c r="D115" s="13" t="s">
        <v>129</v>
      </c>
      <c r="E115" s="13" t="s">
        <v>357</v>
      </c>
      <c r="F115" s="14" t="n">
        <v>2</v>
      </c>
      <c r="G115" s="14" t="n">
        <v>1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1</v>
      </c>
      <c r="N115" s="14" t="n">
        <v>1</v>
      </c>
    </row>
    <row r="116" customFormat="false" ht="15" hidden="false" customHeight="true" outlineLevel="0" collapsed="false">
      <c r="A116" s="13" t="n">
        <v>2025</v>
      </c>
      <c r="B116" s="13" t="s">
        <v>488</v>
      </c>
      <c r="C116" s="13" t="s">
        <v>124</v>
      </c>
      <c r="D116" s="13" t="s">
        <v>494</v>
      </c>
      <c r="E116" s="13" t="s">
        <v>357</v>
      </c>
      <c r="F116" s="14" t="n">
        <v>1</v>
      </c>
      <c r="G116" s="14" t="n">
        <v>0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1</v>
      </c>
    </row>
    <row r="117" customFormat="false" ht="15" hidden="false" customHeight="true" outlineLevel="0" collapsed="false">
      <c r="A117" s="13" t="n">
        <v>2025</v>
      </c>
      <c r="B117" s="13" t="s">
        <v>488</v>
      </c>
      <c r="C117" s="13" t="s">
        <v>122</v>
      </c>
      <c r="D117" s="13" t="s">
        <v>123</v>
      </c>
      <c r="E117" s="13" t="s">
        <v>357</v>
      </c>
      <c r="F117" s="14" t="n">
        <v>486</v>
      </c>
      <c r="G117" s="14" t="n">
        <v>355</v>
      </c>
      <c r="H117" s="14" t="n">
        <v>197</v>
      </c>
      <c r="I117" s="14" t="n">
        <v>35</v>
      </c>
      <c r="J117" s="14" t="n">
        <v>27</v>
      </c>
      <c r="K117" s="14" t="n">
        <v>75</v>
      </c>
      <c r="L117" s="14" t="n">
        <v>19</v>
      </c>
      <c r="M117" s="14" t="n">
        <v>2</v>
      </c>
      <c r="N117" s="14" t="n">
        <v>131</v>
      </c>
    </row>
    <row r="118" customFormat="false" ht="15" hidden="false" customHeight="true" outlineLevel="0" collapsed="false">
      <c r="A118" s="13" t="n">
        <v>2025</v>
      </c>
      <c r="B118" s="13" t="s">
        <v>488</v>
      </c>
      <c r="C118" s="13" t="s">
        <v>122</v>
      </c>
      <c r="D118" s="13" t="s">
        <v>126</v>
      </c>
      <c r="E118" s="13" t="s">
        <v>357</v>
      </c>
      <c r="F118" s="14" t="n">
        <v>29</v>
      </c>
      <c r="G118" s="14" t="n">
        <v>17</v>
      </c>
      <c r="H118" s="14" t="n">
        <v>1</v>
      </c>
      <c r="I118" s="14" t="n">
        <v>0</v>
      </c>
      <c r="J118" s="14" t="n">
        <v>2</v>
      </c>
      <c r="K118" s="14" t="n">
        <v>6</v>
      </c>
      <c r="L118" s="14" t="n">
        <v>1</v>
      </c>
      <c r="M118" s="14" t="n">
        <v>7</v>
      </c>
      <c r="N118" s="14" t="n">
        <v>12</v>
      </c>
    </row>
    <row r="119" customFormat="false" ht="15" hidden="false" customHeight="true" outlineLevel="0" collapsed="false">
      <c r="A119" s="13" t="n">
        <v>2025</v>
      </c>
      <c r="B119" s="13" t="s">
        <v>488</v>
      </c>
      <c r="C119" s="13" t="s">
        <v>122</v>
      </c>
      <c r="D119" s="13" t="s">
        <v>202</v>
      </c>
      <c r="E119" s="13" t="s">
        <v>357</v>
      </c>
      <c r="F119" s="14" t="n">
        <v>100</v>
      </c>
      <c r="G119" s="14" t="n">
        <v>67</v>
      </c>
      <c r="H119" s="14" t="n">
        <v>1</v>
      </c>
      <c r="I119" s="14" t="n">
        <v>0</v>
      </c>
      <c r="J119" s="14" t="n">
        <v>4</v>
      </c>
      <c r="K119" s="14" t="n">
        <v>41</v>
      </c>
      <c r="L119" s="14" t="n">
        <v>21</v>
      </c>
      <c r="M119" s="14" t="n">
        <v>0</v>
      </c>
      <c r="N119" s="14" t="n">
        <v>33</v>
      </c>
    </row>
    <row r="120" customFormat="false" ht="15" hidden="false" customHeight="true" outlineLevel="0" collapsed="false">
      <c r="A120" s="13" t="n">
        <v>2025</v>
      </c>
      <c r="B120" s="13" t="s">
        <v>488</v>
      </c>
      <c r="C120" s="13" t="s">
        <v>122</v>
      </c>
      <c r="D120" s="13" t="s">
        <v>128</v>
      </c>
      <c r="E120" s="13" t="s">
        <v>357</v>
      </c>
      <c r="F120" s="14" t="n">
        <v>742</v>
      </c>
      <c r="G120" s="14" t="n">
        <v>392</v>
      </c>
      <c r="H120" s="14" t="n">
        <v>4</v>
      </c>
      <c r="I120" s="14" t="n">
        <v>47</v>
      </c>
      <c r="J120" s="14" t="n">
        <v>121</v>
      </c>
      <c r="K120" s="14" t="n">
        <v>163</v>
      </c>
      <c r="L120" s="14" t="n">
        <v>55</v>
      </c>
      <c r="M120" s="14" t="n">
        <v>2</v>
      </c>
      <c r="N120" s="14" t="n">
        <v>350</v>
      </c>
    </row>
    <row r="121" customFormat="false" ht="15" hidden="false" customHeight="true" outlineLevel="0" collapsed="false">
      <c r="A121" s="13" t="n">
        <v>2025</v>
      </c>
      <c r="B121" s="13" t="s">
        <v>488</v>
      </c>
      <c r="C121" s="13" t="s">
        <v>122</v>
      </c>
      <c r="D121" s="13" t="s">
        <v>203</v>
      </c>
      <c r="E121" s="13" t="s">
        <v>357</v>
      </c>
      <c r="F121" s="14" t="n">
        <v>10</v>
      </c>
      <c r="G121" s="14" t="n">
        <v>5</v>
      </c>
      <c r="H121" s="14" t="n">
        <v>0</v>
      </c>
      <c r="I121" s="14" t="n">
        <v>0</v>
      </c>
      <c r="J121" s="14" t="n">
        <v>3</v>
      </c>
      <c r="K121" s="14" t="n">
        <v>2</v>
      </c>
      <c r="L121" s="14" t="n">
        <v>0</v>
      </c>
      <c r="M121" s="14" t="n">
        <v>0</v>
      </c>
      <c r="N121" s="14" t="n">
        <v>5</v>
      </c>
    </row>
    <row r="122" customFormat="false" ht="15" hidden="false" customHeight="true" outlineLevel="0" collapsed="false">
      <c r="A122" s="13" t="n">
        <v>2025</v>
      </c>
      <c r="B122" s="13" t="s">
        <v>488</v>
      </c>
      <c r="C122" s="13" t="s">
        <v>122</v>
      </c>
      <c r="D122" s="13" t="s">
        <v>419</v>
      </c>
      <c r="E122" s="13" t="s">
        <v>357</v>
      </c>
      <c r="F122" s="14" t="n">
        <v>7</v>
      </c>
      <c r="G122" s="14" t="n">
        <v>3</v>
      </c>
      <c r="H122" s="14" t="n">
        <v>0</v>
      </c>
      <c r="I122" s="14" t="n">
        <v>1</v>
      </c>
      <c r="J122" s="14" t="n">
        <v>2</v>
      </c>
      <c r="K122" s="14" t="n">
        <v>0</v>
      </c>
      <c r="L122" s="14" t="n">
        <v>0</v>
      </c>
      <c r="M122" s="14" t="n">
        <v>0</v>
      </c>
      <c r="N122" s="14" t="n">
        <v>4</v>
      </c>
    </row>
    <row r="123" customFormat="false" ht="15" hidden="false" customHeight="true" outlineLevel="0" collapsed="false">
      <c r="A123" s="13" t="n">
        <v>2025</v>
      </c>
      <c r="B123" s="13" t="s">
        <v>488</v>
      </c>
      <c r="C123" s="13" t="s">
        <v>122</v>
      </c>
      <c r="D123" s="13" t="s">
        <v>129</v>
      </c>
      <c r="E123" s="13" t="s">
        <v>357</v>
      </c>
      <c r="F123" s="14" t="n">
        <v>1</v>
      </c>
      <c r="G123" s="14" t="n">
        <v>0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1</v>
      </c>
    </row>
    <row r="124" customFormat="false" ht="15" hidden="false" customHeight="true" outlineLevel="0" collapsed="false">
      <c r="A124" s="13" t="n">
        <v>2025</v>
      </c>
      <c r="B124" s="13" t="s">
        <v>488</v>
      </c>
      <c r="C124" s="13" t="s">
        <v>122</v>
      </c>
      <c r="D124" s="13" t="s">
        <v>494</v>
      </c>
      <c r="E124" s="13" t="s">
        <v>357</v>
      </c>
      <c r="F124" s="14" t="n">
        <v>11</v>
      </c>
      <c r="G124" s="14" t="n">
        <v>4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4</v>
      </c>
      <c r="N124" s="14" t="n">
        <v>7</v>
      </c>
    </row>
    <row r="125" customFormat="false" ht="15" hidden="false" customHeight="true" outlineLevel="0" collapsed="false">
      <c r="A125" s="13" t="n">
        <v>2026</v>
      </c>
      <c r="B125" s="13" t="s">
        <v>484</v>
      </c>
      <c r="C125" s="13" t="s">
        <v>124</v>
      </c>
      <c r="D125" s="13" t="s">
        <v>123</v>
      </c>
      <c r="E125" s="13" t="s">
        <v>357</v>
      </c>
      <c r="F125" s="14" t="n">
        <v>71</v>
      </c>
      <c r="G125" s="14" t="n">
        <v>52</v>
      </c>
      <c r="H125" s="14" t="n">
        <v>26</v>
      </c>
      <c r="I125" s="14" t="n">
        <v>7</v>
      </c>
      <c r="J125" s="14" t="n">
        <v>7</v>
      </c>
      <c r="K125" s="14" t="n">
        <v>8</v>
      </c>
      <c r="L125" s="14" t="n">
        <v>3</v>
      </c>
      <c r="M125" s="14" t="n">
        <v>1</v>
      </c>
      <c r="N125" s="14" t="n">
        <v>19</v>
      </c>
    </row>
    <row r="126" customFormat="false" ht="15" hidden="false" customHeight="true" outlineLevel="0" collapsed="false">
      <c r="A126" s="13" t="n">
        <v>2026</v>
      </c>
      <c r="B126" s="13" t="s">
        <v>484</v>
      </c>
      <c r="C126" s="13" t="s">
        <v>124</v>
      </c>
      <c r="D126" s="13" t="s">
        <v>126</v>
      </c>
      <c r="E126" s="13" t="s">
        <v>357</v>
      </c>
      <c r="F126" s="14" t="n">
        <v>28</v>
      </c>
      <c r="G126" s="14" t="n">
        <v>14</v>
      </c>
      <c r="H126" s="14" t="n">
        <v>0</v>
      </c>
      <c r="I126" s="14" t="n">
        <v>2</v>
      </c>
      <c r="J126" s="14" t="n">
        <v>0</v>
      </c>
      <c r="K126" s="14" t="n">
        <v>5</v>
      </c>
      <c r="L126" s="14" t="n">
        <v>2</v>
      </c>
      <c r="M126" s="14" t="n">
        <v>5</v>
      </c>
      <c r="N126" s="14" t="n">
        <v>14</v>
      </c>
    </row>
    <row r="127" customFormat="false" ht="15" hidden="false" customHeight="true" outlineLevel="0" collapsed="false">
      <c r="A127" s="13" t="n">
        <v>2026</v>
      </c>
      <c r="B127" s="13" t="s">
        <v>484</v>
      </c>
      <c r="C127" s="13" t="s">
        <v>124</v>
      </c>
      <c r="D127" s="13" t="s">
        <v>202</v>
      </c>
      <c r="E127" s="13" t="s">
        <v>357</v>
      </c>
      <c r="F127" s="14" t="n">
        <v>102</v>
      </c>
      <c r="G127" s="14" t="n">
        <v>49</v>
      </c>
      <c r="H127" s="14" t="n">
        <v>1</v>
      </c>
      <c r="I127" s="14" t="n">
        <v>0</v>
      </c>
      <c r="J127" s="14" t="n">
        <v>11</v>
      </c>
      <c r="K127" s="14" t="n">
        <v>21</v>
      </c>
      <c r="L127" s="14" t="n">
        <v>16</v>
      </c>
      <c r="M127" s="14" t="n">
        <v>0</v>
      </c>
      <c r="N127" s="14" t="n">
        <v>53</v>
      </c>
    </row>
    <row r="128" customFormat="false" ht="15" hidden="false" customHeight="true" outlineLevel="0" collapsed="false">
      <c r="A128" s="13" t="n">
        <v>2026</v>
      </c>
      <c r="B128" s="13" t="s">
        <v>484</v>
      </c>
      <c r="C128" s="13" t="s">
        <v>124</v>
      </c>
      <c r="D128" s="13" t="s">
        <v>128</v>
      </c>
      <c r="E128" s="13" t="s">
        <v>357</v>
      </c>
      <c r="F128" s="14" t="n">
        <v>1449</v>
      </c>
      <c r="G128" s="14" t="n">
        <v>247</v>
      </c>
      <c r="H128" s="14" t="n">
        <v>4</v>
      </c>
      <c r="I128" s="14" t="n">
        <v>20</v>
      </c>
      <c r="J128" s="14" t="n">
        <v>63</v>
      </c>
      <c r="K128" s="14" t="n">
        <v>86</v>
      </c>
      <c r="L128" s="14" t="n">
        <v>73</v>
      </c>
      <c r="M128" s="14" t="n">
        <v>1</v>
      </c>
      <c r="N128" s="14" t="n">
        <v>1202</v>
      </c>
    </row>
    <row r="129" customFormat="false" ht="15" hidden="false" customHeight="true" outlineLevel="0" collapsed="false">
      <c r="A129" s="13" t="n">
        <v>2026</v>
      </c>
      <c r="B129" s="13" t="s">
        <v>484</v>
      </c>
      <c r="C129" s="13" t="s">
        <v>124</v>
      </c>
      <c r="D129" s="13" t="s">
        <v>203</v>
      </c>
      <c r="E129" s="13" t="s">
        <v>357</v>
      </c>
      <c r="F129" s="14" t="n">
        <v>17</v>
      </c>
      <c r="G129" s="14" t="n">
        <v>8</v>
      </c>
      <c r="H129" s="14" t="n">
        <v>1</v>
      </c>
      <c r="I129" s="14" t="n">
        <v>0</v>
      </c>
      <c r="J129" s="14" t="n">
        <v>0</v>
      </c>
      <c r="K129" s="14" t="n">
        <v>1</v>
      </c>
      <c r="L129" s="14" t="n">
        <v>6</v>
      </c>
      <c r="M129" s="14" t="n">
        <v>0</v>
      </c>
      <c r="N129" s="14" t="n">
        <v>9</v>
      </c>
    </row>
    <row r="130" customFormat="false" ht="15" hidden="false" customHeight="true" outlineLevel="0" collapsed="false">
      <c r="A130" s="13" t="n">
        <v>2026</v>
      </c>
      <c r="B130" s="13" t="s">
        <v>484</v>
      </c>
      <c r="C130" s="13" t="s">
        <v>124</v>
      </c>
      <c r="D130" s="13" t="s">
        <v>419</v>
      </c>
      <c r="E130" s="13" t="s">
        <v>357</v>
      </c>
      <c r="F130" s="14" t="n">
        <v>3</v>
      </c>
      <c r="G130" s="14" t="n">
        <v>0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3</v>
      </c>
    </row>
    <row r="131" customFormat="false" ht="15" hidden="false" customHeight="true" outlineLevel="0" collapsed="false">
      <c r="A131" s="13" t="n">
        <v>2026</v>
      </c>
      <c r="B131" s="13" t="s">
        <v>484</v>
      </c>
      <c r="C131" s="13" t="s">
        <v>124</v>
      </c>
      <c r="D131" s="13" t="s">
        <v>129</v>
      </c>
      <c r="E131" s="13" t="s">
        <v>357</v>
      </c>
      <c r="F131" s="14" t="n">
        <v>2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2</v>
      </c>
    </row>
    <row r="132" customFormat="false" ht="15" hidden="false" customHeight="true" outlineLevel="0" collapsed="false">
      <c r="A132" s="13" t="n">
        <v>2026</v>
      </c>
      <c r="B132" s="13" t="s">
        <v>484</v>
      </c>
      <c r="C132" s="13" t="s">
        <v>122</v>
      </c>
      <c r="D132" s="13" t="s">
        <v>123</v>
      </c>
      <c r="E132" s="13" t="s">
        <v>357</v>
      </c>
      <c r="F132" s="14" t="n">
        <v>126</v>
      </c>
      <c r="G132" s="14" t="n">
        <v>87</v>
      </c>
      <c r="H132" s="14" t="n">
        <v>42</v>
      </c>
      <c r="I132" s="14" t="n">
        <v>14</v>
      </c>
      <c r="J132" s="14" t="n">
        <v>10</v>
      </c>
      <c r="K132" s="14" t="n">
        <v>20</v>
      </c>
      <c r="L132" s="14" t="n">
        <v>1</v>
      </c>
      <c r="M132" s="14" t="n">
        <v>0</v>
      </c>
      <c r="N132" s="14" t="n">
        <v>39</v>
      </c>
    </row>
    <row r="133" customFormat="false" ht="15" hidden="false" customHeight="true" outlineLevel="0" collapsed="false">
      <c r="A133" s="13" t="n">
        <v>2026</v>
      </c>
      <c r="B133" s="13" t="s">
        <v>484</v>
      </c>
      <c r="C133" s="13" t="s">
        <v>122</v>
      </c>
      <c r="D133" s="13" t="s">
        <v>126</v>
      </c>
      <c r="E133" s="13" t="s">
        <v>357</v>
      </c>
      <c r="F133" s="14" t="n">
        <v>12</v>
      </c>
      <c r="G133" s="14" t="n">
        <v>11</v>
      </c>
      <c r="H133" s="14" t="n">
        <v>0</v>
      </c>
      <c r="I133" s="14" t="n">
        <v>0</v>
      </c>
      <c r="J133" s="14" t="n">
        <v>0</v>
      </c>
      <c r="K133" s="14" t="n">
        <v>1</v>
      </c>
      <c r="L133" s="14" t="n">
        <v>0</v>
      </c>
      <c r="M133" s="14" t="n">
        <v>10</v>
      </c>
      <c r="N133" s="14" t="n">
        <v>1</v>
      </c>
    </row>
    <row r="134" customFormat="false" ht="15" hidden="false" customHeight="true" outlineLevel="0" collapsed="false">
      <c r="A134" s="13" t="n">
        <v>2026</v>
      </c>
      <c r="B134" s="13" t="s">
        <v>484</v>
      </c>
      <c r="C134" s="13" t="s">
        <v>122</v>
      </c>
      <c r="D134" s="13" t="s">
        <v>202</v>
      </c>
      <c r="E134" s="13" t="s">
        <v>357</v>
      </c>
      <c r="F134" s="14" t="n">
        <v>32</v>
      </c>
      <c r="G134" s="14" t="n">
        <v>19</v>
      </c>
      <c r="H134" s="14" t="n">
        <v>0</v>
      </c>
      <c r="I134" s="14" t="n">
        <v>0</v>
      </c>
      <c r="J134" s="14" t="n">
        <v>3</v>
      </c>
      <c r="K134" s="14" t="n">
        <v>11</v>
      </c>
      <c r="L134" s="14" t="n">
        <v>5</v>
      </c>
      <c r="M134" s="14" t="n">
        <v>0</v>
      </c>
      <c r="N134" s="14" t="n">
        <v>13</v>
      </c>
    </row>
    <row r="135" customFormat="false" ht="15" hidden="false" customHeight="true" outlineLevel="0" collapsed="false">
      <c r="A135" s="13" t="n">
        <v>2026</v>
      </c>
      <c r="B135" s="13" t="s">
        <v>484</v>
      </c>
      <c r="C135" s="13" t="s">
        <v>122</v>
      </c>
      <c r="D135" s="13" t="s">
        <v>128</v>
      </c>
      <c r="E135" s="13" t="s">
        <v>357</v>
      </c>
      <c r="F135" s="14" t="n">
        <v>591</v>
      </c>
      <c r="G135" s="14" t="n">
        <v>247</v>
      </c>
      <c r="H135" s="14" t="n">
        <v>12</v>
      </c>
      <c r="I135" s="14" t="n">
        <v>31</v>
      </c>
      <c r="J135" s="14" t="n">
        <v>90</v>
      </c>
      <c r="K135" s="14" t="n">
        <v>77</v>
      </c>
      <c r="L135" s="14" t="n">
        <v>36</v>
      </c>
      <c r="M135" s="14" t="n">
        <v>1</v>
      </c>
      <c r="N135" s="14" t="n">
        <v>344</v>
      </c>
    </row>
    <row r="136" customFormat="false" ht="15" hidden="false" customHeight="true" outlineLevel="0" collapsed="false">
      <c r="A136" s="13" t="n">
        <v>2026</v>
      </c>
      <c r="B136" s="13" t="s">
        <v>484</v>
      </c>
      <c r="C136" s="13" t="s">
        <v>122</v>
      </c>
      <c r="D136" s="13" t="s">
        <v>203</v>
      </c>
      <c r="E136" s="13" t="s">
        <v>357</v>
      </c>
      <c r="F136" s="14" t="n">
        <v>2</v>
      </c>
      <c r="G136" s="14" t="n">
        <v>0</v>
      </c>
      <c r="H136" s="14" t="n">
        <v>0</v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2</v>
      </c>
    </row>
    <row r="137" customFormat="false" ht="15" hidden="false" customHeight="true" outlineLevel="0" collapsed="false">
      <c r="A137" s="13" t="n">
        <v>2026</v>
      </c>
      <c r="B137" s="13" t="s">
        <v>484</v>
      </c>
      <c r="C137" s="13" t="s">
        <v>122</v>
      </c>
      <c r="D137" s="13" t="s">
        <v>419</v>
      </c>
      <c r="E137" s="13" t="s">
        <v>357</v>
      </c>
      <c r="F137" s="14" t="n">
        <v>1</v>
      </c>
      <c r="G137" s="14" t="n">
        <v>1</v>
      </c>
      <c r="H137" s="14" t="n">
        <v>0</v>
      </c>
      <c r="I137" s="14" t="n">
        <v>1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</row>
    <row r="138" customFormat="false" ht="15" hidden="false" customHeight="true" outlineLevel="0" collapsed="false">
      <c r="A138" s="13" t="n">
        <v>2026</v>
      </c>
      <c r="B138" s="13" t="s">
        <v>24</v>
      </c>
      <c r="C138" s="13" t="s">
        <v>124</v>
      </c>
      <c r="D138" s="13" t="s">
        <v>123</v>
      </c>
      <c r="E138" s="13" t="s">
        <v>357</v>
      </c>
      <c r="F138" s="14" t="n">
        <v>568</v>
      </c>
      <c r="G138" s="14" t="n">
        <v>311</v>
      </c>
      <c r="H138" s="14" t="n">
        <v>144</v>
      </c>
      <c r="I138" s="14" t="n">
        <v>28</v>
      </c>
      <c r="J138" s="14" t="n">
        <v>25</v>
      </c>
      <c r="K138" s="14" t="n">
        <v>83</v>
      </c>
      <c r="L138" s="14" t="n">
        <v>30</v>
      </c>
      <c r="M138" s="14" t="n">
        <v>1</v>
      </c>
      <c r="N138" s="14" t="n">
        <v>257</v>
      </c>
    </row>
    <row r="139" customFormat="false" ht="15" hidden="false" customHeight="true" outlineLevel="0" collapsed="false">
      <c r="A139" s="13" t="n">
        <v>2026</v>
      </c>
      <c r="B139" s="13" t="s">
        <v>24</v>
      </c>
      <c r="C139" s="13" t="s">
        <v>124</v>
      </c>
      <c r="D139" s="13" t="s">
        <v>126</v>
      </c>
      <c r="E139" s="13" t="s">
        <v>357</v>
      </c>
      <c r="F139" s="14" t="n">
        <v>240</v>
      </c>
      <c r="G139" s="14" t="n">
        <v>98</v>
      </c>
      <c r="H139" s="14" t="n">
        <v>3</v>
      </c>
      <c r="I139" s="14" t="n">
        <v>3</v>
      </c>
      <c r="J139" s="14" t="n">
        <v>20</v>
      </c>
      <c r="K139" s="14" t="n">
        <v>25</v>
      </c>
      <c r="L139" s="14" t="n">
        <v>18</v>
      </c>
      <c r="M139" s="14" t="n">
        <v>29</v>
      </c>
      <c r="N139" s="14" t="n">
        <v>142</v>
      </c>
    </row>
    <row r="140" customFormat="false" ht="15" hidden="false" customHeight="true" outlineLevel="0" collapsed="false">
      <c r="A140" s="13" t="n">
        <v>2026</v>
      </c>
      <c r="B140" s="13" t="s">
        <v>24</v>
      </c>
      <c r="C140" s="13" t="s">
        <v>124</v>
      </c>
      <c r="D140" s="13" t="s">
        <v>202</v>
      </c>
      <c r="E140" s="13" t="s">
        <v>357</v>
      </c>
      <c r="F140" s="14" t="n">
        <v>993</v>
      </c>
      <c r="G140" s="14" t="n">
        <v>379</v>
      </c>
      <c r="H140" s="14" t="n">
        <v>0</v>
      </c>
      <c r="I140" s="14" t="n">
        <v>1</v>
      </c>
      <c r="J140" s="14" t="n">
        <v>21</v>
      </c>
      <c r="K140" s="14" t="n">
        <v>147</v>
      </c>
      <c r="L140" s="14" t="n">
        <v>206</v>
      </c>
      <c r="M140" s="14" t="n">
        <v>4</v>
      </c>
      <c r="N140" s="14" t="n">
        <v>614</v>
      </c>
    </row>
    <row r="141" customFormat="false" ht="15" hidden="false" customHeight="true" outlineLevel="0" collapsed="false">
      <c r="A141" s="13" t="n">
        <v>2026</v>
      </c>
      <c r="B141" s="13" t="s">
        <v>24</v>
      </c>
      <c r="C141" s="13" t="s">
        <v>124</v>
      </c>
      <c r="D141" s="13" t="s">
        <v>128</v>
      </c>
      <c r="E141" s="13" t="s">
        <v>357</v>
      </c>
      <c r="F141" s="14" t="n">
        <v>4606</v>
      </c>
      <c r="G141" s="14" t="n">
        <v>1514</v>
      </c>
      <c r="H141" s="14" t="n">
        <v>5</v>
      </c>
      <c r="I141" s="14" t="n">
        <v>66</v>
      </c>
      <c r="J141" s="14" t="n">
        <v>244</v>
      </c>
      <c r="K141" s="14" t="n">
        <v>553</v>
      </c>
      <c r="L141" s="14" t="n">
        <v>575</v>
      </c>
      <c r="M141" s="14" t="n">
        <v>71</v>
      </c>
      <c r="N141" s="14" t="n">
        <v>3092</v>
      </c>
    </row>
    <row r="142" customFormat="false" ht="15" hidden="false" customHeight="true" outlineLevel="0" collapsed="false">
      <c r="A142" s="13" t="n">
        <v>2026</v>
      </c>
      <c r="B142" s="13" t="s">
        <v>24</v>
      </c>
      <c r="C142" s="13" t="s">
        <v>124</v>
      </c>
      <c r="D142" s="13" t="s">
        <v>203</v>
      </c>
      <c r="E142" s="13" t="s">
        <v>357</v>
      </c>
      <c r="F142" s="14" t="n">
        <v>772</v>
      </c>
      <c r="G142" s="14" t="n">
        <v>336</v>
      </c>
      <c r="H142" s="14" t="n">
        <v>1</v>
      </c>
      <c r="I142" s="14" t="n">
        <v>7</v>
      </c>
      <c r="J142" s="14" t="n">
        <v>33</v>
      </c>
      <c r="K142" s="14" t="n">
        <v>103</v>
      </c>
      <c r="L142" s="14" t="n">
        <v>178</v>
      </c>
      <c r="M142" s="14" t="n">
        <v>14</v>
      </c>
      <c r="N142" s="14" t="n">
        <v>436</v>
      </c>
    </row>
    <row r="143" customFormat="false" ht="15" hidden="false" customHeight="true" outlineLevel="0" collapsed="false">
      <c r="A143" s="13" t="n">
        <v>2026</v>
      </c>
      <c r="B143" s="13" t="s">
        <v>24</v>
      </c>
      <c r="C143" s="13" t="s">
        <v>124</v>
      </c>
      <c r="D143" s="13" t="s">
        <v>419</v>
      </c>
      <c r="E143" s="13" t="s">
        <v>357</v>
      </c>
      <c r="F143" s="14" t="n">
        <v>21</v>
      </c>
      <c r="G143" s="14" t="n">
        <v>11</v>
      </c>
      <c r="H143" s="14" t="n">
        <v>1</v>
      </c>
      <c r="I143" s="14" t="n">
        <v>4</v>
      </c>
      <c r="J143" s="14" t="n">
        <v>2</v>
      </c>
      <c r="K143" s="14" t="n">
        <v>3</v>
      </c>
      <c r="L143" s="14" t="n">
        <v>1</v>
      </c>
      <c r="M143" s="14" t="n">
        <v>0</v>
      </c>
      <c r="N143" s="14" t="n">
        <v>10</v>
      </c>
    </row>
    <row r="144" customFormat="false" ht="15" hidden="false" customHeight="true" outlineLevel="0" collapsed="false">
      <c r="A144" s="13" t="n">
        <v>2026</v>
      </c>
      <c r="B144" s="13" t="s">
        <v>24</v>
      </c>
      <c r="C144" s="13" t="s">
        <v>124</v>
      </c>
      <c r="D144" s="13" t="s">
        <v>129</v>
      </c>
      <c r="E144" s="13" t="s">
        <v>357</v>
      </c>
      <c r="F144" s="14" t="n">
        <v>27</v>
      </c>
      <c r="G144" s="14" t="n">
        <v>2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2</v>
      </c>
      <c r="N144" s="14" t="n">
        <v>25</v>
      </c>
    </row>
    <row r="145" customFormat="false" ht="15" hidden="false" customHeight="true" outlineLevel="0" collapsed="false">
      <c r="A145" s="13" t="n">
        <v>2026</v>
      </c>
      <c r="B145" s="13" t="s">
        <v>24</v>
      </c>
      <c r="C145" s="13" t="s">
        <v>124</v>
      </c>
      <c r="D145" s="13" t="s">
        <v>493</v>
      </c>
      <c r="E145" s="13" t="s">
        <v>357</v>
      </c>
      <c r="F145" s="14" t="n">
        <v>1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1</v>
      </c>
    </row>
    <row r="146" customFormat="false" ht="15" hidden="false" customHeight="true" outlineLevel="0" collapsed="false">
      <c r="A146" s="13" t="n">
        <v>2026</v>
      </c>
      <c r="B146" s="13" t="s">
        <v>24</v>
      </c>
      <c r="C146" s="13" t="s">
        <v>124</v>
      </c>
      <c r="D146" s="13" t="s">
        <v>494</v>
      </c>
      <c r="E146" s="13" t="s">
        <v>357</v>
      </c>
      <c r="F146" s="14" t="n">
        <v>3</v>
      </c>
      <c r="G146" s="14" t="n">
        <v>0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3</v>
      </c>
    </row>
    <row r="147" customFormat="false" ht="15" hidden="false" customHeight="true" outlineLevel="0" collapsed="false">
      <c r="A147" s="13" t="n">
        <v>2026</v>
      </c>
      <c r="B147" s="13" t="s">
        <v>24</v>
      </c>
      <c r="C147" s="13" t="s">
        <v>122</v>
      </c>
      <c r="D147" s="13" t="s">
        <v>123</v>
      </c>
      <c r="E147" s="13" t="s">
        <v>357</v>
      </c>
      <c r="F147" s="14" t="n">
        <v>1330</v>
      </c>
      <c r="G147" s="14" t="n">
        <v>896</v>
      </c>
      <c r="H147" s="14" t="n">
        <v>477</v>
      </c>
      <c r="I147" s="14" t="n">
        <v>61</v>
      </c>
      <c r="J147" s="14" t="n">
        <v>69</v>
      </c>
      <c r="K147" s="14" t="n">
        <v>222</v>
      </c>
      <c r="L147" s="14" t="n">
        <v>66</v>
      </c>
      <c r="M147" s="14" t="n">
        <v>1</v>
      </c>
      <c r="N147" s="14" t="n">
        <v>434</v>
      </c>
    </row>
    <row r="148" customFormat="false" ht="15" hidden="false" customHeight="true" outlineLevel="0" collapsed="false">
      <c r="A148" s="13" t="n">
        <v>2026</v>
      </c>
      <c r="B148" s="13" t="s">
        <v>24</v>
      </c>
      <c r="C148" s="13" t="s">
        <v>122</v>
      </c>
      <c r="D148" s="13" t="s">
        <v>126</v>
      </c>
      <c r="E148" s="13" t="s">
        <v>357</v>
      </c>
      <c r="F148" s="14" t="n">
        <v>95</v>
      </c>
      <c r="G148" s="14" t="n">
        <v>44</v>
      </c>
      <c r="H148" s="14" t="n">
        <v>0</v>
      </c>
      <c r="I148" s="14" t="n">
        <v>1</v>
      </c>
      <c r="J148" s="14" t="n">
        <v>3</v>
      </c>
      <c r="K148" s="14" t="n">
        <v>13</v>
      </c>
      <c r="L148" s="14" t="n">
        <v>4</v>
      </c>
      <c r="M148" s="14" t="n">
        <v>23</v>
      </c>
      <c r="N148" s="14" t="n">
        <v>51</v>
      </c>
    </row>
    <row r="149" customFormat="false" ht="15" hidden="false" customHeight="true" outlineLevel="0" collapsed="false">
      <c r="A149" s="13" t="n">
        <v>2026</v>
      </c>
      <c r="B149" s="13" t="s">
        <v>24</v>
      </c>
      <c r="C149" s="13" t="s">
        <v>122</v>
      </c>
      <c r="D149" s="13" t="s">
        <v>202</v>
      </c>
      <c r="E149" s="13" t="s">
        <v>357</v>
      </c>
      <c r="F149" s="14" t="n">
        <v>536</v>
      </c>
      <c r="G149" s="14" t="n">
        <v>217</v>
      </c>
      <c r="H149" s="14" t="n">
        <v>1</v>
      </c>
      <c r="I149" s="14" t="n">
        <v>3</v>
      </c>
      <c r="J149" s="14" t="n">
        <v>27</v>
      </c>
      <c r="K149" s="14" t="n">
        <v>120</v>
      </c>
      <c r="L149" s="14" t="n">
        <v>65</v>
      </c>
      <c r="M149" s="14" t="n">
        <v>1</v>
      </c>
      <c r="N149" s="14" t="n">
        <v>319</v>
      </c>
    </row>
    <row r="150" customFormat="false" ht="15" hidden="false" customHeight="true" outlineLevel="0" collapsed="false">
      <c r="A150" s="13" t="n">
        <v>2026</v>
      </c>
      <c r="B150" s="13" t="s">
        <v>24</v>
      </c>
      <c r="C150" s="13" t="s">
        <v>122</v>
      </c>
      <c r="D150" s="13" t="s">
        <v>128</v>
      </c>
      <c r="E150" s="13" t="s">
        <v>357</v>
      </c>
      <c r="F150" s="14" t="n">
        <v>4548</v>
      </c>
      <c r="G150" s="14" t="n">
        <v>2179</v>
      </c>
      <c r="H150" s="14" t="n">
        <v>45</v>
      </c>
      <c r="I150" s="14" t="n">
        <v>246</v>
      </c>
      <c r="J150" s="14" t="n">
        <v>633</v>
      </c>
      <c r="K150" s="14" t="n">
        <v>802</v>
      </c>
      <c r="L150" s="14" t="n">
        <v>426</v>
      </c>
      <c r="M150" s="14" t="n">
        <v>27</v>
      </c>
      <c r="N150" s="14" t="n">
        <v>2369</v>
      </c>
    </row>
    <row r="151" customFormat="false" ht="15" hidden="false" customHeight="true" outlineLevel="0" collapsed="false">
      <c r="A151" s="13" t="n">
        <v>2026</v>
      </c>
      <c r="B151" s="13" t="s">
        <v>24</v>
      </c>
      <c r="C151" s="13" t="s">
        <v>122</v>
      </c>
      <c r="D151" s="13" t="s">
        <v>203</v>
      </c>
      <c r="E151" s="13" t="s">
        <v>357</v>
      </c>
      <c r="F151" s="14" t="n">
        <v>257</v>
      </c>
      <c r="G151" s="14" t="n">
        <v>161</v>
      </c>
      <c r="H151" s="14" t="n">
        <v>2</v>
      </c>
      <c r="I151" s="14" t="n">
        <v>20</v>
      </c>
      <c r="J151" s="14" t="n">
        <v>34</v>
      </c>
      <c r="K151" s="14" t="n">
        <v>42</v>
      </c>
      <c r="L151" s="14" t="n">
        <v>59</v>
      </c>
      <c r="M151" s="14" t="n">
        <v>4</v>
      </c>
      <c r="N151" s="14" t="n">
        <v>96</v>
      </c>
    </row>
    <row r="152" customFormat="false" ht="15" hidden="false" customHeight="true" outlineLevel="0" collapsed="false">
      <c r="A152" s="13" t="n">
        <v>2026</v>
      </c>
      <c r="B152" s="13" t="s">
        <v>24</v>
      </c>
      <c r="C152" s="13" t="s">
        <v>122</v>
      </c>
      <c r="D152" s="13" t="s">
        <v>419</v>
      </c>
      <c r="E152" s="13" t="s">
        <v>357</v>
      </c>
      <c r="F152" s="14" t="n">
        <v>32</v>
      </c>
      <c r="G152" s="14" t="n">
        <v>23</v>
      </c>
      <c r="H152" s="14" t="n">
        <v>2</v>
      </c>
      <c r="I152" s="14" t="n">
        <v>5</v>
      </c>
      <c r="J152" s="14" t="n">
        <v>9</v>
      </c>
      <c r="K152" s="14" t="n">
        <v>6</v>
      </c>
      <c r="L152" s="14" t="n">
        <v>1</v>
      </c>
      <c r="M152" s="14" t="n">
        <v>0</v>
      </c>
      <c r="N152" s="14" t="n">
        <v>9</v>
      </c>
    </row>
    <row r="153" customFormat="false" ht="15" hidden="false" customHeight="true" outlineLevel="0" collapsed="false">
      <c r="A153" s="13" t="n">
        <v>2026</v>
      </c>
      <c r="B153" s="13" t="s">
        <v>24</v>
      </c>
      <c r="C153" s="13" t="s">
        <v>122</v>
      </c>
      <c r="D153" s="13" t="s">
        <v>129</v>
      </c>
      <c r="E153" s="13" t="s">
        <v>357</v>
      </c>
      <c r="F153" s="14" t="n">
        <v>6</v>
      </c>
      <c r="G153" s="14" t="n">
        <v>3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3</v>
      </c>
      <c r="N153" s="14" t="n">
        <v>3</v>
      </c>
    </row>
    <row r="154" customFormat="false" ht="15" hidden="false" customHeight="true" outlineLevel="0" collapsed="false">
      <c r="A154" s="13" t="n">
        <v>2026</v>
      </c>
      <c r="B154" s="13" t="s">
        <v>24</v>
      </c>
      <c r="C154" s="13" t="s">
        <v>122</v>
      </c>
      <c r="D154" s="13" t="s">
        <v>493</v>
      </c>
      <c r="E154" s="13" t="s">
        <v>357</v>
      </c>
      <c r="F154" s="14" t="n">
        <v>3</v>
      </c>
      <c r="G154" s="14" t="n">
        <v>2</v>
      </c>
      <c r="H154" s="14" t="n">
        <v>0</v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2</v>
      </c>
      <c r="N154" s="14" t="n">
        <v>1</v>
      </c>
    </row>
    <row r="155" customFormat="false" ht="15" hidden="false" customHeight="true" outlineLevel="0" collapsed="false">
      <c r="A155" s="13" t="n">
        <v>2026</v>
      </c>
      <c r="B155" s="13" t="s">
        <v>24</v>
      </c>
      <c r="C155" s="13" t="s">
        <v>122</v>
      </c>
      <c r="D155" s="13" t="s">
        <v>494</v>
      </c>
      <c r="E155" s="13" t="s">
        <v>357</v>
      </c>
      <c r="F155" s="14" t="n">
        <v>12</v>
      </c>
      <c r="G155" s="14" t="n">
        <v>6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6</v>
      </c>
      <c r="N155" s="14" t="n">
        <v>6</v>
      </c>
    </row>
    <row r="156" customFormat="false" ht="15" hidden="false" customHeight="true" outlineLevel="0" collapsed="false">
      <c r="A156" s="13" t="n">
        <v>2026</v>
      </c>
      <c r="B156" s="13" t="s">
        <v>487</v>
      </c>
      <c r="C156" s="13" t="s">
        <v>124</v>
      </c>
      <c r="D156" s="13" t="s">
        <v>123</v>
      </c>
      <c r="E156" s="13" t="s">
        <v>357</v>
      </c>
      <c r="F156" s="14" t="n">
        <v>157</v>
      </c>
      <c r="G156" s="14" t="n">
        <v>96</v>
      </c>
      <c r="H156" s="14" t="n">
        <v>57</v>
      </c>
      <c r="I156" s="14" t="n">
        <v>7</v>
      </c>
      <c r="J156" s="14" t="n">
        <v>14</v>
      </c>
      <c r="K156" s="14" t="n">
        <v>13</v>
      </c>
      <c r="L156" s="14" t="n">
        <v>4</v>
      </c>
      <c r="M156" s="14" t="n">
        <v>1</v>
      </c>
      <c r="N156" s="14" t="n">
        <v>61</v>
      </c>
    </row>
    <row r="157" customFormat="false" ht="15" hidden="false" customHeight="true" outlineLevel="0" collapsed="false">
      <c r="A157" s="13" t="n">
        <v>2026</v>
      </c>
      <c r="B157" s="13" t="s">
        <v>487</v>
      </c>
      <c r="C157" s="13" t="s">
        <v>124</v>
      </c>
      <c r="D157" s="13" t="s">
        <v>126</v>
      </c>
      <c r="E157" s="13" t="s">
        <v>357</v>
      </c>
      <c r="F157" s="14" t="n">
        <v>48</v>
      </c>
      <c r="G157" s="14" t="n">
        <v>26</v>
      </c>
      <c r="H157" s="14" t="n">
        <v>1</v>
      </c>
      <c r="I157" s="14" t="n">
        <v>5</v>
      </c>
      <c r="J157" s="14" t="n">
        <v>1</v>
      </c>
      <c r="K157" s="14" t="n">
        <v>10</v>
      </c>
      <c r="L157" s="14" t="n">
        <v>5</v>
      </c>
      <c r="M157" s="14" t="n">
        <v>4</v>
      </c>
      <c r="N157" s="14" t="n">
        <v>22</v>
      </c>
    </row>
    <row r="158" customFormat="false" ht="15" hidden="false" customHeight="true" outlineLevel="0" collapsed="false">
      <c r="A158" s="13" t="n">
        <v>2026</v>
      </c>
      <c r="B158" s="13" t="s">
        <v>487</v>
      </c>
      <c r="C158" s="13" t="s">
        <v>124</v>
      </c>
      <c r="D158" s="13" t="s">
        <v>202</v>
      </c>
      <c r="E158" s="13" t="s">
        <v>357</v>
      </c>
      <c r="F158" s="14" t="n">
        <v>225</v>
      </c>
      <c r="G158" s="14" t="n">
        <v>93</v>
      </c>
      <c r="H158" s="14" t="n">
        <v>1</v>
      </c>
      <c r="I158" s="14" t="n">
        <v>4</v>
      </c>
      <c r="J158" s="14" t="n">
        <v>14</v>
      </c>
      <c r="K158" s="14" t="n">
        <v>44</v>
      </c>
      <c r="L158" s="14" t="n">
        <v>30</v>
      </c>
      <c r="M158" s="14" t="n">
        <v>0</v>
      </c>
      <c r="N158" s="14" t="n">
        <v>132</v>
      </c>
    </row>
    <row r="159" customFormat="false" ht="15" hidden="false" customHeight="true" outlineLevel="0" collapsed="false">
      <c r="A159" s="13" t="n">
        <v>2026</v>
      </c>
      <c r="B159" s="13" t="s">
        <v>487</v>
      </c>
      <c r="C159" s="13" t="s">
        <v>124</v>
      </c>
      <c r="D159" s="13" t="s">
        <v>128</v>
      </c>
      <c r="E159" s="13" t="s">
        <v>357</v>
      </c>
      <c r="F159" s="14" t="n">
        <v>1694</v>
      </c>
      <c r="G159" s="14" t="n">
        <v>661</v>
      </c>
      <c r="H159" s="14" t="n">
        <v>2</v>
      </c>
      <c r="I159" s="14" t="n">
        <v>20</v>
      </c>
      <c r="J159" s="14" t="n">
        <v>128</v>
      </c>
      <c r="K159" s="14" t="n">
        <v>311</v>
      </c>
      <c r="L159" s="14" t="n">
        <v>193</v>
      </c>
      <c r="M159" s="14" t="n">
        <v>7</v>
      </c>
      <c r="N159" s="14" t="n">
        <v>1033</v>
      </c>
    </row>
    <row r="160" customFormat="false" ht="15" hidden="false" customHeight="true" outlineLevel="0" collapsed="false">
      <c r="A160" s="13" t="n">
        <v>2026</v>
      </c>
      <c r="B160" s="13" t="s">
        <v>487</v>
      </c>
      <c r="C160" s="13" t="s">
        <v>124</v>
      </c>
      <c r="D160" s="13" t="s">
        <v>203</v>
      </c>
      <c r="E160" s="13" t="s">
        <v>357</v>
      </c>
      <c r="F160" s="14" t="n">
        <v>23</v>
      </c>
      <c r="G160" s="14" t="n">
        <v>11</v>
      </c>
      <c r="H160" s="14" t="n">
        <v>0</v>
      </c>
      <c r="I160" s="14" t="n">
        <v>0</v>
      </c>
      <c r="J160" s="14" t="n">
        <v>1</v>
      </c>
      <c r="K160" s="14" t="n">
        <v>3</v>
      </c>
      <c r="L160" s="14" t="n">
        <v>7</v>
      </c>
      <c r="M160" s="14" t="n">
        <v>0</v>
      </c>
      <c r="N160" s="14" t="n">
        <v>12</v>
      </c>
    </row>
    <row r="161" customFormat="false" ht="15" hidden="false" customHeight="true" outlineLevel="0" collapsed="false">
      <c r="A161" s="13" t="n">
        <v>2026</v>
      </c>
      <c r="B161" s="13" t="s">
        <v>487</v>
      </c>
      <c r="C161" s="13" t="s">
        <v>124</v>
      </c>
      <c r="D161" s="13" t="s">
        <v>419</v>
      </c>
      <c r="E161" s="13" t="s">
        <v>357</v>
      </c>
      <c r="F161" s="14" t="n">
        <v>7</v>
      </c>
      <c r="G161" s="14" t="n">
        <v>3</v>
      </c>
      <c r="H161" s="14" t="n">
        <v>0</v>
      </c>
      <c r="I161" s="14" t="n">
        <v>0</v>
      </c>
      <c r="J161" s="14" t="n">
        <v>0</v>
      </c>
      <c r="K161" s="14" t="n">
        <v>1</v>
      </c>
      <c r="L161" s="14" t="n">
        <v>2</v>
      </c>
      <c r="M161" s="14" t="n">
        <v>0</v>
      </c>
      <c r="N161" s="14" t="n">
        <v>4</v>
      </c>
    </row>
    <row r="162" customFormat="false" ht="15" hidden="false" customHeight="true" outlineLevel="0" collapsed="false">
      <c r="A162" s="13" t="n">
        <v>2026</v>
      </c>
      <c r="B162" s="13" t="s">
        <v>487</v>
      </c>
      <c r="C162" s="13" t="s">
        <v>124</v>
      </c>
      <c r="D162" s="13" t="s">
        <v>129</v>
      </c>
      <c r="E162" s="13" t="s">
        <v>357</v>
      </c>
      <c r="F162" s="14" t="n">
        <v>1</v>
      </c>
      <c r="G162" s="14" t="n">
        <v>0</v>
      </c>
      <c r="H162" s="14" t="n">
        <v>0</v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</v>
      </c>
    </row>
    <row r="163" customFormat="false" ht="15" hidden="false" customHeight="true" outlineLevel="0" collapsed="false">
      <c r="A163" s="13" t="n">
        <v>2026</v>
      </c>
      <c r="B163" s="13" t="s">
        <v>487</v>
      </c>
      <c r="C163" s="13" t="s">
        <v>122</v>
      </c>
      <c r="D163" s="13" t="s">
        <v>123</v>
      </c>
      <c r="E163" s="13" t="s">
        <v>357</v>
      </c>
      <c r="F163" s="14" t="n">
        <v>301</v>
      </c>
      <c r="G163" s="14" t="n">
        <v>226</v>
      </c>
      <c r="H163" s="14" t="n">
        <v>123</v>
      </c>
      <c r="I163" s="14" t="n">
        <v>38</v>
      </c>
      <c r="J163" s="14" t="n">
        <v>25</v>
      </c>
      <c r="K163" s="14" t="n">
        <v>36</v>
      </c>
      <c r="L163" s="14" t="n">
        <v>4</v>
      </c>
      <c r="M163" s="14" t="n">
        <v>0</v>
      </c>
      <c r="N163" s="14" t="n">
        <v>75</v>
      </c>
    </row>
    <row r="164" customFormat="false" ht="15" hidden="false" customHeight="true" outlineLevel="0" collapsed="false">
      <c r="A164" s="13" t="n">
        <v>2026</v>
      </c>
      <c r="B164" s="13" t="s">
        <v>487</v>
      </c>
      <c r="C164" s="13" t="s">
        <v>122</v>
      </c>
      <c r="D164" s="13" t="s">
        <v>126</v>
      </c>
      <c r="E164" s="13" t="s">
        <v>357</v>
      </c>
      <c r="F164" s="14" t="n">
        <v>19</v>
      </c>
      <c r="G164" s="14" t="n">
        <v>15</v>
      </c>
      <c r="H164" s="14" t="n">
        <v>0</v>
      </c>
      <c r="I164" s="14" t="n">
        <v>1</v>
      </c>
      <c r="J164" s="14" t="n">
        <v>1</v>
      </c>
      <c r="K164" s="14" t="n">
        <v>2</v>
      </c>
      <c r="L164" s="14" t="n">
        <v>0</v>
      </c>
      <c r="M164" s="14" t="n">
        <v>11</v>
      </c>
      <c r="N164" s="14" t="n">
        <v>4</v>
      </c>
    </row>
    <row r="165" customFormat="false" ht="15" hidden="false" customHeight="true" outlineLevel="0" collapsed="false">
      <c r="A165" s="13" t="n">
        <v>2026</v>
      </c>
      <c r="B165" s="13" t="s">
        <v>487</v>
      </c>
      <c r="C165" s="13" t="s">
        <v>122</v>
      </c>
      <c r="D165" s="13" t="s">
        <v>202</v>
      </c>
      <c r="E165" s="13" t="s">
        <v>357</v>
      </c>
      <c r="F165" s="14" t="n">
        <v>83</v>
      </c>
      <c r="G165" s="14" t="n">
        <v>42</v>
      </c>
      <c r="H165" s="14" t="n">
        <v>0</v>
      </c>
      <c r="I165" s="14" t="n">
        <v>2</v>
      </c>
      <c r="J165" s="14" t="n">
        <v>5</v>
      </c>
      <c r="K165" s="14" t="n">
        <v>19</v>
      </c>
      <c r="L165" s="14" t="n">
        <v>16</v>
      </c>
      <c r="M165" s="14" t="n">
        <v>0</v>
      </c>
      <c r="N165" s="14" t="n">
        <v>41</v>
      </c>
    </row>
    <row r="166" customFormat="false" ht="15" hidden="false" customHeight="true" outlineLevel="0" collapsed="false">
      <c r="A166" s="13" t="n">
        <v>2026</v>
      </c>
      <c r="B166" s="13" t="s">
        <v>487</v>
      </c>
      <c r="C166" s="13" t="s">
        <v>122</v>
      </c>
      <c r="D166" s="13" t="s">
        <v>128</v>
      </c>
      <c r="E166" s="13" t="s">
        <v>357</v>
      </c>
      <c r="F166" s="14" t="n">
        <v>733</v>
      </c>
      <c r="G166" s="14" t="n">
        <v>414</v>
      </c>
      <c r="H166" s="14" t="n">
        <v>6</v>
      </c>
      <c r="I166" s="14" t="n">
        <v>35</v>
      </c>
      <c r="J166" s="14" t="n">
        <v>164</v>
      </c>
      <c r="K166" s="14" t="n">
        <v>164</v>
      </c>
      <c r="L166" s="14" t="n">
        <v>45</v>
      </c>
      <c r="M166" s="14" t="n">
        <v>0</v>
      </c>
      <c r="N166" s="14" t="n">
        <v>319</v>
      </c>
    </row>
    <row r="167" customFormat="false" ht="15" hidden="false" customHeight="true" outlineLevel="0" collapsed="false">
      <c r="A167" s="13" t="n">
        <v>2026</v>
      </c>
      <c r="B167" s="13" t="s">
        <v>487</v>
      </c>
      <c r="C167" s="13" t="s">
        <v>122</v>
      </c>
      <c r="D167" s="13" t="s">
        <v>203</v>
      </c>
      <c r="E167" s="13" t="s">
        <v>357</v>
      </c>
      <c r="F167" s="14" t="n">
        <v>8</v>
      </c>
      <c r="G167" s="14" t="n">
        <v>7</v>
      </c>
      <c r="H167" s="14" t="n">
        <v>0</v>
      </c>
      <c r="I167" s="14" t="n">
        <v>2</v>
      </c>
      <c r="J167" s="14" t="n">
        <v>4</v>
      </c>
      <c r="K167" s="14" t="n">
        <v>0</v>
      </c>
      <c r="L167" s="14" t="n">
        <v>1</v>
      </c>
      <c r="M167" s="14" t="n">
        <v>0</v>
      </c>
      <c r="N167" s="14" t="n">
        <v>1</v>
      </c>
    </row>
    <row r="168" customFormat="false" ht="15" hidden="false" customHeight="true" outlineLevel="0" collapsed="false">
      <c r="A168" s="13" t="n">
        <v>2026</v>
      </c>
      <c r="B168" s="13" t="s">
        <v>487</v>
      </c>
      <c r="C168" s="13" t="s">
        <v>122</v>
      </c>
      <c r="D168" s="13" t="s">
        <v>419</v>
      </c>
      <c r="E168" s="13" t="s">
        <v>357</v>
      </c>
      <c r="F168" s="14" t="n">
        <v>4</v>
      </c>
      <c r="G168" s="14" t="n">
        <v>3</v>
      </c>
      <c r="H168" s="14" t="n">
        <v>0</v>
      </c>
      <c r="I168" s="14" t="n">
        <v>0</v>
      </c>
      <c r="J168" s="14" t="n">
        <v>3</v>
      </c>
      <c r="K168" s="14" t="n">
        <v>0</v>
      </c>
      <c r="L168" s="14" t="n">
        <v>0</v>
      </c>
      <c r="M168" s="14" t="n">
        <v>0</v>
      </c>
      <c r="N168" s="14" t="n">
        <v>1</v>
      </c>
    </row>
    <row r="169" customFormat="false" ht="15" hidden="false" customHeight="true" outlineLevel="0" collapsed="false">
      <c r="A169" s="13" t="n">
        <v>2026</v>
      </c>
      <c r="B169" s="13" t="s">
        <v>487</v>
      </c>
      <c r="C169" s="13" t="s">
        <v>122</v>
      </c>
      <c r="D169" s="13" t="s">
        <v>494</v>
      </c>
      <c r="E169" s="13" t="s">
        <v>357</v>
      </c>
      <c r="F169" s="14" t="n">
        <v>1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1</v>
      </c>
    </row>
    <row r="170" customFormat="false" ht="15" hidden="false" customHeight="true" outlineLevel="0" collapsed="false">
      <c r="A170" s="13" t="n">
        <v>2026</v>
      </c>
      <c r="B170" s="13" t="s">
        <v>488</v>
      </c>
      <c r="C170" s="13" t="s">
        <v>124</v>
      </c>
      <c r="D170" s="13" t="s">
        <v>123</v>
      </c>
      <c r="E170" s="13" t="s">
        <v>357</v>
      </c>
      <c r="F170" s="14" t="n">
        <v>113</v>
      </c>
      <c r="G170" s="14" t="n">
        <v>68</v>
      </c>
      <c r="H170" s="14" t="n">
        <v>43</v>
      </c>
      <c r="I170" s="14" t="n">
        <v>4</v>
      </c>
      <c r="J170" s="14" t="n">
        <v>4</v>
      </c>
      <c r="K170" s="14" t="n">
        <v>12</v>
      </c>
      <c r="L170" s="14" t="n">
        <v>4</v>
      </c>
      <c r="M170" s="14" t="n">
        <v>1</v>
      </c>
      <c r="N170" s="14" t="n">
        <v>45</v>
      </c>
    </row>
    <row r="171" customFormat="false" ht="15" hidden="false" customHeight="true" outlineLevel="0" collapsed="false">
      <c r="A171" s="13" t="n">
        <v>2026</v>
      </c>
      <c r="B171" s="13" t="s">
        <v>488</v>
      </c>
      <c r="C171" s="13" t="s">
        <v>124</v>
      </c>
      <c r="D171" s="13" t="s">
        <v>126</v>
      </c>
      <c r="E171" s="13" t="s">
        <v>357</v>
      </c>
      <c r="F171" s="14" t="n">
        <v>45</v>
      </c>
      <c r="G171" s="14" t="n">
        <v>17</v>
      </c>
      <c r="H171" s="14" t="n">
        <v>0</v>
      </c>
      <c r="I171" s="14" t="n">
        <v>5</v>
      </c>
      <c r="J171" s="14" t="n">
        <v>1</v>
      </c>
      <c r="K171" s="14" t="n">
        <v>4</v>
      </c>
      <c r="L171" s="14" t="n">
        <v>1</v>
      </c>
      <c r="M171" s="14" t="n">
        <v>6</v>
      </c>
      <c r="N171" s="14" t="n">
        <v>28</v>
      </c>
    </row>
    <row r="172" customFormat="false" ht="15" hidden="false" customHeight="true" outlineLevel="0" collapsed="false">
      <c r="A172" s="13" t="n">
        <v>2026</v>
      </c>
      <c r="B172" s="13" t="s">
        <v>488</v>
      </c>
      <c r="C172" s="13" t="s">
        <v>124</v>
      </c>
      <c r="D172" s="13" t="s">
        <v>202</v>
      </c>
      <c r="E172" s="13" t="s">
        <v>357</v>
      </c>
      <c r="F172" s="14" t="n">
        <v>192</v>
      </c>
      <c r="G172" s="14" t="n">
        <v>78</v>
      </c>
      <c r="H172" s="14" t="n">
        <v>1</v>
      </c>
      <c r="I172" s="14" t="n">
        <v>1</v>
      </c>
      <c r="J172" s="14" t="n">
        <v>5</v>
      </c>
      <c r="K172" s="14" t="n">
        <v>39</v>
      </c>
      <c r="L172" s="14" t="n">
        <v>32</v>
      </c>
      <c r="M172" s="14" t="n">
        <v>0</v>
      </c>
      <c r="N172" s="14" t="n">
        <v>114</v>
      </c>
    </row>
    <row r="173" customFormat="false" ht="15" hidden="false" customHeight="true" outlineLevel="0" collapsed="false">
      <c r="A173" s="13" t="n">
        <v>2026</v>
      </c>
      <c r="B173" s="13" t="s">
        <v>488</v>
      </c>
      <c r="C173" s="13" t="s">
        <v>124</v>
      </c>
      <c r="D173" s="13" t="s">
        <v>128</v>
      </c>
      <c r="E173" s="13" t="s">
        <v>357</v>
      </c>
      <c r="F173" s="14" t="n">
        <v>882</v>
      </c>
      <c r="G173" s="14" t="n">
        <v>281</v>
      </c>
      <c r="H173" s="14" t="n">
        <v>0</v>
      </c>
      <c r="I173" s="14" t="n">
        <v>10</v>
      </c>
      <c r="J173" s="14" t="n">
        <v>52</v>
      </c>
      <c r="K173" s="14" t="n">
        <v>120</v>
      </c>
      <c r="L173" s="14" t="n">
        <v>97</v>
      </c>
      <c r="M173" s="14" t="n">
        <v>2</v>
      </c>
      <c r="N173" s="14" t="n">
        <v>601</v>
      </c>
    </row>
    <row r="174" customFormat="false" ht="15" hidden="false" customHeight="true" outlineLevel="0" collapsed="false">
      <c r="A174" s="13" t="n">
        <v>2026</v>
      </c>
      <c r="B174" s="13" t="s">
        <v>488</v>
      </c>
      <c r="C174" s="13" t="s">
        <v>124</v>
      </c>
      <c r="D174" s="13" t="s">
        <v>203</v>
      </c>
      <c r="E174" s="13" t="s">
        <v>357</v>
      </c>
      <c r="F174" s="14" t="n">
        <v>39</v>
      </c>
      <c r="G174" s="14" t="n">
        <v>9</v>
      </c>
      <c r="H174" s="14" t="n">
        <v>0</v>
      </c>
      <c r="I174" s="14" t="n">
        <v>1</v>
      </c>
      <c r="J174" s="14" t="n">
        <v>1</v>
      </c>
      <c r="K174" s="14" t="n">
        <v>2</v>
      </c>
      <c r="L174" s="14" t="n">
        <v>5</v>
      </c>
      <c r="M174" s="14" t="n">
        <v>0</v>
      </c>
      <c r="N174" s="14" t="n">
        <v>30</v>
      </c>
    </row>
    <row r="175" customFormat="false" ht="15" hidden="false" customHeight="true" outlineLevel="0" collapsed="false">
      <c r="A175" s="13" t="n">
        <v>2026</v>
      </c>
      <c r="B175" s="13" t="s">
        <v>488</v>
      </c>
      <c r="C175" s="13" t="s">
        <v>124</v>
      </c>
      <c r="D175" s="13" t="s">
        <v>419</v>
      </c>
      <c r="E175" s="13" t="s">
        <v>357</v>
      </c>
      <c r="F175" s="14" t="n">
        <v>17</v>
      </c>
      <c r="G175" s="14" t="n">
        <v>12</v>
      </c>
      <c r="H175" s="14" t="n">
        <v>0</v>
      </c>
      <c r="I175" s="14" t="n">
        <v>2</v>
      </c>
      <c r="J175" s="14" t="n">
        <v>6</v>
      </c>
      <c r="K175" s="14" t="n">
        <v>3</v>
      </c>
      <c r="L175" s="14" t="n">
        <v>1</v>
      </c>
      <c r="M175" s="14" t="n">
        <v>0</v>
      </c>
      <c r="N175" s="14" t="n">
        <v>5</v>
      </c>
    </row>
    <row r="176" customFormat="false" ht="15" hidden="false" customHeight="true" outlineLevel="0" collapsed="false">
      <c r="A176" s="13" t="n">
        <v>2026</v>
      </c>
      <c r="B176" s="13" t="s">
        <v>488</v>
      </c>
      <c r="C176" s="13" t="s">
        <v>124</v>
      </c>
      <c r="D176" s="13" t="s">
        <v>129</v>
      </c>
      <c r="E176" s="13" t="s">
        <v>357</v>
      </c>
      <c r="F176" s="14" t="n">
        <v>1</v>
      </c>
      <c r="G176" s="14" t="n">
        <v>0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1</v>
      </c>
    </row>
    <row r="177" customFormat="false" ht="15" hidden="false" customHeight="true" outlineLevel="0" collapsed="false">
      <c r="A177" s="13" t="n">
        <v>2026</v>
      </c>
      <c r="B177" s="13" t="s">
        <v>488</v>
      </c>
      <c r="C177" s="13" t="s">
        <v>124</v>
      </c>
      <c r="D177" s="13" t="s">
        <v>493</v>
      </c>
      <c r="E177" s="13" t="s">
        <v>357</v>
      </c>
      <c r="F177" s="14" t="n">
        <v>1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1</v>
      </c>
    </row>
    <row r="178" customFormat="false" ht="15" hidden="false" customHeight="true" outlineLevel="0" collapsed="false">
      <c r="A178" s="13" t="n">
        <v>2026</v>
      </c>
      <c r="B178" s="13" t="s">
        <v>488</v>
      </c>
      <c r="C178" s="13" t="s">
        <v>122</v>
      </c>
      <c r="D178" s="13" t="s">
        <v>123</v>
      </c>
      <c r="E178" s="13" t="s">
        <v>357</v>
      </c>
      <c r="F178" s="14" t="n">
        <v>323</v>
      </c>
      <c r="G178" s="14" t="n">
        <v>236</v>
      </c>
      <c r="H178" s="14" t="n">
        <v>141</v>
      </c>
      <c r="I178" s="14" t="n">
        <v>25</v>
      </c>
      <c r="J178" s="14" t="n">
        <v>19</v>
      </c>
      <c r="K178" s="14" t="n">
        <v>40</v>
      </c>
      <c r="L178" s="14" t="n">
        <v>11</v>
      </c>
      <c r="M178" s="14" t="n">
        <v>0</v>
      </c>
      <c r="N178" s="14" t="n">
        <v>87</v>
      </c>
    </row>
    <row r="179" customFormat="false" ht="15" hidden="false" customHeight="true" outlineLevel="0" collapsed="false">
      <c r="A179" s="13" t="n">
        <v>2026</v>
      </c>
      <c r="B179" s="13" t="s">
        <v>488</v>
      </c>
      <c r="C179" s="13" t="s">
        <v>122</v>
      </c>
      <c r="D179" s="13" t="s">
        <v>126</v>
      </c>
      <c r="E179" s="13" t="s">
        <v>357</v>
      </c>
      <c r="F179" s="14" t="n">
        <v>20</v>
      </c>
      <c r="G179" s="14" t="n">
        <v>12</v>
      </c>
      <c r="H179" s="14" t="n">
        <v>1</v>
      </c>
      <c r="I179" s="14" t="n">
        <v>1</v>
      </c>
      <c r="J179" s="14" t="n">
        <v>1</v>
      </c>
      <c r="K179" s="14" t="n">
        <v>1</v>
      </c>
      <c r="L179" s="14" t="n">
        <v>2</v>
      </c>
      <c r="M179" s="14" t="n">
        <v>6</v>
      </c>
      <c r="N179" s="14" t="n">
        <v>8</v>
      </c>
    </row>
    <row r="180" customFormat="false" ht="15" hidden="false" customHeight="true" outlineLevel="0" collapsed="false">
      <c r="A180" s="13" t="n">
        <v>2026</v>
      </c>
      <c r="B180" s="13" t="s">
        <v>488</v>
      </c>
      <c r="C180" s="13" t="s">
        <v>122</v>
      </c>
      <c r="D180" s="13" t="s">
        <v>202</v>
      </c>
      <c r="E180" s="13" t="s">
        <v>357</v>
      </c>
      <c r="F180" s="14" t="n">
        <v>122</v>
      </c>
      <c r="G180" s="14" t="n">
        <v>69</v>
      </c>
      <c r="H180" s="14" t="n">
        <v>0</v>
      </c>
      <c r="I180" s="14" t="n">
        <v>1</v>
      </c>
      <c r="J180" s="14" t="n">
        <v>12</v>
      </c>
      <c r="K180" s="14" t="n">
        <v>40</v>
      </c>
      <c r="L180" s="14" t="n">
        <v>16</v>
      </c>
      <c r="M180" s="14" t="n">
        <v>0</v>
      </c>
      <c r="N180" s="14" t="n">
        <v>53</v>
      </c>
    </row>
    <row r="181" customFormat="false" ht="15" hidden="false" customHeight="true" outlineLevel="0" collapsed="false">
      <c r="A181" s="13" t="n">
        <v>2026</v>
      </c>
      <c r="B181" s="13" t="s">
        <v>488</v>
      </c>
      <c r="C181" s="13" t="s">
        <v>122</v>
      </c>
      <c r="D181" s="13" t="s">
        <v>128</v>
      </c>
      <c r="E181" s="13" t="s">
        <v>357</v>
      </c>
      <c r="F181" s="14" t="n">
        <v>811</v>
      </c>
      <c r="G181" s="14" t="n">
        <v>383</v>
      </c>
      <c r="H181" s="14" t="n">
        <v>11</v>
      </c>
      <c r="I181" s="14" t="n">
        <v>40</v>
      </c>
      <c r="J181" s="14" t="n">
        <v>112</v>
      </c>
      <c r="K181" s="14" t="n">
        <v>164</v>
      </c>
      <c r="L181" s="14" t="n">
        <v>54</v>
      </c>
      <c r="M181" s="14" t="n">
        <v>2</v>
      </c>
      <c r="N181" s="14" t="n">
        <v>428</v>
      </c>
    </row>
    <row r="182" customFormat="false" ht="15" hidden="false" customHeight="true" outlineLevel="0" collapsed="false">
      <c r="A182" s="13" t="n">
        <v>2026</v>
      </c>
      <c r="B182" s="13" t="s">
        <v>488</v>
      </c>
      <c r="C182" s="13" t="s">
        <v>122</v>
      </c>
      <c r="D182" s="13" t="s">
        <v>203</v>
      </c>
      <c r="E182" s="13" t="s">
        <v>357</v>
      </c>
      <c r="F182" s="14" t="n">
        <v>6</v>
      </c>
      <c r="G182" s="14" t="n">
        <v>4</v>
      </c>
      <c r="H182" s="14" t="n">
        <v>0</v>
      </c>
      <c r="I182" s="14" t="n">
        <v>1</v>
      </c>
      <c r="J182" s="14" t="n">
        <v>0</v>
      </c>
      <c r="K182" s="14" t="n">
        <v>1</v>
      </c>
      <c r="L182" s="14" t="n">
        <v>2</v>
      </c>
      <c r="M182" s="14" t="n">
        <v>0</v>
      </c>
      <c r="N182" s="14" t="n">
        <v>2</v>
      </c>
    </row>
    <row r="183" customFormat="false" ht="15" hidden="false" customHeight="true" outlineLevel="0" collapsed="false">
      <c r="A183" s="13" t="n">
        <v>2026</v>
      </c>
      <c r="B183" s="13" t="s">
        <v>488</v>
      </c>
      <c r="C183" s="13" t="s">
        <v>122</v>
      </c>
      <c r="D183" s="13" t="s">
        <v>419</v>
      </c>
      <c r="E183" s="13" t="s">
        <v>357</v>
      </c>
      <c r="F183" s="14" t="n">
        <v>8</v>
      </c>
      <c r="G183" s="14" t="n">
        <v>7</v>
      </c>
      <c r="H183" s="14" t="n">
        <v>1</v>
      </c>
      <c r="I183" s="14" t="n">
        <v>1</v>
      </c>
      <c r="J183" s="14" t="n">
        <v>4</v>
      </c>
      <c r="K183" s="14" t="n">
        <v>1</v>
      </c>
      <c r="L183" s="14" t="n">
        <v>0</v>
      </c>
      <c r="M183" s="14" t="n">
        <v>0</v>
      </c>
      <c r="N183" s="14" t="n">
        <v>1</v>
      </c>
    </row>
    <row r="184" customFormat="false" ht="15" hidden="false" customHeight="true" outlineLevel="0" collapsed="false">
      <c r="A184" s="13" t="n">
        <v>2026</v>
      </c>
      <c r="B184" s="13" t="s">
        <v>488</v>
      </c>
      <c r="C184" s="13" t="s">
        <v>122</v>
      </c>
      <c r="D184" s="13" t="s">
        <v>494</v>
      </c>
      <c r="E184" s="13" t="s">
        <v>357</v>
      </c>
      <c r="F184" s="14" t="n">
        <v>1</v>
      </c>
      <c r="G184" s="14" t="n">
        <v>1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1</v>
      </c>
      <c r="N184" s="1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5"/>
    <col collapsed="false" customWidth="true" hidden="false" outlineLevel="0" max="3" min="3" style="13" width="34"/>
    <col collapsed="false" customWidth="true" hidden="false" outlineLevel="0" max="13" min="4" style="13" width="12"/>
  </cols>
  <sheetData>
    <row r="1" customFormat="false" ht="15" hidden="false" customHeight="true" outlineLevel="0" collapsed="false">
      <c r="A1" s="13" t="s">
        <v>3</v>
      </c>
      <c r="B1" s="13" t="s">
        <v>482</v>
      </c>
      <c r="C1" s="13" t="s">
        <v>114</v>
      </c>
      <c r="D1" s="13" t="s">
        <v>483</v>
      </c>
      <c r="E1" s="13" t="s">
        <v>4</v>
      </c>
      <c r="F1" s="13" t="s">
        <v>198</v>
      </c>
      <c r="G1" s="13" t="s">
        <v>199</v>
      </c>
      <c r="H1" s="13" t="s">
        <v>116</v>
      </c>
      <c r="I1" s="13" t="s">
        <v>117</v>
      </c>
      <c r="J1" s="13" t="s">
        <v>118</v>
      </c>
      <c r="K1" s="13" t="s">
        <v>119</v>
      </c>
      <c r="L1" s="13" t="s">
        <v>120</v>
      </c>
      <c r="M1" s="13" t="s">
        <v>479</v>
      </c>
    </row>
    <row r="2" customFormat="false" ht="15" hidden="false" customHeight="true" outlineLevel="0" collapsed="false">
      <c r="A2" s="13" t="n">
        <v>2024</v>
      </c>
      <c r="B2" s="13" t="s">
        <v>125</v>
      </c>
      <c r="C2" s="13" t="s">
        <v>123</v>
      </c>
      <c r="D2" s="13" t="s">
        <v>357</v>
      </c>
      <c r="E2" s="14" t="n">
        <v>4097</v>
      </c>
      <c r="F2" s="14" t="n">
        <v>2752</v>
      </c>
      <c r="G2" s="14" t="n">
        <v>1153</v>
      </c>
      <c r="H2" s="14" t="n">
        <v>259</v>
      </c>
      <c r="I2" s="14" t="n">
        <v>268</v>
      </c>
      <c r="J2" s="14" t="n">
        <v>606</v>
      </c>
      <c r="K2" s="14" t="n">
        <v>448</v>
      </c>
      <c r="L2" s="14" t="n">
        <v>18</v>
      </c>
      <c r="M2" s="14" t="n">
        <v>1345</v>
      </c>
    </row>
    <row r="3" customFormat="false" ht="15" hidden="false" customHeight="true" outlineLevel="0" collapsed="false">
      <c r="A3" s="13" t="n">
        <v>2024</v>
      </c>
      <c r="B3" s="13" t="s">
        <v>125</v>
      </c>
      <c r="C3" s="13" t="s">
        <v>126</v>
      </c>
      <c r="D3" s="13" t="s">
        <v>357</v>
      </c>
      <c r="E3" s="14" t="n">
        <v>1163</v>
      </c>
      <c r="F3" s="14" t="n">
        <v>660</v>
      </c>
      <c r="G3" s="14" t="n">
        <v>8</v>
      </c>
      <c r="H3" s="14" t="n">
        <v>24</v>
      </c>
      <c r="I3" s="14" t="n">
        <v>74</v>
      </c>
      <c r="J3" s="14" t="n">
        <v>181</v>
      </c>
      <c r="K3" s="14" t="n">
        <v>245</v>
      </c>
      <c r="L3" s="14" t="n">
        <v>128</v>
      </c>
      <c r="M3" s="14" t="n">
        <v>503</v>
      </c>
    </row>
    <row r="4" customFormat="false" ht="15" hidden="false" customHeight="true" outlineLevel="0" collapsed="false">
      <c r="A4" s="13" t="n">
        <v>2024</v>
      </c>
      <c r="B4" s="13" t="s">
        <v>125</v>
      </c>
      <c r="C4" s="13" t="s">
        <v>202</v>
      </c>
      <c r="D4" s="13" t="s">
        <v>357</v>
      </c>
      <c r="E4" s="14" t="n">
        <v>2351</v>
      </c>
      <c r="F4" s="14" t="n">
        <v>983</v>
      </c>
      <c r="G4" s="14" t="n">
        <v>1</v>
      </c>
      <c r="H4" s="14" t="n">
        <v>10</v>
      </c>
      <c r="I4" s="14" t="n">
        <v>56</v>
      </c>
      <c r="J4" s="14" t="n">
        <v>290</v>
      </c>
      <c r="K4" s="14" t="n">
        <v>608</v>
      </c>
      <c r="L4" s="14" t="n">
        <v>18</v>
      </c>
      <c r="M4" s="14" t="n">
        <v>1368</v>
      </c>
    </row>
    <row r="5" customFormat="false" ht="15" hidden="false" customHeight="true" outlineLevel="0" collapsed="false">
      <c r="A5" s="13" t="n">
        <v>2024</v>
      </c>
      <c r="B5" s="13" t="s">
        <v>125</v>
      </c>
      <c r="C5" s="13" t="s">
        <v>128</v>
      </c>
      <c r="D5" s="13" t="s">
        <v>357</v>
      </c>
      <c r="E5" s="14" t="n">
        <v>14765</v>
      </c>
      <c r="F5" s="14" t="n">
        <v>6481</v>
      </c>
      <c r="G5" s="14" t="n">
        <v>49</v>
      </c>
      <c r="H5" s="14" t="n">
        <v>354</v>
      </c>
      <c r="I5" s="14" t="n">
        <v>1478</v>
      </c>
      <c r="J5" s="14" t="n">
        <v>2580</v>
      </c>
      <c r="K5" s="14" t="n">
        <v>1858</v>
      </c>
      <c r="L5" s="14" t="n">
        <v>162</v>
      </c>
      <c r="M5" s="14" t="n">
        <v>8284</v>
      </c>
    </row>
    <row r="6" customFormat="false" ht="15" hidden="false" customHeight="true" outlineLevel="0" collapsed="false">
      <c r="A6" s="13" t="n">
        <v>2024</v>
      </c>
      <c r="B6" s="13" t="s">
        <v>125</v>
      </c>
      <c r="C6" s="13" t="s">
        <v>203</v>
      </c>
      <c r="D6" s="13" t="s">
        <v>357</v>
      </c>
      <c r="E6" s="14" t="n">
        <v>1319</v>
      </c>
      <c r="F6" s="14" t="n">
        <v>476</v>
      </c>
      <c r="G6" s="14" t="n">
        <v>0</v>
      </c>
      <c r="H6" s="14" t="n">
        <v>11</v>
      </c>
      <c r="I6" s="14" t="n">
        <v>57</v>
      </c>
      <c r="J6" s="14" t="n">
        <v>162</v>
      </c>
      <c r="K6" s="14" t="n">
        <v>213</v>
      </c>
      <c r="L6" s="14" t="n">
        <v>33</v>
      </c>
      <c r="M6" s="14" t="n">
        <v>843</v>
      </c>
    </row>
    <row r="7" customFormat="false" ht="15" hidden="false" customHeight="true" outlineLevel="0" collapsed="false">
      <c r="A7" s="13" t="n">
        <v>2024</v>
      </c>
      <c r="B7" s="13" t="s">
        <v>125</v>
      </c>
      <c r="C7" s="13" t="s">
        <v>419</v>
      </c>
      <c r="D7" s="13" t="s">
        <v>357</v>
      </c>
      <c r="E7" s="14" t="n">
        <v>68</v>
      </c>
      <c r="F7" s="14" t="n">
        <v>18</v>
      </c>
      <c r="G7" s="14" t="n">
        <v>0</v>
      </c>
      <c r="H7" s="14" t="n">
        <v>4</v>
      </c>
      <c r="I7" s="14" t="n">
        <v>8</v>
      </c>
      <c r="J7" s="14" t="n">
        <v>5</v>
      </c>
      <c r="K7" s="14" t="n">
        <v>0</v>
      </c>
      <c r="L7" s="14" t="n">
        <v>1</v>
      </c>
      <c r="M7" s="14" t="n">
        <v>50</v>
      </c>
    </row>
    <row r="8" customFormat="false" ht="15" hidden="false" customHeight="true" outlineLevel="0" collapsed="false">
      <c r="A8" s="13" t="n">
        <v>2024</v>
      </c>
      <c r="B8" s="13" t="s">
        <v>125</v>
      </c>
      <c r="C8" s="13" t="s">
        <v>129</v>
      </c>
      <c r="D8" s="13" t="s">
        <v>357</v>
      </c>
      <c r="E8" s="14" t="n">
        <v>35</v>
      </c>
      <c r="F8" s="14" t="n">
        <v>6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6</v>
      </c>
      <c r="M8" s="14" t="n">
        <v>29</v>
      </c>
    </row>
    <row r="9" customFormat="false" ht="15" hidden="false" customHeight="true" outlineLevel="0" collapsed="false">
      <c r="A9" s="13" t="n">
        <v>2024</v>
      </c>
      <c r="B9" s="13" t="s">
        <v>125</v>
      </c>
      <c r="C9" s="13" t="s">
        <v>493</v>
      </c>
      <c r="D9" s="13" t="s">
        <v>357</v>
      </c>
      <c r="E9" s="14" t="n">
        <v>5</v>
      </c>
      <c r="F9" s="14" t="n">
        <v>1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1</v>
      </c>
      <c r="M9" s="14" t="n">
        <v>4</v>
      </c>
    </row>
    <row r="10" customFormat="false" ht="15" hidden="false" customHeight="true" outlineLevel="0" collapsed="false">
      <c r="A10" s="13" t="n">
        <v>2024</v>
      </c>
      <c r="B10" s="13" t="s">
        <v>125</v>
      </c>
      <c r="C10" s="13" t="s">
        <v>494</v>
      </c>
      <c r="D10" s="13" t="s">
        <v>357</v>
      </c>
      <c r="E10" s="14" t="n">
        <v>7</v>
      </c>
      <c r="F10" s="14" t="n">
        <v>1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1</v>
      </c>
      <c r="M10" s="14" t="n">
        <v>6</v>
      </c>
    </row>
    <row r="11" customFormat="false" ht="15" hidden="false" customHeight="true" outlineLevel="0" collapsed="false">
      <c r="A11" s="13" t="n">
        <v>2024</v>
      </c>
      <c r="B11" s="13" t="s">
        <v>125</v>
      </c>
      <c r="C11" s="13" t="s">
        <v>495</v>
      </c>
      <c r="D11" s="13" t="s">
        <v>192</v>
      </c>
      <c r="E11" s="14" t="n">
        <v>23810</v>
      </c>
      <c r="F11" s="14" t="n">
        <v>11378</v>
      </c>
      <c r="G11" s="14" t="n">
        <v>1211</v>
      </c>
      <c r="H11" s="14" t="n">
        <v>662</v>
      </c>
      <c r="I11" s="14" t="n">
        <v>1941</v>
      </c>
      <c r="J11" s="14" t="n">
        <v>3824</v>
      </c>
      <c r="K11" s="14" t="n">
        <v>3372</v>
      </c>
      <c r="L11" s="14" t="n">
        <v>368</v>
      </c>
      <c r="M11" s="14" t="n">
        <v>12432</v>
      </c>
    </row>
    <row r="12" customFormat="false" ht="15" hidden="false" customHeight="true" outlineLevel="0" collapsed="false">
      <c r="A12" s="13" t="n">
        <v>2024</v>
      </c>
      <c r="B12" s="13" t="s">
        <v>121</v>
      </c>
      <c r="C12" s="13" t="s">
        <v>123</v>
      </c>
      <c r="D12" s="13" t="s">
        <v>357</v>
      </c>
      <c r="E12" s="14" t="n">
        <v>26923</v>
      </c>
      <c r="F12" s="14" t="n">
        <v>24069</v>
      </c>
      <c r="G12" s="14" t="n">
        <v>5118</v>
      </c>
      <c r="H12" s="14" t="n">
        <v>6110</v>
      </c>
      <c r="I12" s="14" t="n">
        <v>7389</v>
      </c>
      <c r="J12" s="14" t="n">
        <v>4956</v>
      </c>
      <c r="K12" s="14" t="n">
        <v>496</v>
      </c>
      <c r="L12" s="14" t="n">
        <v>0</v>
      </c>
      <c r="M12" s="14" t="n">
        <v>2854</v>
      </c>
    </row>
    <row r="13" customFormat="false" ht="15" hidden="false" customHeight="true" outlineLevel="0" collapsed="false">
      <c r="A13" s="13" t="n">
        <v>2024</v>
      </c>
      <c r="B13" s="13" t="s">
        <v>121</v>
      </c>
      <c r="C13" s="13" t="s">
        <v>126</v>
      </c>
      <c r="D13" s="13" t="s">
        <v>357</v>
      </c>
      <c r="E13" s="14" t="n">
        <v>6445</v>
      </c>
      <c r="F13" s="14" t="n">
        <v>5672</v>
      </c>
      <c r="G13" s="14" t="n">
        <v>692</v>
      </c>
      <c r="H13" s="14" t="n">
        <v>1274</v>
      </c>
      <c r="I13" s="14" t="n">
        <v>1972</v>
      </c>
      <c r="J13" s="14" t="n">
        <v>1507</v>
      </c>
      <c r="K13" s="14" t="n">
        <v>227</v>
      </c>
      <c r="L13" s="14" t="n">
        <v>0</v>
      </c>
      <c r="M13" s="14" t="n">
        <v>773</v>
      </c>
    </row>
    <row r="14" customFormat="false" ht="15" hidden="false" customHeight="true" outlineLevel="0" collapsed="false">
      <c r="A14" s="13" t="n">
        <v>2024</v>
      </c>
      <c r="B14" s="13" t="s">
        <v>121</v>
      </c>
      <c r="C14" s="13" t="s">
        <v>202</v>
      </c>
      <c r="D14" s="13" t="s">
        <v>357</v>
      </c>
      <c r="E14" s="14" t="n">
        <v>17792</v>
      </c>
      <c r="F14" s="14" t="n">
        <v>12853</v>
      </c>
      <c r="G14" s="14" t="n">
        <v>762</v>
      </c>
      <c r="H14" s="14" t="n">
        <v>2013</v>
      </c>
      <c r="I14" s="14" t="n">
        <v>4441</v>
      </c>
      <c r="J14" s="14" t="n">
        <v>4714</v>
      </c>
      <c r="K14" s="14" t="n">
        <v>918</v>
      </c>
      <c r="L14" s="14" t="n">
        <v>5</v>
      </c>
      <c r="M14" s="14" t="n">
        <v>4939</v>
      </c>
    </row>
    <row r="15" customFormat="false" ht="15" hidden="false" customHeight="true" outlineLevel="0" collapsed="false">
      <c r="A15" s="13" t="n">
        <v>2024</v>
      </c>
      <c r="B15" s="13" t="s">
        <v>121</v>
      </c>
      <c r="C15" s="13" t="s">
        <v>128</v>
      </c>
      <c r="D15" s="13" t="s">
        <v>357</v>
      </c>
      <c r="E15" s="14" t="n">
        <v>25873</v>
      </c>
      <c r="F15" s="14" t="n">
        <v>18406</v>
      </c>
      <c r="G15" s="14" t="n">
        <v>359</v>
      </c>
      <c r="H15" s="14" t="n">
        <v>2774</v>
      </c>
      <c r="I15" s="14" t="n">
        <v>6994</v>
      </c>
      <c r="J15" s="14" t="n">
        <v>6743</v>
      </c>
      <c r="K15" s="14" t="n">
        <v>1527</v>
      </c>
      <c r="L15" s="14" t="n">
        <v>9</v>
      </c>
      <c r="M15" s="14" t="n">
        <v>7467</v>
      </c>
    </row>
    <row r="16" customFormat="false" ht="15" hidden="false" customHeight="true" outlineLevel="0" collapsed="false">
      <c r="A16" s="13" t="n">
        <v>2024</v>
      </c>
      <c r="B16" s="13" t="s">
        <v>121</v>
      </c>
      <c r="C16" s="13" t="s">
        <v>203</v>
      </c>
      <c r="D16" s="13" t="s">
        <v>357</v>
      </c>
      <c r="E16" s="14" t="n">
        <v>2426</v>
      </c>
      <c r="F16" s="14" t="n">
        <v>1776</v>
      </c>
      <c r="G16" s="14" t="n">
        <v>65</v>
      </c>
      <c r="H16" s="14" t="n">
        <v>222</v>
      </c>
      <c r="I16" s="14" t="n">
        <v>519</v>
      </c>
      <c r="J16" s="14" t="n">
        <v>727</v>
      </c>
      <c r="K16" s="14" t="n">
        <v>236</v>
      </c>
      <c r="L16" s="14" t="n">
        <v>7</v>
      </c>
      <c r="M16" s="14" t="n">
        <v>650</v>
      </c>
    </row>
    <row r="17" customFormat="false" ht="15" hidden="false" customHeight="true" outlineLevel="0" collapsed="false">
      <c r="A17" s="13" t="n">
        <v>2024</v>
      </c>
      <c r="B17" s="13" t="s">
        <v>121</v>
      </c>
      <c r="C17" s="13" t="s">
        <v>490</v>
      </c>
      <c r="D17" s="13" t="s">
        <v>192</v>
      </c>
      <c r="E17" s="14" t="n">
        <v>79459</v>
      </c>
      <c r="F17" s="14" t="n">
        <v>62776</v>
      </c>
      <c r="G17" s="14" t="n">
        <v>6996</v>
      </c>
      <c r="H17" s="14" t="n">
        <v>12393</v>
      </c>
      <c r="I17" s="14" t="n">
        <v>21315</v>
      </c>
      <c r="J17" s="14" t="n">
        <v>18647</v>
      </c>
      <c r="K17" s="14" t="n">
        <v>3404</v>
      </c>
      <c r="L17" s="14" t="n">
        <v>21</v>
      </c>
      <c r="M17" s="14" t="n">
        <v>16683</v>
      </c>
    </row>
    <row r="18" customFormat="false" ht="15" hidden="false" customHeight="true" outlineLevel="0" collapsed="false">
      <c r="A18" s="13" t="n">
        <v>2025</v>
      </c>
      <c r="B18" s="13" t="s">
        <v>125</v>
      </c>
      <c r="C18" s="13" t="s">
        <v>123</v>
      </c>
      <c r="D18" s="13" t="s">
        <v>357</v>
      </c>
      <c r="E18" s="14" t="n">
        <v>4119</v>
      </c>
      <c r="F18" s="14" t="n">
        <v>2897</v>
      </c>
      <c r="G18" s="14" t="n">
        <v>1444</v>
      </c>
      <c r="H18" s="14" t="n">
        <v>242</v>
      </c>
      <c r="I18" s="14" t="n">
        <v>255</v>
      </c>
      <c r="J18" s="14" t="n">
        <v>636</v>
      </c>
      <c r="K18" s="14" t="n">
        <v>309</v>
      </c>
      <c r="L18" s="14" t="n">
        <v>11</v>
      </c>
      <c r="M18" s="14" t="n">
        <v>1222</v>
      </c>
    </row>
    <row r="19" customFormat="false" ht="15" hidden="false" customHeight="true" outlineLevel="0" collapsed="false">
      <c r="A19" s="13" t="n">
        <v>2025</v>
      </c>
      <c r="B19" s="13" t="s">
        <v>125</v>
      </c>
      <c r="C19" s="13" t="s">
        <v>126</v>
      </c>
      <c r="D19" s="13" t="s">
        <v>357</v>
      </c>
      <c r="E19" s="14" t="n">
        <v>739</v>
      </c>
      <c r="F19" s="14" t="n">
        <v>430</v>
      </c>
      <c r="G19" s="14" t="n">
        <v>3</v>
      </c>
      <c r="H19" s="14" t="n">
        <v>14</v>
      </c>
      <c r="I19" s="14" t="n">
        <v>53</v>
      </c>
      <c r="J19" s="14" t="n">
        <v>140</v>
      </c>
      <c r="K19" s="14" t="n">
        <v>86</v>
      </c>
      <c r="L19" s="14" t="n">
        <v>134</v>
      </c>
      <c r="M19" s="14" t="n">
        <v>309</v>
      </c>
    </row>
    <row r="20" customFormat="false" ht="15" hidden="false" customHeight="true" outlineLevel="0" collapsed="false">
      <c r="A20" s="13" t="n">
        <v>2025</v>
      </c>
      <c r="B20" s="13" t="s">
        <v>125</v>
      </c>
      <c r="C20" s="13" t="s">
        <v>202</v>
      </c>
      <c r="D20" s="13" t="s">
        <v>357</v>
      </c>
      <c r="E20" s="14" t="n">
        <v>2562</v>
      </c>
      <c r="F20" s="14" t="n">
        <v>1319</v>
      </c>
      <c r="G20" s="14" t="n">
        <v>5</v>
      </c>
      <c r="H20" s="14" t="n">
        <v>12</v>
      </c>
      <c r="I20" s="14" t="n">
        <v>106</v>
      </c>
      <c r="J20" s="14" t="n">
        <v>689</v>
      </c>
      <c r="K20" s="14" t="n">
        <v>500</v>
      </c>
      <c r="L20" s="14" t="n">
        <v>7</v>
      </c>
      <c r="M20" s="14" t="n">
        <v>1243</v>
      </c>
    </row>
    <row r="21" customFormat="false" ht="15" hidden="false" customHeight="true" outlineLevel="0" collapsed="false">
      <c r="A21" s="13" t="n">
        <v>2025</v>
      </c>
      <c r="B21" s="13" t="s">
        <v>125</v>
      </c>
      <c r="C21" s="13" t="s">
        <v>128</v>
      </c>
      <c r="D21" s="13" t="s">
        <v>357</v>
      </c>
      <c r="E21" s="14" t="n">
        <v>13917</v>
      </c>
      <c r="F21" s="14" t="n">
        <v>6121</v>
      </c>
      <c r="G21" s="14" t="n">
        <v>54</v>
      </c>
      <c r="H21" s="14" t="n">
        <v>608</v>
      </c>
      <c r="I21" s="14" t="n">
        <v>1570</v>
      </c>
      <c r="J21" s="14" t="n">
        <v>2395</v>
      </c>
      <c r="K21" s="14" t="n">
        <v>1388</v>
      </c>
      <c r="L21" s="14" t="n">
        <v>106</v>
      </c>
      <c r="M21" s="14" t="n">
        <v>7796</v>
      </c>
    </row>
    <row r="22" customFormat="false" ht="15" hidden="false" customHeight="true" outlineLevel="0" collapsed="false">
      <c r="A22" s="13" t="n">
        <v>2025</v>
      </c>
      <c r="B22" s="13" t="s">
        <v>125</v>
      </c>
      <c r="C22" s="13" t="s">
        <v>203</v>
      </c>
      <c r="D22" s="13" t="s">
        <v>357</v>
      </c>
      <c r="E22" s="14" t="n">
        <v>1205</v>
      </c>
      <c r="F22" s="14" t="n">
        <v>567</v>
      </c>
      <c r="G22" s="14" t="n">
        <v>2</v>
      </c>
      <c r="H22" s="14" t="n">
        <v>18</v>
      </c>
      <c r="I22" s="14" t="n">
        <v>63</v>
      </c>
      <c r="J22" s="14" t="n">
        <v>179</v>
      </c>
      <c r="K22" s="14" t="n">
        <v>280</v>
      </c>
      <c r="L22" s="14" t="n">
        <v>25</v>
      </c>
      <c r="M22" s="14" t="n">
        <v>638</v>
      </c>
    </row>
    <row r="23" customFormat="false" ht="15" hidden="false" customHeight="true" outlineLevel="0" collapsed="false">
      <c r="A23" s="13" t="n">
        <v>2025</v>
      </c>
      <c r="B23" s="13" t="s">
        <v>125</v>
      </c>
      <c r="C23" s="13" t="s">
        <v>419</v>
      </c>
      <c r="D23" s="13" t="s">
        <v>357</v>
      </c>
      <c r="E23" s="14" t="n">
        <v>90</v>
      </c>
      <c r="F23" s="14" t="n">
        <v>41</v>
      </c>
      <c r="G23" s="14" t="n">
        <v>0</v>
      </c>
      <c r="H23" s="14" t="n">
        <v>12</v>
      </c>
      <c r="I23" s="14" t="n">
        <v>21</v>
      </c>
      <c r="J23" s="14" t="n">
        <v>7</v>
      </c>
      <c r="K23" s="14" t="n">
        <v>1</v>
      </c>
      <c r="L23" s="14" t="n">
        <v>0</v>
      </c>
      <c r="M23" s="14" t="n">
        <v>49</v>
      </c>
    </row>
    <row r="24" customFormat="false" ht="15" hidden="false" customHeight="true" outlineLevel="0" collapsed="false">
      <c r="A24" s="13" t="n">
        <v>2025</v>
      </c>
      <c r="B24" s="13" t="s">
        <v>125</v>
      </c>
      <c r="C24" s="13" t="s">
        <v>129</v>
      </c>
      <c r="D24" s="13" t="s">
        <v>357</v>
      </c>
      <c r="E24" s="14" t="n">
        <v>78</v>
      </c>
      <c r="F24" s="14" t="n">
        <v>26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26</v>
      </c>
      <c r="M24" s="14" t="n">
        <v>52</v>
      </c>
    </row>
    <row r="25" customFormat="false" ht="15" hidden="false" customHeight="true" outlineLevel="0" collapsed="false">
      <c r="A25" s="13" t="n">
        <v>2025</v>
      </c>
      <c r="B25" s="13" t="s">
        <v>125</v>
      </c>
      <c r="C25" s="13" t="s">
        <v>493</v>
      </c>
      <c r="D25" s="13" t="s">
        <v>357</v>
      </c>
      <c r="E25" s="14" t="n">
        <v>2</v>
      </c>
      <c r="F25" s="14" t="n">
        <v>1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1</v>
      </c>
      <c r="M25" s="14" t="n">
        <v>1</v>
      </c>
    </row>
    <row r="26" customFormat="false" ht="15" hidden="false" customHeight="true" outlineLevel="0" collapsed="false">
      <c r="A26" s="13" t="n">
        <v>2025</v>
      </c>
      <c r="B26" s="13" t="s">
        <v>125</v>
      </c>
      <c r="C26" s="13" t="s">
        <v>494</v>
      </c>
      <c r="D26" s="13" t="s">
        <v>357</v>
      </c>
      <c r="E26" s="14" t="n">
        <v>37</v>
      </c>
      <c r="F26" s="14" t="n">
        <v>10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10</v>
      </c>
      <c r="M26" s="14" t="n">
        <v>27</v>
      </c>
    </row>
    <row r="27" customFormat="false" ht="15" hidden="false" customHeight="true" outlineLevel="0" collapsed="false">
      <c r="A27" s="13" t="n">
        <v>2025</v>
      </c>
      <c r="B27" s="13" t="s">
        <v>125</v>
      </c>
      <c r="C27" s="13" t="s">
        <v>495</v>
      </c>
      <c r="D27" s="13" t="s">
        <v>192</v>
      </c>
      <c r="E27" s="14" t="n">
        <v>22749</v>
      </c>
      <c r="F27" s="14" t="n">
        <v>11412</v>
      </c>
      <c r="G27" s="14" t="n">
        <v>1508</v>
      </c>
      <c r="H27" s="14" t="n">
        <v>906</v>
      </c>
      <c r="I27" s="14" t="n">
        <v>2068</v>
      </c>
      <c r="J27" s="14" t="n">
        <v>4046</v>
      </c>
      <c r="K27" s="14" t="n">
        <v>2564</v>
      </c>
      <c r="L27" s="14" t="n">
        <v>320</v>
      </c>
      <c r="M27" s="14" t="n">
        <v>11337</v>
      </c>
    </row>
    <row r="28" customFormat="false" ht="15" hidden="false" customHeight="true" outlineLevel="0" collapsed="false">
      <c r="A28" s="13" t="n">
        <v>2025</v>
      </c>
      <c r="B28" s="13" t="s">
        <v>121</v>
      </c>
      <c r="C28" s="13" t="s">
        <v>123</v>
      </c>
      <c r="D28" s="13" t="s">
        <v>357</v>
      </c>
      <c r="E28" s="14" t="n">
        <v>22885</v>
      </c>
      <c r="F28" s="14" t="n">
        <v>20706</v>
      </c>
      <c r="G28" s="14" t="n">
        <v>6119</v>
      </c>
      <c r="H28" s="14" t="n">
        <v>5796</v>
      </c>
      <c r="I28" s="14" t="n">
        <v>5690</v>
      </c>
      <c r="J28" s="14" t="n">
        <v>2894</v>
      </c>
      <c r="K28" s="14" t="n">
        <v>207</v>
      </c>
      <c r="L28" s="14" t="n">
        <v>0</v>
      </c>
      <c r="M28" s="14" t="n">
        <v>2179</v>
      </c>
    </row>
    <row r="29" customFormat="false" ht="15" hidden="false" customHeight="true" outlineLevel="0" collapsed="false">
      <c r="A29" s="13" t="n">
        <v>2025</v>
      </c>
      <c r="B29" s="13" t="s">
        <v>121</v>
      </c>
      <c r="C29" s="13" t="s">
        <v>126</v>
      </c>
      <c r="D29" s="13" t="s">
        <v>357</v>
      </c>
      <c r="E29" s="14" t="n">
        <v>5293</v>
      </c>
      <c r="F29" s="14" t="n">
        <v>4830</v>
      </c>
      <c r="G29" s="14" t="n">
        <v>1254</v>
      </c>
      <c r="H29" s="14" t="n">
        <v>1362</v>
      </c>
      <c r="I29" s="14" t="n">
        <v>1357</v>
      </c>
      <c r="J29" s="14" t="n">
        <v>771</v>
      </c>
      <c r="K29" s="14" t="n">
        <v>86</v>
      </c>
      <c r="L29" s="14" t="n">
        <v>0</v>
      </c>
      <c r="M29" s="14" t="n">
        <v>463</v>
      </c>
    </row>
    <row r="30" customFormat="false" ht="15" hidden="false" customHeight="true" outlineLevel="0" collapsed="false">
      <c r="A30" s="13" t="n">
        <v>2025</v>
      </c>
      <c r="B30" s="13" t="s">
        <v>121</v>
      </c>
      <c r="C30" s="13" t="s">
        <v>202</v>
      </c>
      <c r="D30" s="13" t="s">
        <v>357</v>
      </c>
      <c r="E30" s="14" t="n">
        <v>22250</v>
      </c>
      <c r="F30" s="14" t="n">
        <v>18121</v>
      </c>
      <c r="G30" s="14" t="n">
        <v>1622</v>
      </c>
      <c r="H30" s="14" t="n">
        <v>3818</v>
      </c>
      <c r="I30" s="14" t="n">
        <v>6410</v>
      </c>
      <c r="J30" s="14" t="n">
        <v>5310</v>
      </c>
      <c r="K30" s="14" t="n">
        <v>961</v>
      </c>
      <c r="L30" s="14" t="n">
        <v>0</v>
      </c>
      <c r="M30" s="14" t="n">
        <v>4129</v>
      </c>
    </row>
    <row r="31" customFormat="false" ht="15" hidden="false" customHeight="true" outlineLevel="0" collapsed="false">
      <c r="A31" s="13" t="n">
        <v>2025</v>
      </c>
      <c r="B31" s="13" t="s">
        <v>121</v>
      </c>
      <c r="C31" s="13" t="s">
        <v>128</v>
      </c>
      <c r="D31" s="13" t="s">
        <v>357</v>
      </c>
      <c r="E31" s="14" t="n">
        <v>28541</v>
      </c>
      <c r="F31" s="14" t="n">
        <v>19808</v>
      </c>
      <c r="G31" s="14" t="n">
        <v>660</v>
      </c>
      <c r="H31" s="14" t="n">
        <v>3618</v>
      </c>
      <c r="I31" s="14" t="n">
        <v>7678</v>
      </c>
      <c r="J31" s="14" t="n">
        <v>6396</v>
      </c>
      <c r="K31" s="14" t="n">
        <v>1443</v>
      </c>
      <c r="L31" s="14" t="n">
        <v>13</v>
      </c>
      <c r="M31" s="14" t="n">
        <v>8733</v>
      </c>
    </row>
    <row r="32" customFormat="false" ht="15" hidden="false" customHeight="true" outlineLevel="0" collapsed="false">
      <c r="A32" s="13" t="n">
        <v>2025</v>
      </c>
      <c r="B32" s="13" t="s">
        <v>121</v>
      </c>
      <c r="C32" s="13" t="s">
        <v>203</v>
      </c>
      <c r="D32" s="13" t="s">
        <v>357</v>
      </c>
      <c r="E32" s="14" t="n">
        <v>2272</v>
      </c>
      <c r="F32" s="14" t="n">
        <v>1774</v>
      </c>
      <c r="G32" s="14" t="n">
        <v>89</v>
      </c>
      <c r="H32" s="14" t="n">
        <v>222</v>
      </c>
      <c r="I32" s="14" t="n">
        <v>465</v>
      </c>
      <c r="J32" s="14" t="n">
        <v>658</v>
      </c>
      <c r="K32" s="14" t="n">
        <v>325</v>
      </c>
      <c r="L32" s="14" t="n">
        <v>15</v>
      </c>
      <c r="M32" s="14" t="n">
        <v>498</v>
      </c>
    </row>
    <row r="33" customFormat="false" ht="15" hidden="false" customHeight="true" outlineLevel="0" collapsed="false">
      <c r="A33" s="13" t="n">
        <v>2025</v>
      </c>
      <c r="B33" s="13" t="s">
        <v>121</v>
      </c>
      <c r="C33" s="13" t="s">
        <v>130</v>
      </c>
      <c r="D33" s="13" t="s">
        <v>357</v>
      </c>
      <c r="E33" s="14" t="n">
        <v>6</v>
      </c>
      <c r="F33" s="14" t="n">
        <v>5</v>
      </c>
      <c r="G33" s="14" t="n">
        <v>0</v>
      </c>
      <c r="H33" s="14" t="n">
        <v>0</v>
      </c>
      <c r="I33" s="14" t="n">
        <v>4</v>
      </c>
      <c r="J33" s="14" t="n">
        <v>1</v>
      </c>
      <c r="K33" s="14" t="n">
        <v>0</v>
      </c>
      <c r="L33" s="14" t="n">
        <v>0</v>
      </c>
      <c r="M33" s="14" t="n">
        <v>1</v>
      </c>
    </row>
    <row r="34" customFormat="false" ht="15" hidden="false" customHeight="true" outlineLevel="0" collapsed="false">
      <c r="A34" s="13" t="n">
        <v>2025</v>
      </c>
      <c r="B34" s="13" t="s">
        <v>121</v>
      </c>
      <c r="C34" s="13" t="s">
        <v>419</v>
      </c>
      <c r="D34" s="13" t="s">
        <v>357</v>
      </c>
      <c r="E34" s="14" t="n">
        <v>13</v>
      </c>
      <c r="F34" s="14" t="n">
        <v>5</v>
      </c>
      <c r="G34" s="14" t="n">
        <v>0</v>
      </c>
      <c r="H34" s="14" t="n">
        <v>2</v>
      </c>
      <c r="I34" s="14" t="n">
        <v>2</v>
      </c>
      <c r="J34" s="14" t="n">
        <v>1</v>
      </c>
      <c r="K34" s="14" t="n">
        <v>0</v>
      </c>
      <c r="L34" s="14" t="n">
        <v>0</v>
      </c>
      <c r="M34" s="14" t="n">
        <v>8</v>
      </c>
    </row>
    <row r="35" customFormat="false" ht="15" hidden="false" customHeight="true" outlineLevel="0" collapsed="false">
      <c r="A35" s="13" t="n">
        <v>2025</v>
      </c>
      <c r="B35" s="13" t="s">
        <v>121</v>
      </c>
      <c r="C35" s="13" t="s">
        <v>490</v>
      </c>
      <c r="D35" s="13" t="s">
        <v>192</v>
      </c>
      <c r="E35" s="14" t="n">
        <v>81260</v>
      </c>
      <c r="F35" s="14" t="n">
        <v>65249</v>
      </c>
      <c r="G35" s="14" t="n">
        <v>9744</v>
      </c>
      <c r="H35" s="14" t="n">
        <v>14818</v>
      </c>
      <c r="I35" s="14" t="n">
        <v>21606</v>
      </c>
      <c r="J35" s="14" t="n">
        <v>16031</v>
      </c>
      <c r="K35" s="14" t="n">
        <v>3022</v>
      </c>
      <c r="L35" s="14" t="n">
        <v>28</v>
      </c>
      <c r="M35" s="14" t="n">
        <v>16011</v>
      </c>
    </row>
    <row r="36" customFormat="false" ht="15" hidden="false" customHeight="true" outlineLevel="0" collapsed="false">
      <c r="A36" s="13" t="n">
        <v>2026</v>
      </c>
      <c r="B36" s="13" t="s">
        <v>125</v>
      </c>
      <c r="C36" s="13" t="s">
        <v>126</v>
      </c>
      <c r="D36" s="13" t="s">
        <v>357</v>
      </c>
      <c r="E36" s="14" t="n">
        <v>507</v>
      </c>
      <c r="F36" s="14" t="n">
        <v>237</v>
      </c>
      <c r="G36" s="14" t="n">
        <v>5</v>
      </c>
      <c r="H36" s="14" t="n">
        <v>18</v>
      </c>
      <c r="I36" s="14" t="n">
        <v>27</v>
      </c>
      <c r="J36" s="14" t="n">
        <v>61</v>
      </c>
      <c r="K36" s="14" t="n">
        <v>32</v>
      </c>
      <c r="L36" s="14" t="n">
        <v>94</v>
      </c>
      <c r="M36" s="14" t="n">
        <v>270</v>
      </c>
    </row>
    <row r="37" customFormat="false" ht="15" hidden="false" customHeight="true" outlineLevel="0" collapsed="false">
      <c r="A37" s="13" t="n">
        <v>2026</v>
      </c>
      <c r="B37" s="13" t="s">
        <v>125</v>
      </c>
      <c r="C37" s="13" t="s">
        <v>202</v>
      </c>
      <c r="D37" s="13" t="s">
        <v>357</v>
      </c>
      <c r="E37" s="14" t="n">
        <v>2285</v>
      </c>
      <c r="F37" s="14" t="n">
        <v>946</v>
      </c>
      <c r="G37" s="14" t="n">
        <v>4</v>
      </c>
      <c r="H37" s="14" t="n">
        <v>12</v>
      </c>
      <c r="I37" s="14" t="n">
        <v>98</v>
      </c>
      <c r="J37" s="14" t="n">
        <v>441</v>
      </c>
      <c r="K37" s="14" t="n">
        <v>386</v>
      </c>
      <c r="L37" s="14" t="n">
        <v>5</v>
      </c>
      <c r="M37" s="14" t="n">
        <v>1339</v>
      </c>
    </row>
    <row r="38" customFormat="false" ht="15" hidden="false" customHeight="true" outlineLevel="0" collapsed="false">
      <c r="A38" s="13" t="n">
        <v>2026</v>
      </c>
      <c r="B38" s="13" t="s">
        <v>125</v>
      </c>
      <c r="C38" s="13" t="s">
        <v>128</v>
      </c>
      <c r="D38" s="13" t="s">
        <v>357</v>
      </c>
      <c r="E38" s="14" t="n">
        <v>15314</v>
      </c>
      <c r="F38" s="14" t="n">
        <v>5926</v>
      </c>
      <c r="G38" s="14" t="n">
        <v>85</v>
      </c>
      <c r="H38" s="14" t="n">
        <v>468</v>
      </c>
      <c r="I38" s="14" t="n">
        <v>1486</v>
      </c>
      <c r="J38" s="14" t="n">
        <v>2277</v>
      </c>
      <c r="K38" s="14" t="n">
        <v>1499</v>
      </c>
      <c r="L38" s="14" t="n">
        <v>111</v>
      </c>
      <c r="M38" s="14" t="n">
        <v>9388</v>
      </c>
    </row>
    <row r="39" customFormat="false" ht="15" hidden="false" customHeight="true" outlineLevel="0" collapsed="false">
      <c r="A39" s="13" t="n">
        <v>2026</v>
      </c>
      <c r="B39" s="13" t="s">
        <v>125</v>
      </c>
      <c r="C39" s="13" t="s">
        <v>203</v>
      </c>
      <c r="D39" s="13" t="s">
        <v>357</v>
      </c>
      <c r="E39" s="14" t="n">
        <v>1124</v>
      </c>
      <c r="F39" s="14" t="n">
        <v>536</v>
      </c>
      <c r="G39" s="14" t="n">
        <v>4</v>
      </c>
      <c r="H39" s="14" t="n">
        <v>31</v>
      </c>
      <c r="I39" s="14" t="n">
        <v>73</v>
      </c>
      <c r="J39" s="14" t="n">
        <v>152</v>
      </c>
      <c r="K39" s="14" t="n">
        <v>258</v>
      </c>
      <c r="L39" s="14" t="n">
        <v>18</v>
      </c>
      <c r="M39" s="14" t="n">
        <v>588</v>
      </c>
    </row>
    <row r="40" customFormat="false" ht="15" hidden="false" customHeight="true" outlineLevel="0" collapsed="false">
      <c r="A40" s="13" t="n">
        <v>2026</v>
      </c>
      <c r="B40" s="13" t="s">
        <v>125</v>
      </c>
      <c r="C40" s="13" t="s">
        <v>419</v>
      </c>
      <c r="D40" s="13" t="s">
        <v>357</v>
      </c>
      <c r="E40" s="14" t="n">
        <v>93</v>
      </c>
      <c r="F40" s="14" t="n">
        <v>60</v>
      </c>
      <c r="G40" s="14" t="n">
        <v>4</v>
      </c>
      <c r="H40" s="14" t="n">
        <v>13</v>
      </c>
      <c r="I40" s="14" t="n">
        <v>24</v>
      </c>
      <c r="J40" s="14" t="n">
        <v>14</v>
      </c>
      <c r="K40" s="14" t="n">
        <v>5</v>
      </c>
      <c r="L40" s="14" t="n">
        <v>0</v>
      </c>
      <c r="M40" s="14" t="n">
        <v>33</v>
      </c>
    </row>
    <row r="41" customFormat="false" ht="15" hidden="false" customHeight="true" outlineLevel="0" collapsed="false">
      <c r="A41" s="13" t="n">
        <v>2026</v>
      </c>
      <c r="B41" s="13" t="s">
        <v>125</v>
      </c>
      <c r="C41" s="13" t="s">
        <v>123</v>
      </c>
      <c r="D41" s="13" t="s">
        <v>357</v>
      </c>
      <c r="E41" s="14" t="n">
        <v>2989</v>
      </c>
      <c r="F41" s="14" t="n">
        <v>1972</v>
      </c>
      <c r="G41" s="14" t="n">
        <v>1053</v>
      </c>
      <c r="H41" s="14" t="n">
        <v>184</v>
      </c>
      <c r="I41" s="14" t="n">
        <v>173</v>
      </c>
      <c r="J41" s="14" t="n">
        <v>434</v>
      </c>
      <c r="K41" s="14" t="n">
        <v>123</v>
      </c>
      <c r="L41" s="14" t="n">
        <v>5</v>
      </c>
      <c r="M41" s="14" t="n">
        <v>1017</v>
      </c>
    </row>
    <row r="42" customFormat="false" ht="15" hidden="false" customHeight="true" outlineLevel="0" collapsed="false">
      <c r="A42" s="13" t="n">
        <v>2026</v>
      </c>
      <c r="B42" s="13" t="s">
        <v>125</v>
      </c>
      <c r="C42" s="13" t="s">
        <v>129</v>
      </c>
      <c r="D42" s="13" t="s">
        <v>357</v>
      </c>
      <c r="E42" s="14" t="n">
        <v>37</v>
      </c>
      <c r="F42" s="14" t="n">
        <v>5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5</v>
      </c>
      <c r="M42" s="14" t="n">
        <v>32</v>
      </c>
    </row>
    <row r="43" customFormat="false" ht="15" hidden="false" customHeight="true" outlineLevel="0" collapsed="false">
      <c r="A43" s="13" t="n">
        <v>2026</v>
      </c>
      <c r="B43" s="13" t="s">
        <v>125</v>
      </c>
      <c r="C43" s="13" t="s">
        <v>493</v>
      </c>
      <c r="D43" s="13" t="s">
        <v>357</v>
      </c>
      <c r="E43" s="14" t="n">
        <v>5</v>
      </c>
      <c r="F43" s="14" t="n">
        <v>2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2</v>
      </c>
      <c r="M43" s="14" t="n">
        <v>3</v>
      </c>
    </row>
    <row r="44" customFormat="false" ht="15" hidden="false" customHeight="true" outlineLevel="0" collapsed="false">
      <c r="A44" s="13" t="n">
        <v>2026</v>
      </c>
      <c r="B44" s="13" t="s">
        <v>125</v>
      </c>
      <c r="C44" s="13" t="s">
        <v>494</v>
      </c>
      <c r="D44" s="13" t="s">
        <v>357</v>
      </c>
      <c r="E44" s="14" t="n">
        <v>17</v>
      </c>
      <c r="F44" s="14" t="n">
        <v>7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7</v>
      </c>
      <c r="M44" s="14" t="n">
        <v>10</v>
      </c>
    </row>
    <row r="45" customFormat="false" ht="15" hidden="false" customHeight="true" outlineLevel="0" collapsed="false">
      <c r="A45" s="13" t="n">
        <v>2026</v>
      </c>
      <c r="B45" s="13" t="s">
        <v>125</v>
      </c>
      <c r="C45" s="13" t="s">
        <v>495</v>
      </c>
      <c r="D45" s="13" t="s">
        <v>192</v>
      </c>
      <c r="E45" s="14" t="n">
        <v>22371</v>
      </c>
      <c r="F45" s="14" t="n">
        <v>9691</v>
      </c>
      <c r="G45" s="14" t="n">
        <v>1155</v>
      </c>
      <c r="H45" s="14" t="n">
        <v>726</v>
      </c>
      <c r="I45" s="14" t="n">
        <v>1881</v>
      </c>
      <c r="J45" s="14" t="n">
        <v>3379</v>
      </c>
      <c r="K45" s="14" t="n">
        <v>2303</v>
      </c>
      <c r="L45" s="14" t="n">
        <v>247</v>
      </c>
      <c r="M45" s="14" t="n">
        <v>12680</v>
      </c>
    </row>
    <row r="46" customFormat="false" ht="15" hidden="false" customHeight="true" outlineLevel="0" collapsed="false">
      <c r="A46" s="13" t="n">
        <v>2026</v>
      </c>
      <c r="B46" s="13" t="s">
        <v>121</v>
      </c>
      <c r="C46" s="13" t="s">
        <v>126</v>
      </c>
      <c r="D46" s="13" t="s">
        <v>357</v>
      </c>
      <c r="E46" s="14" t="n">
        <v>4622</v>
      </c>
      <c r="F46" s="14" t="n">
        <v>4028</v>
      </c>
      <c r="G46" s="14" t="n">
        <v>889</v>
      </c>
      <c r="H46" s="14" t="n">
        <v>1150</v>
      </c>
      <c r="I46" s="14" t="n">
        <v>1245</v>
      </c>
      <c r="J46" s="14" t="n">
        <v>685</v>
      </c>
      <c r="K46" s="14" t="n">
        <v>59</v>
      </c>
      <c r="L46" s="14" t="n">
        <v>0</v>
      </c>
      <c r="M46" s="14" t="n">
        <v>594</v>
      </c>
    </row>
    <row r="47" customFormat="false" ht="15" hidden="false" customHeight="true" outlineLevel="0" collapsed="false">
      <c r="A47" s="13" t="n">
        <v>2026</v>
      </c>
      <c r="B47" s="13" t="s">
        <v>121</v>
      </c>
      <c r="C47" s="13" t="s">
        <v>202</v>
      </c>
      <c r="D47" s="13" t="s">
        <v>357</v>
      </c>
      <c r="E47" s="14" t="n">
        <v>27412</v>
      </c>
      <c r="F47" s="14" t="n">
        <v>21165</v>
      </c>
      <c r="G47" s="14" t="n">
        <v>2365</v>
      </c>
      <c r="H47" s="14" t="n">
        <v>4419</v>
      </c>
      <c r="I47" s="14" t="n">
        <v>7038</v>
      </c>
      <c r="J47" s="14" t="n">
        <v>6268</v>
      </c>
      <c r="K47" s="14" t="n">
        <v>1073</v>
      </c>
      <c r="L47" s="14" t="n">
        <v>2</v>
      </c>
      <c r="M47" s="14" t="n">
        <v>6247</v>
      </c>
    </row>
    <row r="48" customFormat="false" ht="15" hidden="false" customHeight="true" outlineLevel="0" collapsed="false">
      <c r="A48" s="13" t="n">
        <v>2026</v>
      </c>
      <c r="B48" s="13" t="s">
        <v>121</v>
      </c>
      <c r="C48" s="13" t="s">
        <v>128</v>
      </c>
      <c r="D48" s="13" t="s">
        <v>357</v>
      </c>
      <c r="E48" s="14" t="n">
        <v>30559</v>
      </c>
      <c r="F48" s="14" t="n">
        <v>21900</v>
      </c>
      <c r="G48" s="14" t="n">
        <v>764</v>
      </c>
      <c r="H48" s="14" t="n">
        <v>4077</v>
      </c>
      <c r="I48" s="14" t="n">
        <v>8497</v>
      </c>
      <c r="J48" s="14" t="n">
        <v>6959</v>
      </c>
      <c r="K48" s="14" t="n">
        <v>1583</v>
      </c>
      <c r="L48" s="14" t="n">
        <v>20</v>
      </c>
      <c r="M48" s="14" t="n">
        <v>8659</v>
      </c>
    </row>
    <row r="49" customFormat="false" ht="15" hidden="false" customHeight="true" outlineLevel="0" collapsed="false">
      <c r="A49" s="13" t="n">
        <v>2026</v>
      </c>
      <c r="B49" s="13" t="s">
        <v>121</v>
      </c>
      <c r="C49" s="13" t="s">
        <v>203</v>
      </c>
      <c r="D49" s="13" t="s">
        <v>357</v>
      </c>
      <c r="E49" s="14" t="n">
        <v>1895</v>
      </c>
      <c r="F49" s="14" t="n">
        <v>1340</v>
      </c>
      <c r="G49" s="14" t="n">
        <v>80</v>
      </c>
      <c r="H49" s="14" t="n">
        <v>209</v>
      </c>
      <c r="I49" s="14" t="n">
        <v>366</v>
      </c>
      <c r="J49" s="14" t="n">
        <v>461</v>
      </c>
      <c r="K49" s="14" t="n">
        <v>217</v>
      </c>
      <c r="L49" s="14" t="n">
        <v>7</v>
      </c>
      <c r="M49" s="14" t="n">
        <v>555</v>
      </c>
    </row>
    <row r="50" customFormat="false" ht="15" hidden="false" customHeight="true" outlineLevel="0" collapsed="false">
      <c r="A50" s="13" t="n">
        <v>2026</v>
      </c>
      <c r="B50" s="13" t="s">
        <v>121</v>
      </c>
      <c r="C50" s="13" t="s">
        <v>123</v>
      </c>
      <c r="D50" s="13" t="s">
        <v>357</v>
      </c>
      <c r="E50" s="14" t="n">
        <v>22377</v>
      </c>
      <c r="F50" s="14" t="n">
        <v>19576</v>
      </c>
      <c r="G50" s="14" t="n">
        <v>5718</v>
      </c>
      <c r="H50" s="14" t="n">
        <v>5472</v>
      </c>
      <c r="I50" s="14" t="n">
        <v>5806</v>
      </c>
      <c r="J50" s="14" t="n">
        <v>2482</v>
      </c>
      <c r="K50" s="14" t="n">
        <v>98</v>
      </c>
      <c r="L50" s="14" t="n">
        <v>0</v>
      </c>
      <c r="M50" s="14" t="n">
        <v>2801</v>
      </c>
    </row>
    <row r="51" customFormat="false" ht="15" hidden="false" customHeight="true" outlineLevel="0" collapsed="false">
      <c r="A51" s="13" t="n">
        <v>2026</v>
      </c>
      <c r="B51" s="13" t="s">
        <v>121</v>
      </c>
      <c r="C51" s="13" t="s">
        <v>130</v>
      </c>
      <c r="D51" s="13" t="s">
        <v>357</v>
      </c>
      <c r="E51" s="14" t="n">
        <v>8</v>
      </c>
      <c r="F51" s="14" t="n">
        <v>8</v>
      </c>
      <c r="G51" s="14" t="n">
        <v>2</v>
      </c>
      <c r="H51" s="14" t="n">
        <v>4</v>
      </c>
      <c r="I51" s="14" t="n">
        <v>2</v>
      </c>
      <c r="J51" s="14" t="n">
        <v>0</v>
      </c>
      <c r="K51" s="14" t="n">
        <v>0</v>
      </c>
      <c r="L51" s="14" t="n">
        <v>0</v>
      </c>
      <c r="M51" s="14" t="n">
        <v>0</v>
      </c>
    </row>
    <row r="52" customFormat="false" ht="15" hidden="false" customHeight="true" outlineLevel="0" collapsed="false">
      <c r="A52" s="13" t="n">
        <v>2026</v>
      </c>
      <c r="B52" s="13" t="s">
        <v>121</v>
      </c>
      <c r="C52" s="13" t="s">
        <v>490</v>
      </c>
      <c r="D52" s="13" t="s">
        <v>192</v>
      </c>
      <c r="E52" s="14" t="n">
        <v>86873</v>
      </c>
      <c r="F52" s="14" t="n">
        <v>68017</v>
      </c>
      <c r="G52" s="14" t="n">
        <v>9818</v>
      </c>
      <c r="H52" s="14" t="n">
        <v>15331</v>
      </c>
      <c r="I52" s="14" t="n">
        <v>22954</v>
      </c>
      <c r="J52" s="14" t="n">
        <v>16855</v>
      </c>
      <c r="K52" s="14" t="n">
        <v>3030</v>
      </c>
      <c r="L52" s="14" t="n">
        <v>29</v>
      </c>
      <c r="M52" s="14" t="n">
        <v>18856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5"/>
    <col collapsed="false" customWidth="true" hidden="false" outlineLevel="0" max="3" min="3" style="13" width="10"/>
    <col collapsed="false" customWidth="true" hidden="false" outlineLevel="0" max="4" min="4" style="13" width="36"/>
    <col collapsed="false" customWidth="true" hidden="false" outlineLevel="0" max="5" min="5" style="13" width="8"/>
    <col collapsed="false" customWidth="true" hidden="false" outlineLevel="0" max="10" min="6" style="13" width="12"/>
  </cols>
  <sheetData>
    <row r="1" customFormat="false" ht="15" hidden="false" customHeight="true" outlineLevel="0" collapsed="false">
      <c r="A1" s="13" t="s">
        <v>3</v>
      </c>
      <c r="B1" s="13" t="s">
        <v>482</v>
      </c>
      <c r="C1" s="13" t="s">
        <v>344</v>
      </c>
      <c r="D1" s="13" t="s">
        <v>496</v>
      </c>
      <c r="E1" s="13" t="s">
        <v>439</v>
      </c>
      <c r="F1" s="13" t="s">
        <v>497</v>
      </c>
      <c r="G1" s="13" t="s">
        <v>109</v>
      </c>
      <c r="H1" s="13" t="s">
        <v>498</v>
      </c>
      <c r="I1" s="13" t="s">
        <v>198</v>
      </c>
      <c r="J1" s="13" t="s">
        <v>480</v>
      </c>
    </row>
    <row r="2" customFormat="false" ht="15" hidden="false" customHeight="true" outlineLevel="0" collapsed="false">
      <c r="A2" s="13" t="n">
        <v>2024</v>
      </c>
      <c r="B2" s="13" t="s">
        <v>121</v>
      </c>
      <c r="C2" s="13" t="s">
        <v>499</v>
      </c>
      <c r="D2" s="13" t="s">
        <v>162</v>
      </c>
      <c r="E2" s="13" t="s">
        <v>500</v>
      </c>
      <c r="F2" s="14" t="n">
        <v>1167</v>
      </c>
      <c r="G2" s="14" t="n">
        <v>6</v>
      </c>
      <c r="H2" s="14" t="n">
        <v>1161</v>
      </c>
      <c r="I2" s="14" t="n">
        <v>1151</v>
      </c>
      <c r="J2" s="15" t="n">
        <v>0.9914</v>
      </c>
    </row>
    <row r="3" customFormat="false" ht="15" hidden="false" customHeight="true" outlineLevel="0" collapsed="false">
      <c r="A3" s="13" t="n">
        <v>2024</v>
      </c>
      <c r="B3" s="13" t="s">
        <v>121</v>
      </c>
      <c r="C3" s="13" t="s">
        <v>499</v>
      </c>
      <c r="D3" s="13" t="s">
        <v>225</v>
      </c>
      <c r="E3" s="13" t="s">
        <v>501</v>
      </c>
      <c r="F3" s="14" t="n">
        <v>2445</v>
      </c>
      <c r="G3" s="14" t="n">
        <v>23</v>
      </c>
      <c r="H3" s="14" t="n">
        <v>2422</v>
      </c>
      <c r="I3" s="14" t="n">
        <v>2405</v>
      </c>
      <c r="J3" s="15" t="n">
        <v>0.993</v>
      </c>
    </row>
    <row r="4" customFormat="false" ht="15" hidden="false" customHeight="true" outlineLevel="0" collapsed="false">
      <c r="A4" s="13" t="n">
        <v>2024</v>
      </c>
      <c r="B4" s="13" t="s">
        <v>121</v>
      </c>
      <c r="C4" s="13" t="s">
        <v>499</v>
      </c>
      <c r="D4" s="13" t="s">
        <v>167</v>
      </c>
      <c r="E4" s="13" t="s">
        <v>443</v>
      </c>
      <c r="F4" s="14" t="n">
        <v>27087</v>
      </c>
      <c r="G4" s="14" t="n">
        <v>217</v>
      </c>
      <c r="H4" s="14" t="n">
        <v>26870</v>
      </c>
      <c r="I4" s="14" t="n">
        <v>25157</v>
      </c>
      <c r="J4" s="15" t="n">
        <v>0.9362</v>
      </c>
    </row>
    <row r="5" customFormat="false" ht="15" hidden="false" customHeight="true" outlineLevel="0" collapsed="false">
      <c r="A5" s="13" t="n">
        <v>2024</v>
      </c>
      <c r="B5" s="13" t="s">
        <v>121</v>
      </c>
      <c r="C5" s="13" t="s">
        <v>499</v>
      </c>
      <c r="D5" s="13" t="s">
        <v>166</v>
      </c>
      <c r="E5" s="13" t="s">
        <v>502</v>
      </c>
      <c r="F5" s="14" t="n">
        <v>33576</v>
      </c>
      <c r="G5" s="14" t="n">
        <v>273</v>
      </c>
      <c r="H5" s="14" t="n">
        <v>33303</v>
      </c>
      <c r="I5" s="14" t="n">
        <v>31410</v>
      </c>
      <c r="J5" s="15" t="n">
        <v>0.9432</v>
      </c>
    </row>
    <row r="6" customFormat="false" ht="15" hidden="false" customHeight="true" outlineLevel="0" collapsed="false">
      <c r="A6" s="13" t="n">
        <v>2024</v>
      </c>
      <c r="B6" s="13" t="s">
        <v>121</v>
      </c>
      <c r="C6" s="13" t="s">
        <v>499</v>
      </c>
      <c r="D6" s="13" t="s">
        <v>154</v>
      </c>
      <c r="E6" s="13" t="s">
        <v>457</v>
      </c>
      <c r="F6" s="14" t="n">
        <v>5182</v>
      </c>
      <c r="G6" s="14" t="n">
        <v>78</v>
      </c>
      <c r="H6" s="14" t="n">
        <v>5104</v>
      </c>
      <c r="I6" s="14" t="n">
        <v>4975</v>
      </c>
      <c r="J6" s="15" t="n">
        <v>0.9747</v>
      </c>
    </row>
    <row r="7" customFormat="false" ht="15" hidden="false" customHeight="true" outlineLevel="0" collapsed="false">
      <c r="A7" s="13" t="n">
        <v>2024</v>
      </c>
      <c r="B7" s="13" t="s">
        <v>121</v>
      </c>
      <c r="C7" s="13" t="s">
        <v>499</v>
      </c>
      <c r="D7" s="13" t="s">
        <v>236</v>
      </c>
      <c r="E7" s="13" t="s">
        <v>503</v>
      </c>
      <c r="F7" s="14" t="n">
        <v>2445</v>
      </c>
      <c r="G7" s="14" t="n">
        <v>24</v>
      </c>
      <c r="H7" s="14" t="n">
        <v>2421</v>
      </c>
      <c r="I7" s="14" t="n">
        <v>2396</v>
      </c>
      <c r="J7" s="15" t="n">
        <v>0.9897</v>
      </c>
    </row>
    <row r="8" customFormat="false" ht="15" hidden="false" customHeight="true" outlineLevel="0" collapsed="false">
      <c r="A8" s="13" t="n">
        <v>2024</v>
      </c>
      <c r="B8" s="13" t="s">
        <v>121</v>
      </c>
      <c r="C8" s="13" t="s">
        <v>499</v>
      </c>
      <c r="D8" s="13" t="s">
        <v>170</v>
      </c>
      <c r="E8" s="13" t="s">
        <v>504</v>
      </c>
      <c r="F8" s="14" t="n">
        <v>28796</v>
      </c>
      <c r="G8" s="14" t="n">
        <v>442</v>
      </c>
      <c r="H8" s="14" t="n">
        <v>28354</v>
      </c>
      <c r="I8" s="14" t="n">
        <v>25352</v>
      </c>
      <c r="J8" s="15" t="n">
        <v>0.8941</v>
      </c>
    </row>
    <row r="9" customFormat="false" ht="15" hidden="false" customHeight="true" outlineLevel="0" collapsed="false">
      <c r="A9" s="13" t="n">
        <v>2024</v>
      </c>
      <c r="B9" s="13" t="s">
        <v>121</v>
      </c>
      <c r="C9" s="13" t="s">
        <v>499</v>
      </c>
      <c r="D9" s="13" t="s">
        <v>152</v>
      </c>
      <c r="E9" s="13" t="s">
        <v>454</v>
      </c>
      <c r="F9" s="14" t="n">
        <v>6169</v>
      </c>
      <c r="G9" s="14" t="n">
        <v>79</v>
      </c>
      <c r="H9" s="14" t="n">
        <v>6090</v>
      </c>
      <c r="I9" s="14" t="n">
        <v>5944</v>
      </c>
      <c r="J9" s="15" t="n">
        <v>0.976</v>
      </c>
    </row>
    <row r="10" customFormat="false" ht="15" hidden="false" customHeight="true" outlineLevel="0" collapsed="false">
      <c r="A10" s="13" t="n">
        <v>2024</v>
      </c>
      <c r="B10" s="13" t="s">
        <v>121</v>
      </c>
      <c r="C10" s="13" t="s">
        <v>499</v>
      </c>
      <c r="D10" s="13" t="s">
        <v>150</v>
      </c>
      <c r="E10" s="13" t="s">
        <v>458</v>
      </c>
      <c r="F10" s="14" t="n">
        <v>12043</v>
      </c>
      <c r="G10" s="14" t="n">
        <v>133</v>
      </c>
      <c r="H10" s="14" t="n">
        <v>11910</v>
      </c>
      <c r="I10" s="14" t="n">
        <v>11698</v>
      </c>
      <c r="J10" s="15" t="n">
        <v>0.9822</v>
      </c>
    </row>
    <row r="11" customFormat="false" ht="15" hidden="false" customHeight="true" outlineLevel="0" collapsed="false">
      <c r="A11" s="13" t="n">
        <v>2024</v>
      </c>
      <c r="B11" s="13" t="s">
        <v>121</v>
      </c>
      <c r="C11" s="13" t="s">
        <v>499</v>
      </c>
      <c r="D11" s="13" t="s">
        <v>142</v>
      </c>
      <c r="E11" s="13" t="s">
        <v>445</v>
      </c>
      <c r="F11" s="14" t="n">
        <v>80084</v>
      </c>
      <c r="G11" s="14" t="n">
        <v>757</v>
      </c>
      <c r="H11" s="14" t="n">
        <v>79327</v>
      </c>
      <c r="I11" s="14" t="n">
        <v>71130</v>
      </c>
      <c r="J11" s="15" t="n">
        <v>0.8967</v>
      </c>
    </row>
    <row r="12" customFormat="false" ht="15" hidden="false" customHeight="true" outlineLevel="0" collapsed="false">
      <c r="A12" s="13" t="n">
        <v>2024</v>
      </c>
      <c r="B12" s="13" t="s">
        <v>121</v>
      </c>
      <c r="C12" s="13" t="s">
        <v>499</v>
      </c>
      <c r="D12" s="13" t="s">
        <v>505</v>
      </c>
      <c r="E12" s="13" t="s">
        <v>506</v>
      </c>
      <c r="F12" s="14" t="n">
        <v>28</v>
      </c>
      <c r="G12" s="14" t="n">
        <v>0</v>
      </c>
      <c r="H12" s="14" t="n">
        <v>28</v>
      </c>
      <c r="I12" s="14" t="n">
        <v>28</v>
      </c>
      <c r="J12" s="15" t="n">
        <v>1</v>
      </c>
    </row>
    <row r="13" customFormat="false" ht="15" hidden="false" customHeight="true" outlineLevel="0" collapsed="false">
      <c r="A13" s="13" t="n">
        <v>2024</v>
      </c>
      <c r="B13" s="13" t="s">
        <v>121</v>
      </c>
      <c r="C13" s="13" t="s">
        <v>499</v>
      </c>
      <c r="D13" s="13" t="s">
        <v>143</v>
      </c>
      <c r="E13" s="13" t="s">
        <v>446</v>
      </c>
      <c r="F13" s="14" t="n">
        <v>1076</v>
      </c>
      <c r="G13" s="14" t="n">
        <v>18</v>
      </c>
      <c r="H13" s="14" t="n">
        <v>1058</v>
      </c>
      <c r="I13" s="14" t="n">
        <v>1051</v>
      </c>
      <c r="J13" s="15" t="n">
        <v>0.9934</v>
      </c>
    </row>
    <row r="14" customFormat="false" ht="15" hidden="false" customHeight="true" outlineLevel="0" collapsed="false">
      <c r="A14" s="13" t="n">
        <v>2024</v>
      </c>
      <c r="B14" s="13" t="s">
        <v>121</v>
      </c>
      <c r="C14" s="13" t="s">
        <v>499</v>
      </c>
      <c r="D14" s="13" t="s">
        <v>507</v>
      </c>
      <c r="E14" s="13" t="s">
        <v>508</v>
      </c>
      <c r="F14" s="14" t="n">
        <v>74</v>
      </c>
      <c r="G14" s="14" t="n">
        <v>0</v>
      </c>
      <c r="H14" s="14" t="n">
        <v>74</v>
      </c>
      <c r="I14" s="14" t="n">
        <v>74</v>
      </c>
      <c r="J14" s="15" t="n">
        <v>1</v>
      </c>
    </row>
    <row r="15" customFormat="false" ht="15" hidden="false" customHeight="true" outlineLevel="0" collapsed="false">
      <c r="A15" s="13" t="n">
        <v>2024</v>
      </c>
      <c r="B15" s="13" t="s">
        <v>121</v>
      </c>
      <c r="C15" s="13" t="s">
        <v>499</v>
      </c>
      <c r="D15" s="13" t="s">
        <v>161</v>
      </c>
      <c r="E15" s="13" t="s">
        <v>461</v>
      </c>
      <c r="F15" s="14" t="n">
        <v>3200</v>
      </c>
      <c r="G15" s="14" t="n">
        <v>37</v>
      </c>
      <c r="H15" s="14" t="n">
        <v>3163</v>
      </c>
      <c r="I15" s="14" t="n">
        <v>3065</v>
      </c>
      <c r="J15" s="15" t="n">
        <v>0.969</v>
      </c>
    </row>
    <row r="16" customFormat="false" ht="15" hidden="false" customHeight="true" outlineLevel="0" collapsed="false">
      <c r="A16" s="13" t="n">
        <v>2024</v>
      </c>
      <c r="B16" s="13" t="s">
        <v>121</v>
      </c>
      <c r="C16" s="13" t="s">
        <v>499</v>
      </c>
      <c r="D16" s="13" t="s">
        <v>158</v>
      </c>
      <c r="E16" s="13" t="s">
        <v>509</v>
      </c>
      <c r="F16" s="14" t="n">
        <v>14076</v>
      </c>
      <c r="G16" s="14" t="n">
        <v>164</v>
      </c>
      <c r="H16" s="14" t="n">
        <v>13912</v>
      </c>
      <c r="I16" s="14" t="n">
        <v>13692</v>
      </c>
      <c r="J16" s="15" t="n">
        <v>0.9842</v>
      </c>
    </row>
    <row r="17" customFormat="false" ht="15" hidden="false" customHeight="true" outlineLevel="0" collapsed="false">
      <c r="A17" s="13" t="n">
        <v>2024</v>
      </c>
      <c r="B17" s="13" t="s">
        <v>121</v>
      </c>
      <c r="C17" s="13" t="s">
        <v>499</v>
      </c>
      <c r="D17" s="13" t="s">
        <v>415</v>
      </c>
      <c r="E17" s="13" t="s">
        <v>463</v>
      </c>
      <c r="F17" s="14" t="n">
        <v>1407</v>
      </c>
      <c r="G17" s="14" t="n">
        <v>13</v>
      </c>
      <c r="H17" s="14" t="n">
        <v>1394</v>
      </c>
      <c r="I17" s="14" t="n">
        <v>1360</v>
      </c>
      <c r="J17" s="15" t="n">
        <v>0.9756</v>
      </c>
    </row>
    <row r="18" customFormat="false" ht="15" hidden="false" customHeight="true" outlineLevel="0" collapsed="false">
      <c r="A18" s="13" t="n">
        <v>2024</v>
      </c>
      <c r="B18" s="13" t="s">
        <v>121</v>
      </c>
      <c r="C18" s="13" t="s">
        <v>499</v>
      </c>
      <c r="D18" s="13" t="s">
        <v>510</v>
      </c>
      <c r="E18" s="13" t="s">
        <v>511</v>
      </c>
      <c r="F18" s="14" t="n">
        <v>34</v>
      </c>
      <c r="G18" s="14" t="n">
        <v>2</v>
      </c>
      <c r="H18" s="14" t="n">
        <v>32</v>
      </c>
      <c r="I18" s="14" t="n">
        <v>30</v>
      </c>
      <c r="J18" s="15" t="n">
        <v>0.9375</v>
      </c>
    </row>
    <row r="19" customFormat="false" ht="15" hidden="false" customHeight="true" outlineLevel="0" collapsed="false">
      <c r="A19" s="13" t="n">
        <v>2024</v>
      </c>
      <c r="B19" s="13" t="s">
        <v>121</v>
      </c>
      <c r="C19" s="13" t="s">
        <v>499</v>
      </c>
      <c r="D19" s="13" t="s">
        <v>418</v>
      </c>
      <c r="E19" s="13" t="s">
        <v>512</v>
      </c>
      <c r="F19" s="14" t="n">
        <v>368</v>
      </c>
      <c r="G19" s="14" t="n">
        <v>4</v>
      </c>
      <c r="H19" s="14" t="n">
        <v>364</v>
      </c>
      <c r="I19" s="14" t="n">
        <v>341</v>
      </c>
      <c r="J19" s="15" t="n">
        <v>0.9368</v>
      </c>
    </row>
    <row r="20" customFormat="false" ht="15" hidden="false" customHeight="true" outlineLevel="0" collapsed="false">
      <c r="A20" s="13" t="n">
        <v>2024</v>
      </c>
      <c r="B20" s="13" t="s">
        <v>121</v>
      </c>
      <c r="C20" s="13" t="s">
        <v>499</v>
      </c>
      <c r="D20" s="13" t="s">
        <v>419</v>
      </c>
      <c r="E20" s="13" t="s">
        <v>466</v>
      </c>
      <c r="F20" s="14" t="n">
        <v>13483</v>
      </c>
      <c r="G20" s="14" t="n">
        <v>153</v>
      </c>
      <c r="H20" s="14" t="n">
        <v>13330</v>
      </c>
      <c r="I20" s="14" t="n">
        <v>13169</v>
      </c>
      <c r="J20" s="15" t="n">
        <v>0.9879</v>
      </c>
    </row>
    <row r="21" customFormat="false" ht="15" hidden="false" customHeight="true" outlineLevel="0" collapsed="false">
      <c r="A21" s="13" t="n">
        <v>2024</v>
      </c>
      <c r="B21" s="13" t="s">
        <v>121</v>
      </c>
      <c r="C21" s="13" t="s">
        <v>499</v>
      </c>
      <c r="D21" s="13" t="s">
        <v>159</v>
      </c>
      <c r="E21" s="13" t="s">
        <v>467</v>
      </c>
      <c r="F21" s="14" t="n">
        <v>1202</v>
      </c>
      <c r="G21" s="14" t="n">
        <v>9</v>
      </c>
      <c r="H21" s="14" t="n">
        <v>1193</v>
      </c>
      <c r="I21" s="14" t="n">
        <v>1153</v>
      </c>
      <c r="J21" s="15" t="n">
        <v>0.9665</v>
      </c>
    </row>
    <row r="22" customFormat="false" ht="15" hidden="false" customHeight="true" outlineLevel="0" collapsed="false">
      <c r="A22" s="13" t="n">
        <v>2024</v>
      </c>
      <c r="B22" s="13" t="s">
        <v>121</v>
      </c>
      <c r="C22" s="13" t="s">
        <v>499</v>
      </c>
      <c r="D22" s="13" t="s">
        <v>156</v>
      </c>
      <c r="E22" s="13" t="s">
        <v>513</v>
      </c>
      <c r="F22" s="14" t="n">
        <v>24490</v>
      </c>
      <c r="G22" s="14" t="n">
        <v>251</v>
      </c>
      <c r="H22" s="14" t="n">
        <v>24239</v>
      </c>
      <c r="I22" s="14" t="n">
        <v>19902</v>
      </c>
      <c r="J22" s="15" t="n">
        <v>0.8211</v>
      </c>
    </row>
    <row r="23" customFormat="false" ht="15" hidden="false" customHeight="true" outlineLevel="0" collapsed="false">
      <c r="A23" s="13" t="n">
        <v>2024</v>
      </c>
      <c r="B23" s="13" t="s">
        <v>121</v>
      </c>
      <c r="C23" s="13" t="s">
        <v>499</v>
      </c>
      <c r="D23" s="13" t="s">
        <v>514</v>
      </c>
      <c r="E23" s="13" t="s">
        <v>515</v>
      </c>
      <c r="F23" s="14" t="n">
        <v>1574</v>
      </c>
      <c r="G23" s="14" t="n">
        <v>14</v>
      </c>
      <c r="H23" s="14" t="n">
        <v>1560</v>
      </c>
      <c r="I23" s="14" t="n">
        <v>1522</v>
      </c>
      <c r="J23" s="15" t="n">
        <v>0.9756</v>
      </c>
    </row>
    <row r="24" customFormat="false" ht="15" hidden="false" customHeight="true" outlineLevel="0" collapsed="false">
      <c r="A24" s="13" t="n">
        <v>2024</v>
      </c>
      <c r="B24" s="13" t="s">
        <v>121</v>
      </c>
      <c r="C24" s="13" t="s">
        <v>499</v>
      </c>
      <c r="D24" s="13" t="s">
        <v>149</v>
      </c>
      <c r="E24" s="13" t="s">
        <v>516</v>
      </c>
      <c r="F24" s="14" t="n">
        <v>80084</v>
      </c>
      <c r="G24" s="14" t="n">
        <v>803</v>
      </c>
      <c r="H24" s="14" t="n">
        <v>79281</v>
      </c>
      <c r="I24" s="14" t="n">
        <v>78902</v>
      </c>
      <c r="J24" s="15" t="n">
        <v>0.9952</v>
      </c>
    </row>
    <row r="25" customFormat="false" ht="15" hidden="false" customHeight="true" outlineLevel="0" collapsed="false">
      <c r="A25" s="13" t="n">
        <v>2024</v>
      </c>
      <c r="B25" s="13" t="s">
        <v>121</v>
      </c>
      <c r="C25" s="13" t="s">
        <v>499</v>
      </c>
      <c r="D25" s="13" t="s">
        <v>145</v>
      </c>
      <c r="E25" s="13" t="s">
        <v>517</v>
      </c>
      <c r="F25" s="14" t="n">
        <v>1</v>
      </c>
      <c r="G25" s="14" t="n">
        <v>0</v>
      </c>
      <c r="H25" s="14" t="n">
        <v>1</v>
      </c>
      <c r="I25" s="14" t="n">
        <v>1</v>
      </c>
      <c r="J25" s="15" t="n">
        <v>1</v>
      </c>
    </row>
    <row r="26" customFormat="false" ht="15" hidden="false" customHeight="true" outlineLevel="0" collapsed="false">
      <c r="A26" s="13" t="n">
        <v>2024</v>
      </c>
      <c r="B26" s="13" t="s">
        <v>121</v>
      </c>
      <c r="C26" s="13" t="s">
        <v>499</v>
      </c>
      <c r="D26" s="13" t="s">
        <v>424</v>
      </c>
      <c r="E26" s="13" t="s">
        <v>468</v>
      </c>
      <c r="F26" s="14" t="n">
        <v>1285</v>
      </c>
      <c r="G26" s="14" t="n">
        <v>12</v>
      </c>
      <c r="H26" s="14" t="n">
        <v>1273</v>
      </c>
      <c r="I26" s="14" t="n">
        <v>1273</v>
      </c>
      <c r="J26" s="15" t="n">
        <v>1</v>
      </c>
    </row>
    <row r="27" customFormat="false" ht="15" hidden="false" customHeight="true" outlineLevel="0" collapsed="false">
      <c r="A27" s="13" t="n">
        <v>2024</v>
      </c>
      <c r="B27" s="13" t="s">
        <v>121</v>
      </c>
      <c r="C27" s="13" t="s">
        <v>499</v>
      </c>
      <c r="D27" s="13" t="s">
        <v>425</v>
      </c>
      <c r="E27" s="13" t="s">
        <v>518</v>
      </c>
      <c r="F27" s="14" t="n">
        <v>127</v>
      </c>
      <c r="G27" s="14" t="n">
        <v>1</v>
      </c>
      <c r="H27" s="14" t="n">
        <v>126</v>
      </c>
      <c r="I27" s="14" t="n">
        <v>126</v>
      </c>
      <c r="J27" s="15" t="n">
        <v>1</v>
      </c>
    </row>
    <row r="28" customFormat="false" ht="15" hidden="false" customHeight="true" outlineLevel="0" collapsed="false">
      <c r="A28" s="13" t="n">
        <v>2024</v>
      </c>
      <c r="B28" s="13" t="s">
        <v>121</v>
      </c>
      <c r="C28" s="13" t="s">
        <v>499</v>
      </c>
      <c r="D28" s="13" t="s">
        <v>165</v>
      </c>
      <c r="E28" s="13" t="s">
        <v>448</v>
      </c>
      <c r="F28" s="14" t="n">
        <v>47401</v>
      </c>
      <c r="G28" s="14" t="n">
        <v>441</v>
      </c>
      <c r="H28" s="14" t="n">
        <v>46960</v>
      </c>
      <c r="I28" s="14" t="n">
        <v>43645</v>
      </c>
      <c r="J28" s="15" t="n">
        <v>0.9294</v>
      </c>
    </row>
    <row r="29" customFormat="false" ht="15" hidden="false" customHeight="true" outlineLevel="0" collapsed="false">
      <c r="A29" s="13" t="n">
        <v>2024</v>
      </c>
      <c r="B29" s="13" t="s">
        <v>121</v>
      </c>
      <c r="C29" s="13" t="s">
        <v>499</v>
      </c>
      <c r="D29" s="13" t="s">
        <v>477</v>
      </c>
      <c r="E29" s="13" t="s">
        <v>519</v>
      </c>
      <c r="F29" s="14" t="n">
        <v>2445</v>
      </c>
      <c r="G29" s="14" t="n">
        <v>24</v>
      </c>
      <c r="H29" s="14" t="n">
        <v>2421</v>
      </c>
      <c r="I29" s="14" t="n">
        <v>2403</v>
      </c>
      <c r="J29" s="15" t="n">
        <v>0.9926</v>
      </c>
    </row>
    <row r="30" customFormat="false" ht="15" hidden="false" customHeight="true" outlineLevel="0" collapsed="false">
      <c r="A30" s="13" t="n">
        <v>2024</v>
      </c>
      <c r="B30" s="13" t="s">
        <v>121</v>
      </c>
      <c r="C30" s="13" t="s">
        <v>499</v>
      </c>
      <c r="D30" s="13" t="s">
        <v>153</v>
      </c>
      <c r="E30" s="13" t="s">
        <v>470</v>
      </c>
      <c r="F30" s="14" t="n">
        <v>3335</v>
      </c>
      <c r="G30" s="14" t="n">
        <v>40</v>
      </c>
      <c r="H30" s="14" t="n">
        <v>3295</v>
      </c>
      <c r="I30" s="14" t="n">
        <v>3251</v>
      </c>
      <c r="J30" s="15" t="n">
        <v>0.9866</v>
      </c>
    </row>
    <row r="31" customFormat="false" ht="15" hidden="false" customHeight="true" outlineLevel="0" collapsed="false">
      <c r="A31" s="13" t="n">
        <v>2024</v>
      </c>
      <c r="B31" s="13" t="s">
        <v>121</v>
      </c>
      <c r="C31" s="13" t="s">
        <v>499</v>
      </c>
      <c r="D31" s="13" t="s">
        <v>426</v>
      </c>
      <c r="E31" s="13" t="s">
        <v>471</v>
      </c>
      <c r="F31" s="14" t="n">
        <v>1955</v>
      </c>
      <c r="G31" s="14" t="n">
        <v>21</v>
      </c>
      <c r="H31" s="14" t="n">
        <v>1934</v>
      </c>
      <c r="I31" s="14" t="n">
        <v>1926</v>
      </c>
      <c r="J31" s="15" t="n">
        <v>0.9959</v>
      </c>
    </row>
    <row r="32" customFormat="false" ht="15" hidden="false" customHeight="true" outlineLevel="0" collapsed="false">
      <c r="A32" s="13" t="n">
        <v>2024</v>
      </c>
      <c r="B32" s="13" t="s">
        <v>121</v>
      </c>
      <c r="C32" s="13" t="s">
        <v>499</v>
      </c>
      <c r="D32" s="13" t="s">
        <v>427</v>
      </c>
      <c r="E32" s="13" t="s">
        <v>472</v>
      </c>
      <c r="F32" s="14" t="n">
        <v>3267</v>
      </c>
      <c r="G32" s="14" t="n">
        <v>41</v>
      </c>
      <c r="H32" s="14" t="n">
        <v>3226</v>
      </c>
      <c r="I32" s="14" t="n">
        <v>3211</v>
      </c>
      <c r="J32" s="15" t="n">
        <v>0.9954</v>
      </c>
    </row>
    <row r="33" customFormat="false" ht="15" hidden="false" customHeight="true" outlineLevel="0" collapsed="false">
      <c r="A33" s="13" t="n">
        <v>2024</v>
      </c>
      <c r="B33" s="13" t="s">
        <v>121</v>
      </c>
      <c r="C33" s="13" t="s">
        <v>499</v>
      </c>
      <c r="D33" s="13" t="s">
        <v>155</v>
      </c>
      <c r="E33" s="13" t="s">
        <v>520</v>
      </c>
      <c r="F33" s="14" t="n">
        <v>1478</v>
      </c>
      <c r="G33" s="14" t="n">
        <v>13</v>
      </c>
      <c r="H33" s="14" t="n">
        <v>1465</v>
      </c>
      <c r="I33" s="14" t="n">
        <v>1298</v>
      </c>
      <c r="J33" s="15" t="n">
        <v>0.886</v>
      </c>
    </row>
    <row r="34" customFormat="false" ht="15" hidden="false" customHeight="true" outlineLevel="0" collapsed="false">
      <c r="A34" s="13" t="n">
        <v>2024</v>
      </c>
      <c r="B34" s="13" t="s">
        <v>121</v>
      </c>
      <c r="C34" s="13" t="s">
        <v>499</v>
      </c>
      <c r="D34" s="13" t="s">
        <v>521</v>
      </c>
      <c r="E34" s="13" t="s">
        <v>522</v>
      </c>
      <c r="F34" s="14" t="n">
        <v>2445</v>
      </c>
      <c r="G34" s="14" t="n">
        <v>26</v>
      </c>
      <c r="H34" s="14" t="n">
        <v>2419</v>
      </c>
      <c r="I34" s="14" t="n">
        <v>2379</v>
      </c>
      <c r="J34" s="15" t="n">
        <v>0.9835</v>
      </c>
    </row>
    <row r="35" customFormat="false" ht="15" hidden="false" customHeight="true" outlineLevel="0" collapsed="false">
      <c r="A35" s="13" t="n">
        <v>2024</v>
      </c>
      <c r="B35" s="13" t="s">
        <v>121</v>
      </c>
      <c r="C35" s="13" t="s">
        <v>499</v>
      </c>
      <c r="D35" s="13" t="s">
        <v>523</v>
      </c>
      <c r="E35" s="13" t="s">
        <v>450</v>
      </c>
      <c r="F35" s="14" t="n">
        <v>78914</v>
      </c>
      <c r="G35" s="14" t="n">
        <v>723</v>
      </c>
      <c r="H35" s="14" t="n">
        <v>78191</v>
      </c>
      <c r="I35" s="14" t="n">
        <v>77978</v>
      </c>
      <c r="J35" s="15" t="n">
        <v>0.9973</v>
      </c>
    </row>
    <row r="36" customFormat="false" ht="15" hidden="false" customHeight="true" outlineLevel="0" collapsed="false">
      <c r="A36" s="13" t="n">
        <v>2024</v>
      </c>
      <c r="B36" s="13" t="s">
        <v>121</v>
      </c>
      <c r="C36" s="13" t="s">
        <v>499</v>
      </c>
      <c r="D36" s="13" t="s">
        <v>410</v>
      </c>
      <c r="E36" s="13" t="s">
        <v>524</v>
      </c>
      <c r="F36" s="14" t="n">
        <v>80083</v>
      </c>
      <c r="G36" s="14" t="n">
        <v>774</v>
      </c>
      <c r="H36" s="14" t="n">
        <v>79309</v>
      </c>
      <c r="I36" s="14" t="n">
        <v>77680</v>
      </c>
      <c r="J36" s="15" t="n">
        <v>0.9795</v>
      </c>
    </row>
    <row r="37" customFormat="false" ht="15" hidden="false" customHeight="true" outlineLevel="0" collapsed="false">
      <c r="A37" s="13" t="n">
        <v>2024</v>
      </c>
      <c r="B37" s="13" t="s">
        <v>121</v>
      </c>
      <c r="C37" s="13" t="s">
        <v>499</v>
      </c>
      <c r="D37" s="13" t="s">
        <v>525</v>
      </c>
      <c r="E37" s="13" t="s">
        <v>474</v>
      </c>
      <c r="F37" s="14" t="n">
        <v>113</v>
      </c>
      <c r="G37" s="14" t="n">
        <v>1</v>
      </c>
      <c r="H37" s="14" t="n">
        <v>112</v>
      </c>
      <c r="I37" s="14" t="n">
        <v>109</v>
      </c>
      <c r="J37" s="15" t="n">
        <v>0.9732</v>
      </c>
    </row>
    <row r="38" customFormat="false" ht="15" hidden="false" customHeight="true" outlineLevel="0" collapsed="false">
      <c r="A38" s="13" t="n">
        <v>2024</v>
      </c>
      <c r="B38" s="13" t="s">
        <v>121</v>
      </c>
      <c r="C38" s="13" t="s">
        <v>526</v>
      </c>
      <c r="D38" s="13" t="s">
        <v>162</v>
      </c>
      <c r="E38" s="13" t="s">
        <v>500</v>
      </c>
      <c r="F38" s="14" t="n">
        <v>40</v>
      </c>
      <c r="G38" s="14" t="n">
        <v>2</v>
      </c>
      <c r="H38" s="14" t="n">
        <v>38</v>
      </c>
      <c r="I38" s="14" t="n">
        <v>33</v>
      </c>
      <c r="J38" s="15" t="n">
        <v>0.8684</v>
      </c>
    </row>
    <row r="39" customFormat="false" ht="15" hidden="false" customHeight="true" outlineLevel="0" collapsed="false">
      <c r="A39" s="13" t="n">
        <v>2024</v>
      </c>
      <c r="B39" s="13" t="s">
        <v>121</v>
      </c>
      <c r="C39" s="13" t="s">
        <v>526</v>
      </c>
      <c r="D39" s="13" t="s">
        <v>167</v>
      </c>
      <c r="E39" s="13" t="s">
        <v>443</v>
      </c>
      <c r="F39" s="14" t="n">
        <v>4317</v>
      </c>
      <c r="G39" s="14" t="n">
        <v>134</v>
      </c>
      <c r="H39" s="14" t="n">
        <v>4183</v>
      </c>
      <c r="I39" s="14" t="n">
        <v>2965</v>
      </c>
      <c r="J39" s="15" t="n">
        <v>0.7088</v>
      </c>
    </row>
    <row r="40" customFormat="false" ht="15" hidden="false" customHeight="true" outlineLevel="0" collapsed="false">
      <c r="A40" s="13" t="n">
        <v>2024</v>
      </c>
      <c r="B40" s="13" t="s">
        <v>121</v>
      </c>
      <c r="C40" s="13" t="s">
        <v>526</v>
      </c>
      <c r="D40" s="13" t="s">
        <v>228</v>
      </c>
      <c r="E40" s="13" t="s">
        <v>527</v>
      </c>
      <c r="F40" s="14" t="n">
        <v>136</v>
      </c>
      <c r="G40" s="14" t="n">
        <v>4</v>
      </c>
      <c r="H40" s="14" t="n">
        <v>132</v>
      </c>
      <c r="I40" s="14" t="n">
        <v>112</v>
      </c>
      <c r="J40" s="15" t="n">
        <v>0.8485</v>
      </c>
    </row>
    <row r="41" customFormat="false" ht="15" hidden="false" customHeight="true" outlineLevel="0" collapsed="false">
      <c r="A41" s="13" t="n">
        <v>2024</v>
      </c>
      <c r="B41" s="13" t="s">
        <v>121</v>
      </c>
      <c r="C41" s="13" t="s">
        <v>526</v>
      </c>
      <c r="D41" s="13" t="s">
        <v>166</v>
      </c>
      <c r="E41" s="13" t="s">
        <v>502</v>
      </c>
      <c r="F41" s="14" t="n">
        <v>4914</v>
      </c>
      <c r="G41" s="14" t="n">
        <v>156</v>
      </c>
      <c r="H41" s="14" t="n">
        <v>4758</v>
      </c>
      <c r="I41" s="14" t="n">
        <v>3695</v>
      </c>
      <c r="J41" s="15" t="n">
        <v>0.7766</v>
      </c>
    </row>
    <row r="42" customFormat="false" ht="15" hidden="false" customHeight="true" outlineLevel="0" collapsed="false">
      <c r="A42" s="13" t="n">
        <v>2024</v>
      </c>
      <c r="B42" s="13" t="s">
        <v>121</v>
      </c>
      <c r="C42" s="13" t="s">
        <v>526</v>
      </c>
      <c r="D42" s="13" t="s">
        <v>154</v>
      </c>
      <c r="E42" s="13" t="s">
        <v>457</v>
      </c>
      <c r="F42" s="14" t="n">
        <v>498</v>
      </c>
      <c r="G42" s="14" t="n">
        <v>20</v>
      </c>
      <c r="H42" s="14" t="n">
        <v>478</v>
      </c>
      <c r="I42" s="14" t="n">
        <v>425</v>
      </c>
      <c r="J42" s="15" t="n">
        <v>0.8891</v>
      </c>
    </row>
    <row r="43" customFormat="false" ht="15" hidden="false" customHeight="true" outlineLevel="0" collapsed="false">
      <c r="A43" s="13" t="n">
        <v>2024</v>
      </c>
      <c r="B43" s="13" t="s">
        <v>121</v>
      </c>
      <c r="C43" s="13" t="s">
        <v>526</v>
      </c>
      <c r="D43" s="13" t="s">
        <v>170</v>
      </c>
      <c r="E43" s="13" t="s">
        <v>504</v>
      </c>
      <c r="F43" s="14" t="n">
        <v>2538</v>
      </c>
      <c r="G43" s="14" t="n">
        <v>142</v>
      </c>
      <c r="H43" s="14" t="n">
        <v>2396</v>
      </c>
      <c r="I43" s="14" t="n">
        <v>1293</v>
      </c>
      <c r="J43" s="15" t="n">
        <v>0.5396</v>
      </c>
    </row>
    <row r="44" customFormat="false" ht="15" hidden="false" customHeight="true" outlineLevel="0" collapsed="false">
      <c r="A44" s="13" t="n">
        <v>2024</v>
      </c>
      <c r="B44" s="13" t="s">
        <v>121</v>
      </c>
      <c r="C44" s="13" t="s">
        <v>526</v>
      </c>
      <c r="D44" s="13" t="s">
        <v>152</v>
      </c>
      <c r="E44" s="13" t="s">
        <v>454</v>
      </c>
      <c r="F44" s="14" t="n">
        <v>700</v>
      </c>
      <c r="G44" s="14" t="n">
        <v>48</v>
      </c>
      <c r="H44" s="14" t="n">
        <v>652</v>
      </c>
      <c r="I44" s="14" t="n">
        <v>435</v>
      </c>
      <c r="J44" s="15" t="n">
        <v>0.6672</v>
      </c>
    </row>
    <row r="45" customFormat="false" ht="15" hidden="false" customHeight="true" outlineLevel="0" collapsed="false">
      <c r="A45" s="13" t="n">
        <v>2024</v>
      </c>
      <c r="B45" s="13" t="s">
        <v>121</v>
      </c>
      <c r="C45" s="13" t="s">
        <v>526</v>
      </c>
      <c r="D45" s="13" t="s">
        <v>150</v>
      </c>
      <c r="E45" s="13" t="s">
        <v>458</v>
      </c>
      <c r="F45" s="14" t="n">
        <v>283</v>
      </c>
      <c r="G45" s="14" t="n">
        <v>26</v>
      </c>
      <c r="H45" s="14" t="n">
        <v>257</v>
      </c>
      <c r="I45" s="14" t="n">
        <v>195</v>
      </c>
      <c r="J45" s="15" t="n">
        <v>0.7588</v>
      </c>
    </row>
    <row r="46" customFormat="false" ht="15" hidden="false" customHeight="true" outlineLevel="0" collapsed="false">
      <c r="A46" s="13" t="n">
        <v>2024</v>
      </c>
      <c r="B46" s="13" t="s">
        <v>121</v>
      </c>
      <c r="C46" s="13" t="s">
        <v>526</v>
      </c>
      <c r="D46" s="13" t="s">
        <v>142</v>
      </c>
      <c r="E46" s="13" t="s">
        <v>445</v>
      </c>
      <c r="F46" s="14" t="n">
        <v>9177</v>
      </c>
      <c r="G46" s="14" t="n">
        <v>335</v>
      </c>
      <c r="H46" s="14" t="n">
        <v>8842</v>
      </c>
      <c r="I46" s="14" t="n">
        <v>4718</v>
      </c>
      <c r="J46" s="15" t="n">
        <v>0.5336</v>
      </c>
    </row>
    <row r="47" customFormat="false" ht="15" hidden="false" customHeight="true" outlineLevel="0" collapsed="false">
      <c r="A47" s="13" t="n">
        <v>2024</v>
      </c>
      <c r="B47" s="13" t="s">
        <v>121</v>
      </c>
      <c r="C47" s="13" t="s">
        <v>526</v>
      </c>
      <c r="D47" s="13" t="s">
        <v>143</v>
      </c>
      <c r="E47" s="13" t="s">
        <v>446</v>
      </c>
      <c r="F47" s="14" t="n">
        <v>10</v>
      </c>
      <c r="G47" s="14" t="n">
        <v>2</v>
      </c>
      <c r="H47" s="14" t="n">
        <v>8</v>
      </c>
      <c r="I47" s="14" t="n">
        <v>7</v>
      </c>
      <c r="J47" s="15" t="n">
        <v>0.875</v>
      </c>
    </row>
    <row r="48" customFormat="false" ht="15" hidden="false" customHeight="true" outlineLevel="0" collapsed="false">
      <c r="A48" s="13" t="n">
        <v>2024</v>
      </c>
      <c r="B48" s="13" t="s">
        <v>121</v>
      </c>
      <c r="C48" s="13" t="s">
        <v>526</v>
      </c>
      <c r="D48" s="13" t="s">
        <v>161</v>
      </c>
      <c r="E48" s="13" t="s">
        <v>461</v>
      </c>
      <c r="F48" s="14" t="n">
        <v>32</v>
      </c>
      <c r="G48" s="14" t="n">
        <v>4</v>
      </c>
      <c r="H48" s="14" t="n">
        <v>28</v>
      </c>
      <c r="I48" s="14" t="n">
        <v>25</v>
      </c>
      <c r="J48" s="15" t="n">
        <v>0.8929</v>
      </c>
    </row>
    <row r="49" customFormat="false" ht="15" hidden="false" customHeight="true" outlineLevel="0" collapsed="false">
      <c r="A49" s="13" t="n">
        <v>2024</v>
      </c>
      <c r="B49" s="13" t="s">
        <v>121</v>
      </c>
      <c r="C49" s="13" t="s">
        <v>526</v>
      </c>
      <c r="D49" s="13" t="s">
        <v>158</v>
      </c>
      <c r="E49" s="13" t="s">
        <v>509</v>
      </c>
      <c r="F49" s="14" t="n">
        <v>91</v>
      </c>
      <c r="G49" s="14" t="n">
        <v>13</v>
      </c>
      <c r="H49" s="14" t="n">
        <v>78</v>
      </c>
      <c r="I49" s="14" t="n">
        <v>69</v>
      </c>
      <c r="J49" s="15" t="n">
        <v>0.8846</v>
      </c>
    </row>
    <row r="50" customFormat="false" ht="15" hidden="false" customHeight="true" outlineLevel="0" collapsed="false">
      <c r="A50" s="13" t="n">
        <v>2024</v>
      </c>
      <c r="B50" s="13" t="s">
        <v>121</v>
      </c>
      <c r="C50" s="13" t="s">
        <v>526</v>
      </c>
      <c r="D50" s="13" t="s">
        <v>415</v>
      </c>
      <c r="E50" s="13" t="s">
        <v>463</v>
      </c>
      <c r="F50" s="14" t="n">
        <v>77</v>
      </c>
      <c r="G50" s="14" t="n">
        <v>7</v>
      </c>
      <c r="H50" s="14" t="n">
        <v>70</v>
      </c>
      <c r="I50" s="14" t="n">
        <v>58</v>
      </c>
      <c r="J50" s="15" t="n">
        <v>0.8286</v>
      </c>
    </row>
    <row r="51" customFormat="false" ht="15" hidden="false" customHeight="true" outlineLevel="0" collapsed="false">
      <c r="A51" s="13" t="n">
        <v>2024</v>
      </c>
      <c r="B51" s="13" t="s">
        <v>121</v>
      </c>
      <c r="C51" s="13" t="s">
        <v>526</v>
      </c>
      <c r="D51" s="13" t="s">
        <v>510</v>
      </c>
      <c r="E51" s="13" t="s">
        <v>511</v>
      </c>
      <c r="F51" s="14" t="n">
        <v>3</v>
      </c>
      <c r="G51" s="14" t="n">
        <v>1</v>
      </c>
      <c r="H51" s="14" t="n">
        <v>2</v>
      </c>
      <c r="I51" s="14" t="n">
        <v>1</v>
      </c>
      <c r="J51" s="15" t="n">
        <v>0.5</v>
      </c>
    </row>
    <row r="52" customFormat="false" ht="15" hidden="false" customHeight="true" outlineLevel="0" collapsed="false">
      <c r="A52" s="13" t="n">
        <v>2024</v>
      </c>
      <c r="B52" s="13" t="s">
        <v>121</v>
      </c>
      <c r="C52" s="13" t="s">
        <v>526</v>
      </c>
      <c r="D52" s="13" t="s">
        <v>418</v>
      </c>
      <c r="E52" s="13" t="s">
        <v>512</v>
      </c>
      <c r="F52" s="14" t="n">
        <v>39</v>
      </c>
      <c r="G52" s="14" t="n">
        <v>1</v>
      </c>
      <c r="H52" s="14" t="n">
        <v>38</v>
      </c>
      <c r="I52" s="14" t="n">
        <v>15</v>
      </c>
      <c r="J52" s="15" t="n">
        <v>0.3947</v>
      </c>
    </row>
    <row r="53" customFormat="false" ht="15" hidden="false" customHeight="true" outlineLevel="0" collapsed="false">
      <c r="A53" s="13" t="n">
        <v>2024</v>
      </c>
      <c r="B53" s="13" t="s">
        <v>121</v>
      </c>
      <c r="C53" s="13" t="s">
        <v>526</v>
      </c>
      <c r="D53" s="13" t="s">
        <v>265</v>
      </c>
      <c r="E53" s="13" t="s">
        <v>528</v>
      </c>
      <c r="F53" s="14" t="n">
        <v>317</v>
      </c>
      <c r="G53" s="14" t="n">
        <v>47</v>
      </c>
      <c r="H53" s="14" t="n">
        <v>270</v>
      </c>
      <c r="I53" s="14" t="n">
        <v>222</v>
      </c>
      <c r="J53" s="15" t="n">
        <v>0.8222</v>
      </c>
    </row>
    <row r="54" customFormat="false" ht="15" hidden="false" customHeight="true" outlineLevel="0" collapsed="false">
      <c r="A54" s="13" t="n">
        <v>2024</v>
      </c>
      <c r="B54" s="13" t="s">
        <v>121</v>
      </c>
      <c r="C54" s="13" t="s">
        <v>526</v>
      </c>
      <c r="D54" s="13" t="s">
        <v>419</v>
      </c>
      <c r="E54" s="13" t="s">
        <v>466</v>
      </c>
      <c r="F54" s="14" t="n">
        <v>198</v>
      </c>
      <c r="G54" s="14" t="n">
        <v>16</v>
      </c>
      <c r="H54" s="14" t="n">
        <v>182</v>
      </c>
      <c r="I54" s="14" t="n">
        <v>180</v>
      </c>
      <c r="J54" s="15" t="n">
        <v>0.989</v>
      </c>
    </row>
    <row r="55" customFormat="false" ht="15" hidden="false" customHeight="true" outlineLevel="0" collapsed="false">
      <c r="A55" s="13" t="n">
        <v>2024</v>
      </c>
      <c r="B55" s="13" t="s">
        <v>121</v>
      </c>
      <c r="C55" s="13" t="s">
        <v>526</v>
      </c>
      <c r="D55" s="13" t="s">
        <v>159</v>
      </c>
      <c r="E55" s="13" t="s">
        <v>467</v>
      </c>
      <c r="F55" s="14" t="n">
        <v>3</v>
      </c>
      <c r="G55" s="14" t="n">
        <v>0</v>
      </c>
      <c r="H55" s="14" t="n">
        <v>3</v>
      </c>
      <c r="I55" s="14" t="n">
        <v>2</v>
      </c>
      <c r="J55" s="15" t="n">
        <v>0.6667</v>
      </c>
    </row>
    <row r="56" customFormat="false" ht="15" hidden="false" customHeight="true" outlineLevel="0" collapsed="false">
      <c r="A56" s="13" t="n">
        <v>2024</v>
      </c>
      <c r="B56" s="13" t="s">
        <v>121</v>
      </c>
      <c r="C56" s="13" t="s">
        <v>526</v>
      </c>
      <c r="D56" s="13" t="s">
        <v>156</v>
      </c>
      <c r="E56" s="13" t="s">
        <v>513</v>
      </c>
      <c r="F56" s="14" t="n">
        <v>6731</v>
      </c>
      <c r="G56" s="14" t="n">
        <v>248</v>
      </c>
      <c r="H56" s="14" t="n">
        <v>6483</v>
      </c>
      <c r="I56" s="14" t="n">
        <v>3736</v>
      </c>
      <c r="J56" s="15" t="n">
        <v>0.5763</v>
      </c>
    </row>
    <row r="57" customFormat="false" ht="15" hidden="false" customHeight="true" outlineLevel="0" collapsed="false">
      <c r="A57" s="13" t="n">
        <v>2024</v>
      </c>
      <c r="B57" s="13" t="s">
        <v>121</v>
      </c>
      <c r="C57" s="13" t="s">
        <v>526</v>
      </c>
      <c r="D57" s="13" t="s">
        <v>514</v>
      </c>
      <c r="E57" s="13" t="s">
        <v>515</v>
      </c>
      <c r="F57" s="14" t="n">
        <v>21</v>
      </c>
      <c r="G57" s="14" t="n">
        <v>0</v>
      </c>
      <c r="H57" s="14" t="n">
        <v>21</v>
      </c>
      <c r="I57" s="14" t="n">
        <v>21</v>
      </c>
      <c r="J57" s="15" t="n">
        <v>1</v>
      </c>
    </row>
    <row r="58" customFormat="false" ht="15" hidden="false" customHeight="true" outlineLevel="0" collapsed="false">
      <c r="A58" s="13" t="n">
        <v>2024</v>
      </c>
      <c r="B58" s="13" t="s">
        <v>121</v>
      </c>
      <c r="C58" s="13" t="s">
        <v>526</v>
      </c>
      <c r="D58" s="13" t="s">
        <v>424</v>
      </c>
      <c r="E58" s="13" t="s">
        <v>468</v>
      </c>
      <c r="F58" s="14" t="n">
        <v>2</v>
      </c>
      <c r="G58" s="14" t="n">
        <v>0</v>
      </c>
      <c r="H58" s="14" t="n">
        <v>2</v>
      </c>
      <c r="I58" s="14" t="n">
        <v>2</v>
      </c>
      <c r="J58" s="15" t="n">
        <v>1</v>
      </c>
    </row>
    <row r="59" customFormat="false" ht="15" hidden="false" customHeight="true" outlineLevel="0" collapsed="false">
      <c r="A59" s="13" t="n">
        <v>2024</v>
      </c>
      <c r="B59" s="13" t="s">
        <v>121</v>
      </c>
      <c r="C59" s="13" t="s">
        <v>526</v>
      </c>
      <c r="D59" s="13" t="s">
        <v>165</v>
      </c>
      <c r="E59" s="13" t="s">
        <v>448</v>
      </c>
      <c r="F59" s="14" t="n">
        <v>5323</v>
      </c>
      <c r="G59" s="14" t="n">
        <v>235</v>
      </c>
      <c r="H59" s="14" t="n">
        <v>5088</v>
      </c>
      <c r="I59" s="14" t="n">
        <v>2988</v>
      </c>
      <c r="J59" s="15" t="n">
        <v>0.5873</v>
      </c>
    </row>
    <row r="60" customFormat="false" ht="15" hidden="false" customHeight="true" outlineLevel="0" collapsed="false">
      <c r="A60" s="13" t="n">
        <v>2024</v>
      </c>
      <c r="B60" s="13" t="s">
        <v>121</v>
      </c>
      <c r="C60" s="13" t="s">
        <v>526</v>
      </c>
      <c r="D60" s="13" t="s">
        <v>477</v>
      </c>
      <c r="E60" s="13" t="s">
        <v>519</v>
      </c>
      <c r="F60" s="14" t="n">
        <v>42</v>
      </c>
      <c r="G60" s="14" t="n">
        <v>3</v>
      </c>
      <c r="H60" s="14" t="n">
        <v>39</v>
      </c>
      <c r="I60" s="14" t="n">
        <v>33</v>
      </c>
      <c r="J60" s="15" t="n">
        <v>0.8462</v>
      </c>
    </row>
    <row r="61" customFormat="false" ht="15" hidden="false" customHeight="true" outlineLevel="0" collapsed="false">
      <c r="A61" s="13" t="n">
        <v>2024</v>
      </c>
      <c r="B61" s="13" t="s">
        <v>121</v>
      </c>
      <c r="C61" s="13" t="s">
        <v>526</v>
      </c>
      <c r="D61" s="13" t="s">
        <v>284</v>
      </c>
      <c r="E61" s="13" t="s">
        <v>529</v>
      </c>
      <c r="F61" s="14" t="n">
        <v>23</v>
      </c>
      <c r="G61" s="14" t="n">
        <v>2</v>
      </c>
      <c r="H61" s="14" t="n">
        <v>21</v>
      </c>
      <c r="I61" s="14" t="n">
        <v>20</v>
      </c>
      <c r="J61" s="15" t="n">
        <v>0.9524</v>
      </c>
    </row>
    <row r="62" customFormat="false" ht="15" hidden="false" customHeight="true" outlineLevel="0" collapsed="false">
      <c r="A62" s="13" t="n">
        <v>2024</v>
      </c>
      <c r="B62" s="13" t="s">
        <v>121</v>
      </c>
      <c r="C62" s="13" t="s">
        <v>526</v>
      </c>
      <c r="D62" s="13" t="s">
        <v>285</v>
      </c>
      <c r="E62" s="13" t="s">
        <v>530</v>
      </c>
      <c r="F62" s="14" t="n">
        <v>306</v>
      </c>
      <c r="G62" s="14" t="n">
        <v>12</v>
      </c>
      <c r="H62" s="14" t="n">
        <v>294</v>
      </c>
      <c r="I62" s="14" t="n">
        <v>217</v>
      </c>
      <c r="J62" s="15" t="n">
        <v>0.7381</v>
      </c>
    </row>
    <row r="63" customFormat="false" ht="15" hidden="false" customHeight="true" outlineLevel="0" collapsed="false">
      <c r="A63" s="13" t="n">
        <v>2024</v>
      </c>
      <c r="B63" s="13" t="s">
        <v>121</v>
      </c>
      <c r="C63" s="13" t="s">
        <v>526</v>
      </c>
      <c r="D63" s="13" t="s">
        <v>153</v>
      </c>
      <c r="E63" s="13" t="s">
        <v>470</v>
      </c>
      <c r="F63" s="14" t="n">
        <v>68</v>
      </c>
      <c r="G63" s="14" t="n">
        <v>5</v>
      </c>
      <c r="H63" s="14" t="n">
        <v>63</v>
      </c>
      <c r="I63" s="14" t="n">
        <v>53</v>
      </c>
      <c r="J63" s="15" t="n">
        <v>0.8413</v>
      </c>
    </row>
    <row r="64" customFormat="false" ht="15" hidden="false" customHeight="true" outlineLevel="0" collapsed="false">
      <c r="A64" s="13" t="n">
        <v>2024</v>
      </c>
      <c r="B64" s="13" t="s">
        <v>121</v>
      </c>
      <c r="C64" s="13" t="s">
        <v>526</v>
      </c>
      <c r="D64" s="13" t="s">
        <v>426</v>
      </c>
      <c r="E64" s="13" t="s">
        <v>471</v>
      </c>
      <c r="F64" s="14" t="n">
        <v>5</v>
      </c>
      <c r="G64" s="14" t="n">
        <v>2</v>
      </c>
      <c r="H64" s="14" t="n">
        <v>3</v>
      </c>
      <c r="I64" s="14" t="n">
        <v>3</v>
      </c>
      <c r="J64" s="15" t="n">
        <v>1</v>
      </c>
    </row>
    <row r="65" customFormat="false" ht="15" hidden="false" customHeight="true" outlineLevel="0" collapsed="false">
      <c r="A65" s="13" t="n">
        <v>2024</v>
      </c>
      <c r="B65" s="13" t="s">
        <v>121</v>
      </c>
      <c r="C65" s="13" t="s">
        <v>526</v>
      </c>
      <c r="D65" s="13" t="s">
        <v>531</v>
      </c>
      <c r="E65" s="13" t="s">
        <v>532</v>
      </c>
      <c r="F65" s="14" t="n">
        <v>10</v>
      </c>
      <c r="G65" s="14" t="n">
        <v>2</v>
      </c>
      <c r="H65" s="14" t="n">
        <v>8</v>
      </c>
      <c r="I65" s="14" t="n">
        <v>7</v>
      </c>
      <c r="J65" s="15" t="n">
        <v>0.875</v>
      </c>
    </row>
    <row r="66" customFormat="false" ht="15" hidden="false" customHeight="true" outlineLevel="0" collapsed="false">
      <c r="A66" s="13" t="n">
        <v>2024</v>
      </c>
      <c r="B66" s="13" t="s">
        <v>121</v>
      </c>
      <c r="C66" s="13" t="s">
        <v>526</v>
      </c>
      <c r="D66" s="13" t="s">
        <v>427</v>
      </c>
      <c r="E66" s="13" t="s">
        <v>472</v>
      </c>
      <c r="F66" s="14" t="n">
        <v>114</v>
      </c>
      <c r="G66" s="14" t="n">
        <v>5</v>
      </c>
      <c r="H66" s="14" t="n">
        <v>109</v>
      </c>
      <c r="I66" s="14" t="n">
        <v>80</v>
      </c>
      <c r="J66" s="15" t="n">
        <v>0.7339</v>
      </c>
    </row>
    <row r="67" customFormat="false" ht="15" hidden="false" customHeight="true" outlineLevel="0" collapsed="false">
      <c r="A67" s="13" t="n">
        <v>2024</v>
      </c>
      <c r="B67" s="13" t="s">
        <v>121</v>
      </c>
      <c r="C67" s="13" t="s">
        <v>526</v>
      </c>
      <c r="D67" s="13" t="s">
        <v>155</v>
      </c>
      <c r="E67" s="13" t="s">
        <v>520</v>
      </c>
      <c r="F67" s="14" t="n">
        <v>242</v>
      </c>
      <c r="G67" s="14" t="n">
        <v>6</v>
      </c>
      <c r="H67" s="14" t="n">
        <v>236</v>
      </c>
      <c r="I67" s="14" t="n">
        <v>143</v>
      </c>
      <c r="J67" s="15" t="n">
        <v>0.6059</v>
      </c>
    </row>
    <row r="68" customFormat="false" ht="15" hidden="false" customHeight="true" outlineLevel="0" collapsed="false">
      <c r="A68" s="13" t="n">
        <v>2024</v>
      </c>
      <c r="B68" s="13" t="s">
        <v>121</v>
      </c>
      <c r="C68" s="13" t="s">
        <v>526</v>
      </c>
      <c r="D68" s="13" t="s">
        <v>523</v>
      </c>
      <c r="E68" s="13" t="s">
        <v>450</v>
      </c>
      <c r="F68" s="14" t="n">
        <v>343</v>
      </c>
      <c r="G68" s="14" t="n">
        <v>61</v>
      </c>
      <c r="H68" s="14" t="n">
        <v>282</v>
      </c>
      <c r="I68" s="14" t="n">
        <v>258</v>
      </c>
      <c r="J68" s="15" t="n">
        <v>0.9149</v>
      </c>
    </row>
    <row r="69" customFormat="false" ht="15" hidden="false" customHeight="true" outlineLevel="0" collapsed="false">
      <c r="A69" s="13" t="n">
        <v>2024</v>
      </c>
      <c r="B69" s="13" t="s">
        <v>121</v>
      </c>
      <c r="C69" s="13" t="s">
        <v>526</v>
      </c>
      <c r="D69" s="13" t="s">
        <v>410</v>
      </c>
      <c r="E69" s="13" t="s">
        <v>524</v>
      </c>
      <c r="F69" s="14" t="n">
        <v>3530</v>
      </c>
      <c r="G69" s="14" t="n">
        <v>175</v>
      </c>
      <c r="H69" s="14" t="n">
        <v>3355</v>
      </c>
      <c r="I69" s="14" t="n">
        <v>2486</v>
      </c>
      <c r="J69" s="15" t="n">
        <v>0.741</v>
      </c>
    </row>
    <row r="70" customFormat="false" ht="15" hidden="false" customHeight="true" outlineLevel="0" collapsed="false">
      <c r="A70" s="13" t="n">
        <v>2024</v>
      </c>
      <c r="B70" s="13" t="s">
        <v>121</v>
      </c>
      <c r="C70" s="13" t="s">
        <v>526</v>
      </c>
      <c r="D70" s="13" t="s">
        <v>525</v>
      </c>
      <c r="E70" s="13" t="s">
        <v>474</v>
      </c>
      <c r="F70" s="14" t="n">
        <v>2</v>
      </c>
      <c r="G70" s="14" t="n">
        <v>0</v>
      </c>
      <c r="H70" s="14" t="n">
        <v>2</v>
      </c>
      <c r="I70" s="14" t="n">
        <v>2</v>
      </c>
      <c r="J70" s="15" t="n">
        <v>1</v>
      </c>
    </row>
    <row r="71" customFormat="false" ht="15" hidden="false" customHeight="true" outlineLevel="0" collapsed="false">
      <c r="A71" s="13" t="n">
        <v>2024</v>
      </c>
      <c r="B71" s="13" t="s">
        <v>125</v>
      </c>
      <c r="C71" s="13" t="s">
        <v>499</v>
      </c>
      <c r="D71" s="13" t="s">
        <v>162</v>
      </c>
      <c r="E71" s="13" t="s">
        <v>500</v>
      </c>
      <c r="F71" s="14" t="n">
        <v>1137</v>
      </c>
      <c r="G71" s="14" t="n">
        <v>66</v>
      </c>
      <c r="H71" s="14" t="n">
        <v>1071</v>
      </c>
      <c r="I71" s="14" t="n">
        <v>1041</v>
      </c>
      <c r="J71" s="15" t="n">
        <v>0.972</v>
      </c>
    </row>
    <row r="72" customFormat="false" ht="15" hidden="false" customHeight="true" outlineLevel="0" collapsed="false">
      <c r="A72" s="13" t="n">
        <v>2024</v>
      </c>
      <c r="B72" s="13" t="s">
        <v>125</v>
      </c>
      <c r="C72" s="13" t="s">
        <v>499</v>
      </c>
      <c r="D72" s="13" t="s">
        <v>225</v>
      </c>
      <c r="E72" s="13" t="s">
        <v>501</v>
      </c>
      <c r="F72" s="14" t="n">
        <v>823</v>
      </c>
      <c r="G72" s="14" t="n">
        <v>81</v>
      </c>
      <c r="H72" s="14" t="n">
        <v>742</v>
      </c>
      <c r="I72" s="14" t="n">
        <v>685</v>
      </c>
      <c r="J72" s="15" t="n">
        <v>0.9232</v>
      </c>
    </row>
    <row r="73" customFormat="false" ht="15" hidden="false" customHeight="true" outlineLevel="0" collapsed="false">
      <c r="A73" s="13" t="n">
        <v>2024</v>
      </c>
      <c r="B73" s="13" t="s">
        <v>125</v>
      </c>
      <c r="C73" s="13" t="s">
        <v>499</v>
      </c>
      <c r="D73" s="13" t="s">
        <v>167</v>
      </c>
      <c r="E73" s="13" t="s">
        <v>443</v>
      </c>
      <c r="F73" s="14" t="n">
        <v>449</v>
      </c>
      <c r="G73" s="14" t="n">
        <v>116</v>
      </c>
      <c r="H73" s="14" t="n">
        <v>333</v>
      </c>
      <c r="I73" s="14" t="n">
        <v>186</v>
      </c>
      <c r="J73" s="15" t="n">
        <v>0.5586</v>
      </c>
    </row>
    <row r="74" customFormat="false" ht="15" hidden="false" customHeight="true" outlineLevel="0" collapsed="false">
      <c r="A74" s="13" t="n">
        <v>2024</v>
      </c>
      <c r="B74" s="13" t="s">
        <v>125</v>
      </c>
      <c r="C74" s="13" t="s">
        <v>499</v>
      </c>
      <c r="D74" s="13" t="s">
        <v>166</v>
      </c>
      <c r="E74" s="13" t="s">
        <v>502</v>
      </c>
      <c r="F74" s="14" t="n">
        <v>603</v>
      </c>
      <c r="G74" s="14" t="n">
        <v>129</v>
      </c>
      <c r="H74" s="14" t="n">
        <v>474</v>
      </c>
      <c r="I74" s="14" t="n">
        <v>336</v>
      </c>
      <c r="J74" s="15" t="n">
        <v>0.7089</v>
      </c>
    </row>
    <row r="75" customFormat="false" ht="15" hidden="false" customHeight="true" outlineLevel="0" collapsed="false">
      <c r="A75" s="13" t="n">
        <v>2024</v>
      </c>
      <c r="B75" s="13" t="s">
        <v>125</v>
      </c>
      <c r="C75" s="13" t="s">
        <v>499</v>
      </c>
      <c r="D75" s="13" t="s">
        <v>154</v>
      </c>
      <c r="E75" s="13" t="s">
        <v>457</v>
      </c>
      <c r="F75" s="14" t="n">
        <v>4828</v>
      </c>
      <c r="G75" s="14" t="n">
        <v>552</v>
      </c>
      <c r="H75" s="14" t="n">
        <v>4276</v>
      </c>
      <c r="I75" s="14" t="n">
        <v>3724</v>
      </c>
      <c r="J75" s="15" t="n">
        <v>0.8709</v>
      </c>
    </row>
    <row r="76" customFormat="false" ht="15" hidden="false" customHeight="true" outlineLevel="0" collapsed="false">
      <c r="A76" s="13" t="n">
        <v>2024</v>
      </c>
      <c r="B76" s="13" t="s">
        <v>125</v>
      </c>
      <c r="C76" s="13" t="s">
        <v>499</v>
      </c>
      <c r="D76" s="13" t="s">
        <v>236</v>
      </c>
      <c r="E76" s="13" t="s">
        <v>503</v>
      </c>
      <c r="F76" s="14" t="n">
        <v>844</v>
      </c>
      <c r="G76" s="14" t="n">
        <v>72</v>
      </c>
      <c r="H76" s="14" t="n">
        <v>772</v>
      </c>
      <c r="I76" s="14" t="n">
        <v>684</v>
      </c>
      <c r="J76" s="15" t="n">
        <v>0.886</v>
      </c>
    </row>
    <row r="77" customFormat="false" ht="15" hidden="false" customHeight="true" outlineLevel="0" collapsed="false">
      <c r="A77" s="13" t="n">
        <v>2024</v>
      </c>
      <c r="B77" s="13" t="s">
        <v>125</v>
      </c>
      <c r="C77" s="13" t="s">
        <v>499</v>
      </c>
      <c r="D77" s="13" t="s">
        <v>170</v>
      </c>
      <c r="E77" s="13" t="s">
        <v>504</v>
      </c>
      <c r="F77" s="14" t="n">
        <v>263</v>
      </c>
      <c r="G77" s="14" t="n">
        <v>59</v>
      </c>
      <c r="H77" s="14" t="n">
        <v>204</v>
      </c>
      <c r="I77" s="14" t="n">
        <v>112</v>
      </c>
      <c r="J77" s="15" t="n">
        <v>0.549</v>
      </c>
    </row>
    <row r="78" customFormat="false" ht="15" hidden="false" customHeight="true" outlineLevel="0" collapsed="false">
      <c r="A78" s="13" t="n">
        <v>2024</v>
      </c>
      <c r="B78" s="13" t="s">
        <v>125</v>
      </c>
      <c r="C78" s="13" t="s">
        <v>499</v>
      </c>
      <c r="D78" s="13" t="s">
        <v>152</v>
      </c>
      <c r="E78" s="13" t="s">
        <v>454</v>
      </c>
      <c r="F78" s="14" t="n">
        <v>836</v>
      </c>
      <c r="G78" s="14" t="n">
        <v>83</v>
      </c>
      <c r="H78" s="14" t="n">
        <v>753</v>
      </c>
      <c r="I78" s="14" t="n">
        <v>644</v>
      </c>
      <c r="J78" s="15" t="n">
        <v>0.8552</v>
      </c>
    </row>
    <row r="79" customFormat="false" ht="15" hidden="false" customHeight="true" outlineLevel="0" collapsed="false">
      <c r="A79" s="13" t="n">
        <v>2024</v>
      </c>
      <c r="B79" s="13" t="s">
        <v>125</v>
      </c>
      <c r="C79" s="13" t="s">
        <v>499</v>
      </c>
      <c r="D79" s="13" t="s">
        <v>150</v>
      </c>
      <c r="E79" s="13" t="s">
        <v>458</v>
      </c>
      <c r="F79" s="14" t="n">
        <v>7995</v>
      </c>
      <c r="G79" s="14" t="n">
        <v>669</v>
      </c>
      <c r="H79" s="14" t="n">
        <v>7326</v>
      </c>
      <c r="I79" s="14" t="n">
        <v>6771</v>
      </c>
      <c r="J79" s="15" t="n">
        <v>0.9242</v>
      </c>
    </row>
    <row r="80" customFormat="false" ht="15" hidden="false" customHeight="true" outlineLevel="0" collapsed="false">
      <c r="A80" s="13" t="n">
        <v>2024</v>
      </c>
      <c r="B80" s="13" t="s">
        <v>125</v>
      </c>
      <c r="C80" s="13" t="s">
        <v>499</v>
      </c>
      <c r="D80" s="13" t="s">
        <v>142</v>
      </c>
      <c r="E80" s="13" t="s">
        <v>445</v>
      </c>
      <c r="F80" s="14" t="n">
        <v>17901</v>
      </c>
      <c r="G80" s="14" t="n">
        <v>1413</v>
      </c>
      <c r="H80" s="14" t="n">
        <v>16488</v>
      </c>
      <c r="I80" s="14" t="n">
        <v>9052</v>
      </c>
      <c r="J80" s="15" t="n">
        <v>0.549</v>
      </c>
    </row>
    <row r="81" customFormat="false" ht="15" hidden="false" customHeight="true" outlineLevel="0" collapsed="false">
      <c r="A81" s="13" t="n">
        <v>2024</v>
      </c>
      <c r="B81" s="13" t="s">
        <v>125</v>
      </c>
      <c r="C81" s="13" t="s">
        <v>499</v>
      </c>
      <c r="D81" s="13" t="s">
        <v>505</v>
      </c>
      <c r="E81" s="13" t="s">
        <v>506</v>
      </c>
      <c r="F81" s="14" t="n">
        <v>24</v>
      </c>
      <c r="G81" s="14" t="n">
        <v>5</v>
      </c>
      <c r="H81" s="14" t="n">
        <v>19</v>
      </c>
      <c r="I81" s="14" t="n">
        <v>13</v>
      </c>
      <c r="J81" s="15" t="n">
        <v>0.6842</v>
      </c>
    </row>
    <row r="82" customFormat="false" ht="15" hidden="false" customHeight="true" outlineLevel="0" collapsed="false">
      <c r="A82" s="13" t="n">
        <v>2024</v>
      </c>
      <c r="B82" s="13" t="s">
        <v>125</v>
      </c>
      <c r="C82" s="13" t="s">
        <v>499</v>
      </c>
      <c r="D82" s="13" t="s">
        <v>143</v>
      </c>
      <c r="E82" s="13" t="s">
        <v>446</v>
      </c>
      <c r="F82" s="14" t="n">
        <v>214</v>
      </c>
      <c r="G82" s="14" t="n">
        <v>26</v>
      </c>
      <c r="H82" s="14" t="n">
        <v>188</v>
      </c>
      <c r="I82" s="14" t="n">
        <v>183</v>
      </c>
      <c r="J82" s="15" t="n">
        <v>0.9734</v>
      </c>
    </row>
    <row r="83" customFormat="false" ht="15" hidden="false" customHeight="true" outlineLevel="0" collapsed="false">
      <c r="A83" s="13" t="n">
        <v>2024</v>
      </c>
      <c r="B83" s="13" t="s">
        <v>125</v>
      </c>
      <c r="C83" s="13" t="s">
        <v>499</v>
      </c>
      <c r="D83" s="13" t="s">
        <v>161</v>
      </c>
      <c r="E83" s="13" t="s">
        <v>461</v>
      </c>
      <c r="F83" s="14" t="n">
        <v>15</v>
      </c>
      <c r="G83" s="14" t="n">
        <v>5</v>
      </c>
      <c r="H83" s="14" t="n">
        <v>10</v>
      </c>
      <c r="I83" s="14" t="n">
        <v>7</v>
      </c>
      <c r="J83" s="15" t="n">
        <v>0.7</v>
      </c>
    </row>
    <row r="84" customFormat="false" ht="15" hidden="false" customHeight="true" outlineLevel="0" collapsed="false">
      <c r="A84" s="13" t="n">
        <v>2024</v>
      </c>
      <c r="B84" s="13" t="s">
        <v>125</v>
      </c>
      <c r="C84" s="13" t="s">
        <v>499</v>
      </c>
      <c r="D84" s="13" t="s">
        <v>158</v>
      </c>
      <c r="E84" s="13" t="s">
        <v>509</v>
      </c>
      <c r="F84" s="14" t="n">
        <v>49</v>
      </c>
      <c r="G84" s="14" t="n">
        <v>7</v>
      </c>
      <c r="H84" s="14" t="n">
        <v>42</v>
      </c>
      <c r="I84" s="14" t="n">
        <v>34</v>
      </c>
      <c r="J84" s="15" t="n">
        <v>0.8095</v>
      </c>
    </row>
    <row r="85" customFormat="false" ht="15" hidden="false" customHeight="true" outlineLevel="0" collapsed="false">
      <c r="A85" s="13" t="n">
        <v>2024</v>
      </c>
      <c r="B85" s="13" t="s">
        <v>125</v>
      </c>
      <c r="C85" s="13" t="s">
        <v>499</v>
      </c>
      <c r="D85" s="13" t="s">
        <v>415</v>
      </c>
      <c r="E85" s="13" t="s">
        <v>463</v>
      </c>
      <c r="F85" s="14" t="n">
        <v>1016</v>
      </c>
      <c r="G85" s="14" t="n">
        <v>85</v>
      </c>
      <c r="H85" s="14" t="n">
        <v>931</v>
      </c>
      <c r="I85" s="14" t="n">
        <v>763</v>
      </c>
      <c r="J85" s="15" t="n">
        <v>0.8195</v>
      </c>
    </row>
    <row r="86" customFormat="false" ht="15" hidden="false" customHeight="true" outlineLevel="0" collapsed="false">
      <c r="A86" s="13" t="n">
        <v>2024</v>
      </c>
      <c r="B86" s="13" t="s">
        <v>125</v>
      </c>
      <c r="C86" s="13" t="s">
        <v>499</v>
      </c>
      <c r="D86" s="13" t="s">
        <v>510</v>
      </c>
      <c r="E86" s="13" t="s">
        <v>511</v>
      </c>
      <c r="F86" s="14" t="n">
        <v>16</v>
      </c>
      <c r="G86" s="14" t="n">
        <v>1</v>
      </c>
      <c r="H86" s="14" t="n">
        <v>15</v>
      </c>
      <c r="I86" s="14" t="n">
        <v>5</v>
      </c>
      <c r="J86" s="15" t="n">
        <v>0.3333</v>
      </c>
    </row>
    <row r="87" customFormat="false" ht="15" hidden="false" customHeight="true" outlineLevel="0" collapsed="false">
      <c r="A87" s="13" t="n">
        <v>2024</v>
      </c>
      <c r="B87" s="13" t="s">
        <v>125</v>
      </c>
      <c r="C87" s="13" t="s">
        <v>499</v>
      </c>
      <c r="D87" s="13" t="s">
        <v>533</v>
      </c>
      <c r="E87" s="13" t="s">
        <v>534</v>
      </c>
      <c r="F87" s="14" t="n">
        <v>4</v>
      </c>
      <c r="G87" s="14" t="n">
        <v>2</v>
      </c>
      <c r="H87" s="14" t="n">
        <v>2</v>
      </c>
      <c r="I87" s="14" t="n">
        <v>0</v>
      </c>
      <c r="J87" s="15" t="n">
        <v>0</v>
      </c>
    </row>
    <row r="88" customFormat="false" ht="15" hidden="false" customHeight="true" outlineLevel="0" collapsed="false">
      <c r="A88" s="13" t="n">
        <v>2024</v>
      </c>
      <c r="B88" s="13" t="s">
        <v>125</v>
      </c>
      <c r="C88" s="13" t="s">
        <v>499</v>
      </c>
      <c r="D88" s="13" t="s">
        <v>418</v>
      </c>
      <c r="E88" s="13" t="s">
        <v>512</v>
      </c>
      <c r="F88" s="14" t="n">
        <v>305</v>
      </c>
      <c r="G88" s="14" t="n">
        <v>36</v>
      </c>
      <c r="H88" s="14" t="n">
        <v>269</v>
      </c>
      <c r="I88" s="14" t="n">
        <v>234</v>
      </c>
      <c r="J88" s="15" t="n">
        <v>0.8699</v>
      </c>
    </row>
    <row r="89" customFormat="false" ht="15" hidden="false" customHeight="true" outlineLevel="0" collapsed="false">
      <c r="A89" s="13" t="n">
        <v>2024</v>
      </c>
      <c r="B89" s="13" t="s">
        <v>125</v>
      </c>
      <c r="C89" s="13" t="s">
        <v>499</v>
      </c>
      <c r="D89" s="13" t="s">
        <v>535</v>
      </c>
      <c r="E89" s="13" t="s">
        <v>536</v>
      </c>
      <c r="F89" s="14" t="n">
        <v>63</v>
      </c>
      <c r="G89" s="14" t="n">
        <v>8</v>
      </c>
      <c r="H89" s="14" t="n">
        <v>55</v>
      </c>
      <c r="I89" s="14" t="n">
        <v>54</v>
      </c>
      <c r="J89" s="15" t="n">
        <v>0.9818</v>
      </c>
    </row>
    <row r="90" customFormat="false" ht="15" hidden="false" customHeight="true" outlineLevel="0" collapsed="false">
      <c r="A90" s="13" t="n">
        <v>2024</v>
      </c>
      <c r="B90" s="13" t="s">
        <v>125</v>
      </c>
      <c r="C90" s="13" t="s">
        <v>499</v>
      </c>
      <c r="D90" s="13" t="s">
        <v>419</v>
      </c>
      <c r="E90" s="13" t="s">
        <v>537</v>
      </c>
      <c r="F90" s="14" t="n">
        <v>64</v>
      </c>
      <c r="G90" s="14" t="n">
        <v>9</v>
      </c>
      <c r="H90" s="14" t="n">
        <v>55</v>
      </c>
      <c r="I90" s="14" t="n">
        <v>54</v>
      </c>
      <c r="J90" s="15" t="n">
        <v>0.9818</v>
      </c>
    </row>
    <row r="91" customFormat="false" ht="15" hidden="false" customHeight="true" outlineLevel="0" collapsed="false">
      <c r="A91" s="13" t="n">
        <v>2024</v>
      </c>
      <c r="B91" s="13" t="s">
        <v>125</v>
      </c>
      <c r="C91" s="13" t="s">
        <v>499</v>
      </c>
      <c r="D91" s="13" t="s">
        <v>419</v>
      </c>
      <c r="E91" s="13" t="s">
        <v>466</v>
      </c>
      <c r="F91" s="14" t="n">
        <v>8281</v>
      </c>
      <c r="G91" s="14" t="n">
        <v>686</v>
      </c>
      <c r="H91" s="14" t="n">
        <v>7595</v>
      </c>
      <c r="I91" s="14" t="n">
        <v>7149</v>
      </c>
      <c r="J91" s="15" t="n">
        <v>0.9413</v>
      </c>
    </row>
    <row r="92" customFormat="false" ht="15" hidden="false" customHeight="true" outlineLevel="0" collapsed="false">
      <c r="A92" s="13" t="n">
        <v>2024</v>
      </c>
      <c r="B92" s="13" t="s">
        <v>125</v>
      </c>
      <c r="C92" s="13" t="s">
        <v>499</v>
      </c>
      <c r="D92" s="13" t="s">
        <v>159</v>
      </c>
      <c r="E92" s="13" t="s">
        <v>467</v>
      </c>
      <c r="F92" s="14" t="n">
        <v>3</v>
      </c>
      <c r="G92" s="14" t="n">
        <v>1</v>
      </c>
      <c r="H92" s="14" t="n">
        <v>2</v>
      </c>
      <c r="I92" s="14" t="n">
        <v>1</v>
      </c>
      <c r="J92" s="15" t="n">
        <v>0.5</v>
      </c>
    </row>
    <row r="93" customFormat="false" ht="15" hidden="false" customHeight="true" outlineLevel="0" collapsed="false">
      <c r="A93" s="13" t="n">
        <v>2024</v>
      </c>
      <c r="B93" s="13" t="s">
        <v>125</v>
      </c>
      <c r="C93" s="13" t="s">
        <v>499</v>
      </c>
      <c r="D93" s="13" t="s">
        <v>156</v>
      </c>
      <c r="E93" s="13" t="s">
        <v>513</v>
      </c>
      <c r="F93" s="14" t="n">
        <v>2365</v>
      </c>
      <c r="G93" s="14" t="n">
        <v>218</v>
      </c>
      <c r="H93" s="14" t="n">
        <v>2147</v>
      </c>
      <c r="I93" s="14" t="n">
        <v>1067</v>
      </c>
      <c r="J93" s="15" t="n">
        <v>0.497</v>
      </c>
    </row>
    <row r="94" customFormat="false" ht="15" hidden="false" customHeight="true" outlineLevel="0" collapsed="false">
      <c r="A94" s="13" t="n">
        <v>2024</v>
      </c>
      <c r="B94" s="13" t="s">
        <v>125</v>
      </c>
      <c r="C94" s="13" t="s">
        <v>499</v>
      </c>
      <c r="D94" s="13" t="s">
        <v>514</v>
      </c>
      <c r="E94" s="13" t="s">
        <v>515</v>
      </c>
      <c r="F94" s="14" t="n">
        <v>3</v>
      </c>
      <c r="G94" s="14" t="n">
        <v>0</v>
      </c>
      <c r="H94" s="14" t="n">
        <v>3</v>
      </c>
      <c r="I94" s="14" t="n">
        <v>3</v>
      </c>
      <c r="J94" s="15" t="n">
        <v>1</v>
      </c>
    </row>
    <row r="95" customFormat="false" ht="15" hidden="false" customHeight="true" outlineLevel="0" collapsed="false">
      <c r="A95" s="13" t="n">
        <v>2024</v>
      </c>
      <c r="B95" s="13" t="s">
        <v>125</v>
      </c>
      <c r="C95" s="13" t="s">
        <v>499</v>
      </c>
      <c r="D95" s="13" t="s">
        <v>149</v>
      </c>
      <c r="E95" s="13" t="s">
        <v>516</v>
      </c>
      <c r="F95" s="14" t="n">
        <v>11378</v>
      </c>
      <c r="G95" s="14" t="n">
        <v>1124</v>
      </c>
      <c r="H95" s="14" t="n">
        <v>10254</v>
      </c>
      <c r="I95" s="14" t="n">
        <v>9805</v>
      </c>
      <c r="J95" s="15" t="n">
        <v>0.9562</v>
      </c>
    </row>
    <row r="96" customFormat="false" ht="15" hidden="false" customHeight="true" outlineLevel="0" collapsed="false">
      <c r="A96" s="13" t="n">
        <v>2024</v>
      </c>
      <c r="B96" s="13" t="s">
        <v>125</v>
      </c>
      <c r="C96" s="13" t="s">
        <v>499</v>
      </c>
      <c r="D96" s="13" t="s">
        <v>145</v>
      </c>
      <c r="E96" s="13" t="s">
        <v>517</v>
      </c>
      <c r="F96" s="14" t="n">
        <v>1</v>
      </c>
      <c r="G96" s="14" t="n">
        <v>0</v>
      </c>
      <c r="H96" s="14" t="n">
        <v>1</v>
      </c>
      <c r="I96" s="14" t="n">
        <v>1</v>
      </c>
      <c r="J96" s="15" t="n">
        <v>1</v>
      </c>
    </row>
    <row r="97" customFormat="false" ht="15" hidden="false" customHeight="true" outlineLevel="0" collapsed="false">
      <c r="A97" s="13" t="n">
        <v>2024</v>
      </c>
      <c r="B97" s="13" t="s">
        <v>125</v>
      </c>
      <c r="C97" s="13" t="s">
        <v>499</v>
      </c>
      <c r="D97" s="13" t="s">
        <v>424</v>
      </c>
      <c r="E97" s="13" t="s">
        <v>468</v>
      </c>
      <c r="F97" s="14" t="n">
        <v>561</v>
      </c>
      <c r="G97" s="14" t="n">
        <v>23</v>
      </c>
      <c r="H97" s="14" t="n">
        <v>538</v>
      </c>
      <c r="I97" s="14" t="n">
        <v>524</v>
      </c>
      <c r="J97" s="15" t="n">
        <v>0.974</v>
      </c>
    </row>
    <row r="98" customFormat="false" ht="15" hidden="false" customHeight="true" outlineLevel="0" collapsed="false">
      <c r="A98" s="13" t="n">
        <v>2024</v>
      </c>
      <c r="B98" s="13" t="s">
        <v>125</v>
      </c>
      <c r="C98" s="13" t="s">
        <v>499</v>
      </c>
      <c r="D98" s="13" t="s">
        <v>425</v>
      </c>
      <c r="E98" s="13" t="s">
        <v>518</v>
      </c>
      <c r="F98" s="14" t="n">
        <v>97</v>
      </c>
      <c r="G98" s="14" t="n">
        <v>8</v>
      </c>
      <c r="H98" s="14" t="n">
        <v>89</v>
      </c>
      <c r="I98" s="14" t="n">
        <v>88</v>
      </c>
      <c r="J98" s="15" t="n">
        <v>0.9888</v>
      </c>
    </row>
    <row r="99" customFormat="false" ht="15" hidden="false" customHeight="true" outlineLevel="0" collapsed="false">
      <c r="A99" s="13" t="n">
        <v>2024</v>
      </c>
      <c r="B99" s="13" t="s">
        <v>125</v>
      </c>
      <c r="C99" s="13" t="s">
        <v>499</v>
      </c>
      <c r="D99" s="13" t="s">
        <v>165</v>
      </c>
      <c r="E99" s="13" t="s">
        <v>448</v>
      </c>
      <c r="F99" s="14" t="n">
        <v>682</v>
      </c>
      <c r="G99" s="14" t="n">
        <v>155</v>
      </c>
      <c r="H99" s="14" t="n">
        <v>527</v>
      </c>
      <c r="I99" s="14" t="n">
        <v>372</v>
      </c>
      <c r="J99" s="15" t="n">
        <v>0.7059</v>
      </c>
    </row>
    <row r="100" customFormat="false" ht="15" hidden="false" customHeight="true" outlineLevel="0" collapsed="false">
      <c r="A100" s="13" t="n">
        <v>2024</v>
      </c>
      <c r="B100" s="13" t="s">
        <v>125</v>
      </c>
      <c r="C100" s="13" t="s">
        <v>499</v>
      </c>
      <c r="D100" s="13" t="s">
        <v>477</v>
      </c>
      <c r="E100" s="13" t="s">
        <v>519</v>
      </c>
      <c r="F100" s="14" t="n">
        <v>822</v>
      </c>
      <c r="G100" s="14" t="n">
        <v>76</v>
      </c>
      <c r="H100" s="14" t="n">
        <v>746</v>
      </c>
      <c r="I100" s="14" t="n">
        <v>658</v>
      </c>
      <c r="J100" s="15" t="n">
        <v>0.882</v>
      </c>
    </row>
    <row r="101" customFormat="false" ht="15" hidden="false" customHeight="true" outlineLevel="0" collapsed="false">
      <c r="A101" s="13" t="n">
        <v>2024</v>
      </c>
      <c r="B101" s="13" t="s">
        <v>125</v>
      </c>
      <c r="C101" s="13" t="s">
        <v>499</v>
      </c>
      <c r="D101" s="13" t="s">
        <v>153</v>
      </c>
      <c r="E101" s="13" t="s">
        <v>470</v>
      </c>
      <c r="F101" s="14" t="n">
        <v>20</v>
      </c>
      <c r="G101" s="14" t="n">
        <v>3</v>
      </c>
      <c r="H101" s="14" t="n">
        <v>17</v>
      </c>
      <c r="I101" s="14" t="n">
        <v>17</v>
      </c>
      <c r="J101" s="15" t="n">
        <v>1</v>
      </c>
    </row>
    <row r="102" customFormat="false" ht="15" hidden="false" customHeight="true" outlineLevel="0" collapsed="false">
      <c r="A102" s="13" t="n">
        <v>2024</v>
      </c>
      <c r="B102" s="13" t="s">
        <v>125</v>
      </c>
      <c r="C102" s="13" t="s">
        <v>499</v>
      </c>
      <c r="D102" s="13" t="s">
        <v>426</v>
      </c>
      <c r="E102" s="13" t="s">
        <v>471</v>
      </c>
      <c r="F102" s="14" t="n">
        <v>2245</v>
      </c>
      <c r="G102" s="14" t="n">
        <v>243</v>
      </c>
      <c r="H102" s="14" t="n">
        <v>2002</v>
      </c>
      <c r="I102" s="14" t="n">
        <v>1977</v>
      </c>
      <c r="J102" s="15" t="n">
        <v>0.9875</v>
      </c>
    </row>
    <row r="103" customFormat="false" ht="15" hidden="false" customHeight="true" outlineLevel="0" collapsed="false">
      <c r="A103" s="13" t="n">
        <v>2024</v>
      </c>
      <c r="B103" s="13" t="s">
        <v>125</v>
      </c>
      <c r="C103" s="13" t="s">
        <v>499</v>
      </c>
      <c r="D103" s="13" t="s">
        <v>427</v>
      </c>
      <c r="E103" s="13" t="s">
        <v>472</v>
      </c>
      <c r="F103" s="14" t="n">
        <v>2305</v>
      </c>
      <c r="G103" s="14" t="n">
        <v>231</v>
      </c>
      <c r="H103" s="14" t="n">
        <v>2074</v>
      </c>
      <c r="I103" s="14" t="n">
        <v>1975</v>
      </c>
      <c r="J103" s="15" t="n">
        <v>0.9523</v>
      </c>
    </row>
    <row r="104" customFormat="false" ht="15" hidden="false" customHeight="true" outlineLevel="0" collapsed="false">
      <c r="A104" s="13" t="n">
        <v>2024</v>
      </c>
      <c r="B104" s="13" t="s">
        <v>125</v>
      </c>
      <c r="C104" s="13" t="s">
        <v>499</v>
      </c>
      <c r="D104" s="13" t="s">
        <v>155</v>
      </c>
      <c r="E104" s="13" t="s">
        <v>520</v>
      </c>
      <c r="F104" s="14" t="n">
        <v>17</v>
      </c>
      <c r="G104" s="14" t="n">
        <v>7</v>
      </c>
      <c r="H104" s="14" t="n">
        <v>10</v>
      </c>
      <c r="I104" s="14" t="n">
        <v>4</v>
      </c>
      <c r="J104" s="15" t="n">
        <v>0.4</v>
      </c>
    </row>
    <row r="105" customFormat="false" ht="15" hidden="false" customHeight="true" outlineLevel="0" collapsed="false">
      <c r="A105" s="13" t="n">
        <v>2024</v>
      </c>
      <c r="B105" s="13" t="s">
        <v>125</v>
      </c>
      <c r="C105" s="13" t="s">
        <v>499</v>
      </c>
      <c r="D105" s="13" t="s">
        <v>521</v>
      </c>
      <c r="E105" s="13" t="s">
        <v>522</v>
      </c>
      <c r="F105" s="14" t="n">
        <v>833</v>
      </c>
      <c r="G105" s="14" t="n">
        <v>69</v>
      </c>
      <c r="H105" s="14" t="n">
        <v>764</v>
      </c>
      <c r="I105" s="14" t="n">
        <v>701</v>
      </c>
      <c r="J105" s="15" t="n">
        <v>0.9175</v>
      </c>
    </row>
    <row r="106" customFormat="false" ht="15" hidden="false" customHeight="true" outlineLevel="0" collapsed="false">
      <c r="A106" s="13" t="n">
        <v>2024</v>
      </c>
      <c r="B106" s="13" t="s">
        <v>125</v>
      </c>
      <c r="C106" s="13" t="s">
        <v>499</v>
      </c>
      <c r="D106" s="13" t="s">
        <v>523</v>
      </c>
      <c r="E106" s="13" t="s">
        <v>450</v>
      </c>
      <c r="F106" s="14" t="n">
        <v>9975</v>
      </c>
      <c r="G106" s="14" t="n">
        <v>903</v>
      </c>
      <c r="H106" s="14" t="n">
        <v>9072</v>
      </c>
      <c r="I106" s="14" t="n">
        <v>8693</v>
      </c>
      <c r="J106" s="15" t="n">
        <v>0.9582</v>
      </c>
    </row>
    <row r="107" customFormat="false" ht="15" hidden="false" customHeight="true" outlineLevel="0" collapsed="false">
      <c r="A107" s="13" t="n">
        <v>2024</v>
      </c>
      <c r="B107" s="13" t="s">
        <v>125</v>
      </c>
      <c r="C107" s="13" t="s">
        <v>499</v>
      </c>
      <c r="D107" s="13" t="s">
        <v>410</v>
      </c>
      <c r="E107" s="13" t="s">
        <v>524</v>
      </c>
      <c r="F107" s="14" t="n">
        <v>12674</v>
      </c>
      <c r="G107" s="14" t="n">
        <v>1325</v>
      </c>
      <c r="H107" s="14" t="n">
        <v>11349</v>
      </c>
      <c r="I107" s="14" t="n">
        <v>7938</v>
      </c>
      <c r="J107" s="15" t="n">
        <v>0.6994</v>
      </c>
    </row>
    <row r="108" customFormat="false" ht="15" hidden="false" customHeight="true" outlineLevel="0" collapsed="false">
      <c r="A108" s="13" t="n">
        <v>2024</v>
      </c>
      <c r="B108" s="13" t="s">
        <v>125</v>
      </c>
      <c r="C108" s="13" t="s">
        <v>499</v>
      </c>
      <c r="D108" s="13" t="s">
        <v>525</v>
      </c>
      <c r="E108" s="13" t="s">
        <v>474</v>
      </c>
      <c r="F108" s="14" t="n">
        <v>59</v>
      </c>
      <c r="G108" s="14" t="n">
        <v>5</v>
      </c>
      <c r="H108" s="14" t="n">
        <v>54</v>
      </c>
      <c r="I108" s="14" t="n">
        <v>40</v>
      </c>
      <c r="J108" s="15" t="n">
        <v>0.7407</v>
      </c>
    </row>
    <row r="109" customFormat="false" ht="15" hidden="false" customHeight="true" outlineLevel="0" collapsed="false">
      <c r="A109" s="13" t="n">
        <v>2024</v>
      </c>
      <c r="B109" s="13" t="s">
        <v>125</v>
      </c>
      <c r="C109" s="13" t="s">
        <v>526</v>
      </c>
      <c r="D109" s="13" t="s">
        <v>162</v>
      </c>
      <c r="E109" s="13" t="s">
        <v>500</v>
      </c>
      <c r="F109" s="14" t="n">
        <v>294</v>
      </c>
      <c r="G109" s="14" t="n">
        <v>39</v>
      </c>
      <c r="H109" s="14" t="n">
        <v>255</v>
      </c>
      <c r="I109" s="14" t="n">
        <v>239</v>
      </c>
      <c r="J109" s="15" t="n">
        <v>0.9373</v>
      </c>
    </row>
    <row r="110" customFormat="false" ht="15" hidden="false" customHeight="true" outlineLevel="0" collapsed="false">
      <c r="A110" s="13" t="n">
        <v>2024</v>
      </c>
      <c r="B110" s="13" t="s">
        <v>125</v>
      </c>
      <c r="C110" s="13" t="s">
        <v>526</v>
      </c>
      <c r="D110" s="13" t="s">
        <v>167</v>
      </c>
      <c r="E110" s="13" t="s">
        <v>443</v>
      </c>
      <c r="F110" s="14" t="n">
        <v>1445</v>
      </c>
      <c r="G110" s="14" t="n">
        <v>214</v>
      </c>
      <c r="H110" s="14" t="n">
        <v>1231</v>
      </c>
      <c r="I110" s="14" t="n">
        <v>923</v>
      </c>
      <c r="J110" s="15" t="n">
        <v>0.7498</v>
      </c>
    </row>
    <row r="111" customFormat="false" ht="15" hidden="false" customHeight="true" outlineLevel="0" collapsed="false">
      <c r="A111" s="13" t="n">
        <v>2024</v>
      </c>
      <c r="B111" s="13" t="s">
        <v>125</v>
      </c>
      <c r="C111" s="13" t="s">
        <v>526</v>
      </c>
      <c r="D111" s="13" t="s">
        <v>228</v>
      </c>
      <c r="E111" s="13" t="s">
        <v>527</v>
      </c>
      <c r="F111" s="14" t="n">
        <v>295</v>
      </c>
      <c r="G111" s="14" t="n">
        <v>48</v>
      </c>
      <c r="H111" s="14" t="n">
        <v>247</v>
      </c>
      <c r="I111" s="14" t="n">
        <v>203</v>
      </c>
      <c r="J111" s="15" t="n">
        <v>0.8219</v>
      </c>
    </row>
    <row r="112" customFormat="false" ht="15" hidden="false" customHeight="true" outlineLevel="0" collapsed="false">
      <c r="A112" s="13" t="n">
        <v>2024</v>
      </c>
      <c r="B112" s="13" t="s">
        <v>125</v>
      </c>
      <c r="C112" s="13" t="s">
        <v>526</v>
      </c>
      <c r="D112" s="13" t="s">
        <v>166</v>
      </c>
      <c r="E112" s="13" t="s">
        <v>502</v>
      </c>
      <c r="F112" s="14" t="n">
        <v>1920</v>
      </c>
      <c r="G112" s="14" t="n">
        <v>256</v>
      </c>
      <c r="H112" s="14" t="n">
        <v>1664</v>
      </c>
      <c r="I112" s="14" t="n">
        <v>1130</v>
      </c>
      <c r="J112" s="15" t="n">
        <v>0.6791</v>
      </c>
    </row>
    <row r="113" customFormat="false" ht="15" hidden="false" customHeight="true" outlineLevel="0" collapsed="false">
      <c r="A113" s="13" t="n">
        <v>2024</v>
      </c>
      <c r="B113" s="13" t="s">
        <v>125</v>
      </c>
      <c r="C113" s="13" t="s">
        <v>526</v>
      </c>
      <c r="D113" s="13" t="s">
        <v>154</v>
      </c>
      <c r="E113" s="13" t="s">
        <v>457</v>
      </c>
      <c r="F113" s="14" t="n">
        <v>2953</v>
      </c>
      <c r="G113" s="14" t="n">
        <v>416</v>
      </c>
      <c r="H113" s="14" t="n">
        <v>2537</v>
      </c>
      <c r="I113" s="14" t="n">
        <v>2345</v>
      </c>
      <c r="J113" s="15" t="n">
        <v>0.9243</v>
      </c>
    </row>
    <row r="114" customFormat="false" ht="15" hidden="false" customHeight="true" outlineLevel="0" collapsed="false">
      <c r="A114" s="13" t="n">
        <v>2024</v>
      </c>
      <c r="B114" s="13" t="s">
        <v>125</v>
      </c>
      <c r="C114" s="13" t="s">
        <v>526</v>
      </c>
      <c r="D114" s="13" t="s">
        <v>170</v>
      </c>
      <c r="E114" s="13" t="s">
        <v>504</v>
      </c>
      <c r="F114" s="14" t="n">
        <v>623</v>
      </c>
      <c r="G114" s="14" t="n">
        <v>107</v>
      </c>
      <c r="H114" s="14" t="n">
        <v>516</v>
      </c>
      <c r="I114" s="14" t="n">
        <v>236</v>
      </c>
      <c r="J114" s="15" t="n">
        <v>0.4574</v>
      </c>
    </row>
    <row r="115" customFormat="false" ht="15" hidden="false" customHeight="true" outlineLevel="0" collapsed="false">
      <c r="A115" s="13" t="n">
        <v>2024</v>
      </c>
      <c r="B115" s="13" t="s">
        <v>125</v>
      </c>
      <c r="C115" s="13" t="s">
        <v>526</v>
      </c>
      <c r="D115" s="13" t="s">
        <v>152</v>
      </c>
      <c r="E115" s="13" t="s">
        <v>454</v>
      </c>
      <c r="F115" s="14" t="n">
        <v>591</v>
      </c>
      <c r="G115" s="14" t="n">
        <v>71</v>
      </c>
      <c r="H115" s="14" t="n">
        <v>520</v>
      </c>
      <c r="I115" s="14" t="n">
        <v>358</v>
      </c>
      <c r="J115" s="15" t="n">
        <v>0.6885</v>
      </c>
    </row>
    <row r="116" customFormat="false" ht="15" hidden="false" customHeight="true" outlineLevel="0" collapsed="false">
      <c r="A116" s="13" t="n">
        <v>2024</v>
      </c>
      <c r="B116" s="13" t="s">
        <v>125</v>
      </c>
      <c r="C116" s="13" t="s">
        <v>526</v>
      </c>
      <c r="D116" s="13" t="s">
        <v>150</v>
      </c>
      <c r="E116" s="13" t="s">
        <v>458</v>
      </c>
      <c r="F116" s="14" t="n">
        <v>3837</v>
      </c>
      <c r="G116" s="14" t="n">
        <v>582</v>
      </c>
      <c r="H116" s="14" t="n">
        <v>3255</v>
      </c>
      <c r="I116" s="14" t="n">
        <v>2906</v>
      </c>
      <c r="J116" s="15" t="n">
        <v>0.8928</v>
      </c>
    </row>
    <row r="117" customFormat="false" ht="15" hidden="false" customHeight="true" outlineLevel="0" collapsed="false">
      <c r="A117" s="13" t="n">
        <v>2024</v>
      </c>
      <c r="B117" s="13" t="s">
        <v>125</v>
      </c>
      <c r="C117" s="13" t="s">
        <v>526</v>
      </c>
      <c r="D117" s="13" t="s">
        <v>142</v>
      </c>
      <c r="E117" s="13" t="s">
        <v>445</v>
      </c>
      <c r="F117" s="14" t="n">
        <v>11102</v>
      </c>
      <c r="G117" s="14" t="n">
        <v>1303</v>
      </c>
      <c r="H117" s="14" t="n">
        <v>9799</v>
      </c>
      <c r="I117" s="14" t="n">
        <v>5660</v>
      </c>
      <c r="J117" s="15" t="n">
        <v>0.5776</v>
      </c>
    </row>
    <row r="118" customFormat="false" ht="15" hidden="false" customHeight="true" outlineLevel="0" collapsed="false">
      <c r="A118" s="13" t="n">
        <v>2024</v>
      </c>
      <c r="B118" s="13" t="s">
        <v>125</v>
      </c>
      <c r="C118" s="13" t="s">
        <v>526</v>
      </c>
      <c r="D118" s="13" t="s">
        <v>505</v>
      </c>
      <c r="E118" s="13" t="s">
        <v>506</v>
      </c>
      <c r="F118" s="14" t="n">
        <v>19</v>
      </c>
      <c r="G118" s="14" t="n">
        <v>5</v>
      </c>
      <c r="H118" s="14" t="n">
        <v>14</v>
      </c>
      <c r="I118" s="14" t="n">
        <v>11</v>
      </c>
      <c r="J118" s="15" t="n">
        <v>0.7857</v>
      </c>
    </row>
    <row r="119" customFormat="false" ht="15" hidden="false" customHeight="true" outlineLevel="0" collapsed="false">
      <c r="A119" s="13" t="n">
        <v>2024</v>
      </c>
      <c r="B119" s="13" t="s">
        <v>125</v>
      </c>
      <c r="C119" s="13" t="s">
        <v>526</v>
      </c>
      <c r="D119" s="13" t="s">
        <v>143</v>
      </c>
      <c r="E119" s="13" t="s">
        <v>446</v>
      </c>
      <c r="F119" s="14" t="n">
        <v>108</v>
      </c>
      <c r="G119" s="14" t="n">
        <v>18</v>
      </c>
      <c r="H119" s="14" t="n">
        <v>90</v>
      </c>
      <c r="I119" s="14" t="n">
        <v>85</v>
      </c>
      <c r="J119" s="15" t="n">
        <v>0.9444</v>
      </c>
    </row>
    <row r="120" customFormat="false" ht="15" hidden="false" customHeight="true" outlineLevel="0" collapsed="false">
      <c r="A120" s="13" t="n">
        <v>2024</v>
      </c>
      <c r="B120" s="13" t="s">
        <v>125</v>
      </c>
      <c r="C120" s="13" t="s">
        <v>526</v>
      </c>
      <c r="D120" s="13" t="s">
        <v>507</v>
      </c>
      <c r="E120" s="13" t="s">
        <v>508</v>
      </c>
      <c r="F120" s="14" t="n">
        <v>2</v>
      </c>
      <c r="G120" s="14" t="n">
        <v>0</v>
      </c>
      <c r="H120" s="14" t="n">
        <v>2</v>
      </c>
      <c r="I120" s="14" t="n">
        <v>1</v>
      </c>
      <c r="J120" s="15" t="n">
        <v>0.5</v>
      </c>
    </row>
    <row r="121" customFormat="false" ht="15" hidden="false" customHeight="true" outlineLevel="0" collapsed="false">
      <c r="A121" s="13" t="n">
        <v>2024</v>
      </c>
      <c r="B121" s="13" t="s">
        <v>125</v>
      </c>
      <c r="C121" s="13" t="s">
        <v>526</v>
      </c>
      <c r="D121" s="13" t="s">
        <v>161</v>
      </c>
      <c r="E121" s="13" t="s">
        <v>461</v>
      </c>
      <c r="F121" s="14" t="n">
        <v>18</v>
      </c>
      <c r="G121" s="14" t="n">
        <v>4</v>
      </c>
      <c r="H121" s="14" t="n">
        <v>14</v>
      </c>
      <c r="I121" s="14" t="n">
        <v>13</v>
      </c>
      <c r="J121" s="15" t="n">
        <v>0.9286</v>
      </c>
    </row>
    <row r="122" customFormat="false" ht="15" hidden="false" customHeight="true" outlineLevel="0" collapsed="false">
      <c r="A122" s="13" t="n">
        <v>2024</v>
      </c>
      <c r="B122" s="13" t="s">
        <v>125</v>
      </c>
      <c r="C122" s="13" t="s">
        <v>526</v>
      </c>
      <c r="D122" s="13" t="s">
        <v>158</v>
      </c>
      <c r="E122" s="13" t="s">
        <v>509</v>
      </c>
      <c r="F122" s="14" t="n">
        <v>57</v>
      </c>
      <c r="G122" s="14" t="n">
        <v>11</v>
      </c>
      <c r="H122" s="14" t="n">
        <v>46</v>
      </c>
      <c r="I122" s="14" t="n">
        <v>45</v>
      </c>
      <c r="J122" s="15" t="n">
        <v>0.9783</v>
      </c>
    </row>
    <row r="123" customFormat="false" ht="15" hidden="false" customHeight="true" outlineLevel="0" collapsed="false">
      <c r="A123" s="13" t="n">
        <v>2024</v>
      </c>
      <c r="B123" s="13" t="s">
        <v>125</v>
      </c>
      <c r="C123" s="13" t="s">
        <v>526</v>
      </c>
      <c r="D123" s="13" t="s">
        <v>415</v>
      </c>
      <c r="E123" s="13" t="s">
        <v>463</v>
      </c>
      <c r="F123" s="14" t="n">
        <v>402</v>
      </c>
      <c r="G123" s="14" t="n">
        <v>63</v>
      </c>
      <c r="H123" s="14" t="n">
        <v>339</v>
      </c>
      <c r="I123" s="14" t="n">
        <v>291</v>
      </c>
      <c r="J123" s="15" t="n">
        <v>0.8584</v>
      </c>
    </row>
    <row r="124" customFormat="false" ht="15" hidden="false" customHeight="true" outlineLevel="0" collapsed="false">
      <c r="A124" s="13" t="n">
        <v>2024</v>
      </c>
      <c r="B124" s="13" t="s">
        <v>125</v>
      </c>
      <c r="C124" s="13" t="s">
        <v>526</v>
      </c>
      <c r="D124" s="13" t="s">
        <v>510</v>
      </c>
      <c r="E124" s="13" t="s">
        <v>511</v>
      </c>
      <c r="F124" s="14" t="n">
        <v>12</v>
      </c>
      <c r="G124" s="14" t="n">
        <v>2</v>
      </c>
      <c r="H124" s="14" t="n">
        <v>10</v>
      </c>
      <c r="I124" s="14" t="n">
        <v>1</v>
      </c>
      <c r="J124" s="15" t="n">
        <v>0.1</v>
      </c>
    </row>
    <row r="125" customFormat="false" ht="15" hidden="false" customHeight="true" outlineLevel="0" collapsed="false">
      <c r="A125" s="13" t="n">
        <v>2024</v>
      </c>
      <c r="B125" s="13" t="s">
        <v>125</v>
      </c>
      <c r="C125" s="13" t="s">
        <v>526</v>
      </c>
      <c r="D125" s="13" t="s">
        <v>533</v>
      </c>
      <c r="E125" s="13" t="s">
        <v>534</v>
      </c>
      <c r="F125" s="14" t="n">
        <v>4</v>
      </c>
      <c r="G125" s="14" t="n">
        <v>2</v>
      </c>
      <c r="H125" s="14" t="n">
        <v>2</v>
      </c>
      <c r="I125" s="14" t="n">
        <v>0</v>
      </c>
      <c r="J125" s="15" t="n">
        <v>0</v>
      </c>
    </row>
    <row r="126" customFormat="false" ht="15" hidden="false" customHeight="true" outlineLevel="0" collapsed="false">
      <c r="A126" s="13" t="n">
        <v>2024</v>
      </c>
      <c r="B126" s="13" t="s">
        <v>125</v>
      </c>
      <c r="C126" s="13" t="s">
        <v>526</v>
      </c>
      <c r="D126" s="13" t="s">
        <v>418</v>
      </c>
      <c r="E126" s="13" t="s">
        <v>512</v>
      </c>
      <c r="F126" s="14" t="n">
        <v>233</v>
      </c>
      <c r="G126" s="14" t="n">
        <v>39</v>
      </c>
      <c r="H126" s="14" t="n">
        <v>194</v>
      </c>
      <c r="I126" s="14" t="n">
        <v>146</v>
      </c>
      <c r="J126" s="15" t="n">
        <v>0.7526</v>
      </c>
    </row>
    <row r="127" customFormat="false" ht="15" hidden="false" customHeight="true" outlineLevel="0" collapsed="false">
      <c r="A127" s="13" t="n">
        <v>2024</v>
      </c>
      <c r="B127" s="13" t="s">
        <v>125</v>
      </c>
      <c r="C127" s="13" t="s">
        <v>526</v>
      </c>
      <c r="D127" s="13" t="s">
        <v>265</v>
      </c>
      <c r="E127" s="13" t="s">
        <v>528</v>
      </c>
      <c r="F127" s="14" t="n">
        <v>5372</v>
      </c>
      <c r="G127" s="14" t="n">
        <v>889</v>
      </c>
      <c r="H127" s="14" t="n">
        <v>4483</v>
      </c>
      <c r="I127" s="14" t="n">
        <v>4323</v>
      </c>
      <c r="J127" s="15" t="n">
        <v>0.9643</v>
      </c>
    </row>
    <row r="128" customFormat="false" ht="15" hidden="false" customHeight="true" outlineLevel="0" collapsed="false">
      <c r="A128" s="13" t="n">
        <v>2024</v>
      </c>
      <c r="B128" s="13" t="s">
        <v>125</v>
      </c>
      <c r="C128" s="13" t="s">
        <v>526</v>
      </c>
      <c r="D128" s="13" t="s">
        <v>535</v>
      </c>
      <c r="E128" s="13" t="s">
        <v>536</v>
      </c>
      <c r="F128" s="14" t="n">
        <v>27</v>
      </c>
      <c r="G128" s="14" t="n">
        <v>6</v>
      </c>
      <c r="H128" s="14" t="n">
        <v>21</v>
      </c>
      <c r="I128" s="14" t="n">
        <v>19</v>
      </c>
      <c r="J128" s="15" t="n">
        <v>0.9048</v>
      </c>
    </row>
    <row r="129" customFormat="false" ht="15" hidden="false" customHeight="true" outlineLevel="0" collapsed="false">
      <c r="A129" s="13" t="n">
        <v>2024</v>
      </c>
      <c r="B129" s="13" t="s">
        <v>125</v>
      </c>
      <c r="C129" s="13" t="s">
        <v>526</v>
      </c>
      <c r="D129" s="13" t="s">
        <v>419</v>
      </c>
      <c r="E129" s="13" t="s">
        <v>537</v>
      </c>
      <c r="F129" s="14" t="n">
        <v>29</v>
      </c>
      <c r="G129" s="14" t="n">
        <v>6</v>
      </c>
      <c r="H129" s="14" t="n">
        <v>23</v>
      </c>
      <c r="I129" s="14" t="n">
        <v>23</v>
      </c>
      <c r="J129" s="15" t="n">
        <v>1</v>
      </c>
    </row>
    <row r="130" customFormat="false" ht="15" hidden="false" customHeight="true" outlineLevel="0" collapsed="false">
      <c r="A130" s="13" t="n">
        <v>2024</v>
      </c>
      <c r="B130" s="13" t="s">
        <v>125</v>
      </c>
      <c r="C130" s="13" t="s">
        <v>526</v>
      </c>
      <c r="D130" s="13" t="s">
        <v>419</v>
      </c>
      <c r="E130" s="13" t="s">
        <v>466</v>
      </c>
      <c r="F130" s="14" t="n">
        <v>3459</v>
      </c>
      <c r="G130" s="14" t="n">
        <v>564</v>
      </c>
      <c r="H130" s="14" t="n">
        <v>2895</v>
      </c>
      <c r="I130" s="14" t="n">
        <v>2727</v>
      </c>
      <c r="J130" s="15" t="n">
        <v>0.942</v>
      </c>
    </row>
    <row r="131" customFormat="false" ht="15" hidden="false" customHeight="true" outlineLevel="0" collapsed="false">
      <c r="A131" s="13" t="n">
        <v>2024</v>
      </c>
      <c r="B131" s="13" t="s">
        <v>125</v>
      </c>
      <c r="C131" s="13" t="s">
        <v>526</v>
      </c>
      <c r="D131" s="13" t="s">
        <v>159</v>
      </c>
      <c r="E131" s="13" t="s">
        <v>467</v>
      </c>
      <c r="F131" s="14" t="n">
        <v>5</v>
      </c>
      <c r="G131" s="14" t="n">
        <v>1</v>
      </c>
      <c r="H131" s="14" t="n">
        <v>4</v>
      </c>
      <c r="I131" s="14" t="n">
        <v>1</v>
      </c>
      <c r="J131" s="15" t="n">
        <v>0.25</v>
      </c>
    </row>
    <row r="132" customFormat="false" ht="15" hidden="false" customHeight="true" outlineLevel="0" collapsed="false">
      <c r="A132" s="13" t="n">
        <v>2024</v>
      </c>
      <c r="B132" s="13" t="s">
        <v>125</v>
      </c>
      <c r="C132" s="13" t="s">
        <v>526</v>
      </c>
      <c r="D132" s="13" t="s">
        <v>156</v>
      </c>
      <c r="E132" s="13" t="s">
        <v>513</v>
      </c>
      <c r="F132" s="14" t="n">
        <v>1781</v>
      </c>
      <c r="G132" s="14" t="n">
        <v>211</v>
      </c>
      <c r="H132" s="14" t="n">
        <v>1570</v>
      </c>
      <c r="I132" s="14" t="n">
        <v>839</v>
      </c>
      <c r="J132" s="15" t="n">
        <v>0.5344</v>
      </c>
    </row>
    <row r="133" customFormat="false" ht="15" hidden="false" customHeight="true" outlineLevel="0" collapsed="false">
      <c r="A133" s="13" t="n">
        <v>2024</v>
      </c>
      <c r="B133" s="13" t="s">
        <v>125</v>
      </c>
      <c r="C133" s="13" t="s">
        <v>526</v>
      </c>
      <c r="D133" s="13" t="s">
        <v>514</v>
      </c>
      <c r="E133" s="13" t="s">
        <v>515</v>
      </c>
      <c r="F133" s="14" t="n">
        <v>6</v>
      </c>
      <c r="G133" s="14" t="n">
        <v>0</v>
      </c>
      <c r="H133" s="14" t="n">
        <v>6</v>
      </c>
      <c r="I133" s="14" t="n">
        <v>6</v>
      </c>
      <c r="J133" s="15" t="n">
        <v>1</v>
      </c>
    </row>
    <row r="134" customFormat="false" ht="15" hidden="false" customHeight="true" outlineLevel="0" collapsed="false">
      <c r="A134" s="13" t="n">
        <v>2024</v>
      </c>
      <c r="B134" s="13" t="s">
        <v>125</v>
      </c>
      <c r="C134" s="13" t="s">
        <v>526</v>
      </c>
      <c r="D134" s="13" t="s">
        <v>145</v>
      </c>
      <c r="E134" s="13" t="s">
        <v>517</v>
      </c>
      <c r="F134" s="14" t="n">
        <v>1</v>
      </c>
      <c r="G134" s="14" t="n">
        <v>0</v>
      </c>
      <c r="H134" s="14" t="n">
        <v>1</v>
      </c>
      <c r="I134" s="14" t="n">
        <v>1</v>
      </c>
      <c r="J134" s="15" t="n">
        <v>1</v>
      </c>
    </row>
    <row r="135" customFormat="false" ht="15" hidden="false" customHeight="true" outlineLevel="0" collapsed="false">
      <c r="A135" s="13" t="n">
        <v>2024</v>
      </c>
      <c r="B135" s="13" t="s">
        <v>125</v>
      </c>
      <c r="C135" s="13" t="s">
        <v>526</v>
      </c>
      <c r="D135" s="13" t="s">
        <v>424</v>
      </c>
      <c r="E135" s="13" t="s">
        <v>468</v>
      </c>
      <c r="F135" s="14" t="n">
        <v>211</v>
      </c>
      <c r="G135" s="14" t="n">
        <v>14</v>
      </c>
      <c r="H135" s="14" t="n">
        <v>197</v>
      </c>
      <c r="I135" s="14" t="n">
        <v>188</v>
      </c>
      <c r="J135" s="15" t="n">
        <v>0.9543</v>
      </c>
    </row>
    <row r="136" customFormat="false" ht="15" hidden="false" customHeight="true" outlineLevel="0" collapsed="false">
      <c r="A136" s="13" t="n">
        <v>2024</v>
      </c>
      <c r="B136" s="13" t="s">
        <v>125</v>
      </c>
      <c r="C136" s="13" t="s">
        <v>526</v>
      </c>
      <c r="D136" s="13" t="s">
        <v>425</v>
      </c>
      <c r="E136" s="13" t="s">
        <v>518</v>
      </c>
      <c r="F136" s="14" t="n">
        <v>46</v>
      </c>
      <c r="G136" s="14" t="n">
        <v>3</v>
      </c>
      <c r="H136" s="14" t="n">
        <v>43</v>
      </c>
      <c r="I136" s="14" t="n">
        <v>42</v>
      </c>
      <c r="J136" s="15" t="n">
        <v>0.9767</v>
      </c>
    </row>
    <row r="137" customFormat="false" ht="15" hidden="false" customHeight="true" outlineLevel="0" collapsed="false">
      <c r="A137" s="13" t="n">
        <v>2024</v>
      </c>
      <c r="B137" s="13" t="s">
        <v>125</v>
      </c>
      <c r="C137" s="13" t="s">
        <v>526</v>
      </c>
      <c r="D137" s="13" t="s">
        <v>165</v>
      </c>
      <c r="E137" s="13" t="s">
        <v>448</v>
      </c>
      <c r="F137" s="14" t="n">
        <v>2280</v>
      </c>
      <c r="G137" s="14" t="n">
        <v>315</v>
      </c>
      <c r="H137" s="14" t="n">
        <v>1965</v>
      </c>
      <c r="I137" s="14" t="n">
        <v>1391</v>
      </c>
      <c r="J137" s="15" t="n">
        <v>0.7079</v>
      </c>
    </row>
    <row r="138" customFormat="false" ht="15" hidden="false" customHeight="true" outlineLevel="0" collapsed="false">
      <c r="A138" s="13" t="n">
        <v>2024</v>
      </c>
      <c r="B138" s="13" t="s">
        <v>125</v>
      </c>
      <c r="C138" s="13" t="s">
        <v>526</v>
      </c>
      <c r="D138" s="13" t="s">
        <v>477</v>
      </c>
      <c r="E138" s="13" t="s">
        <v>519</v>
      </c>
      <c r="F138" s="14" t="n">
        <v>260</v>
      </c>
      <c r="G138" s="14" t="n">
        <v>48</v>
      </c>
      <c r="H138" s="14" t="n">
        <v>212</v>
      </c>
      <c r="I138" s="14" t="n">
        <v>152</v>
      </c>
      <c r="J138" s="15" t="n">
        <v>0.717</v>
      </c>
    </row>
    <row r="139" customFormat="false" ht="15" hidden="false" customHeight="true" outlineLevel="0" collapsed="false">
      <c r="A139" s="13" t="n">
        <v>2024</v>
      </c>
      <c r="B139" s="13" t="s">
        <v>125</v>
      </c>
      <c r="C139" s="13" t="s">
        <v>526</v>
      </c>
      <c r="D139" s="13" t="s">
        <v>284</v>
      </c>
      <c r="E139" s="13" t="s">
        <v>529</v>
      </c>
      <c r="F139" s="14" t="n">
        <v>209</v>
      </c>
      <c r="G139" s="14" t="n">
        <v>43</v>
      </c>
      <c r="H139" s="14" t="n">
        <v>166</v>
      </c>
      <c r="I139" s="14" t="n">
        <v>149</v>
      </c>
      <c r="J139" s="15" t="n">
        <v>0.8976</v>
      </c>
    </row>
    <row r="140" customFormat="false" ht="15" hidden="false" customHeight="true" outlineLevel="0" collapsed="false">
      <c r="A140" s="13" t="n">
        <v>2024</v>
      </c>
      <c r="B140" s="13" t="s">
        <v>125</v>
      </c>
      <c r="C140" s="13" t="s">
        <v>526</v>
      </c>
      <c r="D140" s="13" t="s">
        <v>285</v>
      </c>
      <c r="E140" s="13" t="s">
        <v>530</v>
      </c>
      <c r="F140" s="14" t="n">
        <v>486</v>
      </c>
      <c r="G140" s="14" t="n">
        <v>63</v>
      </c>
      <c r="H140" s="14" t="n">
        <v>423</v>
      </c>
      <c r="I140" s="14" t="n">
        <v>242</v>
      </c>
      <c r="J140" s="15" t="n">
        <v>0.5721</v>
      </c>
    </row>
    <row r="141" customFormat="false" ht="15" hidden="false" customHeight="true" outlineLevel="0" collapsed="false">
      <c r="A141" s="13" t="n">
        <v>2024</v>
      </c>
      <c r="B141" s="13" t="s">
        <v>125</v>
      </c>
      <c r="C141" s="13" t="s">
        <v>526</v>
      </c>
      <c r="D141" s="13" t="s">
        <v>153</v>
      </c>
      <c r="E141" s="13" t="s">
        <v>470</v>
      </c>
      <c r="F141" s="14" t="n">
        <v>19</v>
      </c>
      <c r="G141" s="14" t="n">
        <v>2</v>
      </c>
      <c r="H141" s="14" t="n">
        <v>17</v>
      </c>
      <c r="I141" s="14" t="n">
        <v>10</v>
      </c>
      <c r="J141" s="15" t="n">
        <v>0.5882</v>
      </c>
    </row>
    <row r="142" customFormat="false" ht="15" hidden="false" customHeight="true" outlineLevel="0" collapsed="false">
      <c r="A142" s="13" t="n">
        <v>2024</v>
      </c>
      <c r="B142" s="13" t="s">
        <v>125</v>
      </c>
      <c r="C142" s="13" t="s">
        <v>526</v>
      </c>
      <c r="D142" s="13" t="s">
        <v>426</v>
      </c>
      <c r="E142" s="13" t="s">
        <v>471</v>
      </c>
      <c r="F142" s="14" t="n">
        <v>1050</v>
      </c>
      <c r="G142" s="14" t="n">
        <v>212</v>
      </c>
      <c r="H142" s="14" t="n">
        <v>838</v>
      </c>
      <c r="I142" s="14" t="n">
        <v>820</v>
      </c>
      <c r="J142" s="15" t="n">
        <v>0.9785</v>
      </c>
    </row>
    <row r="143" customFormat="false" ht="15" hidden="false" customHeight="true" outlineLevel="0" collapsed="false">
      <c r="A143" s="13" t="n">
        <v>2024</v>
      </c>
      <c r="B143" s="13" t="s">
        <v>125</v>
      </c>
      <c r="C143" s="13" t="s">
        <v>526</v>
      </c>
      <c r="D143" s="13" t="s">
        <v>531</v>
      </c>
      <c r="E143" s="13" t="s">
        <v>532</v>
      </c>
      <c r="F143" s="14" t="n">
        <v>68</v>
      </c>
      <c r="G143" s="14" t="n">
        <v>5</v>
      </c>
      <c r="H143" s="14" t="n">
        <v>63</v>
      </c>
      <c r="I143" s="14" t="n">
        <v>59</v>
      </c>
      <c r="J143" s="15" t="n">
        <v>0.9365</v>
      </c>
    </row>
    <row r="144" customFormat="false" ht="15" hidden="false" customHeight="true" outlineLevel="0" collapsed="false">
      <c r="A144" s="13" t="n">
        <v>2024</v>
      </c>
      <c r="B144" s="13" t="s">
        <v>125</v>
      </c>
      <c r="C144" s="13" t="s">
        <v>526</v>
      </c>
      <c r="D144" s="13" t="s">
        <v>427</v>
      </c>
      <c r="E144" s="13" t="s">
        <v>472</v>
      </c>
      <c r="F144" s="14" t="n">
        <v>1320</v>
      </c>
      <c r="G144" s="14" t="n">
        <v>198</v>
      </c>
      <c r="H144" s="14" t="n">
        <v>1122</v>
      </c>
      <c r="I144" s="14" t="n">
        <v>880</v>
      </c>
      <c r="J144" s="15" t="n">
        <v>0.7843</v>
      </c>
    </row>
    <row r="145" customFormat="false" ht="15" hidden="false" customHeight="true" outlineLevel="0" collapsed="false">
      <c r="A145" s="13" t="n">
        <v>2024</v>
      </c>
      <c r="B145" s="13" t="s">
        <v>125</v>
      </c>
      <c r="C145" s="13" t="s">
        <v>526</v>
      </c>
      <c r="D145" s="13" t="s">
        <v>155</v>
      </c>
      <c r="E145" s="13" t="s">
        <v>520</v>
      </c>
      <c r="F145" s="14" t="n">
        <v>56</v>
      </c>
      <c r="G145" s="14" t="n">
        <v>8</v>
      </c>
      <c r="H145" s="14" t="n">
        <v>48</v>
      </c>
      <c r="I145" s="14" t="n">
        <v>29</v>
      </c>
      <c r="J145" s="15" t="n">
        <v>0.6042</v>
      </c>
    </row>
    <row r="146" customFormat="false" ht="15" hidden="false" customHeight="true" outlineLevel="0" collapsed="false">
      <c r="A146" s="13" t="n">
        <v>2024</v>
      </c>
      <c r="B146" s="13" t="s">
        <v>125</v>
      </c>
      <c r="C146" s="13" t="s">
        <v>526</v>
      </c>
      <c r="D146" s="13" t="s">
        <v>523</v>
      </c>
      <c r="E146" s="13" t="s">
        <v>450</v>
      </c>
      <c r="F146" s="14" t="n">
        <v>4403</v>
      </c>
      <c r="G146" s="14" t="n">
        <v>734</v>
      </c>
      <c r="H146" s="14" t="n">
        <v>3669</v>
      </c>
      <c r="I146" s="14" t="n">
        <v>3486</v>
      </c>
      <c r="J146" s="15" t="n">
        <v>0.9501</v>
      </c>
    </row>
    <row r="147" customFormat="false" ht="15" hidden="false" customHeight="true" outlineLevel="0" collapsed="false">
      <c r="A147" s="13" t="n">
        <v>2024</v>
      </c>
      <c r="B147" s="13" t="s">
        <v>125</v>
      </c>
      <c r="C147" s="13" t="s">
        <v>526</v>
      </c>
      <c r="D147" s="13" t="s">
        <v>410</v>
      </c>
      <c r="E147" s="13" t="s">
        <v>524</v>
      </c>
      <c r="F147" s="14" t="n">
        <v>7727</v>
      </c>
      <c r="G147" s="14" t="n">
        <v>1115</v>
      </c>
      <c r="H147" s="14" t="n">
        <v>6612</v>
      </c>
      <c r="I147" s="14" t="n">
        <v>4945</v>
      </c>
      <c r="J147" s="15" t="n">
        <v>0.7479</v>
      </c>
    </row>
    <row r="148" customFormat="false" ht="15" hidden="false" customHeight="true" outlineLevel="0" collapsed="false">
      <c r="A148" s="13" t="n">
        <v>2024</v>
      </c>
      <c r="B148" s="13" t="s">
        <v>125</v>
      </c>
      <c r="C148" s="13" t="s">
        <v>526</v>
      </c>
      <c r="D148" s="13" t="s">
        <v>525</v>
      </c>
      <c r="E148" s="13" t="s">
        <v>474</v>
      </c>
      <c r="F148" s="14" t="n">
        <v>36</v>
      </c>
      <c r="G148" s="14" t="n">
        <v>4</v>
      </c>
      <c r="H148" s="14" t="n">
        <v>32</v>
      </c>
      <c r="I148" s="14" t="n">
        <v>25</v>
      </c>
      <c r="J148" s="15" t="n">
        <v>0.7813</v>
      </c>
    </row>
    <row r="149" customFormat="false" ht="15" hidden="false" customHeight="true" outlineLevel="0" collapsed="false">
      <c r="A149" s="13" t="n">
        <v>2025</v>
      </c>
      <c r="B149" s="13" t="s">
        <v>121</v>
      </c>
      <c r="C149" s="13" t="s">
        <v>499</v>
      </c>
      <c r="D149" s="13" t="s">
        <v>538</v>
      </c>
      <c r="E149" s="13" t="s">
        <v>539</v>
      </c>
      <c r="F149" s="14" t="n">
        <v>6</v>
      </c>
      <c r="G149" s="14" t="n">
        <v>0</v>
      </c>
      <c r="H149" s="14" t="n">
        <v>6</v>
      </c>
      <c r="I149" s="14" t="n">
        <v>6</v>
      </c>
      <c r="J149" s="15" t="n">
        <v>1</v>
      </c>
    </row>
    <row r="150" customFormat="false" ht="15" hidden="false" customHeight="true" outlineLevel="0" collapsed="false">
      <c r="A150" s="13" t="n">
        <v>2025</v>
      </c>
      <c r="B150" s="13" t="s">
        <v>121</v>
      </c>
      <c r="C150" s="13" t="s">
        <v>499</v>
      </c>
      <c r="D150" s="13" t="s">
        <v>162</v>
      </c>
      <c r="E150" s="13" t="s">
        <v>500</v>
      </c>
      <c r="F150" s="14" t="n">
        <v>1215</v>
      </c>
      <c r="G150" s="14" t="n">
        <v>7</v>
      </c>
      <c r="H150" s="14" t="n">
        <v>1208</v>
      </c>
      <c r="I150" s="14" t="n">
        <v>1175</v>
      </c>
      <c r="J150" s="15" t="n">
        <v>0.9727</v>
      </c>
    </row>
    <row r="151" customFormat="false" ht="15" hidden="false" customHeight="true" outlineLevel="0" collapsed="false">
      <c r="A151" s="13" t="n">
        <v>2025</v>
      </c>
      <c r="B151" s="13" t="s">
        <v>121</v>
      </c>
      <c r="C151" s="13" t="s">
        <v>499</v>
      </c>
      <c r="D151" s="13" t="s">
        <v>225</v>
      </c>
      <c r="E151" s="13" t="s">
        <v>501</v>
      </c>
      <c r="F151" s="14" t="n">
        <v>2293</v>
      </c>
      <c r="G151" s="14" t="n">
        <v>24</v>
      </c>
      <c r="H151" s="14" t="n">
        <v>2269</v>
      </c>
      <c r="I151" s="14" t="n">
        <v>2240</v>
      </c>
      <c r="J151" s="15" t="n">
        <v>0.9872</v>
      </c>
    </row>
    <row r="152" customFormat="false" ht="15" hidden="false" customHeight="true" outlineLevel="0" collapsed="false">
      <c r="A152" s="13" t="n">
        <v>2025</v>
      </c>
      <c r="B152" s="13" t="s">
        <v>121</v>
      </c>
      <c r="C152" s="13" t="s">
        <v>499</v>
      </c>
      <c r="D152" s="13" t="s">
        <v>167</v>
      </c>
      <c r="E152" s="13" t="s">
        <v>443</v>
      </c>
      <c r="F152" s="14" t="n">
        <v>22976</v>
      </c>
      <c r="G152" s="14" t="n">
        <v>141</v>
      </c>
      <c r="H152" s="14" t="n">
        <v>22835</v>
      </c>
      <c r="I152" s="14" t="n">
        <v>21549</v>
      </c>
      <c r="J152" s="15" t="n">
        <v>0.9437</v>
      </c>
    </row>
    <row r="153" customFormat="false" ht="15" hidden="false" customHeight="true" outlineLevel="0" collapsed="false">
      <c r="A153" s="13" t="n">
        <v>2025</v>
      </c>
      <c r="B153" s="13" t="s">
        <v>121</v>
      </c>
      <c r="C153" s="13" t="s">
        <v>499</v>
      </c>
      <c r="D153" s="13" t="s">
        <v>166</v>
      </c>
      <c r="E153" s="13" t="s">
        <v>502</v>
      </c>
      <c r="F153" s="14" t="n">
        <v>28299</v>
      </c>
      <c r="G153" s="14" t="n">
        <v>183</v>
      </c>
      <c r="H153" s="14" t="n">
        <v>28116</v>
      </c>
      <c r="I153" s="14" t="n">
        <v>26877</v>
      </c>
      <c r="J153" s="15" t="n">
        <v>0.9559</v>
      </c>
    </row>
    <row r="154" customFormat="false" ht="15" hidden="false" customHeight="true" outlineLevel="0" collapsed="false">
      <c r="A154" s="13" t="n">
        <v>2025</v>
      </c>
      <c r="B154" s="13" t="s">
        <v>121</v>
      </c>
      <c r="C154" s="13" t="s">
        <v>499</v>
      </c>
      <c r="D154" s="13" t="s">
        <v>540</v>
      </c>
      <c r="E154" s="13" t="s">
        <v>541</v>
      </c>
      <c r="F154" s="14" t="n">
        <v>6</v>
      </c>
      <c r="G154" s="14" t="n">
        <v>0</v>
      </c>
      <c r="H154" s="14" t="n">
        <v>6</v>
      </c>
      <c r="I154" s="14" t="n">
        <v>6</v>
      </c>
      <c r="J154" s="15" t="n">
        <v>1</v>
      </c>
    </row>
    <row r="155" customFormat="false" ht="15" hidden="false" customHeight="true" outlineLevel="0" collapsed="false">
      <c r="A155" s="13" t="n">
        <v>2025</v>
      </c>
      <c r="B155" s="13" t="s">
        <v>121</v>
      </c>
      <c r="C155" s="13" t="s">
        <v>499</v>
      </c>
      <c r="D155" s="13" t="s">
        <v>154</v>
      </c>
      <c r="E155" s="13" t="s">
        <v>457</v>
      </c>
      <c r="F155" s="14" t="n">
        <v>5227</v>
      </c>
      <c r="G155" s="14" t="n">
        <v>102</v>
      </c>
      <c r="H155" s="14" t="n">
        <v>5125</v>
      </c>
      <c r="I155" s="14" t="n">
        <v>5019</v>
      </c>
      <c r="J155" s="15" t="n">
        <v>0.9793</v>
      </c>
    </row>
    <row r="156" customFormat="false" ht="15" hidden="false" customHeight="true" outlineLevel="0" collapsed="false">
      <c r="A156" s="13" t="n">
        <v>2025</v>
      </c>
      <c r="B156" s="13" t="s">
        <v>121</v>
      </c>
      <c r="C156" s="13" t="s">
        <v>499</v>
      </c>
      <c r="D156" s="13" t="s">
        <v>236</v>
      </c>
      <c r="E156" s="13" t="s">
        <v>503</v>
      </c>
      <c r="F156" s="14" t="n">
        <v>2293</v>
      </c>
      <c r="G156" s="14" t="n">
        <v>23</v>
      </c>
      <c r="H156" s="14" t="n">
        <v>2270</v>
      </c>
      <c r="I156" s="14" t="n">
        <v>2249</v>
      </c>
      <c r="J156" s="15" t="n">
        <v>0.9907</v>
      </c>
    </row>
    <row r="157" customFormat="false" ht="15" hidden="false" customHeight="true" outlineLevel="0" collapsed="false">
      <c r="A157" s="13" t="n">
        <v>2025</v>
      </c>
      <c r="B157" s="13" t="s">
        <v>121</v>
      </c>
      <c r="C157" s="13" t="s">
        <v>499</v>
      </c>
      <c r="D157" s="13" t="s">
        <v>170</v>
      </c>
      <c r="E157" s="13" t="s">
        <v>504</v>
      </c>
      <c r="F157" s="14" t="n">
        <v>36380</v>
      </c>
      <c r="G157" s="14" t="n">
        <v>446</v>
      </c>
      <c r="H157" s="14" t="n">
        <v>35934</v>
      </c>
      <c r="I157" s="14" t="n">
        <v>32673</v>
      </c>
      <c r="J157" s="15" t="n">
        <v>0.9093</v>
      </c>
    </row>
    <row r="158" customFormat="false" ht="15" hidden="false" customHeight="true" outlineLevel="0" collapsed="false">
      <c r="A158" s="13" t="n">
        <v>2025</v>
      </c>
      <c r="B158" s="13" t="s">
        <v>121</v>
      </c>
      <c r="C158" s="13" t="s">
        <v>499</v>
      </c>
      <c r="D158" s="13" t="s">
        <v>152</v>
      </c>
      <c r="E158" s="13" t="s">
        <v>454</v>
      </c>
      <c r="F158" s="14" t="n">
        <v>6570</v>
      </c>
      <c r="G158" s="14" t="n">
        <v>70</v>
      </c>
      <c r="H158" s="14" t="n">
        <v>6500</v>
      </c>
      <c r="I158" s="14" t="n">
        <v>6240</v>
      </c>
      <c r="J158" s="15" t="n">
        <v>0.96</v>
      </c>
    </row>
    <row r="159" customFormat="false" ht="15" hidden="false" customHeight="true" outlineLevel="0" collapsed="false">
      <c r="A159" s="13" t="n">
        <v>2025</v>
      </c>
      <c r="B159" s="13" t="s">
        <v>121</v>
      </c>
      <c r="C159" s="13" t="s">
        <v>499</v>
      </c>
      <c r="D159" s="13" t="s">
        <v>150</v>
      </c>
      <c r="E159" s="13" t="s">
        <v>458</v>
      </c>
      <c r="F159" s="14" t="n">
        <v>14253</v>
      </c>
      <c r="G159" s="14" t="n">
        <v>156</v>
      </c>
      <c r="H159" s="14" t="n">
        <v>14097</v>
      </c>
      <c r="I159" s="14" t="n">
        <v>13768</v>
      </c>
      <c r="J159" s="15" t="n">
        <v>0.9767</v>
      </c>
    </row>
    <row r="160" customFormat="false" ht="15" hidden="false" customHeight="true" outlineLevel="0" collapsed="false">
      <c r="A160" s="13" t="n">
        <v>2025</v>
      </c>
      <c r="B160" s="13" t="s">
        <v>121</v>
      </c>
      <c r="C160" s="13" t="s">
        <v>499</v>
      </c>
      <c r="D160" s="13" t="s">
        <v>142</v>
      </c>
      <c r="E160" s="13" t="s">
        <v>445</v>
      </c>
      <c r="F160" s="14" t="n">
        <v>81833</v>
      </c>
      <c r="G160" s="14" t="n">
        <v>675</v>
      </c>
      <c r="H160" s="14" t="n">
        <v>81158</v>
      </c>
      <c r="I160" s="14" t="n">
        <v>71946</v>
      </c>
      <c r="J160" s="15" t="n">
        <v>0.8865</v>
      </c>
    </row>
    <row r="161" customFormat="false" ht="15" hidden="false" customHeight="true" outlineLevel="0" collapsed="false">
      <c r="A161" s="13" t="n">
        <v>2025</v>
      </c>
      <c r="B161" s="13" t="s">
        <v>121</v>
      </c>
      <c r="C161" s="13" t="s">
        <v>499</v>
      </c>
      <c r="D161" s="13" t="s">
        <v>505</v>
      </c>
      <c r="E161" s="13" t="s">
        <v>506</v>
      </c>
      <c r="F161" s="14" t="n">
        <v>13</v>
      </c>
      <c r="G161" s="14" t="n">
        <v>0</v>
      </c>
      <c r="H161" s="14" t="n">
        <v>13</v>
      </c>
      <c r="I161" s="14" t="n">
        <v>13</v>
      </c>
      <c r="J161" s="15" t="n">
        <v>1</v>
      </c>
    </row>
    <row r="162" customFormat="false" ht="15" hidden="false" customHeight="true" outlineLevel="0" collapsed="false">
      <c r="A162" s="13" t="n">
        <v>2025</v>
      </c>
      <c r="B162" s="13" t="s">
        <v>121</v>
      </c>
      <c r="C162" s="13" t="s">
        <v>499</v>
      </c>
      <c r="D162" s="13" t="s">
        <v>143</v>
      </c>
      <c r="E162" s="13" t="s">
        <v>446</v>
      </c>
      <c r="F162" s="14" t="n">
        <v>979</v>
      </c>
      <c r="G162" s="14" t="n">
        <v>13</v>
      </c>
      <c r="H162" s="14" t="n">
        <v>966</v>
      </c>
      <c r="I162" s="14" t="n">
        <v>960</v>
      </c>
      <c r="J162" s="15" t="n">
        <v>0.9938</v>
      </c>
    </row>
    <row r="163" customFormat="false" ht="15" hidden="false" customHeight="true" outlineLevel="0" collapsed="false">
      <c r="A163" s="13" t="n">
        <v>2025</v>
      </c>
      <c r="B163" s="13" t="s">
        <v>121</v>
      </c>
      <c r="C163" s="13" t="s">
        <v>499</v>
      </c>
      <c r="D163" s="13" t="s">
        <v>507</v>
      </c>
      <c r="E163" s="13" t="s">
        <v>508</v>
      </c>
      <c r="F163" s="14" t="n">
        <v>70</v>
      </c>
      <c r="G163" s="14" t="n">
        <v>1</v>
      </c>
      <c r="H163" s="14" t="n">
        <v>69</v>
      </c>
      <c r="I163" s="14" t="n">
        <v>68</v>
      </c>
      <c r="J163" s="15" t="n">
        <v>0.9855</v>
      </c>
    </row>
    <row r="164" customFormat="false" ht="15" hidden="false" customHeight="true" outlineLevel="0" collapsed="false">
      <c r="A164" s="13" t="n">
        <v>2025</v>
      </c>
      <c r="B164" s="13" t="s">
        <v>121</v>
      </c>
      <c r="C164" s="13" t="s">
        <v>499</v>
      </c>
      <c r="D164" s="13" t="s">
        <v>542</v>
      </c>
      <c r="E164" s="13" t="s">
        <v>543</v>
      </c>
      <c r="F164" s="14" t="n">
        <v>6</v>
      </c>
      <c r="G164" s="14" t="n">
        <v>0</v>
      </c>
      <c r="H164" s="14" t="n">
        <v>6</v>
      </c>
      <c r="I164" s="14" t="n">
        <v>6</v>
      </c>
      <c r="J164" s="15" t="n">
        <v>1</v>
      </c>
    </row>
    <row r="165" customFormat="false" ht="15" hidden="false" customHeight="true" outlineLevel="0" collapsed="false">
      <c r="A165" s="13" t="n">
        <v>2025</v>
      </c>
      <c r="B165" s="13" t="s">
        <v>121</v>
      </c>
      <c r="C165" s="13" t="s">
        <v>499</v>
      </c>
      <c r="D165" s="13" t="s">
        <v>161</v>
      </c>
      <c r="E165" s="13" t="s">
        <v>461</v>
      </c>
      <c r="F165" s="14" t="n">
        <v>3250</v>
      </c>
      <c r="G165" s="14" t="n">
        <v>40</v>
      </c>
      <c r="H165" s="14" t="n">
        <v>3210</v>
      </c>
      <c r="I165" s="14" t="n">
        <v>3118</v>
      </c>
      <c r="J165" s="15" t="n">
        <v>0.9713</v>
      </c>
    </row>
    <row r="166" customFormat="false" ht="15" hidden="false" customHeight="true" outlineLevel="0" collapsed="false">
      <c r="A166" s="13" t="n">
        <v>2025</v>
      </c>
      <c r="B166" s="13" t="s">
        <v>121</v>
      </c>
      <c r="C166" s="13" t="s">
        <v>499</v>
      </c>
      <c r="D166" s="13" t="s">
        <v>158</v>
      </c>
      <c r="E166" s="13" t="s">
        <v>509</v>
      </c>
      <c r="F166" s="14" t="n">
        <v>14295</v>
      </c>
      <c r="G166" s="14" t="n">
        <v>226</v>
      </c>
      <c r="H166" s="14" t="n">
        <v>14069</v>
      </c>
      <c r="I166" s="14" t="n">
        <v>13859</v>
      </c>
      <c r="J166" s="15" t="n">
        <v>0.9851</v>
      </c>
    </row>
    <row r="167" customFormat="false" ht="15" hidden="false" customHeight="true" outlineLevel="0" collapsed="false">
      <c r="A167" s="13" t="n">
        <v>2025</v>
      </c>
      <c r="B167" s="13" t="s">
        <v>121</v>
      </c>
      <c r="C167" s="13" t="s">
        <v>499</v>
      </c>
      <c r="D167" s="13" t="s">
        <v>415</v>
      </c>
      <c r="E167" s="13" t="s">
        <v>463</v>
      </c>
      <c r="F167" s="14" t="n">
        <v>1127</v>
      </c>
      <c r="G167" s="14" t="n">
        <v>10</v>
      </c>
      <c r="H167" s="14" t="n">
        <v>1117</v>
      </c>
      <c r="I167" s="14" t="n">
        <v>1068</v>
      </c>
      <c r="J167" s="15" t="n">
        <v>0.9561</v>
      </c>
    </row>
    <row r="168" customFormat="false" ht="15" hidden="false" customHeight="true" outlineLevel="0" collapsed="false">
      <c r="A168" s="13" t="n">
        <v>2025</v>
      </c>
      <c r="B168" s="13" t="s">
        <v>121</v>
      </c>
      <c r="C168" s="13" t="s">
        <v>499</v>
      </c>
      <c r="D168" s="13" t="s">
        <v>510</v>
      </c>
      <c r="E168" s="13" t="s">
        <v>511</v>
      </c>
      <c r="F168" s="14" t="n">
        <v>8</v>
      </c>
      <c r="G168" s="14" t="n">
        <v>0</v>
      </c>
      <c r="H168" s="14" t="n">
        <v>8</v>
      </c>
      <c r="I168" s="14" t="n">
        <v>8</v>
      </c>
      <c r="J168" s="15" t="n">
        <v>1</v>
      </c>
    </row>
    <row r="169" customFormat="false" ht="15" hidden="false" customHeight="true" outlineLevel="0" collapsed="false">
      <c r="A169" s="13" t="n">
        <v>2025</v>
      </c>
      <c r="B169" s="13" t="s">
        <v>121</v>
      </c>
      <c r="C169" s="13" t="s">
        <v>499</v>
      </c>
      <c r="D169" s="13" t="s">
        <v>418</v>
      </c>
      <c r="E169" s="13" t="s">
        <v>512</v>
      </c>
      <c r="F169" s="14" t="n">
        <v>409</v>
      </c>
      <c r="G169" s="14" t="n">
        <v>7</v>
      </c>
      <c r="H169" s="14" t="n">
        <v>402</v>
      </c>
      <c r="I169" s="14" t="n">
        <v>387</v>
      </c>
      <c r="J169" s="15" t="n">
        <v>0.9627</v>
      </c>
    </row>
    <row r="170" customFormat="false" ht="15" hidden="false" customHeight="true" outlineLevel="0" collapsed="false">
      <c r="A170" s="13" t="n">
        <v>2025</v>
      </c>
      <c r="B170" s="13" t="s">
        <v>121</v>
      </c>
      <c r="C170" s="13" t="s">
        <v>499</v>
      </c>
      <c r="D170" s="13" t="s">
        <v>535</v>
      </c>
      <c r="E170" s="13" t="s">
        <v>536</v>
      </c>
      <c r="F170" s="14" t="n">
        <v>13</v>
      </c>
      <c r="G170" s="14" t="n">
        <v>0</v>
      </c>
      <c r="H170" s="14" t="n">
        <v>13</v>
      </c>
      <c r="I170" s="14" t="n">
        <v>13</v>
      </c>
      <c r="J170" s="15" t="n">
        <v>1</v>
      </c>
    </row>
    <row r="171" customFormat="false" ht="15" hidden="false" customHeight="true" outlineLevel="0" collapsed="false">
      <c r="A171" s="13" t="n">
        <v>2025</v>
      </c>
      <c r="B171" s="13" t="s">
        <v>121</v>
      </c>
      <c r="C171" s="13" t="s">
        <v>499</v>
      </c>
      <c r="D171" s="13" t="s">
        <v>419</v>
      </c>
      <c r="E171" s="13" t="s">
        <v>537</v>
      </c>
      <c r="F171" s="14" t="n">
        <v>13</v>
      </c>
      <c r="G171" s="14" t="n">
        <v>0</v>
      </c>
      <c r="H171" s="14" t="n">
        <v>13</v>
      </c>
      <c r="I171" s="14" t="n">
        <v>13</v>
      </c>
      <c r="J171" s="15" t="n">
        <v>1</v>
      </c>
    </row>
    <row r="172" customFormat="false" ht="15" hidden="false" customHeight="true" outlineLevel="0" collapsed="false">
      <c r="A172" s="13" t="n">
        <v>2025</v>
      </c>
      <c r="B172" s="13" t="s">
        <v>121</v>
      </c>
      <c r="C172" s="13" t="s">
        <v>499</v>
      </c>
      <c r="D172" s="13" t="s">
        <v>419</v>
      </c>
      <c r="E172" s="13" t="s">
        <v>466</v>
      </c>
      <c r="F172" s="14" t="n">
        <v>14189</v>
      </c>
      <c r="G172" s="14" t="n">
        <v>264</v>
      </c>
      <c r="H172" s="14" t="n">
        <v>13925</v>
      </c>
      <c r="I172" s="14" t="n">
        <v>13422</v>
      </c>
      <c r="J172" s="15" t="n">
        <v>0.9639</v>
      </c>
    </row>
    <row r="173" customFormat="false" ht="15" hidden="false" customHeight="true" outlineLevel="0" collapsed="false">
      <c r="A173" s="13" t="n">
        <v>2025</v>
      </c>
      <c r="B173" s="13" t="s">
        <v>121</v>
      </c>
      <c r="C173" s="13" t="s">
        <v>499</v>
      </c>
      <c r="D173" s="13" t="s">
        <v>159</v>
      </c>
      <c r="E173" s="13" t="s">
        <v>467</v>
      </c>
      <c r="F173" s="14" t="n">
        <v>1633</v>
      </c>
      <c r="G173" s="14" t="n">
        <v>35</v>
      </c>
      <c r="H173" s="14" t="n">
        <v>1598</v>
      </c>
      <c r="I173" s="14" t="n">
        <v>1550</v>
      </c>
      <c r="J173" s="15" t="n">
        <v>0.97</v>
      </c>
    </row>
    <row r="174" customFormat="false" ht="15" hidden="false" customHeight="true" outlineLevel="0" collapsed="false">
      <c r="A174" s="13" t="n">
        <v>2025</v>
      </c>
      <c r="B174" s="13" t="s">
        <v>121</v>
      </c>
      <c r="C174" s="13" t="s">
        <v>499</v>
      </c>
      <c r="D174" s="13" t="s">
        <v>156</v>
      </c>
      <c r="E174" s="13" t="s">
        <v>513</v>
      </c>
      <c r="F174" s="14" t="n">
        <v>27804</v>
      </c>
      <c r="G174" s="14" t="n">
        <v>255</v>
      </c>
      <c r="H174" s="14" t="n">
        <v>27549</v>
      </c>
      <c r="I174" s="14" t="n">
        <v>24180</v>
      </c>
      <c r="J174" s="15" t="n">
        <v>0.8777</v>
      </c>
    </row>
    <row r="175" customFormat="false" ht="15" hidden="false" customHeight="true" outlineLevel="0" collapsed="false">
      <c r="A175" s="13" t="n">
        <v>2025</v>
      </c>
      <c r="B175" s="13" t="s">
        <v>121</v>
      </c>
      <c r="C175" s="13" t="s">
        <v>499</v>
      </c>
      <c r="D175" s="13" t="s">
        <v>514</v>
      </c>
      <c r="E175" s="13" t="s">
        <v>515</v>
      </c>
      <c r="F175" s="14" t="n">
        <v>2328</v>
      </c>
      <c r="G175" s="14" t="n">
        <v>23</v>
      </c>
      <c r="H175" s="14" t="n">
        <v>2305</v>
      </c>
      <c r="I175" s="14" t="n">
        <v>2267</v>
      </c>
      <c r="J175" s="15" t="n">
        <v>0.9835</v>
      </c>
    </row>
    <row r="176" customFormat="false" ht="15" hidden="false" customHeight="true" outlineLevel="0" collapsed="false">
      <c r="A176" s="13" t="n">
        <v>2025</v>
      </c>
      <c r="B176" s="13" t="s">
        <v>121</v>
      </c>
      <c r="C176" s="13" t="s">
        <v>499</v>
      </c>
      <c r="D176" s="13" t="s">
        <v>149</v>
      </c>
      <c r="E176" s="13" t="s">
        <v>516</v>
      </c>
      <c r="F176" s="14" t="n">
        <v>81833</v>
      </c>
      <c r="G176" s="14" t="n">
        <v>700</v>
      </c>
      <c r="H176" s="14" t="n">
        <v>81133</v>
      </c>
      <c r="I176" s="14" t="n">
        <v>80857</v>
      </c>
      <c r="J176" s="15" t="n">
        <v>0.9966</v>
      </c>
    </row>
    <row r="177" customFormat="false" ht="15" hidden="false" customHeight="true" outlineLevel="0" collapsed="false">
      <c r="A177" s="13" t="n">
        <v>2025</v>
      </c>
      <c r="B177" s="13" t="s">
        <v>121</v>
      </c>
      <c r="C177" s="13" t="s">
        <v>499</v>
      </c>
      <c r="D177" s="13" t="s">
        <v>145</v>
      </c>
      <c r="E177" s="13" t="s">
        <v>517</v>
      </c>
      <c r="F177" s="14" t="n">
        <v>2</v>
      </c>
      <c r="G177" s="14" t="n">
        <v>0</v>
      </c>
      <c r="H177" s="14" t="n">
        <v>2</v>
      </c>
      <c r="I177" s="14" t="n">
        <v>2</v>
      </c>
      <c r="J177" s="15" t="n">
        <v>1</v>
      </c>
    </row>
    <row r="178" customFormat="false" ht="15" hidden="false" customHeight="true" outlineLevel="0" collapsed="false">
      <c r="A178" s="13" t="n">
        <v>2025</v>
      </c>
      <c r="B178" s="13" t="s">
        <v>121</v>
      </c>
      <c r="C178" s="13" t="s">
        <v>499</v>
      </c>
      <c r="D178" s="13" t="s">
        <v>424</v>
      </c>
      <c r="E178" s="13" t="s">
        <v>468</v>
      </c>
      <c r="F178" s="14" t="n">
        <v>1295</v>
      </c>
      <c r="G178" s="14" t="n">
        <v>10</v>
      </c>
      <c r="H178" s="14" t="n">
        <v>1285</v>
      </c>
      <c r="I178" s="14" t="n">
        <v>1283</v>
      </c>
      <c r="J178" s="15" t="n">
        <v>0.9984</v>
      </c>
    </row>
    <row r="179" customFormat="false" ht="15" hidden="false" customHeight="true" outlineLevel="0" collapsed="false">
      <c r="A179" s="13" t="n">
        <v>2025</v>
      </c>
      <c r="B179" s="13" t="s">
        <v>121</v>
      </c>
      <c r="C179" s="13" t="s">
        <v>499</v>
      </c>
      <c r="D179" s="13" t="s">
        <v>425</v>
      </c>
      <c r="E179" s="13" t="s">
        <v>518</v>
      </c>
      <c r="F179" s="14" t="n">
        <v>86</v>
      </c>
      <c r="G179" s="14" t="n">
        <v>0</v>
      </c>
      <c r="H179" s="14" t="n">
        <v>86</v>
      </c>
      <c r="I179" s="14" t="n">
        <v>86</v>
      </c>
      <c r="J179" s="15" t="n">
        <v>1</v>
      </c>
    </row>
    <row r="180" customFormat="false" ht="15" hidden="false" customHeight="true" outlineLevel="0" collapsed="false">
      <c r="A180" s="13" t="n">
        <v>2025</v>
      </c>
      <c r="B180" s="13" t="s">
        <v>121</v>
      </c>
      <c r="C180" s="13" t="s">
        <v>499</v>
      </c>
      <c r="D180" s="13" t="s">
        <v>165</v>
      </c>
      <c r="E180" s="13" t="s">
        <v>448</v>
      </c>
      <c r="F180" s="14" t="n">
        <v>46172</v>
      </c>
      <c r="G180" s="14" t="n">
        <v>332</v>
      </c>
      <c r="H180" s="14" t="n">
        <v>45840</v>
      </c>
      <c r="I180" s="14" t="n">
        <v>43428</v>
      </c>
      <c r="J180" s="15" t="n">
        <v>0.9474</v>
      </c>
    </row>
    <row r="181" customFormat="false" ht="15" hidden="false" customHeight="true" outlineLevel="0" collapsed="false">
      <c r="A181" s="13" t="n">
        <v>2025</v>
      </c>
      <c r="B181" s="13" t="s">
        <v>121</v>
      </c>
      <c r="C181" s="13" t="s">
        <v>499</v>
      </c>
      <c r="D181" s="13" t="s">
        <v>477</v>
      </c>
      <c r="E181" s="13" t="s">
        <v>519</v>
      </c>
      <c r="F181" s="14" t="n">
        <v>2293</v>
      </c>
      <c r="G181" s="14" t="n">
        <v>29</v>
      </c>
      <c r="H181" s="14" t="n">
        <v>2264</v>
      </c>
      <c r="I181" s="14" t="n">
        <v>2236</v>
      </c>
      <c r="J181" s="15" t="n">
        <v>0.9876</v>
      </c>
    </row>
    <row r="182" customFormat="false" ht="15" hidden="false" customHeight="true" outlineLevel="0" collapsed="false">
      <c r="A182" s="13" t="n">
        <v>2025</v>
      </c>
      <c r="B182" s="13" t="s">
        <v>121</v>
      </c>
      <c r="C182" s="13" t="s">
        <v>499</v>
      </c>
      <c r="D182" s="13" t="s">
        <v>153</v>
      </c>
      <c r="E182" s="13" t="s">
        <v>470</v>
      </c>
      <c r="F182" s="14" t="n">
        <v>3688</v>
      </c>
      <c r="G182" s="14" t="n">
        <v>29</v>
      </c>
      <c r="H182" s="14" t="n">
        <v>3659</v>
      </c>
      <c r="I182" s="14" t="n">
        <v>3618</v>
      </c>
      <c r="J182" s="15" t="n">
        <v>0.9888</v>
      </c>
    </row>
    <row r="183" customFormat="false" ht="15" hidden="false" customHeight="true" outlineLevel="0" collapsed="false">
      <c r="A183" s="13" t="n">
        <v>2025</v>
      </c>
      <c r="B183" s="13" t="s">
        <v>121</v>
      </c>
      <c r="C183" s="13" t="s">
        <v>499</v>
      </c>
      <c r="D183" s="13" t="s">
        <v>426</v>
      </c>
      <c r="E183" s="13" t="s">
        <v>471</v>
      </c>
      <c r="F183" s="14" t="n">
        <v>2025</v>
      </c>
      <c r="G183" s="14" t="n">
        <v>19</v>
      </c>
      <c r="H183" s="14" t="n">
        <v>2006</v>
      </c>
      <c r="I183" s="14" t="n">
        <v>2003</v>
      </c>
      <c r="J183" s="15" t="n">
        <v>0.9985</v>
      </c>
    </row>
    <row r="184" customFormat="false" ht="15" hidden="false" customHeight="true" outlineLevel="0" collapsed="false">
      <c r="A184" s="13" t="n">
        <v>2025</v>
      </c>
      <c r="B184" s="13" t="s">
        <v>121</v>
      </c>
      <c r="C184" s="13" t="s">
        <v>499</v>
      </c>
      <c r="D184" s="13" t="s">
        <v>427</v>
      </c>
      <c r="E184" s="13" t="s">
        <v>472</v>
      </c>
      <c r="F184" s="14" t="n">
        <v>3621</v>
      </c>
      <c r="G184" s="14" t="n">
        <v>59</v>
      </c>
      <c r="H184" s="14" t="n">
        <v>3562</v>
      </c>
      <c r="I184" s="14" t="n">
        <v>3531</v>
      </c>
      <c r="J184" s="15" t="n">
        <v>0.9913</v>
      </c>
    </row>
    <row r="185" customFormat="false" ht="15" hidden="false" customHeight="true" outlineLevel="0" collapsed="false">
      <c r="A185" s="13" t="n">
        <v>2025</v>
      </c>
      <c r="B185" s="13" t="s">
        <v>121</v>
      </c>
      <c r="C185" s="13" t="s">
        <v>499</v>
      </c>
      <c r="D185" s="13" t="s">
        <v>155</v>
      </c>
      <c r="E185" s="13" t="s">
        <v>520</v>
      </c>
      <c r="F185" s="14" t="n">
        <v>1462</v>
      </c>
      <c r="G185" s="14" t="n">
        <v>16</v>
      </c>
      <c r="H185" s="14" t="n">
        <v>1446</v>
      </c>
      <c r="I185" s="14" t="n">
        <v>1306</v>
      </c>
      <c r="J185" s="15" t="n">
        <v>0.9032</v>
      </c>
    </row>
    <row r="186" customFormat="false" ht="15" hidden="false" customHeight="true" outlineLevel="0" collapsed="false">
      <c r="A186" s="13" t="n">
        <v>2025</v>
      </c>
      <c r="B186" s="13" t="s">
        <v>121</v>
      </c>
      <c r="C186" s="13" t="s">
        <v>499</v>
      </c>
      <c r="D186" s="13" t="s">
        <v>521</v>
      </c>
      <c r="E186" s="13" t="s">
        <v>522</v>
      </c>
      <c r="F186" s="14" t="n">
        <v>2293</v>
      </c>
      <c r="G186" s="14" t="n">
        <v>23</v>
      </c>
      <c r="H186" s="14" t="n">
        <v>2270</v>
      </c>
      <c r="I186" s="14" t="n">
        <v>2219</v>
      </c>
      <c r="J186" s="15" t="n">
        <v>0.9775</v>
      </c>
    </row>
    <row r="187" customFormat="false" ht="15" hidden="false" customHeight="true" outlineLevel="0" collapsed="false">
      <c r="A187" s="13" t="n">
        <v>2025</v>
      </c>
      <c r="B187" s="13" t="s">
        <v>121</v>
      </c>
      <c r="C187" s="13" t="s">
        <v>499</v>
      </c>
      <c r="D187" s="13" t="s">
        <v>523</v>
      </c>
      <c r="E187" s="13" t="s">
        <v>450</v>
      </c>
      <c r="F187" s="14" t="n">
        <v>80854</v>
      </c>
      <c r="G187" s="14" t="n">
        <v>874</v>
      </c>
      <c r="H187" s="14" t="n">
        <v>79980</v>
      </c>
      <c r="I187" s="14" t="n">
        <v>79823</v>
      </c>
      <c r="J187" s="15" t="n">
        <v>0.998</v>
      </c>
    </row>
    <row r="188" customFormat="false" ht="15" hidden="false" customHeight="true" outlineLevel="0" collapsed="false">
      <c r="A188" s="13" t="n">
        <v>2025</v>
      </c>
      <c r="B188" s="13" t="s">
        <v>121</v>
      </c>
      <c r="C188" s="13" t="s">
        <v>499</v>
      </c>
      <c r="D188" s="13" t="s">
        <v>410</v>
      </c>
      <c r="E188" s="13" t="s">
        <v>524</v>
      </c>
      <c r="F188" s="14" t="n">
        <v>81831</v>
      </c>
      <c r="G188" s="14" t="n">
        <v>740</v>
      </c>
      <c r="H188" s="14" t="n">
        <v>81091</v>
      </c>
      <c r="I188" s="14" t="n">
        <v>79375</v>
      </c>
      <c r="J188" s="15" t="n">
        <v>0.9788</v>
      </c>
    </row>
    <row r="189" customFormat="false" ht="15" hidden="false" customHeight="true" outlineLevel="0" collapsed="false">
      <c r="A189" s="13" t="n">
        <v>2025</v>
      </c>
      <c r="B189" s="13" t="s">
        <v>121</v>
      </c>
      <c r="C189" s="13" t="s">
        <v>499</v>
      </c>
      <c r="D189" s="13" t="s">
        <v>525</v>
      </c>
      <c r="E189" s="13" t="s">
        <v>474</v>
      </c>
      <c r="F189" s="14" t="n">
        <v>181</v>
      </c>
      <c r="G189" s="14" t="n">
        <v>0</v>
      </c>
      <c r="H189" s="14" t="n">
        <v>181</v>
      </c>
      <c r="I189" s="14" t="n">
        <v>179</v>
      </c>
      <c r="J189" s="15" t="n">
        <v>0.989</v>
      </c>
    </row>
    <row r="190" customFormat="false" ht="15" hidden="false" customHeight="true" outlineLevel="0" collapsed="false">
      <c r="A190" s="13" t="n">
        <v>2025</v>
      </c>
      <c r="B190" s="13" t="s">
        <v>121</v>
      </c>
      <c r="C190" s="13" t="s">
        <v>526</v>
      </c>
      <c r="D190" s="13" t="s">
        <v>162</v>
      </c>
      <c r="E190" s="13" t="s">
        <v>500</v>
      </c>
      <c r="F190" s="14" t="n">
        <v>22</v>
      </c>
      <c r="G190" s="14" t="n">
        <v>2</v>
      </c>
      <c r="H190" s="14" t="n">
        <v>20</v>
      </c>
      <c r="I190" s="14" t="n">
        <v>12</v>
      </c>
      <c r="J190" s="15" t="n">
        <v>0.6</v>
      </c>
    </row>
    <row r="191" customFormat="false" ht="15" hidden="false" customHeight="true" outlineLevel="0" collapsed="false">
      <c r="A191" s="13" t="n">
        <v>2025</v>
      </c>
      <c r="B191" s="13" t="s">
        <v>121</v>
      </c>
      <c r="C191" s="13" t="s">
        <v>526</v>
      </c>
      <c r="D191" s="13" t="s">
        <v>167</v>
      </c>
      <c r="E191" s="13" t="s">
        <v>443</v>
      </c>
      <c r="F191" s="14" t="n">
        <v>2410</v>
      </c>
      <c r="G191" s="14" t="n">
        <v>73</v>
      </c>
      <c r="H191" s="14" t="n">
        <v>2337</v>
      </c>
      <c r="I191" s="14" t="n">
        <v>1623</v>
      </c>
      <c r="J191" s="15" t="n">
        <v>0.6945</v>
      </c>
    </row>
    <row r="192" customFormat="false" ht="15" hidden="false" customHeight="true" outlineLevel="0" collapsed="false">
      <c r="A192" s="13" t="n">
        <v>2025</v>
      </c>
      <c r="B192" s="13" t="s">
        <v>121</v>
      </c>
      <c r="C192" s="13" t="s">
        <v>526</v>
      </c>
      <c r="D192" s="13" t="s">
        <v>228</v>
      </c>
      <c r="E192" s="13" t="s">
        <v>527</v>
      </c>
      <c r="F192" s="14" t="n">
        <v>162</v>
      </c>
      <c r="G192" s="14" t="n">
        <v>7</v>
      </c>
      <c r="H192" s="14" t="n">
        <v>155</v>
      </c>
      <c r="I192" s="14" t="n">
        <v>136</v>
      </c>
      <c r="J192" s="15" t="n">
        <v>0.8774</v>
      </c>
    </row>
    <row r="193" customFormat="false" ht="15" hidden="false" customHeight="true" outlineLevel="0" collapsed="false">
      <c r="A193" s="13" t="n">
        <v>2025</v>
      </c>
      <c r="B193" s="13" t="s">
        <v>121</v>
      </c>
      <c r="C193" s="13" t="s">
        <v>526</v>
      </c>
      <c r="D193" s="13" t="s">
        <v>166</v>
      </c>
      <c r="E193" s="13" t="s">
        <v>502</v>
      </c>
      <c r="F193" s="14" t="n">
        <v>2774</v>
      </c>
      <c r="G193" s="14" t="n">
        <v>107</v>
      </c>
      <c r="H193" s="14" t="n">
        <v>2667</v>
      </c>
      <c r="I193" s="14" t="n">
        <v>1726</v>
      </c>
      <c r="J193" s="15" t="n">
        <v>0.6472</v>
      </c>
    </row>
    <row r="194" customFormat="false" ht="15" hidden="false" customHeight="true" outlineLevel="0" collapsed="false">
      <c r="A194" s="13" t="n">
        <v>2025</v>
      </c>
      <c r="B194" s="13" t="s">
        <v>121</v>
      </c>
      <c r="C194" s="13" t="s">
        <v>526</v>
      </c>
      <c r="D194" s="13" t="s">
        <v>154</v>
      </c>
      <c r="E194" s="13" t="s">
        <v>457</v>
      </c>
      <c r="F194" s="14" t="n">
        <v>348</v>
      </c>
      <c r="G194" s="14" t="n">
        <v>27</v>
      </c>
      <c r="H194" s="14" t="n">
        <v>321</v>
      </c>
      <c r="I194" s="14" t="n">
        <v>249</v>
      </c>
      <c r="J194" s="15" t="n">
        <v>0.7757</v>
      </c>
    </row>
    <row r="195" customFormat="false" ht="15" hidden="false" customHeight="true" outlineLevel="0" collapsed="false">
      <c r="A195" s="13" t="n">
        <v>2025</v>
      </c>
      <c r="B195" s="13" t="s">
        <v>121</v>
      </c>
      <c r="C195" s="13" t="s">
        <v>526</v>
      </c>
      <c r="D195" s="13" t="s">
        <v>170</v>
      </c>
      <c r="E195" s="13" t="s">
        <v>504</v>
      </c>
      <c r="F195" s="14" t="n">
        <v>3170</v>
      </c>
      <c r="G195" s="14" t="n">
        <v>186</v>
      </c>
      <c r="H195" s="14" t="n">
        <v>2984</v>
      </c>
      <c r="I195" s="14" t="n">
        <v>2336</v>
      </c>
      <c r="J195" s="15" t="n">
        <v>0.7828</v>
      </c>
    </row>
    <row r="196" customFormat="false" ht="15" hidden="false" customHeight="true" outlineLevel="0" collapsed="false">
      <c r="A196" s="13" t="n">
        <v>2025</v>
      </c>
      <c r="B196" s="13" t="s">
        <v>121</v>
      </c>
      <c r="C196" s="13" t="s">
        <v>526</v>
      </c>
      <c r="D196" s="13" t="s">
        <v>152</v>
      </c>
      <c r="E196" s="13" t="s">
        <v>454</v>
      </c>
      <c r="F196" s="14" t="n">
        <v>1366</v>
      </c>
      <c r="G196" s="14" t="n">
        <v>38</v>
      </c>
      <c r="H196" s="14" t="n">
        <v>1328</v>
      </c>
      <c r="I196" s="14" t="n">
        <v>1082</v>
      </c>
      <c r="J196" s="15" t="n">
        <v>0.8148</v>
      </c>
    </row>
    <row r="197" customFormat="false" ht="15" hidden="false" customHeight="true" outlineLevel="0" collapsed="false">
      <c r="A197" s="13" t="n">
        <v>2025</v>
      </c>
      <c r="B197" s="13" t="s">
        <v>121</v>
      </c>
      <c r="C197" s="13" t="s">
        <v>526</v>
      </c>
      <c r="D197" s="13" t="s">
        <v>150</v>
      </c>
      <c r="E197" s="13" t="s">
        <v>458</v>
      </c>
      <c r="F197" s="14" t="n">
        <v>556</v>
      </c>
      <c r="G197" s="14" t="n">
        <v>33</v>
      </c>
      <c r="H197" s="14" t="n">
        <v>523</v>
      </c>
      <c r="I197" s="14" t="n">
        <v>471</v>
      </c>
      <c r="J197" s="15" t="n">
        <v>0.9006</v>
      </c>
    </row>
    <row r="198" customFormat="false" ht="15" hidden="false" customHeight="true" outlineLevel="0" collapsed="false">
      <c r="A198" s="13" t="n">
        <v>2025</v>
      </c>
      <c r="B198" s="13" t="s">
        <v>121</v>
      </c>
      <c r="C198" s="13" t="s">
        <v>526</v>
      </c>
      <c r="D198" s="13" t="s">
        <v>142</v>
      </c>
      <c r="E198" s="13" t="s">
        <v>445</v>
      </c>
      <c r="F198" s="14" t="n">
        <v>7696</v>
      </c>
      <c r="G198" s="14" t="n">
        <v>340</v>
      </c>
      <c r="H198" s="14" t="n">
        <v>7356</v>
      </c>
      <c r="I198" s="14" t="n">
        <v>3695</v>
      </c>
      <c r="J198" s="15" t="n">
        <v>0.5023</v>
      </c>
    </row>
    <row r="199" customFormat="false" ht="15" hidden="false" customHeight="true" outlineLevel="0" collapsed="false">
      <c r="A199" s="13" t="n">
        <v>2025</v>
      </c>
      <c r="B199" s="13" t="s">
        <v>121</v>
      </c>
      <c r="C199" s="13" t="s">
        <v>526</v>
      </c>
      <c r="D199" s="13" t="s">
        <v>143</v>
      </c>
      <c r="E199" s="13" t="s">
        <v>446</v>
      </c>
      <c r="F199" s="14" t="n">
        <v>3</v>
      </c>
      <c r="G199" s="14" t="n">
        <v>0</v>
      </c>
      <c r="H199" s="14" t="n">
        <v>3</v>
      </c>
      <c r="I199" s="14" t="n">
        <v>3</v>
      </c>
      <c r="J199" s="15" t="n">
        <v>1</v>
      </c>
    </row>
    <row r="200" customFormat="false" ht="15" hidden="false" customHeight="true" outlineLevel="0" collapsed="false">
      <c r="A200" s="13" t="n">
        <v>2025</v>
      </c>
      <c r="B200" s="13" t="s">
        <v>121</v>
      </c>
      <c r="C200" s="13" t="s">
        <v>526</v>
      </c>
      <c r="D200" s="13" t="s">
        <v>507</v>
      </c>
      <c r="E200" s="13" t="s">
        <v>508</v>
      </c>
      <c r="F200" s="14" t="n">
        <v>13</v>
      </c>
      <c r="G200" s="14" t="n">
        <v>1</v>
      </c>
      <c r="H200" s="14" t="n">
        <v>12</v>
      </c>
      <c r="I200" s="14" t="n">
        <v>10</v>
      </c>
      <c r="J200" s="15" t="n">
        <v>0.8333</v>
      </c>
    </row>
    <row r="201" customFormat="false" ht="15" hidden="false" customHeight="true" outlineLevel="0" collapsed="false">
      <c r="A201" s="13" t="n">
        <v>2025</v>
      </c>
      <c r="B201" s="13" t="s">
        <v>121</v>
      </c>
      <c r="C201" s="13" t="s">
        <v>526</v>
      </c>
      <c r="D201" s="13" t="s">
        <v>161</v>
      </c>
      <c r="E201" s="13" t="s">
        <v>461</v>
      </c>
      <c r="F201" s="14" t="n">
        <v>52</v>
      </c>
      <c r="G201" s="14" t="n">
        <v>6</v>
      </c>
      <c r="H201" s="14" t="n">
        <v>46</v>
      </c>
      <c r="I201" s="14" t="n">
        <v>45</v>
      </c>
      <c r="J201" s="15" t="n">
        <v>0.9783</v>
      </c>
    </row>
    <row r="202" customFormat="false" ht="15" hidden="false" customHeight="true" outlineLevel="0" collapsed="false">
      <c r="A202" s="13" t="n">
        <v>2025</v>
      </c>
      <c r="B202" s="13" t="s">
        <v>121</v>
      </c>
      <c r="C202" s="13" t="s">
        <v>526</v>
      </c>
      <c r="D202" s="13" t="s">
        <v>158</v>
      </c>
      <c r="E202" s="13" t="s">
        <v>509</v>
      </c>
      <c r="F202" s="14" t="n">
        <v>200</v>
      </c>
      <c r="G202" s="14" t="n">
        <v>23</v>
      </c>
      <c r="H202" s="14" t="n">
        <v>177</v>
      </c>
      <c r="I202" s="14" t="n">
        <v>161</v>
      </c>
      <c r="J202" s="15" t="n">
        <v>0.9096</v>
      </c>
    </row>
    <row r="203" customFormat="false" ht="15" hidden="false" customHeight="true" outlineLevel="0" collapsed="false">
      <c r="A203" s="13" t="n">
        <v>2025</v>
      </c>
      <c r="B203" s="13" t="s">
        <v>121</v>
      </c>
      <c r="C203" s="13" t="s">
        <v>526</v>
      </c>
      <c r="D203" s="13" t="s">
        <v>415</v>
      </c>
      <c r="E203" s="13" t="s">
        <v>463</v>
      </c>
      <c r="F203" s="14" t="n">
        <v>21</v>
      </c>
      <c r="G203" s="14" t="n">
        <v>3</v>
      </c>
      <c r="H203" s="14" t="n">
        <v>18</v>
      </c>
      <c r="I203" s="14" t="n">
        <v>15</v>
      </c>
      <c r="J203" s="15" t="n">
        <v>0.8333</v>
      </c>
    </row>
    <row r="204" customFormat="false" ht="15" hidden="false" customHeight="true" outlineLevel="0" collapsed="false">
      <c r="A204" s="13" t="n">
        <v>2025</v>
      </c>
      <c r="B204" s="13" t="s">
        <v>121</v>
      </c>
      <c r="C204" s="13" t="s">
        <v>526</v>
      </c>
      <c r="D204" s="13" t="s">
        <v>418</v>
      </c>
      <c r="E204" s="13" t="s">
        <v>512</v>
      </c>
      <c r="F204" s="14" t="n">
        <v>73</v>
      </c>
      <c r="G204" s="14" t="n">
        <v>6</v>
      </c>
      <c r="H204" s="14" t="n">
        <v>67</v>
      </c>
      <c r="I204" s="14" t="n">
        <v>49</v>
      </c>
      <c r="J204" s="15" t="n">
        <v>0.7313</v>
      </c>
    </row>
    <row r="205" customFormat="false" ht="15" hidden="false" customHeight="true" outlineLevel="0" collapsed="false">
      <c r="A205" s="13" t="n">
        <v>2025</v>
      </c>
      <c r="B205" s="13" t="s">
        <v>121</v>
      </c>
      <c r="C205" s="13" t="s">
        <v>526</v>
      </c>
      <c r="D205" s="13" t="s">
        <v>265</v>
      </c>
      <c r="E205" s="13" t="s">
        <v>528</v>
      </c>
      <c r="F205" s="14" t="n">
        <v>454</v>
      </c>
      <c r="G205" s="14" t="n">
        <v>47</v>
      </c>
      <c r="H205" s="14" t="n">
        <v>407</v>
      </c>
      <c r="I205" s="14" t="n">
        <v>376</v>
      </c>
      <c r="J205" s="15" t="n">
        <v>0.9238</v>
      </c>
    </row>
    <row r="206" customFormat="false" ht="15" hidden="false" customHeight="true" outlineLevel="0" collapsed="false">
      <c r="A206" s="13" t="n">
        <v>2025</v>
      </c>
      <c r="B206" s="13" t="s">
        <v>121</v>
      </c>
      <c r="C206" s="13" t="s">
        <v>526</v>
      </c>
      <c r="D206" s="13" t="s">
        <v>419</v>
      </c>
      <c r="E206" s="13" t="s">
        <v>466</v>
      </c>
      <c r="F206" s="14" t="n">
        <v>352</v>
      </c>
      <c r="G206" s="14" t="n">
        <v>47</v>
      </c>
      <c r="H206" s="14" t="n">
        <v>305</v>
      </c>
      <c r="I206" s="14" t="n">
        <v>222</v>
      </c>
      <c r="J206" s="15" t="n">
        <v>0.7279</v>
      </c>
    </row>
    <row r="207" customFormat="false" ht="15" hidden="false" customHeight="true" outlineLevel="0" collapsed="false">
      <c r="A207" s="13" t="n">
        <v>2025</v>
      </c>
      <c r="B207" s="13" t="s">
        <v>121</v>
      </c>
      <c r="C207" s="13" t="s">
        <v>526</v>
      </c>
      <c r="D207" s="13" t="s">
        <v>159</v>
      </c>
      <c r="E207" s="13" t="s">
        <v>467</v>
      </c>
      <c r="F207" s="14" t="n">
        <v>40</v>
      </c>
      <c r="G207" s="14" t="n">
        <v>3</v>
      </c>
      <c r="H207" s="14" t="n">
        <v>37</v>
      </c>
      <c r="I207" s="14" t="n">
        <v>37</v>
      </c>
      <c r="J207" s="15" t="n">
        <v>1</v>
      </c>
    </row>
    <row r="208" customFormat="false" ht="15" hidden="false" customHeight="true" outlineLevel="0" collapsed="false">
      <c r="A208" s="13" t="n">
        <v>2025</v>
      </c>
      <c r="B208" s="13" t="s">
        <v>121</v>
      </c>
      <c r="C208" s="13" t="s">
        <v>526</v>
      </c>
      <c r="D208" s="13" t="s">
        <v>156</v>
      </c>
      <c r="E208" s="13" t="s">
        <v>513</v>
      </c>
      <c r="F208" s="14" t="n">
        <v>4504</v>
      </c>
      <c r="G208" s="14" t="n">
        <v>196</v>
      </c>
      <c r="H208" s="14" t="n">
        <v>4308</v>
      </c>
      <c r="I208" s="14" t="n">
        <v>2228</v>
      </c>
      <c r="J208" s="15" t="n">
        <v>0.5172</v>
      </c>
    </row>
    <row r="209" customFormat="false" ht="15" hidden="false" customHeight="true" outlineLevel="0" collapsed="false">
      <c r="A209" s="13" t="n">
        <v>2025</v>
      </c>
      <c r="B209" s="13" t="s">
        <v>121</v>
      </c>
      <c r="C209" s="13" t="s">
        <v>526</v>
      </c>
      <c r="D209" s="13" t="s">
        <v>514</v>
      </c>
      <c r="E209" s="13" t="s">
        <v>515</v>
      </c>
      <c r="F209" s="14" t="n">
        <v>3</v>
      </c>
      <c r="G209" s="14" t="n">
        <v>0</v>
      </c>
      <c r="H209" s="14" t="n">
        <v>3</v>
      </c>
      <c r="I209" s="14" t="n">
        <v>3</v>
      </c>
      <c r="J209" s="15" t="n">
        <v>1</v>
      </c>
    </row>
    <row r="210" customFormat="false" ht="15" hidden="false" customHeight="true" outlineLevel="0" collapsed="false">
      <c r="A210" s="13" t="n">
        <v>2025</v>
      </c>
      <c r="B210" s="13" t="s">
        <v>121</v>
      </c>
      <c r="C210" s="13" t="s">
        <v>526</v>
      </c>
      <c r="D210" s="13" t="s">
        <v>424</v>
      </c>
      <c r="E210" s="13" t="s">
        <v>468</v>
      </c>
      <c r="F210" s="14" t="n">
        <v>5</v>
      </c>
      <c r="G210" s="14" t="n">
        <v>0</v>
      </c>
      <c r="H210" s="14" t="n">
        <v>5</v>
      </c>
      <c r="I210" s="14" t="n">
        <v>4</v>
      </c>
      <c r="J210" s="15" t="n">
        <v>0.8</v>
      </c>
    </row>
    <row r="211" customFormat="false" ht="15" hidden="false" customHeight="true" outlineLevel="0" collapsed="false">
      <c r="A211" s="13" t="n">
        <v>2025</v>
      </c>
      <c r="B211" s="13" t="s">
        <v>121</v>
      </c>
      <c r="C211" s="13" t="s">
        <v>526</v>
      </c>
      <c r="D211" s="13" t="s">
        <v>165</v>
      </c>
      <c r="E211" s="13" t="s">
        <v>448</v>
      </c>
      <c r="F211" s="14" t="n">
        <v>4470</v>
      </c>
      <c r="G211" s="14" t="n">
        <v>197</v>
      </c>
      <c r="H211" s="14" t="n">
        <v>4273</v>
      </c>
      <c r="I211" s="14" t="n">
        <v>2866</v>
      </c>
      <c r="J211" s="15" t="n">
        <v>0.6707</v>
      </c>
    </row>
    <row r="212" customFormat="false" ht="15" hidden="false" customHeight="true" outlineLevel="0" collapsed="false">
      <c r="A212" s="13" t="n">
        <v>2025</v>
      </c>
      <c r="B212" s="13" t="s">
        <v>121</v>
      </c>
      <c r="C212" s="13" t="s">
        <v>526</v>
      </c>
      <c r="D212" s="13" t="s">
        <v>477</v>
      </c>
      <c r="E212" s="13" t="s">
        <v>519</v>
      </c>
      <c r="F212" s="14" t="n">
        <v>64</v>
      </c>
      <c r="G212" s="14" t="n">
        <v>7</v>
      </c>
      <c r="H212" s="14" t="n">
        <v>57</v>
      </c>
      <c r="I212" s="14" t="n">
        <v>49</v>
      </c>
      <c r="J212" s="15" t="n">
        <v>0.8596</v>
      </c>
    </row>
    <row r="213" customFormat="false" ht="15" hidden="false" customHeight="true" outlineLevel="0" collapsed="false">
      <c r="A213" s="13" t="n">
        <v>2025</v>
      </c>
      <c r="B213" s="13" t="s">
        <v>121</v>
      </c>
      <c r="C213" s="13" t="s">
        <v>526</v>
      </c>
      <c r="D213" s="13" t="s">
        <v>284</v>
      </c>
      <c r="E213" s="13" t="s">
        <v>529</v>
      </c>
      <c r="F213" s="14" t="n">
        <v>74</v>
      </c>
      <c r="G213" s="14" t="n">
        <v>4</v>
      </c>
      <c r="H213" s="14" t="n">
        <v>70</v>
      </c>
      <c r="I213" s="14" t="n">
        <v>67</v>
      </c>
      <c r="J213" s="15" t="n">
        <v>0.9571</v>
      </c>
    </row>
    <row r="214" customFormat="false" ht="15" hidden="false" customHeight="true" outlineLevel="0" collapsed="false">
      <c r="A214" s="13" t="n">
        <v>2025</v>
      </c>
      <c r="B214" s="13" t="s">
        <v>121</v>
      </c>
      <c r="C214" s="13" t="s">
        <v>526</v>
      </c>
      <c r="D214" s="13" t="s">
        <v>285</v>
      </c>
      <c r="E214" s="13" t="s">
        <v>530</v>
      </c>
      <c r="F214" s="14" t="n">
        <v>312</v>
      </c>
      <c r="G214" s="14" t="n">
        <v>11</v>
      </c>
      <c r="H214" s="14" t="n">
        <v>301</v>
      </c>
      <c r="I214" s="14" t="n">
        <v>206</v>
      </c>
      <c r="J214" s="15" t="n">
        <v>0.6844</v>
      </c>
    </row>
    <row r="215" customFormat="false" ht="15" hidden="false" customHeight="true" outlineLevel="0" collapsed="false">
      <c r="A215" s="13" t="n">
        <v>2025</v>
      </c>
      <c r="B215" s="13" t="s">
        <v>121</v>
      </c>
      <c r="C215" s="13" t="s">
        <v>526</v>
      </c>
      <c r="D215" s="13" t="s">
        <v>153</v>
      </c>
      <c r="E215" s="13" t="s">
        <v>470</v>
      </c>
      <c r="F215" s="14" t="n">
        <v>134</v>
      </c>
      <c r="G215" s="14" t="n">
        <v>7</v>
      </c>
      <c r="H215" s="14" t="n">
        <v>127</v>
      </c>
      <c r="I215" s="14" t="n">
        <v>123</v>
      </c>
      <c r="J215" s="15" t="n">
        <v>0.9685</v>
      </c>
    </row>
    <row r="216" customFormat="false" ht="15" hidden="false" customHeight="true" outlineLevel="0" collapsed="false">
      <c r="A216" s="13" t="n">
        <v>2025</v>
      </c>
      <c r="B216" s="13" t="s">
        <v>121</v>
      </c>
      <c r="C216" s="13" t="s">
        <v>526</v>
      </c>
      <c r="D216" s="13" t="s">
        <v>426</v>
      </c>
      <c r="E216" s="13" t="s">
        <v>471</v>
      </c>
      <c r="F216" s="14" t="n">
        <v>8</v>
      </c>
      <c r="G216" s="14" t="n">
        <v>3</v>
      </c>
      <c r="H216" s="14" t="n">
        <v>5</v>
      </c>
      <c r="I216" s="14" t="n">
        <v>3</v>
      </c>
      <c r="J216" s="15" t="n">
        <v>0.6</v>
      </c>
    </row>
    <row r="217" customFormat="false" ht="15" hidden="false" customHeight="true" outlineLevel="0" collapsed="false">
      <c r="A217" s="13" t="n">
        <v>2025</v>
      </c>
      <c r="B217" s="13" t="s">
        <v>121</v>
      </c>
      <c r="C217" s="13" t="s">
        <v>526</v>
      </c>
      <c r="D217" s="13" t="s">
        <v>531</v>
      </c>
      <c r="E217" s="13" t="s">
        <v>532</v>
      </c>
      <c r="F217" s="14" t="n">
        <v>3</v>
      </c>
      <c r="G217" s="14" t="n">
        <v>0</v>
      </c>
      <c r="H217" s="14" t="n">
        <v>3</v>
      </c>
      <c r="I217" s="14" t="n">
        <v>3</v>
      </c>
      <c r="J217" s="15" t="n">
        <v>1</v>
      </c>
    </row>
    <row r="218" customFormat="false" ht="15" hidden="false" customHeight="true" outlineLevel="0" collapsed="false">
      <c r="A218" s="13" t="n">
        <v>2025</v>
      </c>
      <c r="B218" s="13" t="s">
        <v>121</v>
      </c>
      <c r="C218" s="13" t="s">
        <v>526</v>
      </c>
      <c r="D218" s="13" t="s">
        <v>427</v>
      </c>
      <c r="E218" s="13" t="s">
        <v>472</v>
      </c>
      <c r="F218" s="14" t="n">
        <v>188</v>
      </c>
      <c r="G218" s="14" t="n">
        <v>22</v>
      </c>
      <c r="H218" s="14" t="n">
        <v>166</v>
      </c>
      <c r="I218" s="14" t="n">
        <v>143</v>
      </c>
      <c r="J218" s="15" t="n">
        <v>0.8614</v>
      </c>
    </row>
    <row r="219" customFormat="false" ht="15" hidden="false" customHeight="true" outlineLevel="0" collapsed="false">
      <c r="A219" s="13" t="n">
        <v>2025</v>
      </c>
      <c r="B219" s="13" t="s">
        <v>121</v>
      </c>
      <c r="C219" s="13" t="s">
        <v>526</v>
      </c>
      <c r="D219" s="13" t="s">
        <v>155</v>
      </c>
      <c r="E219" s="13" t="s">
        <v>520</v>
      </c>
      <c r="F219" s="14" t="n">
        <v>190</v>
      </c>
      <c r="G219" s="14" t="n">
        <v>8</v>
      </c>
      <c r="H219" s="14" t="n">
        <v>182</v>
      </c>
      <c r="I219" s="14" t="n">
        <v>94</v>
      </c>
      <c r="J219" s="15" t="n">
        <v>0.5165</v>
      </c>
    </row>
    <row r="220" customFormat="false" ht="15" hidden="false" customHeight="true" outlineLevel="0" collapsed="false">
      <c r="A220" s="13" t="n">
        <v>2025</v>
      </c>
      <c r="B220" s="13" t="s">
        <v>121</v>
      </c>
      <c r="C220" s="13" t="s">
        <v>526</v>
      </c>
      <c r="D220" s="13" t="s">
        <v>523</v>
      </c>
      <c r="E220" s="13" t="s">
        <v>450</v>
      </c>
      <c r="F220" s="14" t="n">
        <v>332</v>
      </c>
      <c r="G220" s="14" t="n">
        <v>55</v>
      </c>
      <c r="H220" s="14" t="n">
        <v>277</v>
      </c>
      <c r="I220" s="14" t="n">
        <v>260</v>
      </c>
      <c r="J220" s="15" t="n">
        <v>0.9386</v>
      </c>
    </row>
    <row r="221" customFormat="false" ht="15" hidden="false" customHeight="true" outlineLevel="0" collapsed="false">
      <c r="A221" s="13" t="n">
        <v>2025</v>
      </c>
      <c r="B221" s="13" t="s">
        <v>121</v>
      </c>
      <c r="C221" s="13" t="s">
        <v>526</v>
      </c>
      <c r="D221" s="13" t="s">
        <v>410</v>
      </c>
      <c r="E221" s="13" t="s">
        <v>524</v>
      </c>
      <c r="F221" s="14" t="n">
        <v>2435</v>
      </c>
      <c r="G221" s="14" t="n">
        <v>167</v>
      </c>
      <c r="H221" s="14" t="n">
        <v>2268</v>
      </c>
      <c r="I221" s="14" t="n">
        <v>1787</v>
      </c>
      <c r="J221" s="15" t="n">
        <v>0.7879</v>
      </c>
    </row>
    <row r="222" customFormat="false" ht="15" hidden="false" customHeight="true" outlineLevel="0" collapsed="false">
      <c r="A222" s="13" t="n">
        <v>2025</v>
      </c>
      <c r="B222" s="13" t="s">
        <v>121</v>
      </c>
      <c r="C222" s="13" t="s">
        <v>526</v>
      </c>
      <c r="D222" s="13" t="s">
        <v>525</v>
      </c>
      <c r="E222" s="13" t="s">
        <v>474</v>
      </c>
      <c r="F222" s="14" t="n">
        <v>1</v>
      </c>
      <c r="G222" s="14" t="n">
        <v>0</v>
      </c>
      <c r="H222" s="14" t="n">
        <v>1</v>
      </c>
      <c r="I222" s="14" t="n">
        <v>0</v>
      </c>
      <c r="J222" s="15" t="n">
        <v>0</v>
      </c>
    </row>
    <row r="223" customFormat="false" ht="15" hidden="false" customHeight="true" outlineLevel="0" collapsed="false">
      <c r="A223" s="13" t="n">
        <v>2025</v>
      </c>
      <c r="B223" s="13" t="s">
        <v>125</v>
      </c>
      <c r="C223" s="13" t="s">
        <v>499</v>
      </c>
      <c r="D223" s="13" t="s">
        <v>162</v>
      </c>
      <c r="E223" s="13" t="s">
        <v>500</v>
      </c>
      <c r="F223" s="14" t="n">
        <v>1202</v>
      </c>
      <c r="G223" s="14" t="n">
        <v>60</v>
      </c>
      <c r="H223" s="14" t="n">
        <v>1142</v>
      </c>
      <c r="I223" s="14" t="n">
        <v>1104</v>
      </c>
      <c r="J223" s="15" t="n">
        <v>0.9667</v>
      </c>
    </row>
    <row r="224" customFormat="false" ht="15" hidden="false" customHeight="true" outlineLevel="0" collapsed="false">
      <c r="A224" s="13" t="n">
        <v>2025</v>
      </c>
      <c r="B224" s="13" t="s">
        <v>125</v>
      </c>
      <c r="C224" s="13" t="s">
        <v>499</v>
      </c>
      <c r="D224" s="13" t="s">
        <v>225</v>
      </c>
      <c r="E224" s="13" t="s">
        <v>501</v>
      </c>
      <c r="F224" s="14" t="n">
        <v>832</v>
      </c>
      <c r="G224" s="14" t="n">
        <v>65</v>
      </c>
      <c r="H224" s="14" t="n">
        <v>767</v>
      </c>
      <c r="I224" s="14" t="n">
        <v>735</v>
      </c>
      <c r="J224" s="15" t="n">
        <v>0.9583</v>
      </c>
    </row>
    <row r="225" customFormat="false" ht="15" hidden="false" customHeight="true" outlineLevel="0" collapsed="false">
      <c r="A225" s="13" t="n">
        <v>2025</v>
      </c>
      <c r="B225" s="13" t="s">
        <v>125</v>
      </c>
      <c r="C225" s="13" t="s">
        <v>499</v>
      </c>
      <c r="D225" s="13" t="s">
        <v>167</v>
      </c>
      <c r="E225" s="13" t="s">
        <v>443</v>
      </c>
      <c r="F225" s="14" t="n">
        <v>371</v>
      </c>
      <c r="G225" s="14" t="n">
        <v>86</v>
      </c>
      <c r="H225" s="14" t="n">
        <v>285</v>
      </c>
      <c r="I225" s="14" t="n">
        <v>173</v>
      </c>
      <c r="J225" s="15" t="n">
        <v>0.607</v>
      </c>
    </row>
    <row r="226" customFormat="false" ht="15" hidden="false" customHeight="true" outlineLevel="0" collapsed="false">
      <c r="A226" s="13" t="n">
        <v>2025</v>
      </c>
      <c r="B226" s="13" t="s">
        <v>125</v>
      </c>
      <c r="C226" s="13" t="s">
        <v>499</v>
      </c>
      <c r="D226" s="13" t="s">
        <v>166</v>
      </c>
      <c r="E226" s="13" t="s">
        <v>502</v>
      </c>
      <c r="F226" s="14" t="n">
        <v>490</v>
      </c>
      <c r="G226" s="14" t="n">
        <v>120</v>
      </c>
      <c r="H226" s="14" t="n">
        <v>370</v>
      </c>
      <c r="I226" s="14" t="n">
        <v>255</v>
      </c>
      <c r="J226" s="15" t="n">
        <v>0.6892</v>
      </c>
    </row>
    <row r="227" customFormat="false" ht="15" hidden="false" customHeight="true" outlineLevel="0" collapsed="false">
      <c r="A227" s="13" t="n">
        <v>2025</v>
      </c>
      <c r="B227" s="13" t="s">
        <v>125</v>
      </c>
      <c r="C227" s="13" t="s">
        <v>499</v>
      </c>
      <c r="D227" s="13" t="s">
        <v>154</v>
      </c>
      <c r="E227" s="13" t="s">
        <v>457</v>
      </c>
      <c r="F227" s="14" t="n">
        <v>5181</v>
      </c>
      <c r="G227" s="14" t="n">
        <v>627</v>
      </c>
      <c r="H227" s="14" t="n">
        <v>4554</v>
      </c>
      <c r="I227" s="14" t="n">
        <v>4195</v>
      </c>
      <c r="J227" s="15" t="n">
        <v>0.9212</v>
      </c>
    </row>
    <row r="228" customFormat="false" ht="15" hidden="false" customHeight="true" outlineLevel="0" collapsed="false">
      <c r="A228" s="13" t="n">
        <v>2025</v>
      </c>
      <c r="B228" s="13" t="s">
        <v>125</v>
      </c>
      <c r="C228" s="13" t="s">
        <v>499</v>
      </c>
      <c r="D228" s="13" t="s">
        <v>236</v>
      </c>
      <c r="E228" s="13" t="s">
        <v>503</v>
      </c>
      <c r="F228" s="14" t="n">
        <v>839</v>
      </c>
      <c r="G228" s="14" t="n">
        <v>64</v>
      </c>
      <c r="H228" s="14" t="n">
        <v>775</v>
      </c>
      <c r="I228" s="14" t="n">
        <v>752</v>
      </c>
      <c r="J228" s="15" t="n">
        <v>0.9703</v>
      </c>
    </row>
    <row r="229" customFormat="false" ht="15" hidden="false" customHeight="true" outlineLevel="0" collapsed="false">
      <c r="A229" s="13" t="n">
        <v>2025</v>
      </c>
      <c r="B229" s="13" t="s">
        <v>125</v>
      </c>
      <c r="C229" s="13" t="s">
        <v>499</v>
      </c>
      <c r="D229" s="13" t="s">
        <v>170</v>
      </c>
      <c r="E229" s="13" t="s">
        <v>504</v>
      </c>
      <c r="F229" s="14" t="n">
        <v>359</v>
      </c>
      <c r="G229" s="14" t="n">
        <v>80</v>
      </c>
      <c r="H229" s="14" t="n">
        <v>279</v>
      </c>
      <c r="I229" s="14" t="n">
        <v>207</v>
      </c>
      <c r="J229" s="15" t="n">
        <v>0.7419</v>
      </c>
    </row>
    <row r="230" customFormat="false" ht="15" hidden="false" customHeight="true" outlineLevel="0" collapsed="false">
      <c r="A230" s="13" t="n">
        <v>2025</v>
      </c>
      <c r="B230" s="13" t="s">
        <v>125</v>
      </c>
      <c r="C230" s="13" t="s">
        <v>499</v>
      </c>
      <c r="D230" s="13" t="s">
        <v>152</v>
      </c>
      <c r="E230" s="13" t="s">
        <v>454</v>
      </c>
      <c r="F230" s="14" t="n">
        <v>856</v>
      </c>
      <c r="G230" s="14" t="n">
        <v>105</v>
      </c>
      <c r="H230" s="14" t="n">
        <v>751</v>
      </c>
      <c r="I230" s="14" t="n">
        <v>676</v>
      </c>
      <c r="J230" s="15" t="n">
        <v>0.9001</v>
      </c>
    </row>
    <row r="231" customFormat="false" ht="15" hidden="false" customHeight="true" outlineLevel="0" collapsed="false">
      <c r="A231" s="13" t="n">
        <v>2025</v>
      </c>
      <c r="B231" s="13" t="s">
        <v>125</v>
      </c>
      <c r="C231" s="13" t="s">
        <v>499</v>
      </c>
      <c r="D231" s="13" t="s">
        <v>150</v>
      </c>
      <c r="E231" s="13" t="s">
        <v>458</v>
      </c>
      <c r="F231" s="14" t="n">
        <v>8498</v>
      </c>
      <c r="G231" s="14" t="n">
        <v>742</v>
      </c>
      <c r="H231" s="14" t="n">
        <v>7756</v>
      </c>
      <c r="I231" s="14" t="n">
        <v>7179</v>
      </c>
      <c r="J231" s="15" t="n">
        <v>0.9256</v>
      </c>
    </row>
    <row r="232" customFormat="false" ht="15" hidden="false" customHeight="true" outlineLevel="0" collapsed="false">
      <c r="A232" s="13" t="n">
        <v>2025</v>
      </c>
      <c r="B232" s="13" t="s">
        <v>125</v>
      </c>
      <c r="C232" s="13" t="s">
        <v>499</v>
      </c>
      <c r="D232" s="13" t="s">
        <v>142</v>
      </c>
      <c r="E232" s="13" t="s">
        <v>445</v>
      </c>
      <c r="F232" s="14" t="n">
        <v>17226</v>
      </c>
      <c r="G232" s="14" t="n">
        <v>1301</v>
      </c>
      <c r="H232" s="14" t="n">
        <v>15925</v>
      </c>
      <c r="I232" s="14" t="n">
        <v>8881</v>
      </c>
      <c r="J232" s="15" t="n">
        <v>0.5577</v>
      </c>
    </row>
    <row r="233" customFormat="false" ht="15" hidden="false" customHeight="true" outlineLevel="0" collapsed="false">
      <c r="A233" s="13" t="n">
        <v>2025</v>
      </c>
      <c r="B233" s="13" t="s">
        <v>125</v>
      </c>
      <c r="C233" s="13" t="s">
        <v>499</v>
      </c>
      <c r="D233" s="13" t="s">
        <v>505</v>
      </c>
      <c r="E233" s="13" t="s">
        <v>506</v>
      </c>
      <c r="F233" s="14" t="n">
        <v>30</v>
      </c>
      <c r="G233" s="14" t="n">
        <v>6</v>
      </c>
      <c r="H233" s="14" t="n">
        <v>24</v>
      </c>
      <c r="I233" s="14" t="n">
        <v>23</v>
      </c>
      <c r="J233" s="15" t="n">
        <v>0.9583</v>
      </c>
    </row>
    <row r="234" customFormat="false" ht="15" hidden="false" customHeight="true" outlineLevel="0" collapsed="false">
      <c r="A234" s="13" t="n">
        <v>2025</v>
      </c>
      <c r="B234" s="13" t="s">
        <v>125</v>
      </c>
      <c r="C234" s="13" t="s">
        <v>499</v>
      </c>
      <c r="D234" s="13" t="s">
        <v>143</v>
      </c>
      <c r="E234" s="13" t="s">
        <v>446</v>
      </c>
      <c r="F234" s="14" t="n">
        <v>227</v>
      </c>
      <c r="G234" s="14" t="n">
        <v>34</v>
      </c>
      <c r="H234" s="14" t="n">
        <v>193</v>
      </c>
      <c r="I234" s="14" t="n">
        <v>178</v>
      </c>
      <c r="J234" s="15" t="n">
        <v>0.9223</v>
      </c>
    </row>
    <row r="235" customFormat="false" ht="15" hidden="false" customHeight="true" outlineLevel="0" collapsed="false">
      <c r="A235" s="13" t="n">
        <v>2025</v>
      </c>
      <c r="B235" s="13" t="s">
        <v>125</v>
      </c>
      <c r="C235" s="13" t="s">
        <v>499</v>
      </c>
      <c r="D235" s="13" t="s">
        <v>161</v>
      </c>
      <c r="E235" s="13" t="s">
        <v>461</v>
      </c>
      <c r="F235" s="14" t="n">
        <v>30</v>
      </c>
      <c r="G235" s="14" t="n">
        <v>5</v>
      </c>
      <c r="H235" s="14" t="n">
        <v>25</v>
      </c>
      <c r="I235" s="14" t="n">
        <v>20</v>
      </c>
      <c r="J235" s="15" t="n">
        <v>0.8</v>
      </c>
    </row>
    <row r="236" customFormat="false" ht="15" hidden="false" customHeight="true" outlineLevel="0" collapsed="false">
      <c r="A236" s="13" t="n">
        <v>2025</v>
      </c>
      <c r="B236" s="13" t="s">
        <v>125</v>
      </c>
      <c r="C236" s="13" t="s">
        <v>499</v>
      </c>
      <c r="D236" s="13" t="s">
        <v>158</v>
      </c>
      <c r="E236" s="13" t="s">
        <v>509</v>
      </c>
      <c r="F236" s="14" t="n">
        <v>131</v>
      </c>
      <c r="G236" s="14" t="n">
        <v>32</v>
      </c>
      <c r="H236" s="14" t="n">
        <v>99</v>
      </c>
      <c r="I236" s="14" t="n">
        <v>84</v>
      </c>
      <c r="J236" s="15" t="n">
        <v>0.8485</v>
      </c>
    </row>
    <row r="237" customFormat="false" ht="15" hidden="false" customHeight="true" outlineLevel="0" collapsed="false">
      <c r="A237" s="13" t="n">
        <v>2025</v>
      </c>
      <c r="B237" s="13" t="s">
        <v>125</v>
      </c>
      <c r="C237" s="13" t="s">
        <v>499</v>
      </c>
      <c r="D237" s="13" t="s">
        <v>415</v>
      </c>
      <c r="E237" s="13" t="s">
        <v>463</v>
      </c>
      <c r="F237" s="14" t="n">
        <v>952</v>
      </c>
      <c r="G237" s="14" t="n">
        <v>84</v>
      </c>
      <c r="H237" s="14" t="n">
        <v>868</v>
      </c>
      <c r="I237" s="14" t="n">
        <v>638</v>
      </c>
      <c r="J237" s="15" t="n">
        <v>0.735</v>
      </c>
    </row>
    <row r="238" customFormat="false" ht="15" hidden="false" customHeight="true" outlineLevel="0" collapsed="false">
      <c r="A238" s="13" t="n">
        <v>2025</v>
      </c>
      <c r="B238" s="13" t="s">
        <v>125</v>
      </c>
      <c r="C238" s="13" t="s">
        <v>499</v>
      </c>
      <c r="D238" s="13" t="s">
        <v>510</v>
      </c>
      <c r="E238" s="13" t="s">
        <v>511</v>
      </c>
      <c r="F238" s="14" t="n">
        <v>32</v>
      </c>
      <c r="G238" s="14" t="n">
        <v>4</v>
      </c>
      <c r="H238" s="14" t="n">
        <v>28</v>
      </c>
      <c r="I238" s="14" t="n">
        <v>27</v>
      </c>
      <c r="J238" s="15" t="n">
        <v>0.9643</v>
      </c>
    </row>
    <row r="239" customFormat="false" ht="15" hidden="false" customHeight="true" outlineLevel="0" collapsed="false">
      <c r="A239" s="13" t="n">
        <v>2025</v>
      </c>
      <c r="B239" s="13" t="s">
        <v>125</v>
      </c>
      <c r="C239" s="13" t="s">
        <v>499</v>
      </c>
      <c r="D239" s="13" t="s">
        <v>533</v>
      </c>
      <c r="E239" s="13" t="s">
        <v>534</v>
      </c>
      <c r="F239" s="14" t="n">
        <v>10</v>
      </c>
      <c r="G239" s="14" t="n">
        <v>1</v>
      </c>
      <c r="H239" s="14" t="n">
        <v>9</v>
      </c>
      <c r="I239" s="14" t="n">
        <v>8</v>
      </c>
      <c r="J239" s="15" t="n">
        <v>0.8889</v>
      </c>
    </row>
    <row r="240" customFormat="false" ht="15" hidden="false" customHeight="true" outlineLevel="0" collapsed="false">
      <c r="A240" s="13" t="n">
        <v>2025</v>
      </c>
      <c r="B240" s="13" t="s">
        <v>125</v>
      </c>
      <c r="C240" s="13" t="s">
        <v>499</v>
      </c>
      <c r="D240" s="13" t="s">
        <v>418</v>
      </c>
      <c r="E240" s="13" t="s">
        <v>512</v>
      </c>
      <c r="F240" s="14" t="n">
        <v>322</v>
      </c>
      <c r="G240" s="14" t="n">
        <v>58</v>
      </c>
      <c r="H240" s="14" t="n">
        <v>264</v>
      </c>
      <c r="I240" s="14" t="n">
        <v>241</v>
      </c>
      <c r="J240" s="15" t="n">
        <v>0.9129</v>
      </c>
    </row>
    <row r="241" customFormat="false" ht="15" hidden="false" customHeight="true" outlineLevel="0" collapsed="false">
      <c r="A241" s="13" t="n">
        <v>2025</v>
      </c>
      <c r="B241" s="13" t="s">
        <v>125</v>
      </c>
      <c r="C241" s="13" t="s">
        <v>499</v>
      </c>
      <c r="D241" s="13" t="s">
        <v>535</v>
      </c>
      <c r="E241" s="13" t="s">
        <v>536</v>
      </c>
      <c r="F241" s="14" t="n">
        <v>68</v>
      </c>
      <c r="G241" s="14" t="n">
        <v>2</v>
      </c>
      <c r="H241" s="14" t="n">
        <v>66</v>
      </c>
      <c r="I241" s="14" t="n">
        <v>64</v>
      </c>
      <c r="J241" s="15" t="n">
        <v>0.9697</v>
      </c>
    </row>
    <row r="242" customFormat="false" ht="15" hidden="false" customHeight="true" outlineLevel="0" collapsed="false">
      <c r="A242" s="13" t="n">
        <v>2025</v>
      </c>
      <c r="B242" s="13" t="s">
        <v>125</v>
      </c>
      <c r="C242" s="13" t="s">
        <v>499</v>
      </c>
      <c r="D242" s="13" t="s">
        <v>419</v>
      </c>
      <c r="E242" s="13" t="s">
        <v>537</v>
      </c>
      <c r="F242" s="14" t="n">
        <v>69</v>
      </c>
      <c r="G242" s="14" t="n">
        <v>1</v>
      </c>
      <c r="H242" s="14" t="n">
        <v>68</v>
      </c>
      <c r="I242" s="14" t="n">
        <v>67</v>
      </c>
      <c r="J242" s="15" t="n">
        <v>0.9853</v>
      </c>
    </row>
    <row r="243" customFormat="false" ht="15" hidden="false" customHeight="true" outlineLevel="0" collapsed="false">
      <c r="A243" s="13" t="n">
        <v>2025</v>
      </c>
      <c r="B243" s="13" t="s">
        <v>125</v>
      </c>
      <c r="C243" s="13" t="s">
        <v>499</v>
      </c>
      <c r="D243" s="13" t="s">
        <v>419</v>
      </c>
      <c r="E243" s="13" t="s">
        <v>466</v>
      </c>
      <c r="F243" s="14" t="n">
        <v>8509</v>
      </c>
      <c r="G243" s="14" t="n">
        <v>972</v>
      </c>
      <c r="H243" s="14" t="n">
        <v>7537</v>
      </c>
      <c r="I243" s="14" t="n">
        <v>7061</v>
      </c>
      <c r="J243" s="15" t="n">
        <v>0.9368</v>
      </c>
    </row>
    <row r="244" customFormat="false" ht="15" hidden="false" customHeight="true" outlineLevel="0" collapsed="false">
      <c r="A244" s="13" t="n">
        <v>2025</v>
      </c>
      <c r="B244" s="13" t="s">
        <v>125</v>
      </c>
      <c r="C244" s="13" t="s">
        <v>499</v>
      </c>
      <c r="D244" s="13" t="s">
        <v>159</v>
      </c>
      <c r="E244" s="13" t="s">
        <v>467</v>
      </c>
      <c r="F244" s="14" t="n">
        <v>7</v>
      </c>
      <c r="G244" s="14" t="n">
        <v>2</v>
      </c>
      <c r="H244" s="14" t="n">
        <v>5</v>
      </c>
      <c r="I244" s="14" t="n">
        <v>4</v>
      </c>
      <c r="J244" s="15" t="n">
        <v>0.8</v>
      </c>
    </row>
    <row r="245" customFormat="false" ht="15" hidden="false" customHeight="true" outlineLevel="0" collapsed="false">
      <c r="A245" s="13" t="n">
        <v>2025</v>
      </c>
      <c r="B245" s="13" t="s">
        <v>125</v>
      </c>
      <c r="C245" s="13" t="s">
        <v>499</v>
      </c>
      <c r="D245" s="13" t="s">
        <v>156</v>
      </c>
      <c r="E245" s="13" t="s">
        <v>513</v>
      </c>
      <c r="F245" s="14" t="n">
        <v>2719</v>
      </c>
      <c r="G245" s="14" t="n">
        <v>222</v>
      </c>
      <c r="H245" s="14" t="n">
        <v>2497</v>
      </c>
      <c r="I245" s="14" t="n">
        <v>1466</v>
      </c>
      <c r="J245" s="15" t="n">
        <v>0.5871</v>
      </c>
    </row>
    <row r="246" customFormat="false" ht="15" hidden="false" customHeight="true" outlineLevel="0" collapsed="false">
      <c r="A246" s="13" t="n">
        <v>2025</v>
      </c>
      <c r="B246" s="13" t="s">
        <v>125</v>
      </c>
      <c r="C246" s="13" t="s">
        <v>499</v>
      </c>
      <c r="D246" s="13" t="s">
        <v>514</v>
      </c>
      <c r="E246" s="13" t="s">
        <v>515</v>
      </c>
      <c r="F246" s="14" t="n">
        <v>13</v>
      </c>
      <c r="G246" s="14" t="n">
        <v>2</v>
      </c>
      <c r="H246" s="14" t="n">
        <v>11</v>
      </c>
      <c r="I246" s="14" t="n">
        <v>10</v>
      </c>
      <c r="J246" s="15" t="n">
        <v>0.9091</v>
      </c>
    </row>
    <row r="247" customFormat="false" ht="15" hidden="false" customHeight="true" outlineLevel="0" collapsed="false">
      <c r="A247" s="13" t="n">
        <v>2025</v>
      </c>
      <c r="B247" s="13" t="s">
        <v>125</v>
      </c>
      <c r="C247" s="13" t="s">
        <v>499</v>
      </c>
      <c r="D247" s="13" t="s">
        <v>149</v>
      </c>
      <c r="E247" s="13" t="s">
        <v>516</v>
      </c>
      <c r="F247" s="14" t="n">
        <v>12089</v>
      </c>
      <c r="G247" s="14" t="n">
        <v>1075</v>
      </c>
      <c r="H247" s="14" t="n">
        <v>11014</v>
      </c>
      <c r="I247" s="14" t="n">
        <v>10705</v>
      </c>
      <c r="J247" s="15" t="n">
        <v>0.9719</v>
      </c>
    </row>
    <row r="248" customFormat="false" ht="15" hidden="false" customHeight="true" outlineLevel="0" collapsed="false">
      <c r="A248" s="13" t="n">
        <v>2025</v>
      </c>
      <c r="B248" s="13" t="s">
        <v>125</v>
      </c>
      <c r="C248" s="13" t="s">
        <v>499</v>
      </c>
      <c r="D248" s="13" t="s">
        <v>145</v>
      </c>
      <c r="E248" s="13" t="s">
        <v>517</v>
      </c>
      <c r="F248" s="14" t="n">
        <v>5</v>
      </c>
      <c r="G248" s="14" t="n">
        <v>0</v>
      </c>
      <c r="H248" s="14" t="n">
        <v>5</v>
      </c>
      <c r="I248" s="14" t="n">
        <v>5</v>
      </c>
      <c r="J248" s="15" t="n">
        <v>1</v>
      </c>
    </row>
    <row r="249" customFormat="false" ht="15" hidden="false" customHeight="true" outlineLevel="0" collapsed="false">
      <c r="A249" s="13" t="n">
        <v>2025</v>
      </c>
      <c r="B249" s="13" t="s">
        <v>125</v>
      </c>
      <c r="C249" s="13" t="s">
        <v>499</v>
      </c>
      <c r="D249" s="13" t="s">
        <v>424</v>
      </c>
      <c r="E249" s="13" t="s">
        <v>468</v>
      </c>
      <c r="F249" s="14" t="n">
        <v>553</v>
      </c>
      <c r="G249" s="14" t="n">
        <v>33</v>
      </c>
      <c r="H249" s="14" t="n">
        <v>520</v>
      </c>
      <c r="I249" s="14" t="n">
        <v>506</v>
      </c>
      <c r="J249" s="15" t="n">
        <v>0.9731</v>
      </c>
    </row>
    <row r="250" customFormat="false" ht="15" hidden="false" customHeight="true" outlineLevel="0" collapsed="false">
      <c r="A250" s="13" t="n">
        <v>2025</v>
      </c>
      <c r="B250" s="13" t="s">
        <v>125</v>
      </c>
      <c r="C250" s="13" t="s">
        <v>499</v>
      </c>
      <c r="D250" s="13" t="s">
        <v>425</v>
      </c>
      <c r="E250" s="13" t="s">
        <v>518</v>
      </c>
      <c r="F250" s="14" t="n">
        <v>96</v>
      </c>
      <c r="G250" s="14" t="n">
        <v>9</v>
      </c>
      <c r="H250" s="14" t="n">
        <v>87</v>
      </c>
      <c r="I250" s="14" t="n">
        <v>86</v>
      </c>
      <c r="J250" s="15" t="n">
        <v>0.9885</v>
      </c>
    </row>
    <row r="251" customFormat="false" ht="15" hidden="false" customHeight="true" outlineLevel="0" collapsed="false">
      <c r="A251" s="13" t="n">
        <v>2025</v>
      </c>
      <c r="B251" s="13" t="s">
        <v>125</v>
      </c>
      <c r="C251" s="13" t="s">
        <v>499</v>
      </c>
      <c r="D251" s="13" t="s">
        <v>165</v>
      </c>
      <c r="E251" s="13" t="s">
        <v>448</v>
      </c>
      <c r="F251" s="14" t="n">
        <v>606</v>
      </c>
      <c r="G251" s="14" t="n">
        <v>146</v>
      </c>
      <c r="H251" s="14" t="n">
        <v>460</v>
      </c>
      <c r="I251" s="14" t="n">
        <v>259</v>
      </c>
      <c r="J251" s="15" t="n">
        <v>0.563</v>
      </c>
    </row>
    <row r="252" customFormat="false" ht="15" hidden="false" customHeight="true" outlineLevel="0" collapsed="false">
      <c r="A252" s="13" t="n">
        <v>2025</v>
      </c>
      <c r="B252" s="13" t="s">
        <v>125</v>
      </c>
      <c r="C252" s="13" t="s">
        <v>499</v>
      </c>
      <c r="D252" s="13" t="s">
        <v>477</v>
      </c>
      <c r="E252" s="13" t="s">
        <v>519</v>
      </c>
      <c r="F252" s="14" t="n">
        <v>830</v>
      </c>
      <c r="G252" s="14" t="n">
        <v>95</v>
      </c>
      <c r="H252" s="14" t="n">
        <v>735</v>
      </c>
      <c r="I252" s="14" t="n">
        <v>636</v>
      </c>
      <c r="J252" s="15" t="n">
        <v>0.8653</v>
      </c>
    </row>
    <row r="253" customFormat="false" ht="15" hidden="false" customHeight="true" outlineLevel="0" collapsed="false">
      <c r="A253" s="13" t="n">
        <v>2025</v>
      </c>
      <c r="B253" s="13" t="s">
        <v>125</v>
      </c>
      <c r="C253" s="13" t="s">
        <v>499</v>
      </c>
      <c r="D253" s="13" t="s">
        <v>153</v>
      </c>
      <c r="E253" s="13" t="s">
        <v>470</v>
      </c>
      <c r="F253" s="14" t="n">
        <v>30</v>
      </c>
      <c r="G253" s="14" t="n">
        <v>5</v>
      </c>
      <c r="H253" s="14" t="n">
        <v>25</v>
      </c>
      <c r="I253" s="14" t="n">
        <v>23</v>
      </c>
      <c r="J253" s="15" t="n">
        <v>0.92</v>
      </c>
    </row>
    <row r="254" customFormat="false" ht="15" hidden="false" customHeight="true" outlineLevel="0" collapsed="false">
      <c r="A254" s="13" t="n">
        <v>2025</v>
      </c>
      <c r="B254" s="13" t="s">
        <v>125</v>
      </c>
      <c r="C254" s="13" t="s">
        <v>499</v>
      </c>
      <c r="D254" s="13" t="s">
        <v>426</v>
      </c>
      <c r="E254" s="13" t="s">
        <v>471</v>
      </c>
      <c r="F254" s="14" t="n">
        <v>2236</v>
      </c>
      <c r="G254" s="14" t="n">
        <v>211</v>
      </c>
      <c r="H254" s="14" t="n">
        <v>2025</v>
      </c>
      <c r="I254" s="14" t="n">
        <v>1910</v>
      </c>
      <c r="J254" s="15" t="n">
        <v>0.9432</v>
      </c>
    </row>
    <row r="255" customFormat="false" ht="15" hidden="false" customHeight="true" outlineLevel="0" collapsed="false">
      <c r="A255" s="13" t="n">
        <v>2025</v>
      </c>
      <c r="B255" s="13" t="s">
        <v>125</v>
      </c>
      <c r="C255" s="13" t="s">
        <v>499</v>
      </c>
      <c r="D255" s="13" t="s">
        <v>427</v>
      </c>
      <c r="E255" s="13" t="s">
        <v>472</v>
      </c>
      <c r="F255" s="14" t="n">
        <v>2544</v>
      </c>
      <c r="G255" s="14" t="n">
        <v>269</v>
      </c>
      <c r="H255" s="14" t="n">
        <v>2275</v>
      </c>
      <c r="I255" s="14" t="n">
        <v>2111</v>
      </c>
      <c r="J255" s="15" t="n">
        <v>0.9279</v>
      </c>
    </row>
    <row r="256" customFormat="false" ht="15" hidden="false" customHeight="true" outlineLevel="0" collapsed="false">
      <c r="A256" s="13" t="n">
        <v>2025</v>
      </c>
      <c r="B256" s="13" t="s">
        <v>125</v>
      </c>
      <c r="C256" s="13" t="s">
        <v>499</v>
      </c>
      <c r="D256" s="13" t="s">
        <v>155</v>
      </c>
      <c r="E256" s="13" t="s">
        <v>520</v>
      </c>
      <c r="F256" s="14" t="n">
        <v>6</v>
      </c>
      <c r="G256" s="14" t="n">
        <v>1</v>
      </c>
      <c r="H256" s="14" t="n">
        <v>5</v>
      </c>
      <c r="I256" s="14" t="n">
        <v>0</v>
      </c>
      <c r="J256" s="15" t="n">
        <v>0</v>
      </c>
    </row>
    <row r="257" customFormat="false" ht="15" hidden="false" customHeight="true" outlineLevel="0" collapsed="false">
      <c r="A257" s="13" t="n">
        <v>2025</v>
      </c>
      <c r="B257" s="13" t="s">
        <v>125</v>
      </c>
      <c r="C257" s="13" t="s">
        <v>499</v>
      </c>
      <c r="D257" s="13" t="s">
        <v>521</v>
      </c>
      <c r="E257" s="13" t="s">
        <v>522</v>
      </c>
      <c r="F257" s="14" t="n">
        <v>834</v>
      </c>
      <c r="G257" s="14" t="n">
        <v>63</v>
      </c>
      <c r="H257" s="14" t="n">
        <v>771</v>
      </c>
      <c r="I257" s="14" t="n">
        <v>634</v>
      </c>
      <c r="J257" s="15" t="n">
        <v>0.8223</v>
      </c>
    </row>
    <row r="258" customFormat="false" ht="15" hidden="false" customHeight="true" outlineLevel="0" collapsed="false">
      <c r="A258" s="13" t="n">
        <v>2025</v>
      </c>
      <c r="B258" s="13" t="s">
        <v>125</v>
      </c>
      <c r="C258" s="13" t="s">
        <v>499</v>
      </c>
      <c r="D258" s="13" t="s">
        <v>523</v>
      </c>
      <c r="E258" s="13" t="s">
        <v>450</v>
      </c>
      <c r="F258" s="14" t="n">
        <v>11435</v>
      </c>
      <c r="G258" s="14" t="n">
        <v>1362</v>
      </c>
      <c r="H258" s="14" t="n">
        <v>10073</v>
      </c>
      <c r="I258" s="14" t="n">
        <v>9872</v>
      </c>
      <c r="J258" s="15" t="n">
        <v>0.98</v>
      </c>
    </row>
    <row r="259" customFormat="false" ht="15" hidden="false" customHeight="true" outlineLevel="0" collapsed="false">
      <c r="A259" s="13" t="n">
        <v>2025</v>
      </c>
      <c r="B259" s="13" t="s">
        <v>125</v>
      </c>
      <c r="C259" s="13" t="s">
        <v>499</v>
      </c>
      <c r="D259" s="13" t="s">
        <v>410</v>
      </c>
      <c r="E259" s="13" t="s">
        <v>524</v>
      </c>
      <c r="F259" s="14" t="n">
        <v>13508</v>
      </c>
      <c r="G259" s="14" t="n">
        <v>1373</v>
      </c>
      <c r="H259" s="14" t="n">
        <v>12135</v>
      </c>
      <c r="I259" s="14" t="n">
        <v>9280</v>
      </c>
      <c r="J259" s="15" t="n">
        <v>0.7647</v>
      </c>
    </row>
    <row r="260" customFormat="false" ht="15" hidden="false" customHeight="true" outlineLevel="0" collapsed="false">
      <c r="A260" s="13" t="n">
        <v>2025</v>
      </c>
      <c r="B260" s="13" t="s">
        <v>125</v>
      </c>
      <c r="C260" s="13" t="s">
        <v>499</v>
      </c>
      <c r="D260" s="13" t="s">
        <v>525</v>
      </c>
      <c r="E260" s="13" t="s">
        <v>474</v>
      </c>
      <c r="F260" s="14" t="n">
        <v>65</v>
      </c>
      <c r="G260" s="14" t="n">
        <v>6</v>
      </c>
      <c r="H260" s="14" t="n">
        <v>59</v>
      </c>
      <c r="I260" s="14" t="n">
        <v>56</v>
      </c>
      <c r="J260" s="15" t="n">
        <v>0.9492</v>
      </c>
    </row>
    <row r="261" customFormat="false" ht="15" hidden="false" customHeight="true" outlineLevel="0" collapsed="false">
      <c r="A261" s="13" t="n">
        <v>2025</v>
      </c>
      <c r="B261" s="13" t="s">
        <v>125</v>
      </c>
      <c r="C261" s="13" t="s">
        <v>526</v>
      </c>
      <c r="D261" s="13" t="s">
        <v>162</v>
      </c>
      <c r="E261" s="13" t="s">
        <v>500</v>
      </c>
      <c r="F261" s="14" t="n">
        <v>302</v>
      </c>
      <c r="G261" s="14" t="n">
        <v>37</v>
      </c>
      <c r="H261" s="14" t="n">
        <v>265</v>
      </c>
      <c r="I261" s="14" t="n">
        <v>254</v>
      </c>
      <c r="J261" s="15" t="n">
        <v>0.9585</v>
      </c>
    </row>
    <row r="262" customFormat="false" ht="15" hidden="false" customHeight="true" outlineLevel="0" collapsed="false">
      <c r="A262" s="13" t="n">
        <v>2025</v>
      </c>
      <c r="B262" s="13" t="s">
        <v>125</v>
      </c>
      <c r="C262" s="13" t="s">
        <v>526</v>
      </c>
      <c r="D262" s="13" t="s">
        <v>167</v>
      </c>
      <c r="E262" s="13" t="s">
        <v>443</v>
      </c>
      <c r="F262" s="14" t="n">
        <v>1897</v>
      </c>
      <c r="G262" s="14" t="n">
        <v>254</v>
      </c>
      <c r="H262" s="14" t="n">
        <v>1643</v>
      </c>
      <c r="I262" s="14" t="n">
        <v>1288</v>
      </c>
      <c r="J262" s="15" t="n">
        <v>0.7839</v>
      </c>
    </row>
    <row r="263" customFormat="false" ht="15" hidden="false" customHeight="true" outlineLevel="0" collapsed="false">
      <c r="A263" s="13" t="n">
        <v>2025</v>
      </c>
      <c r="B263" s="13" t="s">
        <v>125</v>
      </c>
      <c r="C263" s="13" t="s">
        <v>526</v>
      </c>
      <c r="D263" s="13" t="s">
        <v>228</v>
      </c>
      <c r="E263" s="13" t="s">
        <v>527</v>
      </c>
      <c r="F263" s="14" t="n">
        <v>300</v>
      </c>
      <c r="G263" s="14" t="n">
        <v>48</v>
      </c>
      <c r="H263" s="14" t="n">
        <v>252</v>
      </c>
      <c r="I263" s="14" t="n">
        <v>186</v>
      </c>
      <c r="J263" s="15" t="n">
        <v>0.7381</v>
      </c>
    </row>
    <row r="264" customFormat="false" ht="15" hidden="false" customHeight="true" outlineLevel="0" collapsed="false">
      <c r="A264" s="13" t="n">
        <v>2025</v>
      </c>
      <c r="B264" s="13" t="s">
        <v>125</v>
      </c>
      <c r="C264" s="13" t="s">
        <v>526</v>
      </c>
      <c r="D264" s="13" t="s">
        <v>166</v>
      </c>
      <c r="E264" s="13" t="s">
        <v>502</v>
      </c>
      <c r="F264" s="14" t="n">
        <v>1799</v>
      </c>
      <c r="G264" s="14" t="n">
        <v>261</v>
      </c>
      <c r="H264" s="14" t="n">
        <v>1538</v>
      </c>
      <c r="I264" s="14" t="n">
        <v>1167</v>
      </c>
      <c r="J264" s="15" t="n">
        <v>0.7588</v>
      </c>
    </row>
    <row r="265" customFormat="false" ht="15" hidden="false" customHeight="true" outlineLevel="0" collapsed="false">
      <c r="A265" s="13" t="n">
        <v>2025</v>
      </c>
      <c r="B265" s="13" t="s">
        <v>125</v>
      </c>
      <c r="C265" s="13" t="s">
        <v>526</v>
      </c>
      <c r="D265" s="13" t="s">
        <v>154</v>
      </c>
      <c r="E265" s="13" t="s">
        <v>457</v>
      </c>
      <c r="F265" s="14" t="n">
        <v>2703</v>
      </c>
      <c r="G265" s="14" t="n">
        <v>518</v>
      </c>
      <c r="H265" s="14" t="n">
        <v>2185</v>
      </c>
      <c r="I265" s="14" t="n">
        <v>1958</v>
      </c>
      <c r="J265" s="15" t="n">
        <v>0.8961</v>
      </c>
    </row>
    <row r="266" customFormat="false" ht="15" hidden="false" customHeight="true" outlineLevel="0" collapsed="false">
      <c r="A266" s="13" t="n">
        <v>2025</v>
      </c>
      <c r="B266" s="13" t="s">
        <v>125</v>
      </c>
      <c r="C266" s="13" t="s">
        <v>526</v>
      </c>
      <c r="D266" s="13" t="s">
        <v>170</v>
      </c>
      <c r="E266" s="13" t="s">
        <v>504</v>
      </c>
      <c r="F266" s="14" t="n">
        <v>700</v>
      </c>
      <c r="G266" s="14" t="n">
        <v>109</v>
      </c>
      <c r="H266" s="14" t="n">
        <v>591</v>
      </c>
      <c r="I266" s="14" t="n">
        <v>531</v>
      </c>
      <c r="J266" s="15" t="n">
        <v>0.8985</v>
      </c>
    </row>
    <row r="267" customFormat="false" ht="15" hidden="false" customHeight="true" outlineLevel="0" collapsed="false">
      <c r="A267" s="13" t="n">
        <v>2025</v>
      </c>
      <c r="B267" s="13" t="s">
        <v>125</v>
      </c>
      <c r="C267" s="13" t="s">
        <v>526</v>
      </c>
      <c r="D267" s="13" t="s">
        <v>152</v>
      </c>
      <c r="E267" s="13" t="s">
        <v>454</v>
      </c>
      <c r="F267" s="14" t="n">
        <v>645</v>
      </c>
      <c r="G267" s="14" t="n">
        <v>76</v>
      </c>
      <c r="H267" s="14" t="n">
        <v>569</v>
      </c>
      <c r="I267" s="14" t="n">
        <v>381</v>
      </c>
      <c r="J267" s="15" t="n">
        <v>0.6696</v>
      </c>
    </row>
    <row r="268" customFormat="false" ht="15" hidden="false" customHeight="true" outlineLevel="0" collapsed="false">
      <c r="A268" s="13" t="n">
        <v>2025</v>
      </c>
      <c r="B268" s="13" t="s">
        <v>125</v>
      </c>
      <c r="C268" s="13" t="s">
        <v>526</v>
      </c>
      <c r="D268" s="13" t="s">
        <v>150</v>
      </c>
      <c r="E268" s="13" t="s">
        <v>458</v>
      </c>
      <c r="F268" s="14" t="n">
        <v>3778</v>
      </c>
      <c r="G268" s="14" t="n">
        <v>631</v>
      </c>
      <c r="H268" s="14" t="n">
        <v>3147</v>
      </c>
      <c r="I268" s="14" t="n">
        <v>2886</v>
      </c>
      <c r="J268" s="15" t="n">
        <v>0.9171</v>
      </c>
    </row>
    <row r="269" customFormat="false" ht="15" hidden="false" customHeight="true" outlineLevel="0" collapsed="false">
      <c r="A269" s="13" t="n">
        <v>2025</v>
      </c>
      <c r="B269" s="13" t="s">
        <v>125</v>
      </c>
      <c r="C269" s="13" t="s">
        <v>526</v>
      </c>
      <c r="D269" s="13" t="s">
        <v>142</v>
      </c>
      <c r="E269" s="13" t="s">
        <v>445</v>
      </c>
      <c r="F269" s="14" t="n">
        <v>10415</v>
      </c>
      <c r="G269" s="14" t="n">
        <v>1378</v>
      </c>
      <c r="H269" s="14" t="n">
        <v>9037</v>
      </c>
      <c r="I269" s="14" t="n">
        <v>4023</v>
      </c>
      <c r="J269" s="15" t="n">
        <v>0.4452</v>
      </c>
    </row>
    <row r="270" customFormat="false" ht="15" hidden="false" customHeight="true" outlineLevel="0" collapsed="false">
      <c r="A270" s="13" t="n">
        <v>2025</v>
      </c>
      <c r="B270" s="13" t="s">
        <v>125</v>
      </c>
      <c r="C270" s="13" t="s">
        <v>526</v>
      </c>
      <c r="D270" s="13" t="s">
        <v>505</v>
      </c>
      <c r="E270" s="13" t="s">
        <v>506</v>
      </c>
      <c r="F270" s="14" t="n">
        <v>20</v>
      </c>
      <c r="G270" s="14" t="n">
        <v>5</v>
      </c>
      <c r="H270" s="14" t="n">
        <v>15</v>
      </c>
      <c r="I270" s="14" t="n">
        <v>15</v>
      </c>
      <c r="J270" s="15" t="n">
        <v>1</v>
      </c>
    </row>
    <row r="271" customFormat="false" ht="15" hidden="false" customHeight="true" outlineLevel="0" collapsed="false">
      <c r="A271" s="13" t="n">
        <v>2025</v>
      </c>
      <c r="B271" s="13" t="s">
        <v>125</v>
      </c>
      <c r="C271" s="13" t="s">
        <v>526</v>
      </c>
      <c r="D271" s="13" t="s">
        <v>143</v>
      </c>
      <c r="E271" s="13" t="s">
        <v>446</v>
      </c>
      <c r="F271" s="14" t="n">
        <v>130</v>
      </c>
      <c r="G271" s="14" t="n">
        <v>16</v>
      </c>
      <c r="H271" s="14" t="n">
        <v>114</v>
      </c>
      <c r="I271" s="14" t="n">
        <v>99</v>
      </c>
      <c r="J271" s="15" t="n">
        <v>0.8684</v>
      </c>
    </row>
    <row r="272" customFormat="false" ht="15" hidden="false" customHeight="true" outlineLevel="0" collapsed="false">
      <c r="A272" s="13" t="n">
        <v>2025</v>
      </c>
      <c r="B272" s="13" t="s">
        <v>125</v>
      </c>
      <c r="C272" s="13" t="s">
        <v>526</v>
      </c>
      <c r="D272" s="13" t="s">
        <v>161</v>
      </c>
      <c r="E272" s="13" t="s">
        <v>461</v>
      </c>
      <c r="F272" s="14" t="n">
        <v>35</v>
      </c>
      <c r="G272" s="14" t="n">
        <v>7</v>
      </c>
      <c r="H272" s="14" t="n">
        <v>28</v>
      </c>
      <c r="I272" s="14" t="n">
        <v>27</v>
      </c>
      <c r="J272" s="15" t="n">
        <v>0.9643</v>
      </c>
    </row>
    <row r="273" customFormat="false" ht="15" hidden="false" customHeight="true" outlineLevel="0" collapsed="false">
      <c r="A273" s="13" t="n">
        <v>2025</v>
      </c>
      <c r="B273" s="13" t="s">
        <v>125</v>
      </c>
      <c r="C273" s="13" t="s">
        <v>526</v>
      </c>
      <c r="D273" s="13" t="s">
        <v>158</v>
      </c>
      <c r="E273" s="13" t="s">
        <v>509</v>
      </c>
      <c r="F273" s="14" t="n">
        <v>125</v>
      </c>
      <c r="G273" s="14" t="n">
        <v>35</v>
      </c>
      <c r="H273" s="14" t="n">
        <v>90</v>
      </c>
      <c r="I273" s="14" t="n">
        <v>84</v>
      </c>
      <c r="J273" s="15" t="n">
        <v>0.9333</v>
      </c>
    </row>
    <row r="274" customFormat="false" ht="15" hidden="false" customHeight="true" outlineLevel="0" collapsed="false">
      <c r="A274" s="13" t="n">
        <v>2025</v>
      </c>
      <c r="B274" s="13" t="s">
        <v>125</v>
      </c>
      <c r="C274" s="13" t="s">
        <v>526</v>
      </c>
      <c r="D274" s="13" t="s">
        <v>415</v>
      </c>
      <c r="E274" s="13" t="s">
        <v>463</v>
      </c>
      <c r="F274" s="14" t="n">
        <v>384</v>
      </c>
      <c r="G274" s="14" t="n">
        <v>66</v>
      </c>
      <c r="H274" s="14" t="n">
        <v>318</v>
      </c>
      <c r="I274" s="14" t="n">
        <v>241</v>
      </c>
      <c r="J274" s="15" t="n">
        <v>0.7579</v>
      </c>
    </row>
    <row r="275" customFormat="false" ht="15" hidden="false" customHeight="true" outlineLevel="0" collapsed="false">
      <c r="A275" s="13" t="n">
        <v>2025</v>
      </c>
      <c r="B275" s="13" t="s">
        <v>125</v>
      </c>
      <c r="C275" s="13" t="s">
        <v>526</v>
      </c>
      <c r="D275" s="13" t="s">
        <v>510</v>
      </c>
      <c r="E275" s="13" t="s">
        <v>511</v>
      </c>
      <c r="F275" s="14" t="n">
        <v>12</v>
      </c>
      <c r="G275" s="14" t="n">
        <v>4</v>
      </c>
      <c r="H275" s="14" t="n">
        <v>8</v>
      </c>
      <c r="I275" s="14" t="n">
        <v>5</v>
      </c>
      <c r="J275" s="15" t="n">
        <v>0.625</v>
      </c>
    </row>
    <row r="276" customFormat="false" ht="15" hidden="false" customHeight="true" outlineLevel="0" collapsed="false">
      <c r="A276" s="13" t="n">
        <v>2025</v>
      </c>
      <c r="B276" s="13" t="s">
        <v>125</v>
      </c>
      <c r="C276" s="13" t="s">
        <v>526</v>
      </c>
      <c r="D276" s="13" t="s">
        <v>533</v>
      </c>
      <c r="E276" s="13" t="s">
        <v>534</v>
      </c>
      <c r="F276" s="14" t="n">
        <v>9</v>
      </c>
      <c r="G276" s="14" t="n">
        <v>3</v>
      </c>
      <c r="H276" s="14" t="n">
        <v>6</v>
      </c>
      <c r="I276" s="14" t="n">
        <v>6</v>
      </c>
      <c r="J276" s="15" t="n">
        <v>1</v>
      </c>
    </row>
    <row r="277" customFormat="false" ht="15" hidden="false" customHeight="true" outlineLevel="0" collapsed="false">
      <c r="A277" s="13" t="n">
        <v>2025</v>
      </c>
      <c r="B277" s="13" t="s">
        <v>125</v>
      </c>
      <c r="C277" s="13" t="s">
        <v>526</v>
      </c>
      <c r="D277" s="13" t="s">
        <v>418</v>
      </c>
      <c r="E277" s="13" t="s">
        <v>512</v>
      </c>
      <c r="F277" s="14" t="n">
        <v>215</v>
      </c>
      <c r="G277" s="14" t="n">
        <v>52</v>
      </c>
      <c r="H277" s="14" t="n">
        <v>163</v>
      </c>
      <c r="I277" s="14" t="n">
        <v>140</v>
      </c>
      <c r="J277" s="15" t="n">
        <v>0.8589</v>
      </c>
    </row>
    <row r="278" customFormat="false" ht="15" hidden="false" customHeight="true" outlineLevel="0" collapsed="false">
      <c r="A278" s="13" t="n">
        <v>2025</v>
      </c>
      <c r="B278" s="13" t="s">
        <v>125</v>
      </c>
      <c r="C278" s="13" t="s">
        <v>526</v>
      </c>
      <c r="D278" s="13" t="s">
        <v>265</v>
      </c>
      <c r="E278" s="13" t="s">
        <v>528</v>
      </c>
      <c r="F278" s="14" t="n">
        <v>5834</v>
      </c>
      <c r="G278" s="14" t="n">
        <v>1066</v>
      </c>
      <c r="H278" s="14" t="n">
        <v>4768</v>
      </c>
      <c r="I278" s="14" t="n">
        <v>4621</v>
      </c>
      <c r="J278" s="15" t="n">
        <v>0.9692</v>
      </c>
    </row>
    <row r="279" customFormat="false" ht="15" hidden="false" customHeight="true" outlineLevel="0" collapsed="false">
      <c r="A279" s="13" t="n">
        <v>2025</v>
      </c>
      <c r="B279" s="13" t="s">
        <v>125</v>
      </c>
      <c r="C279" s="13" t="s">
        <v>526</v>
      </c>
      <c r="D279" s="13" t="s">
        <v>535</v>
      </c>
      <c r="E279" s="13" t="s">
        <v>536</v>
      </c>
      <c r="F279" s="14" t="n">
        <v>22</v>
      </c>
      <c r="G279" s="14" t="n">
        <v>2</v>
      </c>
      <c r="H279" s="14" t="n">
        <v>20</v>
      </c>
      <c r="I279" s="14" t="n">
        <v>20</v>
      </c>
      <c r="J279" s="15" t="n">
        <v>1</v>
      </c>
    </row>
    <row r="280" customFormat="false" ht="15" hidden="false" customHeight="true" outlineLevel="0" collapsed="false">
      <c r="A280" s="13" t="n">
        <v>2025</v>
      </c>
      <c r="B280" s="13" t="s">
        <v>125</v>
      </c>
      <c r="C280" s="13" t="s">
        <v>526</v>
      </c>
      <c r="D280" s="13" t="s">
        <v>419</v>
      </c>
      <c r="E280" s="13" t="s">
        <v>537</v>
      </c>
      <c r="F280" s="14" t="n">
        <v>20</v>
      </c>
      <c r="G280" s="14" t="n">
        <v>1</v>
      </c>
      <c r="H280" s="14" t="n">
        <v>19</v>
      </c>
      <c r="I280" s="14" t="n">
        <v>19</v>
      </c>
      <c r="J280" s="15" t="n">
        <v>1</v>
      </c>
    </row>
    <row r="281" customFormat="false" ht="15" hidden="false" customHeight="true" outlineLevel="0" collapsed="false">
      <c r="A281" s="13" t="n">
        <v>2025</v>
      </c>
      <c r="B281" s="13" t="s">
        <v>125</v>
      </c>
      <c r="C281" s="13" t="s">
        <v>526</v>
      </c>
      <c r="D281" s="13" t="s">
        <v>419</v>
      </c>
      <c r="E281" s="13" t="s">
        <v>466</v>
      </c>
      <c r="F281" s="14" t="n">
        <v>3682</v>
      </c>
      <c r="G281" s="14" t="n">
        <v>682</v>
      </c>
      <c r="H281" s="14" t="n">
        <v>3000</v>
      </c>
      <c r="I281" s="14" t="n">
        <v>2825</v>
      </c>
      <c r="J281" s="15" t="n">
        <v>0.9417</v>
      </c>
    </row>
    <row r="282" customFormat="false" ht="15" hidden="false" customHeight="true" outlineLevel="0" collapsed="false">
      <c r="A282" s="13" t="n">
        <v>2025</v>
      </c>
      <c r="B282" s="13" t="s">
        <v>125</v>
      </c>
      <c r="C282" s="13" t="s">
        <v>526</v>
      </c>
      <c r="D282" s="13" t="s">
        <v>159</v>
      </c>
      <c r="E282" s="13" t="s">
        <v>467</v>
      </c>
      <c r="F282" s="14" t="n">
        <v>7</v>
      </c>
      <c r="G282" s="14" t="n">
        <v>2</v>
      </c>
      <c r="H282" s="14" t="n">
        <v>5</v>
      </c>
      <c r="I282" s="14" t="n">
        <v>5</v>
      </c>
      <c r="J282" s="15" t="n">
        <v>1</v>
      </c>
    </row>
    <row r="283" customFormat="false" ht="15" hidden="false" customHeight="true" outlineLevel="0" collapsed="false">
      <c r="A283" s="13" t="n">
        <v>2025</v>
      </c>
      <c r="B283" s="13" t="s">
        <v>125</v>
      </c>
      <c r="C283" s="13" t="s">
        <v>526</v>
      </c>
      <c r="D283" s="13" t="s">
        <v>156</v>
      </c>
      <c r="E283" s="13" t="s">
        <v>513</v>
      </c>
      <c r="F283" s="14" t="n">
        <v>1727</v>
      </c>
      <c r="G283" s="14" t="n">
        <v>200</v>
      </c>
      <c r="H283" s="14" t="n">
        <v>1527</v>
      </c>
      <c r="I283" s="14" t="n">
        <v>842</v>
      </c>
      <c r="J283" s="15" t="n">
        <v>0.5514</v>
      </c>
    </row>
    <row r="284" customFormat="false" ht="15" hidden="false" customHeight="true" outlineLevel="0" collapsed="false">
      <c r="A284" s="13" t="n">
        <v>2025</v>
      </c>
      <c r="B284" s="13" t="s">
        <v>125</v>
      </c>
      <c r="C284" s="13" t="s">
        <v>526</v>
      </c>
      <c r="D284" s="13" t="s">
        <v>514</v>
      </c>
      <c r="E284" s="13" t="s">
        <v>515</v>
      </c>
      <c r="F284" s="14" t="n">
        <v>14</v>
      </c>
      <c r="G284" s="14" t="n">
        <v>2</v>
      </c>
      <c r="H284" s="14" t="n">
        <v>12</v>
      </c>
      <c r="I284" s="14" t="n">
        <v>12</v>
      </c>
      <c r="J284" s="15" t="n">
        <v>1</v>
      </c>
    </row>
    <row r="285" customFormat="false" ht="15" hidden="false" customHeight="true" outlineLevel="0" collapsed="false">
      <c r="A285" s="13" t="n">
        <v>2025</v>
      </c>
      <c r="B285" s="13" t="s">
        <v>125</v>
      </c>
      <c r="C285" s="13" t="s">
        <v>526</v>
      </c>
      <c r="D285" s="13" t="s">
        <v>145</v>
      </c>
      <c r="E285" s="13" t="s">
        <v>517</v>
      </c>
      <c r="F285" s="14" t="n">
        <v>4</v>
      </c>
      <c r="G285" s="14" t="n">
        <v>0</v>
      </c>
      <c r="H285" s="14" t="n">
        <v>4</v>
      </c>
      <c r="I285" s="14" t="n">
        <v>4</v>
      </c>
      <c r="J285" s="15" t="n">
        <v>1</v>
      </c>
    </row>
    <row r="286" customFormat="false" ht="15" hidden="false" customHeight="true" outlineLevel="0" collapsed="false">
      <c r="A286" s="13" t="n">
        <v>2025</v>
      </c>
      <c r="B286" s="13" t="s">
        <v>125</v>
      </c>
      <c r="C286" s="13" t="s">
        <v>526</v>
      </c>
      <c r="D286" s="13" t="s">
        <v>424</v>
      </c>
      <c r="E286" s="13" t="s">
        <v>468</v>
      </c>
      <c r="F286" s="14" t="n">
        <v>177</v>
      </c>
      <c r="G286" s="14" t="n">
        <v>25</v>
      </c>
      <c r="H286" s="14" t="n">
        <v>152</v>
      </c>
      <c r="I286" s="14" t="n">
        <v>143</v>
      </c>
      <c r="J286" s="15" t="n">
        <v>0.9408</v>
      </c>
    </row>
    <row r="287" customFormat="false" ht="15" hidden="false" customHeight="true" outlineLevel="0" collapsed="false">
      <c r="A287" s="13" t="n">
        <v>2025</v>
      </c>
      <c r="B287" s="13" t="s">
        <v>125</v>
      </c>
      <c r="C287" s="13" t="s">
        <v>526</v>
      </c>
      <c r="D287" s="13" t="s">
        <v>425</v>
      </c>
      <c r="E287" s="13" t="s">
        <v>518</v>
      </c>
      <c r="F287" s="14" t="n">
        <v>34</v>
      </c>
      <c r="G287" s="14" t="n">
        <v>5</v>
      </c>
      <c r="H287" s="14" t="n">
        <v>29</v>
      </c>
      <c r="I287" s="14" t="n">
        <v>29</v>
      </c>
      <c r="J287" s="15" t="n">
        <v>1</v>
      </c>
    </row>
    <row r="288" customFormat="false" ht="15" hidden="false" customHeight="true" outlineLevel="0" collapsed="false">
      <c r="A288" s="13" t="n">
        <v>2025</v>
      </c>
      <c r="B288" s="13" t="s">
        <v>125</v>
      </c>
      <c r="C288" s="13" t="s">
        <v>526</v>
      </c>
      <c r="D288" s="13" t="s">
        <v>165</v>
      </c>
      <c r="E288" s="13" t="s">
        <v>448</v>
      </c>
      <c r="F288" s="14" t="n">
        <v>1665</v>
      </c>
      <c r="G288" s="14" t="n">
        <v>293</v>
      </c>
      <c r="H288" s="14" t="n">
        <v>1372</v>
      </c>
      <c r="I288" s="14" t="n">
        <v>957</v>
      </c>
      <c r="J288" s="15" t="n">
        <v>0.6975</v>
      </c>
    </row>
    <row r="289" customFormat="false" ht="15" hidden="false" customHeight="true" outlineLevel="0" collapsed="false">
      <c r="A289" s="13" t="n">
        <v>2025</v>
      </c>
      <c r="B289" s="13" t="s">
        <v>125</v>
      </c>
      <c r="C289" s="13" t="s">
        <v>526</v>
      </c>
      <c r="D289" s="13" t="s">
        <v>477</v>
      </c>
      <c r="E289" s="13" t="s">
        <v>519</v>
      </c>
      <c r="F289" s="14" t="n">
        <v>285</v>
      </c>
      <c r="G289" s="14" t="n">
        <v>69</v>
      </c>
      <c r="H289" s="14" t="n">
        <v>216</v>
      </c>
      <c r="I289" s="14" t="n">
        <v>158</v>
      </c>
      <c r="J289" s="15" t="n">
        <v>0.7315</v>
      </c>
    </row>
    <row r="290" customFormat="false" ht="15" hidden="false" customHeight="true" outlineLevel="0" collapsed="false">
      <c r="A290" s="13" t="n">
        <v>2025</v>
      </c>
      <c r="B290" s="13" t="s">
        <v>125</v>
      </c>
      <c r="C290" s="13" t="s">
        <v>526</v>
      </c>
      <c r="D290" s="13" t="s">
        <v>284</v>
      </c>
      <c r="E290" s="13" t="s">
        <v>529</v>
      </c>
      <c r="F290" s="14" t="n">
        <v>243</v>
      </c>
      <c r="G290" s="14" t="n">
        <v>55</v>
      </c>
      <c r="H290" s="14" t="n">
        <v>188</v>
      </c>
      <c r="I290" s="14" t="n">
        <v>185</v>
      </c>
      <c r="J290" s="15" t="n">
        <v>0.984</v>
      </c>
    </row>
    <row r="291" customFormat="false" ht="15" hidden="false" customHeight="true" outlineLevel="0" collapsed="false">
      <c r="A291" s="13" t="n">
        <v>2025</v>
      </c>
      <c r="B291" s="13" t="s">
        <v>125</v>
      </c>
      <c r="C291" s="13" t="s">
        <v>526</v>
      </c>
      <c r="D291" s="13" t="s">
        <v>285</v>
      </c>
      <c r="E291" s="13" t="s">
        <v>530</v>
      </c>
      <c r="F291" s="14" t="n">
        <v>464</v>
      </c>
      <c r="G291" s="14" t="n">
        <v>64</v>
      </c>
      <c r="H291" s="14" t="n">
        <v>400</v>
      </c>
      <c r="I291" s="14" t="n">
        <v>313</v>
      </c>
      <c r="J291" s="15" t="n">
        <v>0.7825</v>
      </c>
    </row>
    <row r="292" customFormat="false" ht="15" hidden="false" customHeight="true" outlineLevel="0" collapsed="false">
      <c r="A292" s="13" t="n">
        <v>2025</v>
      </c>
      <c r="B292" s="13" t="s">
        <v>125</v>
      </c>
      <c r="C292" s="13" t="s">
        <v>526</v>
      </c>
      <c r="D292" s="13" t="s">
        <v>153</v>
      </c>
      <c r="E292" s="13" t="s">
        <v>470</v>
      </c>
      <c r="F292" s="14" t="n">
        <v>26</v>
      </c>
      <c r="G292" s="14" t="n">
        <v>6</v>
      </c>
      <c r="H292" s="14" t="n">
        <v>20</v>
      </c>
      <c r="I292" s="14" t="n">
        <v>17</v>
      </c>
      <c r="J292" s="15" t="n">
        <v>0.85</v>
      </c>
    </row>
    <row r="293" customFormat="false" ht="15" hidden="false" customHeight="true" outlineLevel="0" collapsed="false">
      <c r="A293" s="13" t="n">
        <v>2025</v>
      </c>
      <c r="B293" s="13" t="s">
        <v>125</v>
      </c>
      <c r="C293" s="13" t="s">
        <v>526</v>
      </c>
      <c r="D293" s="13" t="s">
        <v>426</v>
      </c>
      <c r="E293" s="13" t="s">
        <v>471</v>
      </c>
      <c r="F293" s="14" t="n">
        <v>1023</v>
      </c>
      <c r="G293" s="14" t="n">
        <v>183</v>
      </c>
      <c r="H293" s="14" t="n">
        <v>840</v>
      </c>
      <c r="I293" s="14" t="n">
        <v>722</v>
      </c>
      <c r="J293" s="15" t="n">
        <v>0.8595</v>
      </c>
    </row>
    <row r="294" customFormat="false" ht="15" hidden="false" customHeight="true" outlineLevel="0" collapsed="false">
      <c r="A294" s="13" t="n">
        <v>2025</v>
      </c>
      <c r="B294" s="13" t="s">
        <v>125</v>
      </c>
      <c r="C294" s="13" t="s">
        <v>526</v>
      </c>
      <c r="D294" s="13" t="s">
        <v>531</v>
      </c>
      <c r="E294" s="13" t="s">
        <v>532</v>
      </c>
      <c r="F294" s="14" t="n">
        <v>94</v>
      </c>
      <c r="G294" s="14" t="n">
        <v>9</v>
      </c>
      <c r="H294" s="14" t="n">
        <v>85</v>
      </c>
      <c r="I294" s="14" t="n">
        <v>72</v>
      </c>
      <c r="J294" s="15" t="n">
        <v>0.8471</v>
      </c>
    </row>
    <row r="295" customFormat="false" ht="15" hidden="false" customHeight="true" outlineLevel="0" collapsed="false">
      <c r="A295" s="13" t="n">
        <v>2025</v>
      </c>
      <c r="B295" s="13" t="s">
        <v>125</v>
      </c>
      <c r="C295" s="13" t="s">
        <v>526</v>
      </c>
      <c r="D295" s="13" t="s">
        <v>427</v>
      </c>
      <c r="E295" s="13" t="s">
        <v>472</v>
      </c>
      <c r="F295" s="14" t="n">
        <v>1496</v>
      </c>
      <c r="G295" s="14" t="n">
        <v>239</v>
      </c>
      <c r="H295" s="14" t="n">
        <v>1257</v>
      </c>
      <c r="I295" s="14" t="n">
        <v>1028</v>
      </c>
      <c r="J295" s="15" t="n">
        <v>0.8178</v>
      </c>
    </row>
    <row r="296" customFormat="false" ht="15" hidden="false" customHeight="true" outlineLevel="0" collapsed="false">
      <c r="A296" s="13" t="n">
        <v>2025</v>
      </c>
      <c r="B296" s="13" t="s">
        <v>125</v>
      </c>
      <c r="C296" s="13" t="s">
        <v>526</v>
      </c>
      <c r="D296" s="13" t="s">
        <v>155</v>
      </c>
      <c r="E296" s="13" t="s">
        <v>520</v>
      </c>
      <c r="F296" s="14" t="n">
        <v>42</v>
      </c>
      <c r="G296" s="14" t="n">
        <v>7</v>
      </c>
      <c r="H296" s="14" t="n">
        <v>35</v>
      </c>
      <c r="I296" s="14" t="n">
        <v>12</v>
      </c>
      <c r="J296" s="15" t="n">
        <v>0.3429</v>
      </c>
    </row>
    <row r="297" customFormat="false" ht="15" hidden="false" customHeight="true" outlineLevel="0" collapsed="false">
      <c r="A297" s="13" t="n">
        <v>2025</v>
      </c>
      <c r="B297" s="13" t="s">
        <v>125</v>
      </c>
      <c r="C297" s="13" t="s">
        <v>526</v>
      </c>
      <c r="D297" s="13" t="s">
        <v>523</v>
      </c>
      <c r="E297" s="13" t="s">
        <v>450</v>
      </c>
      <c r="F297" s="14" t="n">
        <v>5044</v>
      </c>
      <c r="G297" s="14" t="n">
        <v>886</v>
      </c>
      <c r="H297" s="14" t="n">
        <v>4158</v>
      </c>
      <c r="I297" s="14" t="n">
        <v>3999</v>
      </c>
      <c r="J297" s="15" t="n">
        <v>0.9618</v>
      </c>
    </row>
    <row r="298" customFormat="false" ht="15" hidden="false" customHeight="true" outlineLevel="0" collapsed="false">
      <c r="A298" s="13" t="n">
        <v>2025</v>
      </c>
      <c r="B298" s="13" t="s">
        <v>125</v>
      </c>
      <c r="C298" s="13" t="s">
        <v>526</v>
      </c>
      <c r="D298" s="13" t="s">
        <v>410</v>
      </c>
      <c r="E298" s="13" t="s">
        <v>524</v>
      </c>
      <c r="F298" s="14" t="n">
        <v>7567</v>
      </c>
      <c r="G298" s="14" t="n">
        <v>1322</v>
      </c>
      <c r="H298" s="14" t="n">
        <v>6245</v>
      </c>
      <c r="I298" s="14" t="n">
        <v>5172</v>
      </c>
      <c r="J298" s="15" t="n">
        <v>0.8282</v>
      </c>
    </row>
    <row r="299" customFormat="false" ht="15" hidden="false" customHeight="true" outlineLevel="0" collapsed="false">
      <c r="A299" s="13" t="n">
        <v>2025</v>
      </c>
      <c r="B299" s="13" t="s">
        <v>125</v>
      </c>
      <c r="C299" s="13" t="s">
        <v>526</v>
      </c>
      <c r="D299" s="13" t="s">
        <v>525</v>
      </c>
      <c r="E299" s="13" t="s">
        <v>474</v>
      </c>
      <c r="F299" s="14" t="n">
        <v>33</v>
      </c>
      <c r="G299" s="14" t="n">
        <v>4</v>
      </c>
      <c r="H299" s="14" t="n">
        <v>29</v>
      </c>
      <c r="I299" s="14" t="n">
        <v>19</v>
      </c>
      <c r="J299" s="15" t="n">
        <v>0.6552</v>
      </c>
    </row>
    <row r="300" customFormat="false" ht="15" hidden="false" customHeight="true" outlineLevel="0" collapsed="false">
      <c r="A300" s="13" t="n">
        <v>2026</v>
      </c>
      <c r="B300" s="13" t="s">
        <v>121</v>
      </c>
      <c r="C300" s="13" t="s">
        <v>499</v>
      </c>
      <c r="D300" s="13" t="s">
        <v>538</v>
      </c>
      <c r="E300" s="13" t="s">
        <v>539</v>
      </c>
      <c r="F300" s="14" t="n">
        <v>8</v>
      </c>
      <c r="G300" s="14" t="n">
        <v>0</v>
      </c>
      <c r="H300" s="14" t="n">
        <v>8</v>
      </c>
      <c r="I300" s="14" t="n">
        <v>8</v>
      </c>
      <c r="J300" s="15" t="n">
        <v>1</v>
      </c>
    </row>
    <row r="301" customFormat="false" ht="15" hidden="false" customHeight="true" outlineLevel="0" collapsed="false">
      <c r="A301" s="13" t="n">
        <v>2026</v>
      </c>
      <c r="B301" s="13" t="s">
        <v>121</v>
      </c>
      <c r="C301" s="13" t="s">
        <v>499</v>
      </c>
      <c r="D301" s="13" t="s">
        <v>162</v>
      </c>
      <c r="E301" s="13" t="s">
        <v>500</v>
      </c>
      <c r="F301" s="14" t="n">
        <v>1058</v>
      </c>
      <c r="G301" s="14" t="n">
        <v>9</v>
      </c>
      <c r="H301" s="14" t="n">
        <v>1049</v>
      </c>
      <c r="I301" s="14" t="n">
        <v>1013</v>
      </c>
      <c r="J301" s="15" t="n">
        <v>0.9657</v>
      </c>
    </row>
    <row r="302" customFormat="false" ht="15" hidden="false" customHeight="true" outlineLevel="0" collapsed="false">
      <c r="A302" s="13" t="n">
        <v>2026</v>
      </c>
      <c r="B302" s="13" t="s">
        <v>121</v>
      </c>
      <c r="C302" s="13" t="s">
        <v>499</v>
      </c>
      <c r="D302" s="13" t="s">
        <v>225</v>
      </c>
      <c r="E302" s="13" t="s">
        <v>501</v>
      </c>
      <c r="F302" s="14" t="n">
        <v>1926</v>
      </c>
      <c r="G302" s="14" t="n">
        <v>38</v>
      </c>
      <c r="H302" s="14" t="n">
        <v>1888</v>
      </c>
      <c r="I302" s="14" t="n">
        <v>1852</v>
      </c>
      <c r="J302" s="15" t="n">
        <v>0.9809</v>
      </c>
    </row>
    <row r="303" customFormat="false" ht="15" hidden="false" customHeight="true" outlineLevel="0" collapsed="false">
      <c r="A303" s="13" t="n">
        <v>2026</v>
      </c>
      <c r="B303" s="13" t="s">
        <v>121</v>
      </c>
      <c r="C303" s="13" t="s">
        <v>499</v>
      </c>
      <c r="D303" s="13" t="s">
        <v>167</v>
      </c>
      <c r="E303" s="13" t="s">
        <v>443</v>
      </c>
      <c r="F303" s="14" t="n">
        <v>22486</v>
      </c>
      <c r="G303" s="14" t="n">
        <v>142</v>
      </c>
      <c r="H303" s="14" t="n">
        <v>22344</v>
      </c>
      <c r="I303" s="14" t="n">
        <v>21168</v>
      </c>
      <c r="J303" s="15" t="n">
        <v>0.9474</v>
      </c>
    </row>
    <row r="304" customFormat="false" ht="15" hidden="false" customHeight="true" outlineLevel="0" collapsed="false">
      <c r="A304" s="13" t="n">
        <v>2026</v>
      </c>
      <c r="B304" s="13" t="s">
        <v>121</v>
      </c>
      <c r="C304" s="13" t="s">
        <v>499</v>
      </c>
      <c r="D304" s="13" t="s">
        <v>166</v>
      </c>
      <c r="E304" s="13" t="s">
        <v>502</v>
      </c>
      <c r="F304" s="14" t="n">
        <v>27128</v>
      </c>
      <c r="G304" s="14" t="n">
        <v>163</v>
      </c>
      <c r="H304" s="14" t="n">
        <v>26965</v>
      </c>
      <c r="I304" s="14" t="n">
        <v>24857</v>
      </c>
      <c r="J304" s="15" t="n">
        <v>0.9218</v>
      </c>
    </row>
    <row r="305" customFormat="false" ht="15" hidden="false" customHeight="true" outlineLevel="0" collapsed="false">
      <c r="A305" s="13" t="n">
        <v>2026</v>
      </c>
      <c r="B305" s="13" t="s">
        <v>121</v>
      </c>
      <c r="C305" s="13" t="s">
        <v>499</v>
      </c>
      <c r="D305" s="13" t="s">
        <v>540</v>
      </c>
      <c r="E305" s="13" t="s">
        <v>541</v>
      </c>
      <c r="F305" s="14" t="n">
        <v>8</v>
      </c>
      <c r="G305" s="14" t="n">
        <v>0</v>
      </c>
      <c r="H305" s="14" t="n">
        <v>8</v>
      </c>
      <c r="I305" s="14" t="n">
        <v>8</v>
      </c>
      <c r="J305" s="15" t="n">
        <v>1</v>
      </c>
    </row>
    <row r="306" customFormat="false" ht="15" hidden="false" customHeight="true" outlineLevel="0" collapsed="false">
      <c r="A306" s="13" t="n">
        <v>2026</v>
      </c>
      <c r="B306" s="13" t="s">
        <v>121</v>
      </c>
      <c r="C306" s="13" t="s">
        <v>499</v>
      </c>
      <c r="D306" s="13" t="s">
        <v>154</v>
      </c>
      <c r="E306" s="13" t="s">
        <v>457</v>
      </c>
      <c r="F306" s="14" t="n">
        <v>5636</v>
      </c>
      <c r="G306" s="14" t="n">
        <v>110</v>
      </c>
      <c r="H306" s="14" t="n">
        <v>5526</v>
      </c>
      <c r="I306" s="14" t="n">
        <v>5395</v>
      </c>
      <c r="J306" s="15" t="n">
        <v>0.9763</v>
      </c>
    </row>
    <row r="307" customFormat="false" ht="15" hidden="false" customHeight="true" outlineLevel="0" collapsed="false">
      <c r="A307" s="13" t="n">
        <v>2026</v>
      </c>
      <c r="B307" s="13" t="s">
        <v>121</v>
      </c>
      <c r="C307" s="13" t="s">
        <v>499</v>
      </c>
      <c r="D307" s="13" t="s">
        <v>236</v>
      </c>
      <c r="E307" s="13" t="s">
        <v>503</v>
      </c>
      <c r="F307" s="14" t="n">
        <v>1926</v>
      </c>
      <c r="G307" s="14" t="n">
        <v>39</v>
      </c>
      <c r="H307" s="14" t="n">
        <v>1887</v>
      </c>
      <c r="I307" s="14" t="n">
        <v>1860</v>
      </c>
      <c r="J307" s="15" t="n">
        <v>0.9857</v>
      </c>
    </row>
    <row r="308" customFormat="false" ht="15" hidden="false" customHeight="true" outlineLevel="0" collapsed="false">
      <c r="A308" s="13" t="n">
        <v>2026</v>
      </c>
      <c r="B308" s="13" t="s">
        <v>121</v>
      </c>
      <c r="C308" s="13" t="s">
        <v>499</v>
      </c>
      <c r="D308" s="13" t="s">
        <v>170</v>
      </c>
      <c r="E308" s="13" t="s">
        <v>504</v>
      </c>
      <c r="F308" s="14" t="n">
        <v>44568</v>
      </c>
      <c r="G308" s="14" t="n">
        <v>449</v>
      </c>
      <c r="H308" s="14" t="n">
        <v>44119</v>
      </c>
      <c r="I308" s="14" t="n">
        <v>39328</v>
      </c>
      <c r="J308" s="15" t="n">
        <v>0.8914</v>
      </c>
    </row>
    <row r="309" customFormat="false" ht="15" hidden="false" customHeight="true" outlineLevel="0" collapsed="false">
      <c r="A309" s="13" t="n">
        <v>2026</v>
      </c>
      <c r="B309" s="13" t="s">
        <v>121</v>
      </c>
      <c r="C309" s="13" t="s">
        <v>499</v>
      </c>
      <c r="D309" s="13" t="s">
        <v>152</v>
      </c>
      <c r="E309" s="13" t="s">
        <v>454</v>
      </c>
      <c r="F309" s="14" t="n">
        <v>6983</v>
      </c>
      <c r="G309" s="14" t="n">
        <v>104</v>
      </c>
      <c r="H309" s="14" t="n">
        <v>6879</v>
      </c>
      <c r="I309" s="14" t="n">
        <v>6636</v>
      </c>
      <c r="J309" s="15" t="n">
        <v>0.9647</v>
      </c>
    </row>
    <row r="310" customFormat="false" ht="15" hidden="false" customHeight="true" outlineLevel="0" collapsed="false">
      <c r="A310" s="13" t="n">
        <v>2026</v>
      </c>
      <c r="B310" s="13" t="s">
        <v>121</v>
      </c>
      <c r="C310" s="13" t="s">
        <v>499</v>
      </c>
      <c r="D310" s="13" t="s">
        <v>150</v>
      </c>
      <c r="E310" s="13" t="s">
        <v>458</v>
      </c>
      <c r="F310" s="14" t="n">
        <v>15637</v>
      </c>
      <c r="G310" s="14" t="n">
        <v>206</v>
      </c>
      <c r="H310" s="14" t="n">
        <v>15431</v>
      </c>
      <c r="I310" s="14" t="n">
        <v>15125</v>
      </c>
      <c r="J310" s="15" t="n">
        <v>0.9802</v>
      </c>
    </row>
    <row r="311" customFormat="false" ht="15" hidden="false" customHeight="true" outlineLevel="0" collapsed="false">
      <c r="A311" s="13" t="n">
        <v>2026</v>
      </c>
      <c r="B311" s="13" t="s">
        <v>121</v>
      </c>
      <c r="C311" s="13" t="s">
        <v>499</v>
      </c>
      <c r="D311" s="13" t="s">
        <v>142</v>
      </c>
      <c r="E311" s="13" t="s">
        <v>445</v>
      </c>
      <c r="F311" s="14" t="n">
        <v>87536</v>
      </c>
      <c r="G311" s="14" t="n">
        <v>773</v>
      </c>
      <c r="H311" s="14" t="n">
        <v>86763</v>
      </c>
      <c r="I311" s="14" t="n">
        <v>77656</v>
      </c>
      <c r="J311" s="15" t="n">
        <v>0.895</v>
      </c>
    </row>
    <row r="312" customFormat="false" ht="15" hidden="false" customHeight="true" outlineLevel="0" collapsed="false">
      <c r="A312" s="13" t="n">
        <v>2026</v>
      </c>
      <c r="B312" s="13" t="s">
        <v>121</v>
      </c>
      <c r="C312" s="13" t="s">
        <v>499</v>
      </c>
      <c r="D312" s="13" t="s">
        <v>505</v>
      </c>
      <c r="E312" s="13" t="s">
        <v>506</v>
      </c>
      <c r="F312" s="14" t="n">
        <v>27</v>
      </c>
      <c r="G312" s="14" t="n">
        <v>0</v>
      </c>
      <c r="H312" s="14" t="n">
        <v>27</v>
      </c>
      <c r="I312" s="14" t="n">
        <v>27</v>
      </c>
      <c r="J312" s="15" t="n">
        <v>1</v>
      </c>
    </row>
    <row r="313" customFormat="false" ht="15" hidden="false" customHeight="true" outlineLevel="0" collapsed="false">
      <c r="A313" s="13" t="n">
        <v>2026</v>
      </c>
      <c r="B313" s="13" t="s">
        <v>121</v>
      </c>
      <c r="C313" s="13" t="s">
        <v>499</v>
      </c>
      <c r="D313" s="13" t="s">
        <v>143</v>
      </c>
      <c r="E313" s="13" t="s">
        <v>446</v>
      </c>
      <c r="F313" s="14" t="n">
        <v>1400</v>
      </c>
      <c r="G313" s="14" t="n">
        <v>20</v>
      </c>
      <c r="H313" s="14" t="n">
        <v>1380</v>
      </c>
      <c r="I313" s="14" t="n">
        <v>1377</v>
      </c>
      <c r="J313" s="15" t="n">
        <v>0.9978</v>
      </c>
    </row>
    <row r="314" customFormat="false" ht="15" hidden="false" customHeight="true" outlineLevel="0" collapsed="false">
      <c r="A314" s="13" t="n">
        <v>2026</v>
      </c>
      <c r="B314" s="13" t="s">
        <v>121</v>
      </c>
      <c r="C314" s="13" t="s">
        <v>499</v>
      </c>
      <c r="D314" s="13" t="s">
        <v>507</v>
      </c>
      <c r="E314" s="13" t="s">
        <v>508</v>
      </c>
      <c r="F314" s="14" t="n">
        <v>54</v>
      </c>
      <c r="G314" s="14" t="n">
        <v>0</v>
      </c>
      <c r="H314" s="14" t="n">
        <v>54</v>
      </c>
      <c r="I314" s="14" t="n">
        <v>54</v>
      </c>
      <c r="J314" s="15" t="n">
        <v>1</v>
      </c>
    </row>
    <row r="315" customFormat="false" ht="15" hidden="false" customHeight="true" outlineLevel="0" collapsed="false">
      <c r="A315" s="13" t="n">
        <v>2026</v>
      </c>
      <c r="B315" s="13" t="s">
        <v>121</v>
      </c>
      <c r="C315" s="13" t="s">
        <v>499</v>
      </c>
      <c r="D315" s="13" t="s">
        <v>542</v>
      </c>
      <c r="E315" s="13" t="s">
        <v>543</v>
      </c>
      <c r="F315" s="14" t="n">
        <v>8</v>
      </c>
      <c r="G315" s="14" t="n">
        <v>0</v>
      </c>
      <c r="H315" s="14" t="n">
        <v>8</v>
      </c>
      <c r="I315" s="14" t="n">
        <v>8</v>
      </c>
      <c r="J315" s="15" t="n">
        <v>1</v>
      </c>
    </row>
    <row r="316" customFormat="false" ht="15" hidden="false" customHeight="true" outlineLevel="0" collapsed="false">
      <c r="A316" s="13" t="n">
        <v>2026</v>
      </c>
      <c r="B316" s="13" t="s">
        <v>121</v>
      </c>
      <c r="C316" s="13" t="s">
        <v>499</v>
      </c>
      <c r="D316" s="13" t="s">
        <v>161</v>
      </c>
      <c r="E316" s="13" t="s">
        <v>461</v>
      </c>
      <c r="F316" s="14" t="n">
        <v>3280</v>
      </c>
      <c r="G316" s="14" t="n">
        <v>39</v>
      </c>
      <c r="H316" s="14" t="n">
        <v>3241</v>
      </c>
      <c r="I316" s="14" t="n">
        <v>3175</v>
      </c>
      <c r="J316" s="15" t="n">
        <v>0.9796</v>
      </c>
    </row>
    <row r="317" customFormat="false" ht="15" hidden="false" customHeight="true" outlineLevel="0" collapsed="false">
      <c r="A317" s="13" t="n">
        <v>2026</v>
      </c>
      <c r="B317" s="13" t="s">
        <v>121</v>
      </c>
      <c r="C317" s="13" t="s">
        <v>499</v>
      </c>
      <c r="D317" s="13" t="s">
        <v>158</v>
      </c>
      <c r="E317" s="13" t="s">
        <v>509</v>
      </c>
      <c r="F317" s="14" t="n">
        <v>14635</v>
      </c>
      <c r="G317" s="14" t="n">
        <v>198</v>
      </c>
      <c r="H317" s="14" t="n">
        <v>14437</v>
      </c>
      <c r="I317" s="14" t="n">
        <v>14220</v>
      </c>
      <c r="J317" s="15" t="n">
        <v>0.985</v>
      </c>
    </row>
    <row r="318" customFormat="false" ht="15" hidden="false" customHeight="true" outlineLevel="0" collapsed="false">
      <c r="A318" s="13" t="n">
        <v>2026</v>
      </c>
      <c r="B318" s="13" t="s">
        <v>121</v>
      </c>
      <c r="C318" s="13" t="s">
        <v>499</v>
      </c>
      <c r="D318" s="13" t="s">
        <v>415</v>
      </c>
      <c r="E318" s="13" t="s">
        <v>463</v>
      </c>
      <c r="F318" s="14" t="n">
        <v>1218</v>
      </c>
      <c r="G318" s="14" t="n">
        <v>16</v>
      </c>
      <c r="H318" s="14" t="n">
        <v>1202</v>
      </c>
      <c r="I318" s="14" t="n">
        <v>1161</v>
      </c>
      <c r="J318" s="15" t="n">
        <v>0.9659</v>
      </c>
    </row>
    <row r="319" customFormat="false" ht="15" hidden="false" customHeight="true" outlineLevel="0" collapsed="false">
      <c r="A319" s="13" t="n">
        <v>2026</v>
      </c>
      <c r="B319" s="13" t="s">
        <v>121</v>
      </c>
      <c r="C319" s="13" t="s">
        <v>499</v>
      </c>
      <c r="D319" s="13" t="s">
        <v>418</v>
      </c>
      <c r="E319" s="13" t="s">
        <v>512</v>
      </c>
      <c r="F319" s="14" t="n">
        <v>368</v>
      </c>
      <c r="G319" s="14" t="n">
        <v>4</v>
      </c>
      <c r="H319" s="14" t="n">
        <v>364</v>
      </c>
      <c r="I319" s="14" t="n">
        <v>337</v>
      </c>
      <c r="J319" s="15" t="n">
        <v>0.9258</v>
      </c>
    </row>
    <row r="320" customFormat="false" ht="15" hidden="false" customHeight="true" outlineLevel="0" collapsed="false">
      <c r="A320" s="13" t="n">
        <v>2026</v>
      </c>
      <c r="B320" s="13" t="s">
        <v>121</v>
      </c>
      <c r="C320" s="13" t="s">
        <v>499</v>
      </c>
      <c r="D320" s="13" t="s">
        <v>419</v>
      </c>
      <c r="E320" s="13" t="s">
        <v>466</v>
      </c>
      <c r="F320" s="14" t="n">
        <v>15164</v>
      </c>
      <c r="G320" s="14" t="n">
        <v>177</v>
      </c>
      <c r="H320" s="14" t="n">
        <v>14987</v>
      </c>
      <c r="I320" s="14" t="n">
        <v>14815</v>
      </c>
      <c r="J320" s="15" t="n">
        <v>0.9885</v>
      </c>
    </row>
    <row r="321" customFormat="false" ht="15" hidden="false" customHeight="true" outlineLevel="0" collapsed="false">
      <c r="A321" s="13" t="n">
        <v>2026</v>
      </c>
      <c r="B321" s="13" t="s">
        <v>121</v>
      </c>
      <c r="C321" s="13" t="s">
        <v>499</v>
      </c>
      <c r="D321" s="13" t="s">
        <v>159</v>
      </c>
      <c r="E321" s="13" t="s">
        <v>467</v>
      </c>
      <c r="F321" s="14" t="n">
        <v>1732</v>
      </c>
      <c r="G321" s="14" t="n">
        <v>22</v>
      </c>
      <c r="H321" s="14" t="n">
        <v>1710</v>
      </c>
      <c r="I321" s="14" t="n">
        <v>1656</v>
      </c>
      <c r="J321" s="15" t="n">
        <v>0.9684</v>
      </c>
    </row>
    <row r="322" customFormat="false" ht="15" hidden="false" customHeight="true" outlineLevel="0" collapsed="false">
      <c r="A322" s="13" t="n">
        <v>2026</v>
      </c>
      <c r="B322" s="13" t="s">
        <v>121</v>
      </c>
      <c r="C322" s="13" t="s">
        <v>499</v>
      </c>
      <c r="D322" s="13" t="s">
        <v>156</v>
      </c>
      <c r="E322" s="13" t="s">
        <v>513</v>
      </c>
      <c r="F322" s="14" t="n">
        <v>32326</v>
      </c>
      <c r="G322" s="14" t="n">
        <v>289</v>
      </c>
      <c r="H322" s="14" t="n">
        <v>32037</v>
      </c>
      <c r="I322" s="14" t="n">
        <v>27081</v>
      </c>
      <c r="J322" s="15" t="n">
        <v>0.8453</v>
      </c>
    </row>
    <row r="323" customFormat="false" ht="15" hidden="false" customHeight="true" outlineLevel="0" collapsed="false">
      <c r="A323" s="13" t="n">
        <v>2026</v>
      </c>
      <c r="B323" s="13" t="s">
        <v>121</v>
      </c>
      <c r="C323" s="13" t="s">
        <v>499</v>
      </c>
      <c r="D323" s="13" t="s">
        <v>514</v>
      </c>
      <c r="E323" s="13" t="s">
        <v>515</v>
      </c>
      <c r="F323" s="14" t="n">
        <v>2441</v>
      </c>
      <c r="G323" s="14" t="n">
        <v>4</v>
      </c>
      <c r="H323" s="14" t="n">
        <v>2437</v>
      </c>
      <c r="I323" s="14" t="n">
        <v>2404</v>
      </c>
      <c r="J323" s="15" t="n">
        <v>0.9865</v>
      </c>
    </row>
    <row r="324" customFormat="false" ht="15" hidden="false" customHeight="true" outlineLevel="0" collapsed="false">
      <c r="A324" s="13" t="n">
        <v>2026</v>
      </c>
      <c r="B324" s="13" t="s">
        <v>121</v>
      </c>
      <c r="C324" s="13" t="s">
        <v>499</v>
      </c>
      <c r="D324" s="13" t="s">
        <v>149</v>
      </c>
      <c r="E324" s="13" t="s">
        <v>516</v>
      </c>
      <c r="F324" s="14" t="n">
        <v>87536</v>
      </c>
      <c r="G324" s="14" t="n">
        <v>837</v>
      </c>
      <c r="H324" s="14" t="n">
        <v>86699</v>
      </c>
      <c r="I324" s="14" t="n">
        <v>86323</v>
      </c>
      <c r="J324" s="15" t="n">
        <v>0.9957</v>
      </c>
    </row>
    <row r="325" customFormat="false" ht="15" hidden="false" customHeight="true" outlineLevel="0" collapsed="false">
      <c r="A325" s="13" t="n">
        <v>2026</v>
      </c>
      <c r="B325" s="13" t="s">
        <v>121</v>
      </c>
      <c r="C325" s="13" t="s">
        <v>499</v>
      </c>
      <c r="D325" s="13" t="s">
        <v>145</v>
      </c>
      <c r="E325" s="13" t="s">
        <v>517</v>
      </c>
      <c r="F325" s="14" t="n">
        <v>8</v>
      </c>
      <c r="G325" s="14" t="n">
        <v>3</v>
      </c>
      <c r="H325" s="14" t="n">
        <v>5</v>
      </c>
      <c r="I325" s="14" t="n">
        <v>5</v>
      </c>
      <c r="J325" s="15" t="n">
        <v>1</v>
      </c>
    </row>
    <row r="326" customFormat="false" ht="15" hidden="false" customHeight="true" outlineLevel="0" collapsed="false">
      <c r="A326" s="13" t="n">
        <v>2026</v>
      </c>
      <c r="B326" s="13" t="s">
        <v>121</v>
      </c>
      <c r="C326" s="13" t="s">
        <v>499</v>
      </c>
      <c r="D326" s="13" t="s">
        <v>424</v>
      </c>
      <c r="E326" s="13" t="s">
        <v>468</v>
      </c>
      <c r="F326" s="14" t="n">
        <v>1247</v>
      </c>
      <c r="G326" s="14" t="n">
        <v>14</v>
      </c>
      <c r="H326" s="14" t="n">
        <v>1233</v>
      </c>
      <c r="I326" s="14" t="n">
        <v>1233</v>
      </c>
      <c r="J326" s="15" t="n">
        <v>1</v>
      </c>
    </row>
    <row r="327" customFormat="false" ht="15" hidden="false" customHeight="true" outlineLevel="0" collapsed="false">
      <c r="A327" s="13" t="n">
        <v>2026</v>
      </c>
      <c r="B327" s="13" t="s">
        <v>121</v>
      </c>
      <c r="C327" s="13" t="s">
        <v>499</v>
      </c>
      <c r="D327" s="13" t="s">
        <v>425</v>
      </c>
      <c r="E327" s="13" t="s">
        <v>518</v>
      </c>
      <c r="F327" s="14" t="n">
        <v>93</v>
      </c>
      <c r="G327" s="14" t="n">
        <v>3</v>
      </c>
      <c r="H327" s="14" t="n">
        <v>90</v>
      </c>
      <c r="I327" s="14" t="n">
        <v>75</v>
      </c>
      <c r="J327" s="15" t="n">
        <v>0.8333</v>
      </c>
    </row>
    <row r="328" customFormat="false" ht="15" hidden="false" customHeight="true" outlineLevel="0" collapsed="false">
      <c r="A328" s="13" t="n">
        <v>2026</v>
      </c>
      <c r="B328" s="13" t="s">
        <v>121</v>
      </c>
      <c r="C328" s="13" t="s">
        <v>499</v>
      </c>
      <c r="D328" s="13" t="s">
        <v>165</v>
      </c>
      <c r="E328" s="13" t="s">
        <v>448</v>
      </c>
      <c r="F328" s="14" t="n">
        <v>50072</v>
      </c>
      <c r="G328" s="14" t="n">
        <v>395</v>
      </c>
      <c r="H328" s="14" t="n">
        <v>49677</v>
      </c>
      <c r="I328" s="14" t="n">
        <v>47067</v>
      </c>
      <c r="J328" s="15" t="n">
        <v>0.9475</v>
      </c>
    </row>
    <row r="329" customFormat="false" ht="15" hidden="false" customHeight="true" outlineLevel="0" collapsed="false">
      <c r="A329" s="13" t="n">
        <v>2026</v>
      </c>
      <c r="B329" s="13" t="s">
        <v>121</v>
      </c>
      <c r="C329" s="13" t="s">
        <v>499</v>
      </c>
      <c r="D329" s="13" t="s">
        <v>477</v>
      </c>
      <c r="E329" s="13" t="s">
        <v>519</v>
      </c>
      <c r="F329" s="14" t="n">
        <v>1926</v>
      </c>
      <c r="G329" s="14" t="n">
        <v>38</v>
      </c>
      <c r="H329" s="14" t="n">
        <v>1888</v>
      </c>
      <c r="I329" s="14" t="n">
        <v>1829</v>
      </c>
      <c r="J329" s="15" t="n">
        <v>0.9688</v>
      </c>
    </row>
    <row r="330" customFormat="false" ht="15" hidden="false" customHeight="true" outlineLevel="0" collapsed="false">
      <c r="A330" s="13" t="n">
        <v>2026</v>
      </c>
      <c r="B330" s="13" t="s">
        <v>121</v>
      </c>
      <c r="C330" s="13" t="s">
        <v>499</v>
      </c>
      <c r="D330" s="13" t="s">
        <v>153</v>
      </c>
      <c r="E330" s="13" t="s">
        <v>470</v>
      </c>
      <c r="F330" s="14" t="n">
        <v>3941</v>
      </c>
      <c r="G330" s="14" t="n">
        <v>34</v>
      </c>
      <c r="H330" s="14" t="n">
        <v>3907</v>
      </c>
      <c r="I330" s="14" t="n">
        <v>3860</v>
      </c>
      <c r="J330" s="15" t="n">
        <v>0.988</v>
      </c>
    </row>
    <row r="331" customFormat="false" ht="15" hidden="false" customHeight="true" outlineLevel="0" collapsed="false">
      <c r="A331" s="13" t="n">
        <v>2026</v>
      </c>
      <c r="B331" s="13" t="s">
        <v>121</v>
      </c>
      <c r="C331" s="13" t="s">
        <v>499</v>
      </c>
      <c r="D331" s="13" t="s">
        <v>426</v>
      </c>
      <c r="E331" s="13" t="s">
        <v>471</v>
      </c>
      <c r="F331" s="14" t="n">
        <v>1649</v>
      </c>
      <c r="G331" s="14" t="n">
        <v>16</v>
      </c>
      <c r="H331" s="14" t="n">
        <v>1633</v>
      </c>
      <c r="I331" s="14" t="n">
        <v>1620</v>
      </c>
      <c r="J331" s="15" t="n">
        <v>0.992</v>
      </c>
    </row>
    <row r="332" customFormat="false" ht="15" hidden="false" customHeight="true" outlineLevel="0" collapsed="false">
      <c r="A332" s="13" t="n">
        <v>2026</v>
      </c>
      <c r="B332" s="13" t="s">
        <v>121</v>
      </c>
      <c r="C332" s="13" t="s">
        <v>499</v>
      </c>
      <c r="D332" s="13" t="s">
        <v>427</v>
      </c>
      <c r="E332" s="13" t="s">
        <v>472</v>
      </c>
      <c r="F332" s="14" t="n">
        <v>3635</v>
      </c>
      <c r="G332" s="14" t="n">
        <v>46</v>
      </c>
      <c r="H332" s="14" t="n">
        <v>3589</v>
      </c>
      <c r="I332" s="14" t="n">
        <v>3566</v>
      </c>
      <c r="J332" s="15" t="n">
        <v>0.9936</v>
      </c>
    </row>
    <row r="333" customFormat="false" ht="15" hidden="false" customHeight="true" outlineLevel="0" collapsed="false">
      <c r="A333" s="13" t="n">
        <v>2026</v>
      </c>
      <c r="B333" s="13" t="s">
        <v>121</v>
      </c>
      <c r="C333" s="13" t="s">
        <v>499</v>
      </c>
      <c r="D333" s="13" t="s">
        <v>155</v>
      </c>
      <c r="E333" s="13" t="s">
        <v>520</v>
      </c>
      <c r="F333" s="14" t="n">
        <v>1321</v>
      </c>
      <c r="G333" s="14" t="n">
        <v>23</v>
      </c>
      <c r="H333" s="14" t="n">
        <v>1298</v>
      </c>
      <c r="I333" s="14" t="n">
        <v>1171</v>
      </c>
      <c r="J333" s="15" t="n">
        <v>0.9022</v>
      </c>
    </row>
    <row r="334" customFormat="false" ht="15" hidden="false" customHeight="true" outlineLevel="0" collapsed="false">
      <c r="A334" s="13" t="n">
        <v>2026</v>
      </c>
      <c r="B334" s="13" t="s">
        <v>121</v>
      </c>
      <c r="C334" s="13" t="s">
        <v>499</v>
      </c>
      <c r="D334" s="13" t="s">
        <v>521</v>
      </c>
      <c r="E334" s="13" t="s">
        <v>522</v>
      </c>
      <c r="F334" s="14" t="n">
        <v>1926</v>
      </c>
      <c r="G334" s="14" t="n">
        <v>36</v>
      </c>
      <c r="H334" s="14" t="n">
        <v>1890</v>
      </c>
      <c r="I334" s="14" t="n">
        <v>1859</v>
      </c>
      <c r="J334" s="15" t="n">
        <v>0.9836</v>
      </c>
    </row>
    <row r="335" customFormat="false" ht="15" hidden="false" customHeight="true" outlineLevel="0" collapsed="false">
      <c r="A335" s="13" t="n">
        <v>2026</v>
      </c>
      <c r="B335" s="13" t="s">
        <v>121</v>
      </c>
      <c r="C335" s="13" t="s">
        <v>499</v>
      </c>
      <c r="D335" s="13" t="s">
        <v>523</v>
      </c>
      <c r="E335" s="13" t="s">
        <v>450</v>
      </c>
      <c r="F335" s="14" t="n">
        <v>86136</v>
      </c>
      <c r="G335" s="14" t="n">
        <v>753</v>
      </c>
      <c r="H335" s="14" t="n">
        <v>85383</v>
      </c>
      <c r="I335" s="14" t="n">
        <v>85103</v>
      </c>
      <c r="J335" s="15" t="n">
        <v>0.9967</v>
      </c>
    </row>
    <row r="336" customFormat="false" ht="15" hidden="false" customHeight="true" outlineLevel="0" collapsed="false">
      <c r="A336" s="13" t="n">
        <v>2026</v>
      </c>
      <c r="B336" s="13" t="s">
        <v>121</v>
      </c>
      <c r="C336" s="13" t="s">
        <v>499</v>
      </c>
      <c r="D336" s="13" t="s">
        <v>410</v>
      </c>
      <c r="E336" s="13" t="s">
        <v>524</v>
      </c>
      <c r="F336" s="14" t="n">
        <v>87528</v>
      </c>
      <c r="G336" s="14" t="n">
        <v>839</v>
      </c>
      <c r="H336" s="14" t="n">
        <v>86689</v>
      </c>
      <c r="I336" s="14" t="n">
        <v>85283</v>
      </c>
      <c r="J336" s="15" t="n">
        <v>0.9838</v>
      </c>
    </row>
    <row r="337" customFormat="false" ht="15" hidden="false" customHeight="true" outlineLevel="0" collapsed="false">
      <c r="A337" s="13" t="n">
        <v>2026</v>
      </c>
      <c r="B337" s="13" t="s">
        <v>121</v>
      </c>
      <c r="C337" s="13" t="s">
        <v>499</v>
      </c>
      <c r="D337" s="13" t="s">
        <v>525</v>
      </c>
      <c r="E337" s="13" t="s">
        <v>474</v>
      </c>
      <c r="F337" s="14" t="n">
        <v>107</v>
      </c>
      <c r="G337" s="14" t="n">
        <v>3</v>
      </c>
      <c r="H337" s="14" t="n">
        <v>104</v>
      </c>
      <c r="I337" s="14" t="n">
        <v>104</v>
      </c>
      <c r="J337" s="15" t="n">
        <v>1</v>
      </c>
    </row>
    <row r="338" customFormat="false" ht="15" hidden="false" customHeight="true" outlineLevel="0" collapsed="false">
      <c r="A338" s="13" t="n">
        <v>2026</v>
      </c>
      <c r="B338" s="13" t="s">
        <v>121</v>
      </c>
      <c r="C338" s="13" t="s">
        <v>526</v>
      </c>
      <c r="D338" s="13" t="s">
        <v>162</v>
      </c>
      <c r="E338" s="13" t="s">
        <v>500</v>
      </c>
      <c r="F338" s="14" t="n">
        <v>28</v>
      </c>
      <c r="G338" s="14" t="n">
        <v>2</v>
      </c>
      <c r="H338" s="14" t="n">
        <v>26</v>
      </c>
      <c r="I338" s="14" t="n">
        <v>23</v>
      </c>
      <c r="J338" s="15" t="n">
        <v>0.8846</v>
      </c>
    </row>
    <row r="339" customFormat="false" ht="15" hidden="false" customHeight="true" outlineLevel="0" collapsed="false">
      <c r="A339" s="13" t="n">
        <v>2026</v>
      </c>
      <c r="B339" s="13" t="s">
        <v>121</v>
      </c>
      <c r="C339" s="13" t="s">
        <v>526</v>
      </c>
      <c r="D339" s="13" t="s">
        <v>167</v>
      </c>
      <c r="E339" s="13" t="s">
        <v>443</v>
      </c>
      <c r="F339" s="14" t="n">
        <v>3075</v>
      </c>
      <c r="G339" s="14" t="n">
        <v>116</v>
      </c>
      <c r="H339" s="14" t="n">
        <v>2959</v>
      </c>
      <c r="I339" s="14" t="n">
        <v>1689</v>
      </c>
      <c r="J339" s="15" t="n">
        <v>0.5708</v>
      </c>
    </row>
    <row r="340" customFormat="false" ht="15" hidden="false" customHeight="true" outlineLevel="0" collapsed="false">
      <c r="A340" s="13" t="n">
        <v>2026</v>
      </c>
      <c r="B340" s="13" t="s">
        <v>121</v>
      </c>
      <c r="C340" s="13" t="s">
        <v>526</v>
      </c>
      <c r="D340" s="13" t="s">
        <v>228</v>
      </c>
      <c r="E340" s="13" t="s">
        <v>527</v>
      </c>
      <c r="F340" s="14" t="n">
        <v>68</v>
      </c>
      <c r="G340" s="14" t="n">
        <v>6</v>
      </c>
      <c r="H340" s="14" t="n">
        <v>62</v>
      </c>
      <c r="I340" s="14" t="n">
        <v>51</v>
      </c>
      <c r="J340" s="15" t="n">
        <v>0.8226</v>
      </c>
    </row>
    <row r="341" customFormat="false" ht="15" hidden="false" customHeight="true" outlineLevel="0" collapsed="false">
      <c r="A341" s="13" t="n">
        <v>2026</v>
      </c>
      <c r="B341" s="13" t="s">
        <v>121</v>
      </c>
      <c r="C341" s="13" t="s">
        <v>526</v>
      </c>
      <c r="D341" s="13" t="s">
        <v>166</v>
      </c>
      <c r="E341" s="13" t="s">
        <v>502</v>
      </c>
      <c r="F341" s="14" t="n">
        <v>4681</v>
      </c>
      <c r="G341" s="14" t="n">
        <v>131</v>
      </c>
      <c r="H341" s="14" t="n">
        <v>4550</v>
      </c>
      <c r="I341" s="14" t="n">
        <v>2688</v>
      </c>
      <c r="J341" s="15" t="n">
        <v>0.5908</v>
      </c>
    </row>
    <row r="342" customFormat="false" ht="15" hidden="false" customHeight="true" outlineLevel="0" collapsed="false">
      <c r="A342" s="13" t="n">
        <v>2026</v>
      </c>
      <c r="B342" s="13" t="s">
        <v>121</v>
      </c>
      <c r="C342" s="13" t="s">
        <v>526</v>
      </c>
      <c r="D342" s="13" t="s">
        <v>154</v>
      </c>
      <c r="E342" s="13" t="s">
        <v>457</v>
      </c>
      <c r="F342" s="14" t="n">
        <v>119</v>
      </c>
      <c r="G342" s="14" t="n">
        <v>19</v>
      </c>
      <c r="H342" s="14" t="n">
        <v>100</v>
      </c>
      <c r="I342" s="14" t="n">
        <v>73</v>
      </c>
      <c r="J342" s="15" t="n">
        <v>0.73</v>
      </c>
    </row>
    <row r="343" customFormat="false" ht="15" hidden="false" customHeight="true" outlineLevel="0" collapsed="false">
      <c r="A343" s="13" t="n">
        <v>2026</v>
      </c>
      <c r="B343" s="13" t="s">
        <v>121</v>
      </c>
      <c r="C343" s="13" t="s">
        <v>526</v>
      </c>
      <c r="D343" s="13" t="s">
        <v>170</v>
      </c>
      <c r="E343" s="13" t="s">
        <v>504</v>
      </c>
      <c r="F343" s="14" t="n">
        <v>5166</v>
      </c>
      <c r="G343" s="14" t="n">
        <v>263</v>
      </c>
      <c r="H343" s="14" t="n">
        <v>4903</v>
      </c>
      <c r="I343" s="14" t="n">
        <v>3614</v>
      </c>
      <c r="J343" s="15" t="n">
        <v>0.7371</v>
      </c>
    </row>
    <row r="344" customFormat="false" ht="15" hidden="false" customHeight="true" outlineLevel="0" collapsed="false">
      <c r="A344" s="13" t="n">
        <v>2026</v>
      </c>
      <c r="B344" s="13" t="s">
        <v>121</v>
      </c>
      <c r="C344" s="13" t="s">
        <v>526</v>
      </c>
      <c r="D344" s="13" t="s">
        <v>152</v>
      </c>
      <c r="E344" s="13" t="s">
        <v>454</v>
      </c>
      <c r="F344" s="14" t="n">
        <v>713</v>
      </c>
      <c r="G344" s="14" t="n">
        <v>48</v>
      </c>
      <c r="H344" s="14" t="n">
        <v>665</v>
      </c>
      <c r="I344" s="14" t="n">
        <v>468</v>
      </c>
      <c r="J344" s="15" t="n">
        <v>0.7038</v>
      </c>
    </row>
    <row r="345" customFormat="false" ht="15" hidden="false" customHeight="true" outlineLevel="0" collapsed="false">
      <c r="A345" s="13" t="n">
        <v>2026</v>
      </c>
      <c r="B345" s="13" t="s">
        <v>121</v>
      </c>
      <c r="C345" s="13" t="s">
        <v>526</v>
      </c>
      <c r="D345" s="13" t="s">
        <v>150</v>
      </c>
      <c r="E345" s="13" t="s">
        <v>458</v>
      </c>
      <c r="F345" s="14" t="n">
        <v>294</v>
      </c>
      <c r="G345" s="14" t="n">
        <v>37</v>
      </c>
      <c r="H345" s="14" t="n">
        <v>257</v>
      </c>
      <c r="I345" s="14" t="n">
        <v>180</v>
      </c>
      <c r="J345" s="15" t="n">
        <v>0.7004</v>
      </c>
    </row>
    <row r="346" customFormat="false" ht="15" hidden="false" customHeight="true" outlineLevel="0" collapsed="false">
      <c r="A346" s="13" t="n">
        <v>2026</v>
      </c>
      <c r="B346" s="13" t="s">
        <v>121</v>
      </c>
      <c r="C346" s="13" t="s">
        <v>526</v>
      </c>
      <c r="D346" s="13" t="s">
        <v>142</v>
      </c>
      <c r="E346" s="13" t="s">
        <v>445</v>
      </c>
      <c r="F346" s="14" t="n">
        <v>13257</v>
      </c>
      <c r="G346" s="14" t="n">
        <v>489</v>
      </c>
      <c r="H346" s="14" t="n">
        <v>12768</v>
      </c>
      <c r="I346" s="14" t="n">
        <v>7372</v>
      </c>
      <c r="J346" s="15" t="n">
        <v>0.5774</v>
      </c>
    </row>
    <row r="347" customFormat="false" ht="15" hidden="false" customHeight="true" outlineLevel="0" collapsed="false">
      <c r="A347" s="13" t="n">
        <v>2026</v>
      </c>
      <c r="B347" s="13" t="s">
        <v>121</v>
      </c>
      <c r="C347" s="13" t="s">
        <v>526</v>
      </c>
      <c r="D347" s="13" t="s">
        <v>143</v>
      </c>
      <c r="E347" s="13" t="s">
        <v>446</v>
      </c>
      <c r="F347" s="14" t="n">
        <v>15</v>
      </c>
      <c r="G347" s="14" t="n">
        <v>3</v>
      </c>
      <c r="H347" s="14" t="n">
        <v>12</v>
      </c>
      <c r="I347" s="14" t="n">
        <v>11</v>
      </c>
      <c r="J347" s="15" t="n">
        <v>0.9167</v>
      </c>
    </row>
    <row r="348" customFormat="false" ht="15" hidden="false" customHeight="true" outlineLevel="0" collapsed="false">
      <c r="A348" s="13" t="n">
        <v>2026</v>
      </c>
      <c r="B348" s="13" t="s">
        <v>121</v>
      </c>
      <c r="C348" s="13" t="s">
        <v>526</v>
      </c>
      <c r="D348" s="13" t="s">
        <v>507</v>
      </c>
      <c r="E348" s="13" t="s">
        <v>508</v>
      </c>
      <c r="F348" s="14" t="n">
        <v>11</v>
      </c>
      <c r="G348" s="14" t="n">
        <v>0</v>
      </c>
      <c r="H348" s="14" t="n">
        <v>11</v>
      </c>
      <c r="I348" s="14" t="n">
        <v>11</v>
      </c>
      <c r="J348" s="15" t="n">
        <v>1</v>
      </c>
    </row>
    <row r="349" customFormat="false" ht="15" hidden="false" customHeight="true" outlineLevel="0" collapsed="false">
      <c r="A349" s="13" t="n">
        <v>2026</v>
      </c>
      <c r="B349" s="13" t="s">
        <v>121</v>
      </c>
      <c r="C349" s="13" t="s">
        <v>526</v>
      </c>
      <c r="D349" s="13" t="s">
        <v>161</v>
      </c>
      <c r="E349" s="13" t="s">
        <v>461</v>
      </c>
      <c r="F349" s="14" t="n">
        <v>79</v>
      </c>
      <c r="G349" s="14" t="n">
        <v>7</v>
      </c>
      <c r="H349" s="14" t="n">
        <v>72</v>
      </c>
      <c r="I349" s="14" t="n">
        <v>71</v>
      </c>
      <c r="J349" s="15" t="n">
        <v>0.9861</v>
      </c>
    </row>
    <row r="350" customFormat="false" ht="15" hidden="false" customHeight="true" outlineLevel="0" collapsed="false">
      <c r="A350" s="13" t="n">
        <v>2026</v>
      </c>
      <c r="B350" s="13" t="s">
        <v>121</v>
      </c>
      <c r="C350" s="13" t="s">
        <v>526</v>
      </c>
      <c r="D350" s="13" t="s">
        <v>158</v>
      </c>
      <c r="E350" s="13" t="s">
        <v>509</v>
      </c>
      <c r="F350" s="14" t="n">
        <v>168</v>
      </c>
      <c r="G350" s="14" t="n">
        <v>16</v>
      </c>
      <c r="H350" s="14" t="n">
        <v>152</v>
      </c>
      <c r="I350" s="14" t="n">
        <v>145</v>
      </c>
      <c r="J350" s="15" t="n">
        <v>0.9539</v>
      </c>
    </row>
    <row r="351" customFormat="false" ht="15" hidden="false" customHeight="true" outlineLevel="0" collapsed="false">
      <c r="A351" s="13" t="n">
        <v>2026</v>
      </c>
      <c r="B351" s="13" t="s">
        <v>121</v>
      </c>
      <c r="C351" s="13" t="s">
        <v>526</v>
      </c>
      <c r="D351" s="13" t="s">
        <v>415</v>
      </c>
      <c r="E351" s="13" t="s">
        <v>463</v>
      </c>
      <c r="F351" s="14" t="n">
        <v>35</v>
      </c>
      <c r="G351" s="14" t="n">
        <v>2</v>
      </c>
      <c r="H351" s="14" t="n">
        <v>33</v>
      </c>
      <c r="I351" s="14" t="n">
        <v>26</v>
      </c>
      <c r="J351" s="15" t="n">
        <v>0.7879</v>
      </c>
    </row>
    <row r="352" customFormat="false" ht="15" hidden="false" customHeight="true" outlineLevel="0" collapsed="false">
      <c r="A352" s="13" t="n">
        <v>2026</v>
      </c>
      <c r="B352" s="13" t="s">
        <v>121</v>
      </c>
      <c r="C352" s="13" t="s">
        <v>526</v>
      </c>
      <c r="D352" s="13" t="s">
        <v>418</v>
      </c>
      <c r="E352" s="13" t="s">
        <v>512</v>
      </c>
      <c r="F352" s="14" t="n">
        <v>23</v>
      </c>
      <c r="G352" s="14" t="n">
        <v>0</v>
      </c>
      <c r="H352" s="14" t="n">
        <v>23</v>
      </c>
      <c r="I352" s="14" t="n">
        <v>14</v>
      </c>
      <c r="J352" s="15" t="n">
        <v>0.6087</v>
      </c>
    </row>
    <row r="353" customFormat="false" ht="15" hidden="false" customHeight="true" outlineLevel="0" collapsed="false">
      <c r="A353" s="13" t="n">
        <v>2026</v>
      </c>
      <c r="B353" s="13" t="s">
        <v>121</v>
      </c>
      <c r="C353" s="13" t="s">
        <v>526</v>
      </c>
      <c r="D353" s="13" t="s">
        <v>265</v>
      </c>
      <c r="E353" s="13" t="s">
        <v>528</v>
      </c>
      <c r="F353" s="14" t="n">
        <v>498</v>
      </c>
      <c r="G353" s="14" t="n">
        <v>82</v>
      </c>
      <c r="H353" s="14" t="n">
        <v>416</v>
      </c>
      <c r="I353" s="14" t="n">
        <v>340</v>
      </c>
      <c r="J353" s="15" t="n">
        <v>0.8173</v>
      </c>
    </row>
    <row r="354" customFormat="false" ht="15" hidden="false" customHeight="true" outlineLevel="0" collapsed="false">
      <c r="A354" s="13" t="n">
        <v>2026</v>
      </c>
      <c r="B354" s="13" t="s">
        <v>121</v>
      </c>
      <c r="C354" s="13" t="s">
        <v>526</v>
      </c>
      <c r="D354" s="13" t="s">
        <v>419</v>
      </c>
      <c r="E354" s="13" t="s">
        <v>466</v>
      </c>
      <c r="F354" s="14" t="n">
        <v>71</v>
      </c>
      <c r="G354" s="14" t="n">
        <v>15</v>
      </c>
      <c r="H354" s="14" t="n">
        <v>56</v>
      </c>
      <c r="I354" s="14" t="n">
        <v>46</v>
      </c>
      <c r="J354" s="15" t="n">
        <v>0.8214</v>
      </c>
    </row>
    <row r="355" customFormat="false" ht="15" hidden="false" customHeight="true" outlineLevel="0" collapsed="false">
      <c r="A355" s="13" t="n">
        <v>2026</v>
      </c>
      <c r="B355" s="13" t="s">
        <v>121</v>
      </c>
      <c r="C355" s="13" t="s">
        <v>526</v>
      </c>
      <c r="D355" s="13" t="s">
        <v>159</v>
      </c>
      <c r="E355" s="13" t="s">
        <v>467</v>
      </c>
      <c r="F355" s="14" t="n">
        <v>3</v>
      </c>
      <c r="G355" s="14" t="n">
        <v>0</v>
      </c>
      <c r="H355" s="14" t="n">
        <v>3</v>
      </c>
      <c r="I355" s="14" t="n">
        <v>1</v>
      </c>
      <c r="J355" s="15" t="n">
        <v>0.3333</v>
      </c>
    </row>
    <row r="356" customFormat="false" ht="15" hidden="false" customHeight="true" outlineLevel="0" collapsed="false">
      <c r="A356" s="13" t="n">
        <v>2026</v>
      </c>
      <c r="B356" s="13" t="s">
        <v>121</v>
      </c>
      <c r="C356" s="13" t="s">
        <v>526</v>
      </c>
      <c r="D356" s="13" t="s">
        <v>156</v>
      </c>
      <c r="E356" s="13" t="s">
        <v>513</v>
      </c>
      <c r="F356" s="14" t="n">
        <v>6767</v>
      </c>
      <c r="G356" s="14" t="n">
        <v>268</v>
      </c>
      <c r="H356" s="14" t="n">
        <v>6499</v>
      </c>
      <c r="I356" s="14" t="n">
        <v>2737</v>
      </c>
      <c r="J356" s="15" t="n">
        <v>0.4211</v>
      </c>
    </row>
    <row r="357" customFormat="false" ht="15" hidden="false" customHeight="true" outlineLevel="0" collapsed="false">
      <c r="A357" s="13" t="n">
        <v>2026</v>
      </c>
      <c r="B357" s="13" t="s">
        <v>121</v>
      </c>
      <c r="C357" s="13" t="s">
        <v>526</v>
      </c>
      <c r="D357" s="13" t="s">
        <v>514</v>
      </c>
      <c r="E357" s="13" t="s">
        <v>515</v>
      </c>
      <c r="F357" s="14" t="n">
        <v>3</v>
      </c>
      <c r="G357" s="14" t="n">
        <v>0</v>
      </c>
      <c r="H357" s="14" t="n">
        <v>3</v>
      </c>
      <c r="I357" s="14" t="n">
        <v>3</v>
      </c>
      <c r="J357" s="15" t="n">
        <v>1</v>
      </c>
    </row>
    <row r="358" customFormat="false" ht="15" hidden="false" customHeight="true" outlineLevel="0" collapsed="false">
      <c r="A358" s="13" t="n">
        <v>2026</v>
      </c>
      <c r="B358" s="13" t="s">
        <v>121</v>
      </c>
      <c r="C358" s="13" t="s">
        <v>526</v>
      </c>
      <c r="D358" s="13" t="s">
        <v>424</v>
      </c>
      <c r="E358" s="13" t="s">
        <v>468</v>
      </c>
      <c r="F358" s="14" t="n">
        <v>2</v>
      </c>
      <c r="G358" s="14" t="n">
        <v>0</v>
      </c>
      <c r="H358" s="14" t="n">
        <v>2</v>
      </c>
      <c r="I358" s="14" t="n">
        <v>2</v>
      </c>
      <c r="J358" s="15" t="n">
        <v>1</v>
      </c>
    </row>
    <row r="359" customFormat="false" ht="15" hidden="false" customHeight="true" outlineLevel="0" collapsed="false">
      <c r="A359" s="13" t="n">
        <v>2026</v>
      </c>
      <c r="B359" s="13" t="s">
        <v>121</v>
      </c>
      <c r="C359" s="13" t="s">
        <v>526</v>
      </c>
      <c r="D359" s="13" t="s">
        <v>165</v>
      </c>
      <c r="E359" s="13" t="s">
        <v>448</v>
      </c>
      <c r="F359" s="14" t="n">
        <v>4656</v>
      </c>
      <c r="G359" s="14" t="n">
        <v>245</v>
      </c>
      <c r="H359" s="14" t="n">
        <v>4411</v>
      </c>
      <c r="I359" s="14" t="n">
        <v>2607</v>
      </c>
      <c r="J359" s="15" t="n">
        <v>0.591</v>
      </c>
    </row>
    <row r="360" customFormat="false" ht="15" hidden="false" customHeight="true" outlineLevel="0" collapsed="false">
      <c r="A360" s="13" t="n">
        <v>2026</v>
      </c>
      <c r="B360" s="13" t="s">
        <v>121</v>
      </c>
      <c r="C360" s="13" t="s">
        <v>526</v>
      </c>
      <c r="D360" s="13" t="s">
        <v>477</v>
      </c>
      <c r="E360" s="13" t="s">
        <v>519</v>
      </c>
      <c r="F360" s="14" t="n">
        <v>81</v>
      </c>
      <c r="G360" s="14" t="n">
        <v>13</v>
      </c>
      <c r="H360" s="14" t="n">
        <v>68</v>
      </c>
      <c r="I360" s="14" t="n">
        <v>55</v>
      </c>
      <c r="J360" s="15" t="n">
        <v>0.8088</v>
      </c>
    </row>
    <row r="361" customFormat="false" ht="15" hidden="false" customHeight="true" outlineLevel="0" collapsed="false">
      <c r="A361" s="13" t="n">
        <v>2026</v>
      </c>
      <c r="B361" s="13" t="s">
        <v>121</v>
      </c>
      <c r="C361" s="13" t="s">
        <v>526</v>
      </c>
      <c r="D361" s="13" t="s">
        <v>284</v>
      </c>
      <c r="E361" s="13" t="s">
        <v>529</v>
      </c>
      <c r="F361" s="14" t="n">
        <v>25</v>
      </c>
      <c r="G361" s="14" t="n">
        <v>7</v>
      </c>
      <c r="H361" s="14" t="n">
        <v>18</v>
      </c>
      <c r="I361" s="14" t="n">
        <v>14</v>
      </c>
      <c r="J361" s="15" t="n">
        <v>0.7778</v>
      </c>
    </row>
    <row r="362" customFormat="false" ht="15" hidden="false" customHeight="true" outlineLevel="0" collapsed="false">
      <c r="A362" s="13" t="n">
        <v>2026</v>
      </c>
      <c r="B362" s="13" t="s">
        <v>121</v>
      </c>
      <c r="C362" s="13" t="s">
        <v>526</v>
      </c>
      <c r="D362" s="13" t="s">
        <v>285</v>
      </c>
      <c r="E362" s="13" t="s">
        <v>530</v>
      </c>
      <c r="F362" s="14" t="n">
        <v>271</v>
      </c>
      <c r="G362" s="14" t="n">
        <v>22</v>
      </c>
      <c r="H362" s="14" t="n">
        <v>249</v>
      </c>
      <c r="I362" s="14" t="n">
        <v>166</v>
      </c>
      <c r="J362" s="15" t="n">
        <v>0.6667</v>
      </c>
    </row>
    <row r="363" customFormat="false" ht="15" hidden="false" customHeight="true" outlineLevel="0" collapsed="false">
      <c r="A363" s="13" t="n">
        <v>2026</v>
      </c>
      <c r="B363" s="13" t="s">
        <v>121</v>
      </c>
      <c r="C363" s="13" t="s">
        <v>526</v>
      </c>
      <c r="D363" s="13" t="s">
        <v>153</v>
      </c>
      <c r="E363" s="13" t="s">
        <v>470</v>
      </c>
      <c r="F363" s="14" t="n">
        <v>54</v>
      </c>
      <c r="G363" s="14" t="n">
        <v>4</v>
      </c>
      <c r="H363" s="14" t="n">
        <v>50</v>
      </c>
      <c r="I363" s="14" t="n">
        <v>48</v>
      </c>
      <c r="J363" s="15" t="n">
        <v>0.96</v>
      </c>
    </row>
    <row r="364" customFormat="false" ht="15" hidden="false" customHeight="true" outlineLevel="0" collapsed="false">
      <c r="A364" s="13" t="n">
        <v>2026</v>
      </c>
      <c r="B364" s="13" t="s">
        <v>121</v>
      </c>
      <c r="C364" s="13" t="s">
        <v>526</v>
      </c>
      <c r="D364" s="13" t="s">
        <v>426</v>
      </c>
      <c r="E364" s="13" t="s">
        <v>471</v>
      </c>
      <c r="F364" s="14" t="n">
        <v>37</v>
      </c>
      <c r="G364" s="14" t="n">
        <v>3</v>
      </c>
      <c r="H364" s="14" t="n">
        <v>34</v>
      </c>
      <c r="I364" s="14" t="n">
        <v>32</v>
      </c>
      <c r="J364" s="15" t="n">
        <v>0.9412</v>
      </c>
    </row>
    <row r="365" customFormat="false" ht="15" hidden="false" customHeight="true" outlineLevel="0" collapsed="false">
      <c r="A365" s="13" t="n">
        <v>2026</v>
      </c>
      <c r="B365" s="13" t="s">
        <v>121</v>
      </c>
      <c r="C365" s="13" t="s">
        <v>526</v>
      </c>
      <c r="D365" s="13" t="s">
        <v>531</v>
      </c>
      <c r="E365" s="13" t="s">
        <v>532</v>
      </c>
      <c r="F365" s="14" t="n">
        <v>13</v>
      </c>
      <c r="G365" s="14" t="n">
        <v>2</v>
      </c>
      <c r="H365" s="14" t="n">
        <v>11</v>
      </c>
      <c r="I365" s="14" t="n">
        <v>10</v>
      </c>
      <c r="J365" s="15" t="n">
        <v>0.9091</v>
      </c>
    </row>
    <row r="366" customFormat="false" ht="15" hidden="false" customHeight="true" outlineLevel="0" collapsed="false">
      <c r="A366" s="13" t="n">
        <v>2026</v>
      </c>
      <c r="B366" s="13" t="s">
        <v>121</v>
      </c>
      <c r="C366" s="13" t="s">
        <v>526</v>
      </c>
      <c r="D366" s="13" t="s">
        <v>427</v>
      </c>
      <c r="E366" s="13" t="s">
        <v>472</v>
      </c>
      <c r="F366" s="14" t="n">
        <v>147</v>
      </c>
      <c r="G366" s="14" t="n">
        <v>12</v>
      </c>
      <c r="H366" s="14" t="n">
        <v>135</v>
      </c>
      <c r="I366" s="14" t="n">
        <v>90</v>
      </c>
      <c r="J366" s="15" t="n">
        <v>0.6667</v>
      </c>
    </row>
    <row r="367" customFormat="false" ht="15" hidden="false" customHeight="true" outlineLevel="0" collapsed="false">
      <c r="A367" s="13" t="n">
        <v>2026</v>
      </c>
      <c r="B367" s="13" t="s">
        <v>121</v>
      </c>
      <c r="C367" s="13" t="s">
        <v>526</v>
      </c>
      <c r="D367" s="13" t="s">
        <v>155</v>
      </c>
      <c r="E367" s="13" t="s">
        <v>520</v>
      </c>
      <c r="F367" s="14" t="n">
        <v>207</v>
      </c>
      <c r="G367" s="14" t="n">
        <v>13</v>
      </c>
      <c r="H367" s="14" t="n">
        <v>194</v>
      </c>
      <c r="I367" s="14" t="n">
        <v>106</v>
      </c>
      <c r="J367" s="15" t="n">
        <v>0.5464</v>
      </c>
    </row>
    <row r="368" customFormat="false" ht="15" hidden="false" customHeight="true" outlineLevel="0" collapsed="false">
      <c r="A368" s="13" t="n">
        <v>2026</v>
      </c>
      <c r="B368" s="13" t="s">
        <v>121</v>
      </c>
      <c r="C368" s="13" t="s">
        <v>526</v>
      </c>
      <c r="D368" s="13" t="s">
        <v>523</v>
      </c>
      <c r="E368" s="13" t="s">
        <v>450</v>
      </c>
      <c r="F368" s="14" t="n">
        <v>311</v>
      </c>
      <c r="G368" s="14" t="n">
        <v>78</v>
      </c>
      <c r="H368" s="14" t="n">
        <v>233</v>
      </c>
      <c r="I368" s="14" t="n">
        <v>213</v>
      </c>
      <c r="J368" s="15" t="n">
        <v>0.9142</v>
      </c>
    </row>
    <row r="369" customFormat="false" ht="15" hidden="false" customHeight="true" outlineLevel="0" collapsed="false">
      <c r="A369" s="13" t="n">
        <v>2026</v>
      </c>
      <c r="B369" s="13" t="s">
        <v>121</v>
      </c>
      <c r="C369" s="13" t="s">
        <v>526</v>
      </c>
      <c r="D369" s="13" t="s">
        <v>410</v>
      </c>
      <c r="E369" s="13" t="s">
        <v>524</v>
      </c>
      <c r="F369" s="14" t="n">
        <v>2250</v>
      </c>
      <c r="G369" s="14" t="n">
        <v>197</v>
      </c>
      <c r="H369" s="14" t="n">
        <v>2053</v>
      </c>
      <c r="I369" s="14" t="n">
        <v>1545</v>
      </c>
      <c r="J369" s="15" t="n">
        <v>0.7526</v>
      </c>
    </row>
    <row r="370" customFormat="false" ht="15" hidden="false" customHeight="true" outlineLevel="0" collapsed="false">
      <c r="A370" s="13" t="n">
        <v>2026</v>
      </c>
      <c r="B370" s="13" t="s">
        <v>121</v>
      </c>
      <c r="C370" s="13" t="s">
        <v>526</v>
      </c>
      <c r="D370" s="13" t="s">
        <v>525</v>
      </c>
      <c r="E370" s="13" t="s">
        <v>474</v>
      </c>
      <c r="F370" s="14" t="n">
        <v>19</v>
      </c>
      <c r="G370" s="14" t="n">
        <v>1</v>
      </c>
      <c r="H370" s="14" t="n">
        <v>18</v>
      </c>
      <c r="I370" s="14" t="n">
        <v>18</v>
      </c>
      <c r="J370" s="15" t="n">
        <v>1</v>
      </c>
    </row>
    <row r="371" customFormat="false" ht="15" hidden="false" customHeight="true" outlineLevel="0" collapsed="false">
      <c r="A371" s="13" t="n">
        <v>2026</v>
      </c>
      <c r="B371" s="13" t="s">
        <v>125</v>
      </c>
      <c r="C371" s="13" t="s">
        <v>499</v>
      </c>
      <c r="D371" s="13" t="s">
        <v>162</v>
      </c>
      <c r="E371" s="13" t="s">
        <v>500</v>
      </c>
      <c r="F371" s="14" t="n">
        <v>1116</v>
      </c>
      <c r="G371" s="14" t="n">
        <v>62</v>
      </c>
      <c r="H371" s="14" t="n">
        <v>1054</v>
      </c>
      <c r="I371" s="14" t="n">
        <v>985</v>
      </c>
      <c r="J371" s="15" t="n">
        <v>0.9345</v>
      </c>
    </row>
    <row r="372" customFormat="false" ht="15" hidden="false" customHeight="true" outlineLevel="0" collapsed="false">
      <c r="A372" s="13" t="n">
        <v>2026</v>
      </c>
      <c r="B372" s="13" t="s">
        <v>125</v>
      </c>
      <c r="C372" s="13" t="s">
        <v>499</v>
      </c>
      <c r="D372" s="13" t="s">
        <v>225</v>
      </c>
      <c r="E372" s="13" t="s">
        <v>501</v>
      </c>
      <c r="F372" s="14" t="n">
        <v>746</v>
      </c>
      <c r="G372" s="14" t="n">
        <v>58</v>
      </c>
      <c r="H372" s="14" t="n">
        <v>688</v>
      </c>
      <c r="I372" s="14" t="n">
        <v>649</v>
      </c>
      <c r="J372" s="15" t="n">
        <v>0.9433</v>
      </c>
    </row>
    <row r="373" customFormat="false" ht="15" hidden="false" customHeight="true" outlineLevel="0" collapsed="false">
      <c r="A373" s="13" t="n">
        <v>2026</v>
      </c>
      <c r="B373" s="13" t="s">
        <v>125</v>
      </c>
      <c r="C373" s="13" t="s">
        <v>499</v>
      </c>
      <c r="D373" s="13" t="s">
        <v>167</v>
      </c>
      <c r="E373" s="13" t="s">
        <v>443</v>
      </c>
      <c r="F373" s="14" t="n">
        <v>249</v>
      </c>
      <c r="G373" s="14" t="n">
        <v>42</v>
      </c>
      <c r="H373" s="14" t="n">
        <v>207</v>
      </c>
      <c r="I373" s="14" t="n">
        <v>128</v>
      </c>
      <c r="J373" s="15" t="n">
        <v>0.6184</v>
      </c>
    </row>
    <row r="374" customFormat="false" ht="15" hidden="false" customHeight="true" outlineLevel="0" collapsed="false">
      <c r="A374" s="13" t="n">
        <v>2026</v>
      </c>
      <c r="B374" s="13" t="s">
        <v>125</v>
      </c>
      <c r="C374" s="13" t="s">
        <v>499</v>
      </c>
      <c r="D374" s="13" t="s">
        <v>166</v>
      </c>
      <c r="E374" s="13" t="s">
        <v>502</v>
      </c>
      <c r="F374" s="14" t="n">
        <v>271</v>
      </c>
      <c r="G374" s="14" t="n">
        <v>50</v>
      </c>
      <c r="H374" s="14" t="n">
        <v>221</v>
      </c>
      <c r="I374" s="14" t="n">
        <v>121</v>
      </c>
      <c r="J374" s="15" t="n">
        <v>0.5475</v>
      </c>
    </row>
    <row r="375" customFormat="false" ht="15" hidden="false" customHeight="true" outlineLevel="0" collapsed="false">
      <c r="A375" s="13" t="n">
        <v>2026</v>
      </c>
      <c r="B375" s="13" t="s">
        <v>125</v>
      </c>
      <c r="C375" s="13" t="s">
        <v>499</v>
      </c>
      <c r="D375" s="13" t="s">
        <v>154</v>
      </c>
      <c r="E375" s="13" t="s">
        <v>457</v>
      </c>
      <c r="F375" s="14" t="n">
        <v>5501</v>
      </c>
      <c r="G375" s="14" t="n">
        <v>664</v>
      </c>
      <c r="H375" s="14" t="n">
        <v>4837</v>
      </c>
      <c r="I375" s="14" t="n">
        <v>4097</v>
      </c>
      <c r="J375" s="15" t="n">
        <v>0.847</v>
      </c>
    </row>
    <row r="376" customFormat="false" ht="15" hidden="false" customHeight="true" outlineLevel="0" collapsed="false">
      <c r="A376" s="13" t="n">
        <v>2026</v>
      </c>
      <c r="B376" s="13" t="s">
        <v>125</v>
      </c>
      <c r="C376" s="13" t="s">
        <v>499</v>
      </c>
      <c r="D376" s="13" t="s">
        <v>236</v>
      </c>
      <c r="E376" s="13" t="s">
        <v>503</v>
      </c>
      <c r="F376" s="14" t="n">
        <v>745</v>
      </c>
      <c r="G376" s="14" t="n">
        <v>65</v>
      </c>
      <c r="H376" s="14" t="n">
        <v>680</v>
      </c>
      <c r="I376" s="14" t="n">
        <v>660</v>
      </c>
      <c r="J376" s="15" t="n">
        <v>0.9706</v>
      </c>
    </row>
    <row r="377" customFormat="false" ht="15" hidden="false" customHeight="true" outlineLevel="0" collapsed="false">
      <c r="A377" s="13" t="n">
        <v>2026</v>
      </c>
      <c r="B377" s="13" t="s">
        <v>125</v>
      </c>
      <c r="C377" s="13" t="s">
        <v>499</v>
      </c>
      <c r="D377" s="13" t="s">
        <v>170</v>
      </c>
      <c r="E377" s="13" t="s">
        <v>504</v>
      </c>
      <c r="F377" s="14" t="n">
        <v>251</v>
      </c>
      <c r="G377" s="14" t="n">
        <v>48</v>
      </c>
      <c r="H377" s="14" t="n">
        <v>203</v>
      </c>
      <c r="I377" s="14" t="n">
        <v>121</v>
      </c>
      <c r="J377" s="15" t="n">
        <v>0.5961</v>
      </c>
    </row>
    <row r="378" customFormat="false" ht="15" hidden="false" customHeight="true" outlineLevel="0" collapsed="false">
      <c r="A378" s="13" t="n">
        <v>2026</v>
      </c>
      <c r="B378" s="13" t="s">
        <v>125</v>
      </c>
      <c r="C378" s="13" t="s">
        <v>499</v>
      </c>
      <c r="D378" s="13" t="s">
        <v>152</v>
      </c>
      <c r="E378" s="13" t="s">
        <v>454</v>
      </c>
      <c r="F378" s="14" t="n">
        <v>977</v>
      </c>
      <c r="G378" s="14" t="n">
        <v>118</v>
      </c>
      <c r="H378" s="14" t="n">
        <v>859</v>
      </c>
      <c r="I378" s="14" t="n">
        <v>691</v>
      </c>
      <c r="J378" s="15" t="n">
        <v>0.8044</v>
      </c>
    </row>
    <row r="379" customFormat="false" ht="15" hidden="false" customHeight="true" outlineLevel="0" collapsed="false">
      <c r="A379" s="13" t="n">
        <v>2026</v>
      </c>
      <c r="B379" s="13" t="s">
        <v>125</v>
      </c>
      <c r="C379" s="13" t="s">
        <v>499</v>
      </c>
      <c r="D379" s="13" t="s">
        <v>150</v>
      </c>
      <c r="E379" s="13" t="s">
        <v>458</v>
      </c>
      <c r="F379" s="14" t="n">
        <v>8851</v>
      </c>
      <c r="G379" s="14" t="n">
        <v>939</v>
      </c>
      <c r="H379" s="14" t="n">
        <v>7912</v>
      </c>
      <c r="I379" s="14" t="n">
        <v>7259</v>
      </c>
      <c r="J379" s="15" t="n">
        <v>0.9175</v>
      </c>
    </row>
    <row r="380" customFormat="false" ht="15" hidden="false" customHeight="true" outlineLevel="0" collapsed="false">
      <c r="A380" s="13" t="n">
        <v>2026</v>
      </c>
      <c r="B380" s="13" t="s">
        <v>125</v>
      </c>
      <c r="C380" s="13" t="s">
        <v>499</v>
      </c>
      <c r="D380" s="13" t="s">
        <v>142</v>
      </c>
      <c r="E380" s="13" t="s">
        <v>445</v>
      </c>
      <c r="F380" s="14" t="n">
        <v>17904</v>
      </c>
      <c r="G380" s="14" t="n">
        <v>1259</v>
      </c>
      <c r="H380" s="14" t="n">
        <v>16645</v>
      </c>
      <c r="I380" s="14" t="n">
        <v>8032</v>
      </c>
      <c r="J380" s="15" t="n">
        <v>0.4825</v>
      </c>
    </row>
    <row r="381" customFormat="false" ht="15" hidden="false" customHeight="true" outlineLevel="0" collapsed="false">
      <c r="A381" s="13" t="n">
        <v>2026</v>
      </c>
      <c r="B381" s="13" t="s">
        <v>125</v>
      </c>
      <c r="C381" s="13" t="s">
        <v>499</v>
      </c>
      <c r="D381" s="13" t="s">
        <v>505</v>
      </c>
      <c r="E381" s="13" t="s">
        <v>506</v>
      </c>
      <c r="F381" s="14" t="n">
        <v>25</v>
      </c>
      <c r="G381" s="14" t="n">
        <v>7</v>
      </c>
      <c r="H381" s="14" t="n">
        <v>18</v>
      </c>
      <c r="I381" s="14" t="n">
        <v>16</v>
      </c>
      <c r="J381" s="15" t="n">
        <v>0.8889</v>
      </c>
    </row>
    <row r="382" customFormat="false" ht="15" hidden="false" customHeight="true" outlineLevel="0" collapsed="false">
      <c r="A382" s="13" t="n">
        <v>2026</v>
      </c>
      <c r="B382" s="13" t="s">
        <v>125</v>
      </c>
      <c r="C382" s="13" t="s">
        <v>499</v>
      </c>
      <c r="D382" s="13" t="s">
        <v>143</v>
      </c>
      <c r="E382" s="13" t="s">
        <v>446</v>
      </c>
      <c r="F382" s="14" t="n">
        <v>232</v>
      </c>
      <c r="G382" s="14" t="n">
        <v>26</v>
      </c>
      <c r="H382" s="14" t="n">
        <v>206</v>
      </c>
      <c r="I382" s="14" t="n">
        <v>199</v>
      </c>
      <c r="J382" s="15" t="n">
        <v>0.966</v>
      </c>
    </row>
    <row r="383" customFormat="false" ht="15" hidden="false" customHeight="true" outlineLevel="0" collapsed="false">
      <c r="A383" s="13" t="n">
        <v>2026</v>
      </c>
      <c r="B383" s="13" t="s">
        <v>125</v>
      </c>
      <c r="C383" s="13" t="s">
        <v>499</v>
      </c>
      <c r="D383" s="13" t="s">
        <v>161</v>
      </c>
      <c r="E383" s="13" t="s">
        <v>461</v>
      </c>
      <c r="F383" s="14" t="n">
        <v>29</v>
      </c>
      <c r="G383" s="14" t="n">
        <v>11</v>
      </c>
      <c r="H383" s="14" t="n">
        <v>18</v>
      </c>
      <c r="I383" s="14" t="n">
        <v>14</v>
      </c>
      <c r="J383" s="15" t="n">
        <v>0.7778</v>
      </c>
    </row>
    <row r="384" customFormat="false" ht="15" hidden="false" customHeight="true" outlineLevel="0" collapsed="false">
      <c r="A384" s="13" t="n">
        <v>2026</v>
      </c>
      <c r="B384" s="13" t="s">
        <v>125</v>
      </c>
      <c r="C384" s="13" t="s">
        <v>499</v>
      </c>
      <c r="D384" s="13" t="s">
        <v>158</v>
      </c>
      <c r="E384" s="13" t="s">
        <v>509</v>
      </c>
      <c r="F384" s="14" t="n">
        <v>97</v>
      </c>
      <c r="G384" s="14" t="n">
        <v>19</v>
      </c>
      <c r="H384" s="14" t="n">
        <v>78</v>
      </c>
      <c r="I384" s="14" t="n">
        <v>68</v>
      </c>
      <c r="J384" s="15" t="n">
        <v>0.8718</v>
      </c>
    </row>
    <row r="385" customFormat="false" ht="15" hidden="false" customHeight="true" outlineLevel="0" collapsed="false">
      <c r="A385" s="13" t="n">
        <v>2026</v>
      </c>
      <c r="B385" s="13" t="s">
        <v>125</v>
      </c>
      <c r="C385" s="13" t="s">
        <v>499</v>
      </c>
      <c r="D385" s="13" t="s">
        <v>415</v>
      </c>
      <c r="E385" s="13" t="s">
        <v>463</v>
      </c>
      <c r="F385" s="14" t="n">
        <v>939</v>
      </c>
      <c r="G385" s="14" t="n">
        <v>90</v>
      </c>
      <c r="H385" s="14" t="n">
        <v>849</v>
      </c>
      <c r="I385" s="14" t="n">
        <v>640</v>
      </c>
      <c r="J385" s="15" t="n">
        <v>0.7538</v>
      </c>
    </row>
    <row r="386" customFormat="false" ht="15" hidden="false" customHeight="true" outlineLevel="0" collapsed="false">
      <c r="A386" s="13" t="n">
        <v>2026</v>
      </c>
      <c r="B386" s="13" t="s">
        <v>125</v>
      </c>
      <c r="C386" s="13" t="s">
        <v>499</v>
      </c>
      <c r="D386" s="13" t="s">
        <v>510</v>
      </c>
      <c r="E386" s="13" t="s">
        <v>511</v>
      </c>
      <c r="F386" s="14" t="n">
        <v>18</v>
      </c>
      <c r="G386" s="14" t="n">
        <v>3</v>
      </c>
      <c r="H386" s="14" t="n">
        <v>15</v>
      </c>
      <c r="I386" s="14" t="n">
        <v>4</v>
      </c>
      <c r="J386" s="15" t="n">
        <v>0.2667</v>
      </c>
    </row>
    <row r="387" customFormat="false" ht="15" hidden="false" customHeight="true" outlineLevel="0" collapsed="false">
      <c r="A387" s="13" t="n">
        <v>2026</v>
      </c>
      <c r="B387" s="13" t="s">
        <v>125</v>
      </c>
      <c r="C387" s="13" t="s">
        <v>499</v>
      </c>
      <c r="D387" s="13" t="s">
        <v>533</v>
      </c>
      <c r="E387" s="13" t="s">
        <v>534</v>
      </c>
      <c r="F387" s="14" t="n">
        <v>10</v>
      </c>
      <c r="G387" s="14" t="n">
        <v>2</v>
      </c>
      <c r="H387" s="14" t="n">
        <v>8</v>
      </c>
      <c r="I387" s="14" t="n">
        <v>4</v>
      </c>
      <c r="J387" s="15" t="n">
        <v>0.5</v>
      </c>
    </row>
    <row r="388" customFormat="false" ht="15" hidden="false" customHeight="true" outlineLevel="0" collapsed="false">
      <c r="A388" s="13" t="n">
        <v>2026</v>
      </c>
      <c r="B388" s="13" t="s">
        <v>125</v>
      </c>
      <c r="C388" s="13" t="s">
        <v>499</v>
      </c>
      <c r="D388" s="13" t="s">
        <v>418</v>
      </c>
      <c r="E388" s="13" t="s">
        <v>512</v>
      </c>
      <c r="F388" s="14" t="n">
        <v>324</v>
      </c>
      <c r="G388" s="14" t="n">
        <v>56</v>
      </c>
      <c r="H388" s="14" t="n">
        <v>268</v>
      </c>
      <c r="I388" s="14" t="n">
        <v>153</v>
      </c>
      <c r="J388" s="15" t="n">
        <v>0.5709</v>
      </c>
    </row>
    <row r="389" customFormat="false" ht="15" hidden="false" customHeight="true" outlineLevel="0" collapsed="false">
      <c r="A389" s="13" t="n">
        <v>2026</v>
      </c>
      <c r="B389" s="13" t="s">
        <v>125</v>
      </c>
      <c r="C389" s="13" t="s">
        <v>499</v>
      </c>
      <c r="D389" s="13" t="s">
        <v>535</v>
      </c>
      <c r="E389" s="13" t="s">
        <v>536</v>
      </c>
      <c r="F389" s="14" t="n">
        <v>80</v>
      </c>
      <c r="G389" s="14" t="n">
        <v>10</v>
      </c>
      <c r="H389" s="14" t="n">
        <v>70</v>
      </c>
      <c r="I389" s="14" t="n">
        <v>70</v>
      </c>
      <c r="J389" s="15" t="n">
        <v>1</v>
      </c>
    </row>
    <row r="390" customFormat="false" ht="15" hidden="false" customHeight="true" outlineLevel="0" collapsed="false">
      <c r="A390" s="13" t="n">
        <v>2026</v>
      </c>
      <c r="B390" s="13" t="s">
        <v>125</v>
      </c>
      <c r="C390" s="13" t="s">
        <v>499</v>
      </c>
      <c r="D390" s="13" t="s">
        <v>419</v>
      </c>
      <c r="E390" s="13" t="s">
        <v>537</v>
      </c>
      <c r="F390" s="14" t="n">
        <v>80</v>
      </c>
      <c r="G390" s="14" t="n">
        <v>9</v>
      </c>
      <c r="H390" s="14" t="n">
        <v>71</v>
      </c>
      <c r="I390" s="14" t="n">
        <v>70</v>
      </c>
      <c r="J390" s="15" t="n">
        <v>0.9859</v>
      </c>
    </row>
    <row r="391" customFormat="false" ht="15" hidden="false" customHeight="true" outlineLevel="0" collapsed="false">
      <c r="A391" s="13" t="n">
        <v>2026</v>
      </c>
      <c r="B391" s="13" t="s">
        <v>125</v>
      </c>
      <c r="C391" s="13" t="s">
        <v>499</v>
      </c>
      <c r="D391" s="13" t="s">
        <v>419</v>
      </c>
      <c r="E391" s="13" t="s">
        <v>466</v>
      </c>
      <c r="F391" s="14" t="n">
        <v>9017</v>
      </c>
      <c r="G391" s="14" t="n">
        <v>832</v>
      </c>
      <c r="H391" s="14" t="n">
        <v>8185</v>
      </c>
      <c r="I391" s="14" t="n">
        <v>7358</v>
      </c>
      <c r="J391" s="15" t="n">
        <v>0.899</v>
      </c>
    </row>
    <row r="392" customFormat="false" ht="15" hidden="false" customHeight="true" outlineLevel="0" collapsed="false">
      <c r="A392" s="13" t="n">
        <v>2026</v>
      </c>
      <c r="B392" s="13" t="s">
        <v>125</v>
      </c>
      <c r="C392" s="13" t="s">
        <v>499</v>
      </c>
      <c r="D392" s="13" t="s">
        <v>159</v>
      </c>
      <c r="E392" s="13" t="s">
        <v>467</v>
      </c>
      <c r="F392" s="14" t="n">
        <v>6</v>
      </c>
      <c r="G392" s="14" t="n">
        <v>2</v>
      </c>
      <c r="H392" s="14" t="n">
        <v>4</v>
      </c>
      <c r="I392" s="14" t="n">
        <v>2</v>
      </c>
      <c r="J392" s="15" t="n">
        <v>0.5</v>
      </c>
    </row>
    <row r="393" customFormat="false" ht="15" hidden="false" customHeight="true" outlineLevel="0" collapsed="false">
      <c r="A393" s="13" t="n">
        <v>2026</v>
      </c>
      <c r="B393" s="13" t="s">
        <v>125</v>
      </c>
      <c r="C393" s="13" t="s">
        <v>499</v>
      </c>
      <c r="D393" s="13" t="s">
        <v>156</v>
      </c>
      <c r="E393" s="13" t="s">
        <v>513</v>
      </c>
      <c r="F393" s="14" t="n">
        <v>1991</v>
      </c>
      <c r="G393" s="14" t="n">
        <v>161</v>
      </c>
      <c r="H393" s="14" t="n">
        <v>1830</v>
      </c>
      <c r="I393" s="14" t="n">
        <v>880</v>
      </c>
      <c r="J393" s="15" t="n">
        <v>0.4809</v>
      </c>
    </row>
    <row r="394" customFormat="false" ht="15" hidden="false" customHeight="true" outlineLevel="0" collapsed="false">
      <c r="A394" s="13" t="n">
        <v>2026</v>
      </c>
      <c r="B394" s="13" t="s">
        <v>125</v>
      </c>
      <c r="C394" s="13" t="s">
        <v>499</v>
      </c>
      <c r="D394" s="13" t="s">
        <v>514</v>
      </c>
      <c r="E394" s="13" t="s">
        <v>515</v>
      </c>
      <c r="F394" s="14" t="n">
        <v>13</v>
      </c>
      <c r="G394" s="14" t="n">
        <v>3</v>
      </c>
      <c r="H394" s="14" t="n">
        <v>10</v>
      </c>
      <c r="I394" s="14" t="n">
        <v>9</v>
      </c>
      <c r="J394" s="15" t="n">
        <v>0.9</v>
      </c>
    </row>
    <row r="395" customFormat="false" ht="15" hidden="false" customHeight="true" outlineLevel="0" collapsed="false">
      <c r="A395" s="13" t="n">
        <v>2026</v>
      </c>
      <c r="B395" s="13" t="s">
        <v>125</v>
      </c>
      <c r="C395" s="13" t="s">
        <v>499</v>
      </c>
      <c r="D395" s="13" t="s">
        <v>149</v>
      </c>
      <c r="E395" s="13" t="s">
        <v>516</v>
      </c>
      <c r="F395" s="14" t="n">
        <v>11748</v>
      </c>
      <c r="G395" s="14" t="n">
        <v>1210</v>
      </c>
      <c r="H395" s="14" t="n">
        <v>10538</v>
      </c>
      <c r="I395" s="14" t="n">
        <v>10321</v>
      </c>
      <c r="J395" s="15" t="n">
        <v>0.9794</v>
      </c>
    </row>
    <row r="396" customFormat="false" ht="15" hidden="false" customHeight="true" outlineLevel="0" collapsed="false">
      <c r="A396" s="13" t="n">
        <v>2026</v>
      </c>
      <c r="B396" s="13" t="s">
        <v>125</v>
      </c>
      <c r="C396" s="13" t="s">
        <v>499</v>
      </c>
      <c r="D396" s="13" t="s">
        <v>145</v>
      </c>
      <c r="E396" s="13" t="s">
        <v>517</v>
      </c>
      <c r="F396" s="14" t="n">
        <v>1</v>
      </c>
      <c r="G396" s="14" t="n">
        <v>1</v>
      </c>
      <c r="H396" s="14" t="n">
        <v>0</v>
      </c>
      <c r="I396" s="14" t="n">
        <v>0</v>
      </c>
      <c r="J396" s="15"/>
    </row>
    <row r="397" customFormat="false" ht="15" hidden="false" customHeight="true" outlineLevel="0" collapsed="false">
      <c r="A397" s="13" t="n">
        <v>2026</v>
      </c>
      <c r="B397" s="13" t="s">
        <v>125</v>
      </c>
      <c r="C397" s="13" t="s">
        <v>499</v>
      </c>
      <c r="D397" s="13" t="s">
        <v>424</v>
      </c>
      <c r="E397" s="13" t="s">
        <v>468</v>
      </c>
      <c r="F397" s="14" t="n">
        <v>560</v>
      </c>
      <c r="G397" s="14" t="n">
        <v>41</v>
      </c>
      <c r="H397" s="14" t="n">
        <v>519</v>
      </c>
      <c r="I397" s="14" t="n">
        <v>503</v>
      </c>
      <c r="J397" s="15" t="n">
        <v>0.9692</v>
      </c>
    </row>
    <row r="398" customFormat="false" ht="15" hidden="false" customHeight="true" outlineLevel="0" collapsed="false">
      <c r="A398" s="13" t="n">
        <v>2026</v>
      </c>
      <c r="B398" s="13" t="s">
        <v>125</v>
      </c>
      <c r="C398" s="13" t="s">
        <v>499</v>
      </c>
      <c r="D398" s="13" t="s">
        <v>425</v>
      </c>
      <c r="E398" s="13" t="s">
        <v>518</v>
      </c>
      <c r="F398" s="14" t="n">
        <v>125</v>
      </c>
      <c r="G398" s="14" t="n">
        <v>13</v>
      </c>
      <c r="H398" s="14" t="n">
        <v>112</v>
      </c>
      <c r="I398" s="14" t="n">
        <v>85</v>
      </c>
      <c r="J398" s="15" t="n">
        <v>0.7589</v>
      </c>
    </row>
    <row r="399" customFormat="false" ht="15" hidden="false" customHeight="true" outlineLevel="0" collapsed="false">
      <c r="A399" s="13" t="n">
        <v>2026</v>
      </c>
      <c r="B399" s="13" t="s">
        <v>125</v>
      </c>
      <c r="C399" s="13" t="s">
        <v>499</v>
      </c>
      <c r="D399" s="13" t="s">
        <v>165</v>
      </c>
      <c r="E399" s="13" t="s">
        <v>448</v>
      </c>
      <c r="F399" s="14" t="n">
        <v>360</v>
      </c>
      <c r="G399" s="14" t="n">
        <v>66</v>
      </c>
      <c r="H399" s="14" t="n">
        <v>294</v>
      </c>
      <c r="I399" s="14" t="n">
        <v>194</v>
      </c>
      <c r="J399" s="15" t="n">
        <v>0.6599</v>
      </c>
    </row>
    <row r="400" customFormat="false" ht="15" hidden="false" customHeight="true" outlineLevel="0" collapsed="false">
      <c r="A400" s="13" t="n">
        <v>2026</v>
      </c>
      <c r="B400" s="13" t="s">
        <v>125</v>
      </c>
      <c r="C400" s="13" t="s">
        <v>499</v>
      </c>
      <c r="D400" s="13" t="s">
        <v>477</v>
      </c>
      <c r="E400" s="13" t="s">
        <v>519</v>
      </c>
      <c r="F400" s="14" t="n">
        <v>776</v>
      </c>
      <c r="G400" s="14" t="n">
        <v>64</v>
      </c>
      <c r="H400" s="14" t="n">
        <v>712</v>
      </c>
      <c r="I400" s="14" t="n">
        <v>617</v>
      </c>
      <c r="J400" s="15" t="n">
        <v>0.8666</v>
      </c>
    </row>
    <row r="401" customFormat="false" ht="15" hidden="false" customHeight="true" outlineLevel="0" collapsed="false">
      <c r="A401" s="13" t="n">
        <v>2026</v>
      </c>
      <c r="B401" s="13" t="s">
        <v>125</v>
      </c>
      <c r="C401" s="13" t="s">
        <v>499</v>
      </c>
      <c r="D401" s="13" t="s">
        <v>153</v>
      </c>
      <c r="E401" s="13" t="s">
        <v>470</v>
      </c>
      <c r="F401" s="14" t="n">
        <v>25</v>
      </c>
      <c r="G401" s="14" t="n">
        <v>7</v>
      </c>
      <c r="H401" s="14" t="n">
        <v>18</v>
      </c>
      <c r="I401" s="14" t="n">
        <v>17</v>
      </c>
      <c r="J401" s="15" t="n">
        <v>0.9444</v>
      </c>
    </row>
    <row r="402" customFormat="false" ht="15" hidden="false" customHeight="true" outlineLevel="0" collapsed="false">
      <c r="A402" s="13" t="n">
        <v>2026</v>
      </c>
      <c r="B402" s="13" t="s">
        <v>125</v>
      </c>
      <c r="C402" s="13" t="s">
        <v>499</v>
      </c>
      <c r="D402" s="13" t="s">
        <v>426</v>
      </c>
      <c r="E402" s="13" t="s">
        <v>471</v>
      </c>
      <c r="F402" s="14" t="n">
        <v>2203</v>
      </c>
      <c r="G402" s="14" t="n">
        <v>245</v>
      </c>
      <c r="H402" s="14" t="n">
        <v>1958</v>
      </c>
      <c r="I402" s="14" t="n">
        <v>1859</v>
      </c>
      <c r="J402" s="15" t="n">
        <v>0.9494</v>
      </c>
    </row>
    <row r="403" customFormat="false" ht="15" hidden="false" customHeight="true" outlineLevel="0" collapsed="false">
      <c r="A403" s="13" t="n">
        <v>2026</v>
      </c>
      <c r="B403" s="13" t="s">
        <v>125</v>
      </c>
      <c r="C403" s="13" t="s">
        <v>499</v>
      </c>
      <c r="D403" s="13" t="s">
        <v>427</v>
      </c>
      <c r="E403" s="13" t="s">
        <v>472</v>
      </c>
      <c r="F403" s="14" t="n">
        <v>2463</v>
      </c>
      <c r="G403" s="14" t="n">
        <v>293</v>
      </c>
      <c r="H403" s="14" t="n">
        <v>2170</v>
      </c>
      <c r="I403" s="14" t="n">
        <v>1983</v>
      </c>
      <c r="J403" s="15" t="n">
        <v>0.9138</v>
      </c>
    </row>
    <row r="404" customFormat="false" ht="15" hidden="false" customHeight="true" outlineLevel="0" collapsed="false">
      <c r="A404" s="13" t="n">
        <v>2026</v>
      </c>
      <c r="B404" s="13" t="s">
        <v>125</v>
      </c>
      <c r="C404" s="13" t="s">
        <v>499</v>
      </c>
      <c r="D404" s="13" t="s">
        <v>155</v>
      </c>
      <c r="E404" s="13" t="s">
        <v>520</v>
      </c>
      <c r="F404" s="14" t="n">
        <v>16</v>
      </c>
      <c r="G404" s="14" t="n">
        <v>4</v>
      </c>
      <c r="H404" s="14" t="n">
        <v>12</v>
      </c>
      <c r="I404" s="14" t="n">
        <v>8</v>
      </c>
      <c r="J404" s="15" t="n">
        <v>0.6667</v>
      </c>
    </row>
    <row r="405" customFormat="false" ht="15" hidden="false" customHeight="true" outlineLevel="0" collapsed="false">
      <c r="A405" s="13" t="n">
        <v>2026</v>
      </c>
      <c r="B405" s="13" t="s">
        <v>125</v>
      </c>
      <c r="C405" s="13" t="s">
        <v>499</v>
      </c>
      <c r="D405" s="13" t="s">
        <v>521</v>
      </c>
      <c r="E405" s="13" t="s">
        <v>522</v>
      </c>
      <c r="F405" s="14" t="n">
        <v>761</v>
      </c>
      <c r="G405" s="14" t="n">
        <v>64</v>
      </c>
      <c r="H405" s="14" t="n">
        <v>697</v>
      </c>
      <c r="I405" s="14" t="n">
        <v>623</v>
      </c>
      <c r="J405" s="15" t="n">
        <v>0.8938</v>
      </c>
    </row>
    <row r="406" customFormat="false" ht="15" hidden="false" customHeight="true" outlineLevel="0" collapsed="false">
      <c r="A406" s="13" t="n">
        <v>2026</v>
      </c>
      <c r="B406" s="13" t="s">
        <v>125</v>
      </c>
      <c r="C406" s="13" t="s">
        <v>499</v>
      </c>
      <c r="D406" s="13" t="s">
        <v>523</v>
      </c>
      <c r="E406" s="13" t="s">
        <v>450</v>
      </c>
      <c r="F406" s="14" t="n">
        <v>11471</v>
      </c>
      <c r="G406" s="14" t="n">
        <v>969</v>
      </c>
      <c r="H406" s="14" t="n">
        <v>10502</v>
      </c>
      <c r="I406" s="14" t="n">
        <v>9931</v>
      </c>
      <c r="J406" s="15" t="n">
        <v>0.9456</v>
      </c>
    </row>
    <row r="407" customFormat="false" ht="15" hidden="false" customHeight="true" outlineLevel="0" collapsed="false">
      <c r="A407" s="13" t="n">
        <v>2026</v>
      </c>
      <c r="B407" s="13" t="s">
        <v>125</v>
      </c>
      <c r="C407" s="13" t="s">
        <v>499</v>
      </c>
      <c r="D407" s="13" t="s">
        <v>410</v>
      </c>
      <c r="E407" s="13" t="s">
        <v>524</v>
      </c>
      <c r="F407" s="14" t="n">
        <v>13039</v>
      </c>
      <c r="G407" s="14" t="n">
        <v>1316</v>
      </c>
      <c r="H407" s="14" t="n">
        <v>11723</v>
      </c>
      <c r="I407" s="14" t="n">
        <v>9785</v>
      </c>
      <c r="J407" s="15" t="n">
        <v>0.8347</v>
      </c>
    </row>
    <row r="408" customFormat="false" ht="15" hidden="false" customHeight="true" outlineLevel="0" collapsed="false">
      <c r="A408" s="13" t="n">
        <v>2026</v>
      </c>
      <c r="B408" s="13" t="s">
        <v>125</v>
      </c>
      <c r="C408" s="13" t="s">
        <v>499</v>
      </c>
      <c r="D408" s="13" t="s">
        <v>525</v>
      </c>
      <c r="E408" s="13" t="s">
        <v>474</v>
      </c>
      <c r="F408" s="14" t="n">
        <v>61</v>
      </c>
      <c r="G408" s="14" t="n">
        <v>15</v>
      </c>
      <c r="H408" s="14" t="n">
        <v>46</v>
      </c>
      <c r="I408" s="14" t="n">
        <v>43</v>
      </c>
      <c r="J408" s="15" t="n">
        <v>0.9348</v>
      </c>
    </row>
    <row r="409" customFormat="false" ht="15" hidden="false" customHeight="true" outlineLevel="0" collapsed="false">
      <c r="A409" s="13" t="n">
        <v>2026</v>
      </c>
      <c r="B409" s="13" t="s">
        <v>125</v>
      </c>
      <c r="C409" s="13" t="s">
        <v>526</v>
      </c>
      <c r="D409" s="13" t="s">
        <v>162</v>
      </c>
      <c r="E409" s="13" t="s">
        <v>500</v>
      </c>
      <c r="F409" s="14" t="n">
        <v>256</v>
      </c>
      <c r="G409" s="14" t="n">
        <v>48</v>
      </c>
      <c r="H409" s="14" t="n">
        <v>208</v>
      </c>
      <c r="I409" s="14" t="n">
        <v>178</v>
      </c>
      <c r="J409" s="15" t="n">
        <v>0.8558</v>
      </c>
    </row>
    <row r="410" customFormat="false" ht="15" hidden="false" customHeight="true" outlineLevel="0" collapsed="false">
      <c r="A410" s="13" t="n">
        <v>2026</v>
      </c>
      <c r="B410" s="13" t="s">
        <v>125</v>
      </c>
      <c r="C410" s="13" t="s">
        <v>526</v>
      </c>
      <c r="D410" s="13" t="s">
        <v>167</v>
      </c>
      <c r="E410" s="13" t="s">
        <v>443</v>
      </c>
      <c r="F410" s="14" t="n">
        <v>742</v>
      </c>
      <c r="G410" s="14" t="n">
        <v>87</v>
      </c>
      <c r="H410" s="14" t="n">
        <v>655</v>
      </c>
      <c r="I410" s="14" t="n">
        <v>332</v>
      </c>
      <c r="J410" s="15" t="n">
        <v>0.5069</v>
      </c>
    </row>
    <row r="411" customFormat="false" ht="15" hidden="false" customHeight="true" outlineLevel="0" collapsed="false">
      <c r="A411" s="13" t="n">
        <v>2026</v>
      </c>
      <c r="B411" s="13" t="s">
        <v>125</v>
      </c>
      <c r="C411" s="13" t="s">
        <v>526</v>
      </c>
      <c r="D411" s="13" t="s">
        <v>228</v>
      </c>
      <c r="E411" s="13" t="s">
        <v>527</v>
      </c>
      <c r="F411" s="14" t="n">
        <v>231</v>
      </c>
      <c r="G411" s="14" t="n">
        <v>40</v>
      </c>
      <c r="H411" s="14" t="n">
        <v>191</v>
      </c>
      <c r="I411" s="14" t="n">
        <v>150</v>
      </c>
      <c r="J411" s="15" t="n">
        <v>0.7853</v>
      </c>
    </row>
    <row r="412" customFormat="false" ht="15" hidden="false" customHeight="true" outlineLevel="0" collapsed="false">
      <c r="A412" s="13" t="n">
        <v>2026</v>
      </c>
      <c r="B412" s="13" t="s">
        <v>125</v>
      </c>
      <c r="C412" s="13" t="s">
        <v>526</v>
      </c>
      <c r="D412" s="13" t="s">
        <v>166</v>
      </c>
      <c r="E412" s="13" t="s">
        <v>502</v>
      </c>
      <c r="F412" s="14" t="n">
        <v>1052</v>
      </c>
      <c r="G412" s="14" t="n">
        <v>97</v>
      </c>
      <c r="H412" s="14" t="n">
        <v>955</v>
      </c>
      <c r="I412" s="14" t="n">
        <v>502</v>
      </c>
      <c r="J412" s="15" t="n">
        <v>0.5257</v>
      </c>
    </row>
    <row r="413" customFormat="false" ht="15" hidden="false" customHeight="true" outlineLevel="0" collapsed="false">
      <c r="A413" s="13" t="n">
        <v>2026</v>
      </c>
      <c r="B413" s="13" t="s">
        <v>125</v>
      </c>
      <c r="C413" s="13" t="s">
        <v>526</v>
      </c>
      <c r="D413" s="13" t="s">
        <v>154</v>
      </c>
      <c r="E413" s="13" t="s">
        <v>457</v>
      </c>
      <c r="F413" s="14" t="n">
        <v>2996</v>
      </c>
      <c r="G413" s="14" t="n">
        <v>584</v>
      </c>
      <c r="H413" s="14" t="n">
        <v>2412</v>
      </c>
      <c r="I413" s="14" t="n">
        <v>1962</v>
      </c>
      <c r="J413" s="15" t="n">
        <v>0.8134</v>
      </c>
    </row>
    <row r="414" customFormat="false" ht="15" hidden="false" customHeight="true" outlineLevel="0" collapsed="false">
      <c r="A414" s="13" t="n">
        <v>2026</v>
      </c>
      <c r="B414" s="13" t="s">
        <v>125</v>
      </c>
      <c r="C414" s="13" t="s">
        <v>526</v>
      </c>
      <c r="D414" s="13" t="s">
        <v>170</v>
      </c>
      <c r="E414" s="13" t="s">
        <v>504</v>
      </c>
      <c r="F414" s="14" t="n">
        <v>505</v>
      </c>
      <c r="G414" s="14" t="n">
        <v>77</v>
      </c>
      <c r="H414" s="14" t="n">
        <v>428</v>
      </c>
      <c r="I414" s="14" t="n">
        <v>269</v>
      </c>
      <c r="J414" s="15" t="n">
        <v>0.6285</v>
      </c>
    </row>
    <row r="415" customFormat="false" ht="15" hidden="false" customHeight="true" outlineLevel="0" collapsed="false">
      <c r="A415" s="13" t="n">
        <v>2026</v>
      </c>
      <c r="B415" s="13" t="s">
        <v>125</v>
      </c>
      <c r="C415" s="13" t="s">
        <v>526</v>
      </c>
      <c r="D415" s="13" t="s">
        <v>152</v>
      </c>
      <c r="E415" s="13" t="s">
        <v>454</v>
      </c>
      <c r="F415" s="14" t="n">
        <v>751</v>
      </c>
      <c r="G415" s="14" t="n">
        <v>122</v>
      </c>
      <c r="H415" s="14" t="n">
        <v>629</v>
      </c>
      <c r="I415" s="14" t="n">
        <v>364</v>
      </c>
      <c r="J415" s="15" t="n">
        <v>0.5787</v>
      </c>
    </row>
    <row r="416" customFormat="false" ht="15" hidden="false" customHeight="true" outlineLevel="0" collapsed="false">
      <c r="A416" s="13" t="n">
        <v>2026</v>
      </c>
      <c r="B416" s="13" t="s">
        <v>125</v>
      </c>
      <c r="C416" s="13" t="s">
        <v>526</v>
      </c>
      <c r="D416" s="13" t="s">
        <v>150</v>
      </c>
      <c r="E416" s="13" t="s">
        <v>458</v>
      </c>
      <c r="F416" s="14" t="n">
        <v>3871</v>
      </c>
      <c r="G416" s="14" t="n">
        <v>761</v>
      </c>
      <c r="H416" s="14" t="n">
        <v>3110</v>
      </c>
      <c r="I416" s="14" t="n">
        <v>2781</v>
      </c>
      <c r="J416" s="15" t="n">
        <v>0.8942</v>
      </c>
    </row>
    <row r="417" customFormat="false" ht="15" hidden="false" customHeight="true" outlineLevel="0" collapsed="false">
      <c r="A417" s="13" t="n">
        <v>2026</v>
      </c>
      <c r="B417" s="13" t="s">
        <v>125</v>
      </c>
      <c r="C417" s="13" t="s">
        <v>526</v>
      </c>
      <c r="D417" s="13" t="s">
        <v>142</v>
      </c>
      <c r="E417" s="13" t="s">
        <v>445</v>
      </c>
      <c r="F417" s="14" t="n">
        <v>11778</v>
      </c>
      <c r="G417" s="14" t="n">
        <v>1434</v>
      </c>
      <c r="H417" s="14" t="n">
        <v>10344</v>
      </c>
      <c r="I417" s="14" t="n">
        <v>4669</v>
      </c>
      <c r="J417" s="15" t="n">
        <v>0.4514</v>
      </c>
    </row>
    <row r="418" customFormat="false" ht="15" hidden="false" customHeight="true" outlineLevel="0" collapsed="false">
      <c r="A418" s="13" t="n">
        <v>2026</v>
      </c>
      <c r="B418" s="13" t="s">
        <v>125</v>
      </c>
      <c r="C418" s="13" t="s">
        <v>526</v>
      </c>
      <c r="D418" s="13" t="s">
        <v>505</v>
      </c>
      <c r="E418" s="13" t="s">
        <v>506</v>
      </c>
      <c r="F418" s="14" t="n">
        <v>17</v>
      </c>
      <c r="G418" s="14" t="n">
        <v>7</v>
      </c>
      <c r="H418" s="14" t="n">
        <v>10</v>
      </c>
      <c r="I418" s="14" t="n">
        <v>8</v>
      </c>
      <c r="J418" s="15" t="n">
        <v>0.8</v>
      </c>
    </row>
    <row r="419" customFormat="false" ht="15" hidden="false" customHeight="true" outlineLevel="0" collapsed="false">
      <c r="A419" s="13" t="n">
        <v>2026</v>
      </c>
      <c r="B419" s="13" t="s">
        <v>125</v>
      </c>
      <c r="C419" s="13" t="s">
        <v>526</v>
      </c>
      <c r="D419" s="13" t="s">
        <v>143</v>
      </c>
      <c r="E419" s="13" t="s">
        <v>446</v>
      </c>
      <c r="F419" s="14" t="n">
        <v>123</v>
      </c>
      <c r="G419" s="14" t="n">
        <v>22</v>
      </c>
      <c r="H419" s="14" t="n">
        <v>101</v>
      </c>
      <c r="I419" s="14" t="n">
        <v>93</v>
      </c>
      <c r="J419" s="15" t="n">
        <v>0.9208</v>
      </c>
    </row>
    <row r="420" customFormat="false" ht="15" hidden="false" customHeight="true" outlineLevel="0" collapsed="false">
      <c r="A420" s="13" t="n">
        <v>2026</v>
      </c>
      <c r="B420" s="13" t="s">
        <v>125</v>
      </c>
      <c r="C420" s="13" t="s">
        <v>526</v>
      </c>
      <c r="D420" s="13" t="s">
        <v>161</v>
      </c>
      <c r="E420" s="13" t="s">
        <v>461</v>
      </c>
      <c r="F420" s="14" t="n">
        <v>26</v>
      </c>
      <c r="G420" s="14" t="n">
        <v>10</v>
      </c>
      <c r="H420" s="14" t="n">
        <v>16</v>
      </c>
      <c r="I420" s="14" t="n">
        <v>16</v>
      </c>
      <c r="J420" s="15" t="n">
        <v>1</v>
      </c>
    </row>
    <row r="421" customFormat="false" ht="15" hidden="false" customHeight="true" outlineLevel="0" collapsed="false">
      <c r="A421" s="13" t="n">
        <v>2026</v>
      </c>
      <c r="B421" s="13" t="s">
        <v>125</v>
      </c>
      <c r="C421" s="13" t="s">
        <v>526</v>
      </c>
      <c r="D421" s="13" t="s">
        <v>158</v>
      </c>
      <c r="E421" s="13" t="s">
        <v>509</v>
      </c>
      <c r="F421" s="14" t="n">
        <v>95</v>
      </c>
      <c r="G421" s="14" t="n">
        <v>22</v>
      </c>
      <c r="H421" s="14" t="n">
        <v>73</v>
      </c>
      <c r="I421" s="14" t="n">
        <v>67</v>
      </c>
      <c r="J421" s="15" t="n">
        <v>0.9178</v>
      </c>
    </row>
    <row r="422" customFormat="false" ht="15" hidden="false" customHeight="true" outlineLevel="0" collapsed="false">
      <c r="A422" s="13" t="n">
        <v>2026</v>
      </c>
      <c r="B422" s="13" t="s">
        <v>125</v>
      </c>
      <c r="C422" s="13" t="s">
        <v>526</v>
      </c>
      <c r="D422" s="13" t="s">
        <v>415</v>
      </c>
      <c r="E422" s="13" t="s">
        <v>463</v>
      </c>
      <c r="F422" s="14" t="n">
        <v>406</v>
      </c>
      <c r="G422" s="14" t="n">
        <v>78</v>
      </c>
      <c r="H422" s="14" t="n">
        <v>328</v>
      </c>
      <c r="I422" s="14" t="n">
        <v>246</v>
      </c>
      <c r="J422" s="15" t="n">
        <v>0.75</v>
      </c>
    </row>
    <row r="423" customFormat="false" ht="15" hidden="false" customHeight="true" outlineLevel="0" collapsed="false">
      <c r="A423" s="13" t="n">
        <v>2026</v>
      </c>
      <c r="B423" s="13" t="s">
        <v>125</v>
      </c>
      <c r="C423" s="13" t="s">
        <v>526</v>
      </c>
      <c r="D423" s="13" t="s">
        <v>510</v>
      </c>
      <c r="E423" s="13" t="s">
        <v>511</v>
      </c>
      <c r="F423" s="14" t="n">
        <v>15</v>
      </c>
      <c r="G423" s="14" t="n">
        <v>2</v>
      </c>
      <c r="H423" s="14" t="n">
        <v>13</v>
      </c>
      <c r="I423" s="14" t="n">
        <v>4</v>
      </c>
      <c r="J423" s="15" t="n">
        <v>0.3077</v>
      </c>
    </row>
    <row r="424" customFormat="false" ht="15" hidden="false" customHeight="true" outlineLevel="0" collapsed="false">
      <c r="A424" s="13" t="n">
        <v>2026</v>
      </c>
      <c r="B424" s="13" t="s">
        <v>125</v>
      </c>
      <c r="C424" s="13" t="s">
        <v>526</v>
      </c>
      <c r="D424" s="13" t="s">
        <v>533</v>
      </c>
      <c r="E424" s="13" t="s">
        <v>534</v>
      </c>
      <c r="F424" s="14" t="n">
        <v>9</v>
      </c>
      <c r="G424" s="14" t="n">
        <v>1</v>
      </c>
      <c r="H424" s="14" t="n">
        <v>8</v>
      </c>
      <c r="I424" s="14" t="n">
        <v>1</v>
      </c>
      <c r="J424" s="15" t="n">
        <v>0.125</v>
      </c>
    </row>
    <row r="425" customFormat="false" ht="15" hidden="false" customHeight="true" outlineLevel="0" collapsed="false">
      <c r="A425" s="13" t="n">
        <v>2026</v>
      </c>
      <c r="B425" s="13" t="s">
        <v>125</v>
      </c>
      <c r="C425" s="13" t="s">
        <v>526</v>
      </c>
      <c r="D425" s="13" t="s">
        <v>418</v>
      </c>
      <c r="E425" s="13" t="s">
        <v>512</v>
      </c>
      <c r="F425" s="14" t="n">
        <v>222</v>
      </c>
      <c r="G425" s="14" t="n">
        <v>54</v>
      </c>
      <c r="H425" s="14" t="n">
        <v>168</v>
      </c>
      <c r="I425" s="14" t="n">
        <v>63</v>
      </c>
      <c r="J425" s="15" t="n">
        <v>0.375</v>
      </c>
    </row>
    <row r="426" customFormat="false" ht="15" hidden="false" customHeight="true" outlineLevel="0" collapsed="false">
      <c r="A426" s="13" t="n">
        <v>2026</v>
      </c>
      <c r="B426" s="13" t="s">
        <v>125</v>
      </c>
      <c r="C426" s="13" t="s">
        <v>526</v>
      </c>
      <c r="D426" s="13" t="s">
        <v>265</v>
      </c>
      <c r="E426" s="13" t="s">
        <v>528</v>
      </c>
      <c r="F426" s="14" t="n">
        <v>5166</v>
      </c>
      <c r="G426" s="14" t="n">
        <v>986</v>
      </c>
      <c r="H426" s="14" t="n">
        <v>4180</v>
      </c>
      <c r="I426" s="14" t="n">
        <v>3897</v>
      </c>
      <c r="J426" s="15" t="n">
        <v>0.9323</v>
      </c>
    </row>
    <row r="427" customFormat="false" ht="15" hidden="false" customHeight="true" outlineLevel="0" collapsed="false">
      <c r="A427" s="13" t="n">
        <v>2026</v>
      </c>
      <c r="B427" s="13" t="s">
        <v>125</v>
      </c>
      <c r="C427" s="13" t="s">
        <v>526</v>
      </c>
      <c r="D427" s="13" t="s">
        <v>535</v>
      </c>
      <c r="E427" s="13" t="s">
        <v>536</v>
      </c>
      <c r="F427" s="14" t="n">
        <v>22</v>
      </c>
      <c r="G427" s="14" t="n">
        <v>8</v>
      </c>
      <c r="H427" s="14" t="n">
        <v>14</v>
      </c>
      <c r="I427" s="14" t="n">
        <v>14</v>
      </c>
      <c r="J427" s="15" t="n">
        <v>1</v>
      </c>
    </row>
    <row r="428" customFormat="false" ht="15" hidden="false" customHeight="true" outlineLevel="0" collapsed="false">
      <c r="A428" s="13" t="n">
        <v>2026</v>
      </c>
      <c r="B428" s="13" t="s">
        <v>125</v>
      </c>
      <c r="C428" s="13" t="s">
        <v>526</v>
      </c>
      <c r="D428" s="13" t="s">
        <v>419</v>
      </c>
      <c r="E428" s="13" t="s">
        <v>537</v>
      </c>
      <c r="F428" s="14" t="n">
        <v>23</v>
      </c>
      <c r="G428" s="14" t="n">
        <v>8</v>
      </c>
      <c r="H428" s="14" t="n">
        <v>15</v>
      </c>
      <c r="I428" s="14" t="n">
        <v>15</v>
      </c>
      <c r="J428" s="15" t="n">
        <v>1</v>
      </c>
    </row>
    <row r="429" customFormat="false" ht="15" hidden="false" customHeight="true" outlineLevel="0" collapsed="false">
      <c r="A429" s="13" t="n">
        <v>2026</v>
      </c>
      <c r="B429" s="13" t="s">
        <v>125</v>
      </c>
      <c r="C429" s="13" t="s">
        <v>526</v>
      </c>
      <c r="D429" s="13" t="s">
        <v>419</v>
      </c>
      <c r="E429" s="13" t="s">
        <v>466</v>
      </c>
      <c r="F429" s="14" t="n">
        <v>3735</v>
      </c>
      <c r="G429" s="14" t="n">
        <v>691</v>
      </c>
      <c r="H429" s="14" t="n">
        <v>3044</v>
      </c>
      <c r="I429" s="14" t="n">
        <v>2758</v>
      </c>
      <c r="J429" s="15" t="n">
        <v>0.906</v>
      </c>
    </row>
    <row r="430" customFormat="false" ht="15" hidden="false" customHeight="true" outlineLevel="0" collapsed="false">
      <c r="A430" s="13" t="n">
        <v>2026</v>
      </c>
      <c r="B430" s="13" t="s">
        <v>125</v>
      </c>
      <c r="C430" s="13" t="s">
        <v>526</v>
      </c>
      <c r="D430" s="13" t="s">
        <v>159</v>
      </c>
      <c r="E430" s="13" t="s">
        <v>467</v>
      </c>
      <c r="F430" s="14" t="n">
        <v>10</v>
      </c>
      <c r="G430" s="14" t="n">
        <v>3</v>
      </c>
      <c r="H430" s="14" t="n">
        <v>7</v>
      </c>
      <c r="I430" s="14" t="n">
        <v>6</v>
      </c>
      <c r="J430" s="15" t="n">
        <v>0.8571</v>
      </c>
    </row>
    <row r="431" customFormat="false" ht="15" hidden="false" customHeight="true" outlineLevel="0" collapsed="false">
      <c r="A431" s="13" t="n">
        <v>2026</v>
      </c>
      <c r="B431" s="13" t="s">
        <v>125</v>
      </c>
      <c r="C431" s="13" t="s">
        <v>526</v>
      </c>
      <c r="D431" s="13" t="s">
        <v>156</v>
      </c>
      <c r="E431" s="13" t="s">
        <v>513</v>
      </c>
      <c r="F431" s="14" t="n">
        <v>1333</v>
      </c>
      <c r="G431" s="14" t="n">
        <v>144</v>
      </c>
      <c r="H431" s="14" t="n">
        <v>1189</v>
      </c>
      <c r="I431" s="14" t="n">
        <v>450</v>
      </c>
      <c r="J431" s="15" t="n">
        <v>0.3785</v>
      </c>
    </row>
    <row r="432" customFormat="false" ht="15" hidden="false" customHeight="true" outlineLevel="0" collapsed="false">
      <c r="A432" s="13" t="n">
        <v>2026</v>
      </c>
      <c r="B432" s="13" t="s">
        <v>125</v>
      </c>
      <c r="C432" s="13" t="s">
        <v>526</v>
      </c>
      <c r="D432" s="13" t="s">
        <v>514</v>
      </c>
      <c r="E432" s="13" t="s">
        <v>515</v>
      </c>
      <c r="F432" s="14" t="n">
        <v>12</v>
      </c>
      <c r="G432" s="14" t="n">
        <v>4</v>
      </c>
      <c r="H432" s="14" t="n">
        <v>8</v>
      </c>
      <c r="I432" s="14" t="n">
        <v>7</v>
      </c>
      <c r="J432" s="15" t="n">
        <v>0.875</v>
      </c>
    </row>
    <row r="433" customFormat="false" ht="15" hidden="false" customHeight="true" outlineLevel="0" collapsed="false">
      <c r="A433" s="13" t="n">
        <v>2026</v>
      </c>
      <c r="B433" s="13" t="s">
        <v>125</v>
      </c>
      <c r="C433" s="13" t="s">
        <v>526</v>
      </c>
      <c r="D433" s="13" t="s">
        <v>145</v>
      </c>
      <c r="E433" s="13" t="s">
        <v>517</v>
      </c>
      <c r="F433" s="14" t="n">
        <v>2</v>
      </c>
      <c r="G433" s="14" t="n">
        <v>2</v>
      </c>
      <c r="H433" s="14" t="n">
        <v>0</v>
      </c>
      <c r="I433" s="14" t="n">
        <v>0</v>
      </c>
      <c r="J433" s="15"/>
    </row>
    <row r="434" customFormat="false" ht="15" hidden="false" customHeight="true" outlineLevel="0" collapsed="false">
      <c r="A434" s="13" t="n">
        <v>2026</v>
      </c>
      <c r="B434" s="13" t="s">
        <v>125</v>
      </c>
      <c r="C434" s="13" t="s">
        <v>526</v>
      </c>
      <c r="D434" s="13" t="s">
        <v>424</v>
      </c>
      <c r="E434" s="13" t="s">
        <v>468</v>
      </c>
      <c r="F434" s="14" t="n">
        <v>178</v>
      </c>
      <c r="G434" s="14" t="n">
        <v>30</v>
      </c>
      <c r="H434" s="14" t="n">
        <v>148</v>
      </c>
      <c r="I434" s="14" t="n">
        <v>141</v>
      </c>
      <c r="J434" s="15" t="n">
        <v>0.9527</v>
      </c>
    </row>
    <row r="435" customFormat="false" ht="15" hidden="false" customHeight="true" outlineLevel="0" collapsed="false">
      <c r="A435" s="13" t="n">
        <v>2026</v>
      </c>
      <c r="B435" s="13" t="s">
        <v>125</v>
      </c>
      <c r="C435" s="13" t="s">
        <v>526</v>
      </c>
      <c r="D435" s="13" t="s">
        <v>425</v>
      </c>
      <c r="E435" s="13" t="s">
        <v>518</v>
      </c>
      <c r="F435" s="14" t="n">
        <v>41</v>
      </c>
      <c r="G435" s="14" t="n">
        <v>7</v>
      </c>
      <c r="H435" s="14" t="n">
        <v>34</v>
      </c>
      <c r="I435" s="14" t="n">
        <v>21</v>
      </c>
      <c r="J435" s="15" t="n">
        <v>0.6176</v>
      </c>
    </row>
    <row r="436" customFormat="false" ht="15" hidden="false" customHeight="true" outlineLevel="0" collapsed="false">
      <c r="A436" s="13" t="n">
        <v>2026</v>
      </c>
      <c r="B436" s="13" t="s">
        <v>125</v>
      </c>
      <c r="C436" s="13" t="s">
        <v>526</v>
      </c>
      <c r="D436" s="13" t="s">
        <v>165</v>
      </c>
      <c r="E436" s="13" t="s">
        <v>448</v>
      </c>
      <c r="F436" s="14" t="n">
        <v>1284</v>
      </c>
      <c r="G436" s="14" t="n">
        <v>157</v>
      </c>
      <c r="H436" s="14" t="n">
        <v>1127</v>
      </c>
      <c r="I436" s="14" t="n">
        <v>698</v>
      </c>
      <c r="J436" s="15" t="n">
        <v>0.6193</v>
      </c>
    </row>
    <row r="437" customFormat="false" ht="15" hidden="false" customHeight="true" outlineLevel="0" collapsed="false">
      <c r="A437" s="13" t="n">
        <v>2026</v>
      </c>
      <c r="B437" s="13" t="s">
        <v>125</v>
      </c>
      <c r="C437" s="13" t="s">
        <v>526</v>
      </c>
      <c r="D437" s="13" t="s">
        <v>477</v>
      </c>
      <c r="E437" s="13" t="s">
        <v>519</v>
      </c>
      <c r="F437" s="14" t="n">
        <v>281</v>
      </c>
      <c r="G437" s="14" t="n">
        <v>49</v>
      </c>
      <c r="H437" s="14" t="n">
        <v>232</v>
      </c>
      <c r="I437" s="14" t="n">
        <v>189</v>
      </c>
      <c r="J437" s="15" t="n">
        <v>0.8147</v>
      </c>
    </row>
    <row r="438" customFormat="false" ht="15" hidden="false" customHeight="true" outlineLevel="0" collapsed="false">
      <c r="A438" s="13" t="n">
        <v>2026</v>
      </c>
      <c r="B438" s="13" t="s">
        <v>125</v>
      </c>
      <c r="C438" s="13" t="s">
        <v>526</v>
      </c>
      <c r="D438" s="13" t="s">
        <v>284</v>
      </c>
      <c r="E438" s="13" t="s">
        <v>529</v>
      </c>
      <c r="F438" s="14" t="n">
        <v>171</v>
      </c>
      <c r="G438" s="14" t="n">
        <v>39</v>
      </c>
      <c r="H438" s="14" t="n">
        <v>132</v>
      </c>
      <c r="I438" s="14" t="n">
        <v>119</v>
      </c>
      <c r="J438" s="15" t="n">
        <v>0.9015</v>
      </c>
    </row>
    <row r="439" customFormat="false" ht="15" hidden="false" customHeight="true" outlineLevel="0" collapsed="false">
      <c r="A439" s="13" t="n">
        <v>2026</v>
      </c>
      <c r="B439" s="13" t="s">
        <v>125</v>
      </c>
      <c r="C439" s="13" t="s">
        <v>526</v>
      </c>
      <c r="D439" s="13" t="s">
        <v>285</v>
      </c>
      <c r="E439" s="13" t="s">
        <v>530</v>
      </c>
      <c r="F439" s="14" t="n">
        <v>391</v>
      </c>
      <c r="G439" s="14" t="n">
        <v>54</v>
      </c>
      <c r="H439" s="14" t="n">
        <v>337</v>
      </c>
      <c r="I439" s="14" t="n">
        <v>246</v>
      </c>
      <c r="J439" s="15" t="n">
        <v>0.73</v>
      </c>
    </row>
    <row r="440" customFormat="false" ht="15" hidden="false" customHeight="true" outlineLevel="0" collapsed="false">
      <c r="A440" s="13" t="n">
        <v>2026</v>
      </c>
      <c r="B440" s="13" t="s">
        <v>125</v>
      </c>
      <c r="C440" s="13" t="s">
        <v>526</v>
      </c>
      <c r="D440" s="13" t="s">
        <v>153</v>
      </c>
      <c r="E440" s="13" t="s">
        <v>470</v>
      </c>
      <c r="F440" s="14" t="n">
        <v>26</v>
      </c>
      <c r="G440" s="14" t="n">
        <v>8</v>
      </c>
      <c r="H440" s="14" t="n">
        <v>18</v>
      </c>
      <c r="I440" s="14" t="n">
        <v>17</v>
      </c>
      <c r="J440" s="15" t="n">
        <v>0.9444</v>
      </c>
    </row>
    <row r="441" customFormat="false" ht="15" hidden="false" customHeight="true" outlineLevel="0" collapsed="false">
      <c r="A441" s="13" t="n">
        <v>2026</v>
      </c>
      <c r="B441" s="13" t="s">
        <v>125</v>
      </c>
      <c r="C441" s="13" t="s">
        <v>526</v>
      </c>
      <c r="D441" s="13" t="s">
        <v>426</v>
      </c>
      <c r="E441" s="13" t="s">
        <v>471</v>
      </c>
      <c r="F441" s="14" t="n">
        <v>1060</v>
      </c>
      <c r="G441" s="14" t="n">
        <v>221</v>
      </c>
      <c r="H441" s="14" t="n">
        <v>839</v>
      </c>
      <c r="I441" s="14" t="n">
        <v>784</v>
      </c>
      <c r="J441" s="15" t="n">
        <v>0.9344</v>
      </c>
    </row>
    <row r="442" customFormat="false" ht="15" hidden="false" customHeight="true" outlineLevel="0" collapsed="false">
      <c r="A442" s="13" t="n">
        <v>2026</v>
      </c>
      <c r="B442" s="13" t="s">
        <v>125</v>
      </c>
      <c r="C442" s="13" t="s">
        <v>526</v>
      </c>
      <c r="D442" s="13" t="s">
        <v>531</v>
      </c>
      <c r="E442" s="13" t="s">
        <v>532</v>
      </c>
      <c r="F442" s="14" t="n">
        <v>103</v>
      </c>
      <c r="G442" s="14" t="n">
        <v>18</v>
      </c>
      <c r="H442" s="14" t="n">
        <v>85</v>
      </c>
      <c r="I442" s="14" t="n">
        <v>77</v>
      </c>
      <c r="J442" s="15" t="n">
        <v>0.9059</v>
      </c>
    </row>
    <row r="443" customFormat="false" ht="15" hidden="false" customHeight="true" outlineLevel="0" collapsed="false">
      <c r="A443" s="13" t="n">
        <v>2026</v>
      </c>
      <c r="B443" s="13" t="s">
        <v>125</v>
      </c>
      <c r="C443" s="13" t="s">
        <v>526</v>
      </c>
      <c r="D443" s="13" t="s">
        <v>427</v>
      </c>
      <c r="E443" s="13" t="s">
        <v>472</v>
      </c>
      <c r="F443" s="14" t="n">
        <v>1488</v>
      </c>
      <c r="G443" s="14" t="n">
        <v>284</v>
      </c>
      <c r="H443" s="14" t="n">
        <v>1204</v>
      </c>
      <c r="I443" s="14" t="n">
        <v>792</v>
      </c>
      <c r="J443" s="15" t="n">
        <v>0.6578</v>
      </c>
    </row>
    <row r="444" customFormat="false" ht="15" hidden="false" customHeight="true" outlineLevel="0" collapsed="false">
      <c r="A444" s="13" t="n">
        <v>2026</v>
      </c>
      <c r="B444" s="13" t="s">
        <v>125</v>
      </c>
      <c r="C444" s="13" t="s">
        <v>526</v>
      </c>
      <c r="D444" s="13" t="s">
        <v>155</v>
      </c>
      <c r="E444" s="13" t="s">
        <v>520</v>
      </c>
      <c r="F444" s="14" t="n">
        <v>45</v>
      </c>
      <c r="G444" s="14" t="n">
        <v>9</v>
      </c>
      <c r="H444" s="14" t="n">
        <v>36</v>
      </c>
      <c r="I444" s="14" t="n">
        <v>7</v>
      </c>
      <c r="J444" s="15" t="n">
        <v>0.1944</v>
      </c>
    </row>
    <row r="445" customFormat="false" ht="15" hidden="false" customHeight="true" outlineLevel="0" collapsed="false">
      <c r="A445" s="13" t="n">
        <v>2026</v>
      </c>
      <c r="B445" s="13" t="s">
        <v>125</v>
      </c>
      <c r="C445" s="13" t="s">
        <v>526</v>
      </c>
      <c r="D445" s="13" t="s">
        <v>523</v>
      </c>
      <c r="E445" s="13" t="s">
        <v>450</v>
      </c>
      <c r="F445" s="14" t="n">
        <v>5009</v>
      </c>
      <c r="G445" s="14" t="n">
        <v>1004</v>
      </c>
      <c r="H445" s="14" t="n">
        <v>4005</v>
      </c>
      <c r="I445" s="14" t="n">
        <v>3888</v>
      </c>
      <c r="J445" s="15" t="n">
        <v>0.9708</v>
      </c>
    </row>
    <row r="446" customFormat="false" ht="15" hidden="false" customHeight="true" outlineLevel="0" collapsed="false">
      <c r="A446" s="13" t="n">
        <v>2026</v>
      </c>
      <c r="B446" s="13" t="s">
        <v>125</v>
      </c>
      <c r="C446" s="13" t="s">
        <v>526</v>
      </c>
      <c r="D446" s="13" t="s">
        <v>410</v>
      </c>
      <c r="E446" s="13" t="s">
        <v>524</v>
      </c>
      <c r="F446" s="14" t="n">
        <v>7052</v>
      </c>
      <c r="G446" s="14" t="n">
        <v>1201</v>
      </c>
      <c r="H446" s="14" t="n">
        <v>5851</v>
      </c>
      <c r="I446" s="14" t="n">
        <v>4684</v>
      </c>
      <c r="J446" s="15" t="n">
        <v>0.8005</v>
      </c>
    </row>
    <row r="447" customFormat="false" ht="15" hidden="false" customHeight="true" outlineLevel="0" collapsed="false">
      <c r="A447" s="13" t="n">
        <v>2026</v>
      </c>
      <c r="B447" s="13" t="s">
        <v>125</v>
      </c>
      <c r="C447" s="13" t="s">
        <v>526</v>
      </c>
      <c r="D447" s="13" t="s">
        <v>525</v>
      </c>
      <c r="E447" s="13" t="s">
        <v>474</v>
      </c>
      <c r="F447" s="14" t="n">
        <v>58</v>
      </c>
      <c r="G447" s="14" t="n">
        <v>12</v>
      </c>
      <c r="H447" s="14" t="n">
        <v>46</v>
      </c>
      <c r="I447" s="14" t="n">
        <v>41</v>
      </c>
      <c r="J447" s="15" t="n">
        <v>0.8913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3" width="12"/>
  </cols>
  <sheetData>
    <row r="1" customFormat="false" ht="15" hidden="false" customHeight="true" outlineLevel="0" collapsed="false">
      <c r="A1" s="13" t="s">
        <v>544</v>
      </c>
    </row>
    <row r="2" customFormat="false" ht="15" hidden="false" customHeight="true" outlineLevel="0" collapsed="false">
      <c r="A2" s="13" t="s">
        <v>545</v>
      </c>
    </row>
    <row r="4" customFormat="false" ht="15" hidden="false" customHeight="true" outlineLevel="0" collapsed="false">
      <c r="A4" s="13" t="s">
        <v>3</v>
      </c>
      <c r="B4" s="13" t="s">
        <v>4</v>
      </c>
      <c r="C4" s="13" t="s">
        <v>5</v>
      </c>
      <c r="D4" s="13" t="s">
        <v>6</v>
      </c>
    </row>
    <row r="5" customFormat="false" ht="15" hidden="false" customHeight="true" outlineLevel="0" collapsed="false">
      <c r="A5" s="13" t="n">
        <v>2024</v>
      </c>
      <c r="B5" s="14" t="n">
        <v>142834</v>
      </c>
      <c r="C5" s="14" t="n">
        <v>89019</v>
      </c>
      <c r="D5" s="16" t="n">
        <f aca="false">ROUND(C5/B5*100,2)</f>
        <v>62.32</v>
      </c>
    </row>
    <row r="6" customFormat="false" ht="15" hidden="false" customHeight="true" outlineLevel="0" collapsed="false">
      <c r="A6" s="13" t="n">
        <v>2025</v>
      </c>
      <c r="B6" s="14" t="n">
        <v>135810</v>
      </c>
      <c r="C6" s="14" t="n">
        <v>85696</v>
      </c>
      <c r="D6" s="16" t="n">
        <f aca="false">ROUND(C6/B6*100,2)</f>
        <v>63.1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546</v>
      </c>
    </row>
    <row r="2" customFormat="false" ht="15" hidden="false" customHeight="true" outlineLevel="0" collapsed="false">
      <c r="A2" s="13" t="s">
        <v>547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7637</v>
      </c>
      <c r="C5" s="14" t="n">
        <v>5780</v>
      </c>
      <c r="D5" s="14" t="n">
        <v>1036</v>
      </c>
      <c r="E5" s="14" t="n">
        <v>1192</v>
      </c>
      <c r="F5" s="14" t="n">
        <v>1618</v>
      </c>
      <c r="G5" s="14" t="n">
        <v>1615</v>
      </c>
      <c r="H5" s="14" t="n">
        <v>268</v>
      </c>
      <c r="I5" s="14" t="n">
        <v>0</v>
      </c>
      <c r="J5" s="16" t="n">
        <v>75.68</v>
      </c>
    </row>
    <row r="6" customFormat="false" ht="15" hidden="false" customHeight="true" outlineLevel="0" collapsed="false">
      <c r="A6" s="13" t="s">
        <v>133</v>
      </c>
      <c r="B6" s="14" t="n">
        <v>26177</v>
      </c>
      <c r="C6" s="14" t="n">
        <v>21947</v>
      </c>
      <c r="D6" s="14" t="n">
        <v>4298</v>
      </c>
      <c r="E6" s="14" t="n">
        <v>5753</v>
      </c>
      <c r="F6" s="14" t="n">
        <v>6901</v>
      </c>
      <c r="G6" s="14" t="n">
        <v>4479</v>
      </c>
      <c r="H6" s="14" t="n">
        <v>353</v>
      </c>
      <c r="I6" s="14" t="n">
        <v>0</v>
      </c>
      <c r="J6" s="16" t="n">
        <v>83.84</v>
      </c>
    </row>
    <row r="7" customFormat="false" ht="15" hidden="false" customHeight="true" outlineLevel="0" collapsed="false">
      <c r="A7" s="13" t="s">
        <v>548</v>
      </c>
      <c r="B7" s="14" t="n">
        <v>33814</v>
      </c>
      <c r="C7" s="14" t="n">
        <v>27727</v>
      </c>
      <c r="D7" s="14" t="n">
        <v>5334</v>
      </c>
      <c r="E7" s="14" t="n">
        <v>6945</v>
      </c>
      <c r="F7" s="14" t="n">
        <v>8519</v>
      </c>
      <c r="G7" s="14" t="n">
        <v>6094</v>
      </c>
      <c r="H7" s="14" t="n">
        <v>621</v>
      </c>
      <c r="I7" s="14" t="n">
        <v>0</v>
      </c>
      <c r="J7" s="16" t="n">
        <v>82</v>
      </c>
    </row>
    <row r="8" customFormat="false" ht="15" hidden="false" customHeight="true" outlineLevel="0" collapsed="false">
      <c r="A8" s="13" t="s">
        <v>136</v>
      </c>
      <c r="B8" s="14" t="n">
        <v>1704</v>
      </c>
      <c r="C8" s="14" t="n">
        <v>976</v>
      </c>
      <c r="D8" s="14" t="n">
        <v>283</v>
      </c>
      <c r="E8" s="14" t="n">
        <v>71</v>
      </c>
      <c r="F8" s="14" t="n">
        <v>84</v>
      </c>
      <c r="G8" s="14" t="n">
        <v>206</v>
      </c>
      <c r="H8" s="14" t="n">
        <v>302</v>
      </c>
      <c r="I8" s="14" t="n">
        <v>30</v>
      </c>
      <c r="J8" s="16" t="n">
        <v>57.28</v>
      </c>
    </row>
    <row r="9" customFormat="false" ht="15" hidden="false" customHeight="true" outlineLevel="0" collapsed="false">
      <c r="A9" s="13" t="s">
        <v>135</v>
      </c>
      <c r="B9" s="14" t="n">
        <v>4143</v>
      </c>
      <c r="C9" s="14" t="n">
        <v>2644</v>
      </c>
      <c r="D9" s="14" t="n">
        <v>858</v>
      </c>
      <c r="E9" s="14" t="n">
        <v>227</v>
      </c>
      <c r="F9" s="14" t="n">
        <v>210</v>
      </c>
      <c r="G9" s="14" t="n">
        <v>666</v>
      </c>
      <c r="H9" s="14" t="n">
        <v>630</v>
      </c>
      <c r="I9" s="14" t="n">
        <v>53</v>
      </c>
      <c r="J9" s="16" t="n">
        <v>63.82</v>
      </c>
    </row>
    <row r="10" customFormat="false" ht="15" hidden="false" customHeight="true" outlineLevel="0" collapsed="false">
      <c r="A10" s="13" t="s">
        <v>549</v>
      </c>
      <c r="B10" s="14" t="n">
        <v>5847</v>
      </c>
      <c r="C10" s="14" t="n">
        <v>3620</v>
      </c>
      <c r="D10" s="14" t="n">
        <v>1141</v>
      </c>
      <c r="E10" s="14" t="n">
        <v>298</v>
      </c>
      <c r="F10" s="14" t="n">
        <v>294</v>
      </c>
      <c r="G10" s="14" t="n">
        <v>872</v>
      </c>
      <c r="H10" s="14" t="n">
        <v>932</v>
      </c>
      <c r="I10" s="14" t="n">
        <v>83</v>
      </c>
      <c r="J10" s="16" t="n">
        <v>61.91</v>
      </c>
    </row>
    <row r="11" customFormat="false" ht="15" hidden="false" customHeight="true" outlineLevel="0" collapsed="false">
      <c r="A11" s="13" t="s">
        <v>137</v>
      </c>
      <c r="B11" s="14" t="n">
        <v>39661</v>
      </c>
      <c r="C11" s="14" t="n">
        <v>31347</v>
      </c>
      <c r="D11" s="14" t="n">
        <v>6475</v>
      </c>
      <c r="E11" s="14" t="n">
        <v>7243</v>
      </c>
      <c r="F11" s="14" t="n">
        <v>8813</v>
      </c>
      <c r="G11" s="14" t="n">
        <v>6966</v>
      </c>
      <c r="H11" s="14" t="n">
        <v>1553</v>
      </c>
      <c r="I11" s="14" t="n">
        <v>83</v>
      </c>
      <c r="J11" s="16" t="n">
        <v>79.04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550</v>
      </c>
    </row>
    <row r="2" customFormat="false" ht="15" hidden="false" customHeight="true" outlineLevel="0" collapsed="false">
      <c r="A2" s="13" t="s">
        <v>551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4233</v>
      </c>
      <c r="C5" s="14" t="n">
        <v>3115</v>
      </c>
      <c r="D5" s="14" t="n">
        <v>301</v>
      </c>
      <c r="E5" s="14" t="n">
        <v>639</v>
      </c>
      <c r="F5" s="14" t="n">
        <v>951</v>
      </c>
      <c r="G5" s="14" t="n">
        <v>967</v>
      </c>
      <c r="H5" s="14" t="n">
        <v>229</v>
      </c>
      <c r="I5" s="14" t="n">
        <v>2</v>
      </c>
      <c r="J5" s="16" t="n">
        <v>73.59</v>
      </c>
    </row>
    <row r="6" customFormat="false" ht="15" hidden="false" customHeight="true" outlineLevel="0" collapsed="false">
      <c r="A6" s="13" t="s">
        <v>133</v>
      </c>
      <c r="B6" s="14" t="n">
        <v>3906</v>
      </c>
      <c r="C6" s="14" t="n">
        <v>3238</v>
      </c>
      <c r="D6" s="14" t="n">
        <v>352</v>
      </c>
      <c r="E6" s="14" t="n">
        <v>682</v>
      </c>
      <c r="F6" s="14" t="n">
        <v>1101</v>
      </c>
      <c r="G6" s="14" t="n">
        <v>963</v>
      </c>
      <c r="H6" s="14" t="n">
        <v>122</v>
      </c>
      <c r="I6" s="14" t="n">
        <v>0</v>
      </c>
      <c r="J6" s="16" t="n">
        <v>82.9</v>
      </c>
    </row>
    <row r="7" customFormat="false" ht="15" hidden="false" customHeight="true" outlineLevel="0" collapsed="false">
      <c r="A7" s="13" t="s">
        <v>548</v>
      </c>
      <c r="B7" s="14" t="n">
        <v>8139</v>
      </c>
      <c r="C7" s="14" t="n">
        <v>6353</v>
      </c>
      <c r="D7" s="14" t="n">
        <v>653</v>
      </c>
      <c r="E7" s="14" t="n">
        <v>1321</v>
      </c>
      <c r="F7" s="14" t="n">
        <v>2052</v>
      </c>
      <c r="G7" s="14" t="n">
        <v>1930</v>
      </c>
      <c r="H7" s="14" t="n">
        <v>351</v>
      </c>
      <c r="I7" s="14" t="n">
        <v>2</v>
      </c>
      <c r="J7" s="16" t="n">
        <v>78.06</v>
      </c>
    </row>
    <row r="8" customFormat="false" ht="15" hidden="false" customHeight="true" outlineLevel="0" collapsed="false">
      <c r="A8" s="13" t="s">
        <v>136</v>
      </c>
      <c r="B8" s="14" t="n">
        <v>934</v>
      </c>
      <c r="C8" s="14" t="n">
        <v>409</v>
      </c>
      <c r="D8" s="14" t="n">
        <v>2</v>
      </c>
      <c r="E8" s="14" t="n">
        <v>8</v>
      </c>
      <c r="F8" s="14" t="n">
        <v>25</v>
      </c>
      <c r="G8" s="14" t="n">
        <v>131</v>
      </c>
      <c r="H8" s="14" t="n">
        <v>231</v>
      </c>
      <c r="I8" s="14" t="n">
        <v>12</v>
      </c>
      <c r="J8" s="16" t="n">
        <v>43.79</v>
      </c>
    </row>
    <row r="9" customFormat="false" ht="15" hidden="false" customHeight="true" outlineLevel="0" collapsed="false">
      <c r="A9" s="13" t="s">
        <v>135</v>
      </c>
      <c r="B9" s="14" t="n">
        <v>516</v>
      </c>
      <c r="C9" s="14" t="n">
        <v>270</v>
      </c>
      <c r="D9" s="14" t="n">
        <v>2</v>
      </c>
      <c r="E9" s="14" t="n">
        <v>6</v>
      </c>
      <c r="F9" s="14" t="n">
        <v>18</v>
      </c>
      <c r="G9" s="14" t="n">
        <v>91</v>
      </c>
      <c r="H9" s="14" t="n">
        <v>149</v>
      </c>
      <c r="I9" s="14" t="n">
        <v>4</v>
      </c>
      <c r="J9" s="16" t="n">
        <v>52.33</v>
      </c>
    </row>
    <row r="10" customFormat="false" ht="15" hidden="false" customHeight="true" outlineLevel="0" collapsed="false">
      <c r="A10" s="13" t="s">
        <v>549</v>
      </c>
      <c r="B10" s="14" t="n">
        <v>1450</v>
      </c>
      <c r="C10" s="14" t="n">
        <v>679</v>
      </c>
      <c r="D10" s="14" t="n">
        <v>4</v>
      </c>
      <c r="E10" s="14" t="n">
        <v>14</v>
      </c>
      <c r="F10" s="14" t="n">
        <v>43</v>
      </c>
      <c r="G10" s="14" t="n">
        <v>222</v>
      </c>
      <c r="H10" s="14" t="n">
        <v>380</v>
      </c>
      <c r="I10" s="14" t="n">
        <v>16</v>
      </c>
      <c r="J10" s="16" t="n">
        <v>46.83</v>
      </c>
    </row>
    <row r="11" customFormat="false" ht="15" hidden="false" customHeight="true" outlineLevel="0" collapsed="false">
      <c r="A11" s="13" t="s">
        <v>137</v>
      </c>
      <c r="B11" s="14" t="n">
        <v>9589</v>
      </c>
      <c r="C11" s="14" t="n">
        <v>7032</v>
      </c>
      <c r="D11" s="14" t="n">
        <v>657</v>
      </c>
      <c r="E11" s="14" t="n">
        <v>1335</v>
      </c>
      <c r="F11" s="14" t="n">
        <v>2095</v>
      </c>
      <c r="G11" s="14" t="n">
        <v>2152</v>
      </c>
      <c r="H11" s="14" t="n">
        <v>731</v>
      </c>
      <c r="I11" s="14" t="n">
        <v>18</v>
      </c>
      <c r="J11" s="16" t="n">
        <v>73.33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552</v>
      </c>
    </row>
    <row r="2" customFormat="false" ht="15" hidden="false" customHeight="true" outlineLevel="0" collapsed="false">
      <c r="A2" s="13" t="s">
        <v>553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7077</v>
      </c>
      <c r="C5" s="14" t="n">
        <v>2817</v>
      </c>
      <c r="D5" s="14" t="n">
        <v>31</v>
      </c>
      <c r="E5" s="14" t="n">
        <v>232</v>
      </c>
      <c r="F5" s="14" t="n">
        <v>723</v>
      </c>
      <c r="G5" s="14" t="n">
        <v>1107</v>
      </c>
      <c r="H5" s="14" t="n">
        <v>670</v>
      </c>
      <c r="I5" s="14" t="n">
        <v>21</v>
      </c>
      <c r="J5" s="16" t="n">
        <v>39.81</v>
      </c>
    </row>
    <row r="6" customFormat="false" ht="15" hidden="false" customHeight="true" outlineLevel="0" collapsed="false">
      <c r="A6" s="13" t="s">
        <v>133</v>
      </c>
      <c r="B6" s="14" t="n">
        <v>21143</v>
      </c>
      <c r="C6" s="14" t="n">
        <v>13746</v>
      </c>
      <c r="D6" s="14" t="n">
        <v>306</v>
      </c>
      <c r="E6" s="14" t="n">
        <v>1959</v>
      </c>
      <c r="F6" s="14" t="n">
        <v>4864</v>
      </c>
      <c r="G6" s="14" t="n">
        <v>4952</v>
      </c>
      <c r="H6" s="14" t="n">
        <v>1526</v>
      </c>
      <c r="I6" s="14" t="n">
        <v>35</v>
      </c>
      <c r="J6" s="16" t="n">
        <v>65.01</v>
      </c>
    </row>
    <row r="7" customFormat="false" ht="15" hidden="false" customHeight="true" outlineLevel="0" collapsed="false">
      <c r="A7" s="13" t="s">
        <v>548</v>
      </c>
      <c r="B7" s="14" t="n">
        <v>28220</v>
      </c>
      <c r="C7" s="14" t="n">
        <v>16563</v>
      </c>
      <c r="D7" s="14" t="n">
        <v>337</v>
      </c>
      <c r="E7" s="14" t="n">
        <v>2191</v>
      </c>
      <c r="F7" s="14" t="n">
        <v>5587</v>
      </c>
      <c r="G7" s="14" t="n">
        <v>6059</v>
      </c>
      <c r="H7" s="14" t="n">
        <v>2196</v>
      </c>
      <c r="I7" s="14" t="n">
        <v>56</v>
      </c>
      <c r="J7" s="16" t="n">
        <v>58.69</v>
      </c>
    </row>
    <row r="8" customFormat="false" ht="15" hidden="false" customHeight="true" outlineLevel="0" collapsed="false">
      <c r="A8" s="13" t="s">
        <v>136</v>
      </c>
      <c r="B8" s="14" t="n">
        <v>7462</v>
      </c>
      <c r="C8" s="14" t="n">
        <v>1884</v>
      </c>
      <c r="D8" s="14" t="n">
        <v>7</v>
      </c>
      <c r="E8" s="14" t="n">
        <v>66</v>
      </c>
      <c r="F8" s="14" t="n">
        <v>286</v>
      </c>
      <c r="G8" s="14" t="n">
        <v>665</v>
      </c>
      <c r="H8" s="14" t="n">
        <v>735</v>
      </c>
      <c r="I8" s="14" t="n">
        <v>109</v>
      </c>
      <c r="J8" s="16" t="n">
        <v>25.25</v>
      </c>
    </row>
    <row r="9" customFormat="false" ht="15" hidden="false" customHeight="true" outlineLevel="0" collapsed="false">
      <c r="A9" s="13" t="s">
        <v>135</v>
      </c>
      <c r="B9" s="14" t="n">
        <v>14379</v>
      </c>
      <c r="C9" s="14" t="n">
        <v>6848</v>
      </c>
      <c r="D9" s="14" t="n">
        <v>67</v>
      </c>
      <c r="E9" s="14" t="n">
        <v>599</v>
      </c>
      <c r="F9" s="14" t="n">
        <v>1898</v>
      </c>
      <c r="G9" s="14" t="n">
        <v>2532</v>
      </c>
      <c r="H9" s="14" t="n">
        <v>1565</v>
      </c>
      <c r="I9" s="14" t="n">
        <v>143</v>
      </c>
      <c r="J9" s="16" t="n">
        <v>47.63</v>
      </c>
    </row>
    <row r="10" customFormat="false" ht="15" hidden="false" customHeight="true" outlineLevel="0" collapsed="false">
      <c r="A10" s="13" t="s">
        <v>549</v>
      </c>
      <c r="B10" s="14" t="n">
        <v>21841</v>
      </c>
      <c r="C10" s="14" t="n">
        <v>8732</v>
      </c>
      <c r="D10" s="14" t="n">
        <v>74</v>
      </c>
      <c r="E10" s="14" t="n">
        <v>665</v>
      </c>
      <c r="F10" s="14" t="n">
        <v>2184</v>
      </c>
      <c r="G10" s="14" t="n">
        <v>3197</v>
      </c>
      <c r="H10" s="14" t="n">
        <v>2300</v>
      </c>
      <c r="I10" s="14" t="n">
        <v>252</v>
      </c>
      <c r="J10" s="16" t="n">
        <v>39.98</v>
      </c>
    </row>
    <row r="11" customFormat="false" ht="15" hidden="false" customHeight="true" outlineLevel="0" collapsed="false">
      <c r="A11" s="13" t="s">
        <v>137</v>
      </c>
      <c r="B11" s="14" t="n">
        <v>50061</v>
      </c>
      <c r="C11" s="14" t="n">
        <v>25295</v>
      </c>
      <c r="D11" s="14" t="n">
        <v>411</v>
      </c>
      <c r="E11" s="14" t="n">
        <v>2856</v>
      </c>
      <c r="F11" s="14" t="n">
        <v>7771</v>
      </c>
      <c r="G11" s="14" t="n">
        <v>9256</v>
      </c>
      <c r="H11" s="14" t="n">
        <v>4496</v>
      </c>
      <c r="I11" s="14" t="n">
        <v>308</v>
      </c>
      <c r="J11" s="16" t="n">
        <v>50.53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554</v>
      </c>
    </row>
    <row r="2" customFormat="false" ht="15" hidden="false" customHeight="true" outlineLevel="0" collapsed="false">
      <c r="A2" s="13" t="s">
        <v>555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13307</v>
      </c>
      <c r="C5" s="14" t="n">
        <v>7052</v>
      </c>
      <c r="D5" s="14" t="n">
        <v>272</v>
      </c>
      <c r="E5" s="14" t="n">
        <v>781</v>
      </c>
      <c r="F5" s="14" t="n">
        <v>1783</v>
      </c>
      <c r="G5" s="14" t="n">
        <v>2885</v>
      </c>
      <c r="H5" s="14" t="n">
        <v>1258</v>
      </c>
      <c r="I5" s="14" t="n">
        <v>19</v>
      </c>
      <c r="J5" s="16" t="n">
        <v>52.99</v>
      </c>
    </row>
    <row r="6" customFormat="false" ht="15" hidden="false" customHeight="true" outlineLevel="0" collapsed="false">
      <c r="A6" s="13" t="s">
        <v>133</v>
      </c>
      <c r="B6" s="14" t="n">
        <v>14948</v>
      </c>
      <c r="C6" s="14" t="n">
        <v>10205</v>
      </c>
      <c r="D6" s="14" t="n">
        <v>616</v>
      </c>
      <c r="E6" s="14" t="n">
        <v>1694</v>
      </c>
      <c r="F6" s="14" t="n">
        <v>3379</v>
      </c>
      <c r="G6" s="14" t="n">
        <v>3626</v>
      </c>
      <c r="H6" s="14" t="n">
        <v>812</v>
      </c>
      <c r="I6" s="14" t="n">
        <v>5</v>
      </c>
      <c r="J6" s="16" t="n">
        <v>68.27</v>
      </c>
    </row>
    <row r="7" customFormat="false" ht="15" hidden="false" customHeight="true" outlineLevel="0" collapsed="false">
      <c r="A7" s="13" t="s">
        <v>548</v>
      </c>
      <c r="B7" s="14" t="n">
        <v>28255</v>
      </c>
      <c r="C7" s="14" t="n">
        <v>17257</v>
      </c>
      <c r="D7" s="14" t="n">
        <v>888</v>
      </c>
      <c r="E7" s="14" t="n">
        <v>2475</v>
      </c>
      <c r="F7" s="14" t="n">
        <v>5162</v>
      </c>
      <c r="G7" s="14" t="n">
        <v>6511</v>
      </c>
      <c r="H7" s="14" t="n">
        <v>2070</v>
      </c>
      <c r="I7" s="14" t="n">
        <v>24</v>
      </c>
      <c r="J7" s="16" t="n">
        <v>61.08</v>
      </c>
    </row>
    <row r="8" customFormat="false" ht="15" hidden="false" customHeight="true" outlineLevel="0" collapsed="false">
      <c r="A8" s="13" t="s">
        <v>136</v>
      </c>
      <c r="B8" s="14" t="n">
        <v>2335</v>
      </c>
      <c r="C8" s="14" t="n">
        <v>823</v>
      </c>
      <c r="D8" s="14" t="n">
        <v>1</v>
      </c>
      <c r="E8" s="14" t="n">
        <v>2</v>
      </c>
      <c r="F8" s="14" t="n">
        <v>16</v>
      </c>
      <c r="G8" s="14" t="n">
        <v>189</v>
      </c>
      <c r="H8" s="14" t="n">
        <v>571</v>
      </c>
      <c r="I8" s="14" t="n">
        <v>44</v>
      </c>
      <c r="J8" s="16" t="n">
        <v>35.25</v>
      </c>
    </row>
    <row r="9" customFormat="false" ht="15" hidden="false" customHeight="true" outlineLevel="0" collapsed="false">
      <c r="A9" s="13" t="s">
        <v>135</v>
      </c>
      <c r="B9" s="14" t="n">
        <v>2004</v>
      </c>
      <c r="C9" s="14" t="n">
        <v>765</v>
      </c>
      <c r="D9" s="14" t="n">
        <v>1</v>
      </c>
      <c r="E9" s="14" t="n">
        <v>5</v>
      </c>
      <c r="F9" s="14" t="n">
        <v>18</v>
      </c>
      <c r="G9" s="14" t="n">
        <v>265</v>
      </c>
      <c r="H9" s="14" t="n">
        <v>457</v>
      </c>
      <c r="I9" s="14" t="n">
        <v>19</v>
      </c>
      <c r="J9" s="16" t="n">
        <v>38.17</v>
      </c>
    </row>
    <row r="10" customFormat="false" ht="15" hidden="false" customHeight="true" outlineLevel="0" collapsed="false">
      <c r="A10" s="13" t="s">
        <v>549</v>
      </c>
      <c r="B10" s="14" t="n">
        <v>4339</v>
      </c>
      <c r="C10" s="14" t="n">
        <v>1588</v>
      </c>
      <c r="D10" s="14" t="n">
        <v>2</v>
      </c>
      <c r="E10" s="14" t="n">
        <v>7</v>
      </c>
      <c r="F10" s="14" t="n">
        <v>34</v>
      </c>
      <c r="G10" s="14" t="n">
        <v>454</v>
      </c>
      <c r="H10" s="14" t="n">
        <v>1028</v>
      </c>
      <c r="I10" s="14" t="n">
        <v>63</v>
      </c>
      <c r="J10" s="16" t="n">
        <v>36.6</v>
      </c>
    </row>
    <row r="11" customFormat="false" ht="15" hidden="false" customHeight="true" outlineLevel="0" collapsed="false">
      <c r="A11" s="13" t="s">
        <v>137</v>
      </c>
      <c r="B11" s="14" t="n">
        <v>32594</v>
      </c>
      <c r="C11" s="14" t="n">
        <v>18845</v>
      </c>
      <c r="D11" s="14" t="n">
        <v>890</v>
      </c>
      <c r="E11" s="14" t="n">
        <v>2482</v>
      </c>
      <c r="F11" s="14" t="n">
        <v>5196</v>
      </c>
      <c r="G11" s="14" t="n">
        <v>6965</v>
      </c>
      <c r="H11" s="14" t="n">
        <v>3098</v>
      </c>
      <c r="I11" s="14" t="n">
        <v>87</v>
      </c>
      <c r="J11" s="16" t="n">
        <v>57.82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556</v>
      </c>
    </row>
    <row r="2" customFormat="false" ht="15" hidden="false" customHeight="true" outlineLevel="0" collapsed="false">
      <c r="A2" s="13" t="s">
        <v>557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3764</v>
      </c>
      <c r="C5" s="14" t="n">
        <v>2001</v>
      </c>
      <c r="D5" s="14" t="n">
        <v>28</v>
      </c>
      <c r="E5" s="14" t="n">
        <v>115</v>
      </c>
      <c r="F5" s="14" t="n">
        <v>355</v>
      </c>
      <c r="G5" s="14" t="n">
        <v>733</v>
      </c>
      <c r="H5" s="14" t="n">
        <v>722</v>
      </c>
      <c r="I5" s="14" t="n">
        <v>34</v>
      </c>
      <c r="J5" s="16" t="n">
        <v>53.16</v>
      </c>
    </row>
    <row r="6" customFormat="false" ht="15" hidden="false" customHeight="true" outlineLevel="0" collapsed="false">
      <c r="A6" s="13" t="s">
        <v>133</v>
      </c>
      <c r="B6" s="14" t="n">
        <v>4075</v>
      </c>
      <c r="C6" s="14" t="n">
        <v>3294</v>
      </c>
      <c r="D6" s="14" t="n">
        <v>128</v>
      </c>
      <c r="E6" s="14" t="n">
        <v>516</v>
      </c>
      <c r="F6" s="14" t="n">
        <v>1048</v>
      </c>
      <c r="G6" s="14" t="n">
        <v>1153</v>
      </c>
      <c r="H6" s="14" t="n">
        <v>417</v>
      </c>
      <c r="I6" s="14" t="n">
        <v>8</v>
      </c>
      <c r="J6" s="16" t="n">
        <v>80.83</v>
      </c>
    </row>
    <row r="7" customFormat="false" ht="15" hidden="false" customHeight="true" outlineLevel="0" collapsed="false">
      <c r="A7" s="13" t="s">
        <v>548</v>
      </c>
      <c r="B7" s="14" t="n">
        <v>7839</v>
      </c>
      <c r="C7" s="14" t="n">
        <v>5295</v>
      </c>
      <c r="D7" s="14" t="n">
        <v>156</v>
      </c>
      <c r="E7" s="14" t="n">
        <v>631</v>
      </c>
      <c r="F7" s="14" t="n">
        <v>1403</v>
      </c>
      <c r="G7" s="14" t="n">
        <v>1886</v>
      </c>
      <c r="H7" s="14" t="n">
        <v>1139</v>
      </c>
      <c r="I7" s="14" t="n">
        <v>42</v>
      </c>
      <c r="J7" s="16" t="n">
        <v>67.55</v>
      </c>
    </row>
    <row r="8" customFormat="false" ht="15" hidden="false" customHeight="true" outlineLevel="0" collapsed="false">
      <c r="A8" s="13" t="s">
        <v>136</v>
      </c>
      <c r="B8" s="14" t="n">
        <v>1820</v>
      </c>
      <c r="C8" s="14" t="n">
        <v>547</v>
      </c>
      <c r="D8" s="14" t="n">
        <v>0</v>
      </c>
      <c r="E8" s="14" t="n">
        <v>5</v>
      </c>
      <c r="F8" s="14" t="n">
        <v>27</v>
      </c>
      <c r="G8" s="14" t="n">
        <v>124</v>
      </c>
      <c r="H8" s="14" t="n">
        <v>344</v>
      </c>
      <c r="I8" s="14" t="n">
        <v>45</v>
      </c>
      <c r="J8" s="16" t="n">
        <v>30.05</v>
      </c>
    </row>
    <row r="9" customFormat="false" ht="15" hidden="false" customHeight="true" outlineLevel="0" collapsed="false">
      <c r="A9" s="13" t="s">
        <v>135</v>
      </c>
      <c r="B9" s="14" t="n">
        <v>1241</v>
      </c>
      <c r="C9" s="14" t="n">
        <v>638</v>
      </c>
      <c r="D9" s="14" t="n">
        <v>5</v>
      </c>
      <c r="E9" s="14" t="n">
        <v>42</v>
      </c>
      <c r="F9" s="14" t="n">
        <v>115</v>
      </c>
      <c r="G9" s="14" t="n">
        <v>220</v>
      </c>
      <c r="H9" s="14" t="n">
        <v>222</v>
      </c>
      <c r="I9" s="14" t="n">
        <v>28</v>
      </c>
      <c r="J9" s="16" t="n">
        <v>51.41</v>
      </c>
    </row>
    <row r="10" customFormat="false" ht="15" hidden="false" customHeight="true" outlineLevel="0" collapsed="false">
      <c r="A10" s="13" t="s">
        <v>549</v>
      </c>
      <c r="B10" s="14" t="n">
        <v>3061</v>
      </c>
      <c r="C10" s="14" t="n">
        <v>1185</v>
      </c>
      <c r="D10" s="14" t="n">
        <v>5</v>
      </c>
      <c r="E10" s="14" t="n">
        <v>47</v>
      </c>
      <c r="F10" s="14" t="n">
        <v>142</v>
      </c>
      <c r="G10" s="14" t="n">
        <v>344</v>
      </c>
      <c r="H10" s="14" t="n">
        <v>566</v>
      </c>
      <c r="I10" s="14" t="n">
        <v>73</v>
      </c>
      <c r="J10" s="16" t="n">
        <v>38.71</v>
      </c>
    </row>
    <row r="11" customFormat="false" ht="15" hidden="false" customHeight="true" outlineLevel="0" collapsed="false">
      <c r="A11" s="13" t="s">
        <v>137</v>
      </c>
      <c r="B11" s="14" t="n">
        <v>10900</v>
      </c>
      <c r="C11" s="14" t="n">
        <v>6480</v>
      </c>
      <c r="D11" s="14" t="n">
        <v>161</v>
      </c>
      <c r="E11" s="14" t="n">
        <v>678</v>
      </c>
      <c r="F11" s="14" t="n">
        <v>1545</v>
      </c>
      <c r="G11" s="14" t="n">
        <v>2230</v>
      </c>
      <c r="H11" s="14" t="n">
        <v>1705</v>
      </c>
      <c r="I11" s="14" t="n">
        <v>115</v>
      </c>
      <c r="J11" s="16" t="n">
        <v>59.45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558</v>
      </c>
    </row>
    <row r="2" customFormat="false" ht="15" hidden="false" customHeight="true" outlineLevel="0" collapsed="false">
      <c r="A2" s="13" t="s">
        <v>559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133</v>
      </c>
      <c r="B5" s="14" t="n">
        <v>21</v>
      </c>
      <c r="C5" s="14" t="n">
        <v>17</v>
      </c>
      <c r="D5" s="14" t="n">
        <v>0</v>
      </c>
      <c r="E5" s="14" t="n">
        <v>4</v>
      </c>
      <c r="F5" s="14" t="n">
        <v>10</v>
      </c>
      <c r="G5" s="14" t="n">
        <v>3</v>
      </c>
      <c r="H5" s="14" t="n">
        <v>0</v>
      </c>
      <c r="I5" s="14" t="n">
        <v>0</v>
      </c>
      <c r="J5" s="16" t="n">
        <v>80.95</v>
      </c>
    </row>
    <row r="6" customFormat="false" ht="15" hidden="false" customHeight="true" outlineLevel="0" collapsed="false">
      <c r="A6" s="13" t="s">
        <v>548</v>
      </c>
      <c r="B6" s="14" t="n">
        <v>21</v>
      </c>
      <c r="C6" s="14" t="n">
        <v>17</v>
      </c>
      <c r="D6" s="14" t="n">
        <v>0</v>
      </c>
      <c r="E6" s="14" t="n">
        <v>4</v>
      </c>
      <c r="F6" s="14" t="n">
        <v>10</v>
      </c>
      <c r="G6" s="14" t="n">
        <v>3</v>
      </c>
      <c r="H6" s="14" t="n">
        <v>0</v>
      </c>
      <c r="I6" s="14" t="n">
        <v>0</v>
      </c>
      <c r="J6" s="16" t="n">
        <v>80.95</v>
      </c>
    </row>
    <row r="7" customFormat="false" ht="15" hidden="false" customHeight="true" outlineLevel="0" collapsed="false">
      <c r="A7" s="13" t="s">
        <v>135</v>
      </c>
      <c r="B7" s="14" t="n">
        <v>8</v>
      </c>
      <c r="C7" s="14" t="n">
        <v>3</v>
      </c>
      <c r="D7" s="14" t="n">
        <v>0</v>
      </c>
      <c r="E7" s="14" t="n">
        <v>0</v>
      </c>
      <c r="F7" s="14" t="n">
        <v>0</v>
      </c>
      <c r="G7" s="14" t="n">
        <v>2</v>
      </c>
      <c r="H7" s="14" t="n">
        <v>1</v>
      </c>
      <c r="I7" s="14" t="n">
        <v>0</v>
      </c>
      <c r="J7" s="16" t="n">
        <v>37.5</v>
      </c>
    </row>
    <row r="8" customFormat="false" ht="15" hidden="false" customHeight="true" outlineLevel="0" collapsed="false">
      <c r="A8" s="13" t="s">
        <v>549</v>
      </c>
      <c r="B8" s="14" t="n">
        <v>8</v>
      </c>
      <c r="C8" s="14" t="n">
        <v>3</v>
      </c>
      <c r="D8" s="14" t="n">
        <v>0</v>
      </c>
      <c r="E8" s="14" t="n">
        <v>0</v>
      </c>
      <c r="F8" s="14" t="n">
        <v>0</v>
      </c>
      <c r="G8" s="14" t="n">
        <v>2</v>
      </c>
      <c r="H8" s="14" t="n">
        <v>1</v>
      </c>
      <c r="I8" s="14" t="n">
        <v>0</v>
      </c>
      <c r="J8" s="16" t="n">
        <v>37.5</v>
      </c>
    </row>
    <row r="9" customFormat="false" ht="15" hidden="false" customHeight="true" outlineLevel="0" collapsed="false">
      <c r="A9" s="13" t="s">
        <v>137</v>
      </c>
      <c r="B9" s="14" t="n">
        <v>29</v>
      </c>
      <c r="C9" s="14" t="n">
        <v>20</v>
      </c>
      <c r="D9" s="14" t="n">
        <v>0</v>
      </c>
      <c r="E9" s="14" t="n">
        <v>4</v>
      </c>
      <c r="F9" s="14" t="n">
        <v>10</v>
      </c>
      <c r="G9" s="14" t="n">
        <v>5</v>
      </c>
      <c r="H9" s="14" t="n">
        <v>1</v>
      </c>
      <c r="I9" s="14" t="n">
        <v>0</v>
      </c>
      <c r="J9" s="16" t="n">
        <v>68.97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0"/>
    <col collapsed="false" customWidth="true" hidden="false" outlineLevel="0" max="12" min="2" style="13" width="13"/>
  </cols>
  <sheetData>
    <row r="1" customFormat="false" ht="15" hidden="false" customHeight="true" outlineLevel="0" collapsed="false">
      <c r="A1" s="13" t="s">
        <v>560</v>
      </c>
    </row>
    <row r="2" customFormat="false" ht="15" hidden="false" customHeight="true" outlineLevel="0" collapsed="false">
      <c r="A2" s="13" t="s">
        <v>561</v>
      </c>
    </row>
    <row r="4" customFormat="false" ht="15" hidden="false" customHeight="true" outlineLevel="0" collapsed="false">
      <c r="A4" s="13" t="s">
        <v>210</v>
      </c>
      <c r="B4" s="13" t="s">
        <v>562</v>
      </c>
      <c r="C4" s="13" t="s">
        <v>563</v>
      </c>
      <c r="D4" s="13" t="s">
        <v>564</v>
      </c>
      <c r="E4" s="13" t="s">
        <v>565</v>
      </c>
      <c r="F4" s="13" t="s">
        <v>566</v>
      </c>
      <c r="G4" s="13" t="s">
        <v>567</v>
      </c>
      <c r="H4" s="13" t="s">
        <v>568</v>
      </c>
      <c r="I4" s="13" t="s">
        <v>569</v>
      </c>
      <c r="J4" s="13" t="s">
        <v>181</v>
      </c>
      <c r="K4" s="13" t="s">
        <v>570</v>
      </c>
      <c r="L4" s="13" t="s">
        <v>571</v>
      </c>
    </row>
    <row r="5" customFormat="false" ht="15" hidden="false" customHeight="true" outlineLevel="0" collapsed="false">
      <c r="A5" s="13" t="s">
        <v>32</v>
      </c>
      <c r="B5" s="14" t="n">
        <v>7491</v>
      </c>
      <c r="C5" s="14" t="n">
        <v>3811</v>
      </c>
      <c r="D5" s="14" t="n">
        <v>5186</v>
      </c>
      <c r="E5" s="14" t="n">
        <v>1681</v>
      </c>
      <c r="F5" s="14" t="n">
        <v>20714</v>
      </c>
      <c r="G5" s="14" t="n">
        <v>15996</v>
      </c>
      <c r="H5" s="14" t="n">
        <v>10969</v>
      </c>
      <c r="I5" s="14" t="n">
        <v>6447</v>
      </c>
      <c r="J5" s="14" t="n">
        <v>44360</v>
      </c>
      <c r="K5" s="14" t="n">
        <v>27935</v>
      </c>
      <c r="L5" s="16" t="n">
        <f aca="false">ROUND(K5/J5*100,2)</f>
        <v>62.97</v>
      </c>
    </row>
    <row r="6" customFormat="false" ht="15" hidden="false" customHeight="true" outlineLevel="0" collapsed="false">
      <c r="A6" s="13" t="s">
        <v>572</v>
      </c>
      <c r="B6" s="14" t="n">
        <v>2994</v>
      </c>
      <c r="C6" s="14" t="n">
        <v>1347</v>
      </c>
      <c r="D6" s="14" t="n">
        <v>1771</v>
      </c>
      <c r="E6" s="14" t="n">
        <v>569</v>
      </c>
      <c r="F6" s="14" t="n">
        <v>11928</v>
      </c>
      <c r="G6" s="14" t="n">
        <v>8693</v>
      </c>
      <c r="H6" s="14" t="n">
        <v>5559</v>
      </c>
      <c r="I6" s="14" t="n">
        <v>3027</v>
      </c>
      <c r="J6" s="14" t="n">
        <v>22252</v>
      </c>
      <c r="K6" s="14" t="n">
        <v>13636</v>
      </c>
      <c r="L6" s="16" t="n">
        <f aca="false">ROUND(K6/J6*100,2)</f>
        <v>61.28</v>
      </c>
    </row>
    <row r="7" customFormat="false" ht="15" hidden="false" customHeight="true" outlineLevel="0" collapsed="false">
      <c r="A7" s="13" t="s">
        <v>573</v>
      </c>
      <c r="B7" s="14" t="n">
        <v>1592</v>
      </c>
      <c r="C7" s="14" t="n">
        <v>832</v>
      </c>
      <c r="D7" s="14" t="n">
        <v>1130</v>
      </c>
      <c r="E7" s="14" t="n">
        <v>417</v>
      </c>
      <c r="F7" s="14" t="n">
        <v>4006</v>
      </c>
      <c r="G7" s="14" t="n">
        <v>3048</v>
      </c>
      <c r="H7" s="14" t="n">
        <v>2943</v>
      </c>
      <c r="I7" s="14" t="n">
        <v>1937</v>
      </c>
      <c r="J7" s="14" t="n">
        <v>9671</v>
      </c>
      <c r="K7" s="14" t="n">
        <v>6234</v>
      </c>
      <c r="L7" s="16" t="n">
        <f aca="false">ROUND(K7/J7*100,2)</f>
        <v>64.46</v>
      </c>
    </row>
    <row r="8" customFormat="false" ht="15" hidden="false" customHeight="true" outlineLevel="0" collapsed="false">
      <c r="A8" s="13" t="s">
        <v>574</v>
      </c>
      <c r="B8" s="14" t="n">
        <v>1797</v>
      </c>
      <c r="C8" s="14" t="n">
        <v>1010</v>
      </c>
      <c r="D8" s="14" t="n">
        <v>1077</v>
      </c>
      <c r="E8" s="14" t="n">
        <v>306</v>
      </c>
      <c r="F8" s="14" t="n">
        <v>6136</v>
      </c>
      <c r="G8" s="14" t="n">
        <v>4957</v>
      </c>
      <c r="H8" s="14" t="n">
        <v>2634</v>
      </c>
      <c r="I8" s="14" t="n">
        <v>1614</v>
      </c>
      <c r="J8" s="14" t="n">
        <v>11644</v>
      </c>
      <c r="K8" s="14" t="n">
        <v>7887</v>
      </c>
      <c r="L8" s="16" t="n">
        <f aca="false">ROUND(K8/J8*100,2)</f>
        <v>67.73</v>
      </c>
    </row>
    <row r="9" customFormat="false" ht="15" hidden="false" customHeight="true" outlineLevel="0" collapsed="false">
      <c r="A9" s="13" t="s">
        <v>575</v>
      </c>
      <c r="B9" s="14" t="n">
        <v>2496</v>
      </c>
      <c r="C9" s="14" t="n">
        <v>1273</v>
      </c>
      <c r="D9" s="14" t="n">
        <v>1365</v>
      </c>
      <c r="E9" s="14" t="n">
        <v>509</v>
      </c>
      <c r="F9" s="14" t="n">
        <v>8377</v>
      </c>
      <c r="G9" s="14" t="n">
        <v>6334</v>
      </c>
      <c r="H9" s="14" t="n">
        <v>4424</v>
      </c>
      <c r="I9" s="14" t="n">
        <v>2705</v>
      </c>
      <c r="J9" s="14" t="n">
        <v>16662</v>
      </c>
      <c r="K9" s="14" t="n">
        <v>10821</v>
      </c>
      <c r="L9" s="16" t="n">
        <f aca="false">ROUND(K9/J9*100,2)</f>
        <v>64.94</v>
      </c>
    </row>
    <row r="10" customFormat="false" ht="15" hidden="false" customHeight="true" outlineLevel="0" collapsed="false">
      <c r="A10" s="13" t="s">
        <v>576</v>
      </c>
      <c r="B10" s="14" t="n">
        <v>5921</v>
      </c>
      <c r="C10" s="14" t="n">
        <v>2895</v>
      </c>
      <c r="D10" s="14" t="n">
        <v>3726</v>
      </c>
      <c r="E10" s="14" t="n">
        <v>1157</v>
      </c>
      <c r="F10" s="14" t="n">
        <v>19109</v>
      </c>
      <c r="G10" s="14" t="n">
        <v>13419</v>
      </c>
      <c r="H10" s="14" t="n">
        <v>9489</v>
      </c>
      <c r="I10" s="14" t="n">
        <v>5035</v>
      </c>
      <c r="J10" s="14" t="n">
        <v>38245</v>
      </c>
      <c r="K10" s="14" t="n">
        <v>22506</v>
      </c>
      <c r="L10" s="16" t="n">
        <f aca="false">ROUND(K10/J10*100,2)</f>
        <v>58.85</v>
      </c>
    </row>
    <row r="11" customFormat="false" ht="15" hidden="false" customHeight="true" outlineLevel="0" collapsed="false">
      <c r="A11" s="13" t="s">
        <v>192</v>
      </c>
      <c r="B11" s="14" t="n">
        <v>22291</v>
      </c>
      <c r="C11" s="14" t="n">
        <v>11168</v>
      </c>
      <c r="D11" s="14" t="n">
        <v>14255</v>
      </c>
      <c r="E11" s="14" t="n">
        <v>4639</v>
      </c>
      <c r="F11" s="14" t="n">
        <v>70270</v>
      </c>
      <c r="G11" s="14" t="n">
        <v>52447</v>
      </c>
      <c r="H11" s="14" t="n">
        <v>36018</v>
      </c>
      <c r="I11" s="14" t="n">
        <v>20765</v>
      </c>
      <c r="J11" s="14" t="n">
        <v>142834</v>
      </c>
      <c r="K11" s="14" t="n">
        <v>89019</v>
      </c>
      <c r="L11" s="16" t="n">
        <f aca="false">ROUND(K11/J11*100,2)</f>
        <v>62.32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38"/>
    <col collapsed="false" customWidth="true" hidden="false" outlineLevel="0" max="4" min="2" style="13" width="12"/>
  </cols>
  <sheetData>
    <row r="1" customFormat="false" ht="15" hidden="false" customHeight="true" outlineLevel="0" collapsed="false">
      <c r="A1" s="13" t="s">
        <v>577</v>
      </c>
    </row>
    <row r="2" customFormat="false" ht="15" hidden="false" customHeight="true" outlineLevel="0" collapsed="false">
      <c r="A2" s="13" t="s">
        <v>578</v>
      </c>
    </row>
    <row r="4" customFormat="false" ht="15" hidden="false" customHeight="true" outlineLevel="0" collapsed="false">
      <c r="A4" s="13" t="s">
        <v>222</v>
      </c>
      <c r="B4" s="13" t="s">
        <v>4</v>
      </c>
      <c r="C4" s="13" t="s">
        <v>198</v>
      </c>
      <c r="D4" s="13" t="s">
        <v>6</v>
      </c>
    </row>
    <row r="5" customFormat="false" ht="15" hidden="false" customHeight="true" outlineLevel="0" collapsed="false">
      <c r="A5" s="13" t="s">
        <v>538</v>
      </c>
      <c r="B5" s="14" t="n">
        <v>19</v>
      </c>
      <c r="C5" s="14" t="n">
        <v>19</v>
      </c>
      <c r="D5" s="16" t="n">
        <v>100</v>
      </c>
    </row>
    <row r="6" customFormat="false" ht="15" hidden="false" customHeight="true" outlineLevel="0" collapsed="false">
      <c r="A6" s="13" t="s">
        <v>162</v>
      </c>
      <c r="B6" s="14" t="n">
        <v>1856</v>
      </c>
      <c r="C6" s="14" t="n">
        <v>1721</v>
      </c>
      <c r="D6" s="16" t="n">
        <v>92.73</v>
      </c>
    </row>
    <row r="7" customFormat="false" ht="15" hidden="false" customHeight="true" outlineLevel="0" collapsed="false">
      <c r="A7" s="13" t="s">
        <v>225</v>
      </c>
      <c r="B7" s="14" t="n">
        <v>9556</v>
      </c>
      <c r="C7" s="14" t="n">
        <v>8745</v>
      </c>
      <c r="D7" s="16" t="n">
        <v>91.51</v>
      </c>
    </row>
    <row r="8" customFormat="false" ht="15" hidden="false" customHeight="true" outlineLevel="0" collapsed="false">
      <c r="A8" s="13" t="s">
        <v>167</v>
      </c>
      <c r="B8" s="14" t="n">
        <v>36596</v>
      </c>
      <c r="C8" s="14" t="n">
        <v>32091</v>
      </c>
      <c r="D8" s="16" t="n">
        <v>87.69</v>
      </c>
    </row>
    <row r="9" customFormat="false" ht="15" hidden="false" customHeight="true" outlineLevel="0" collapsed="false">
      <c r="A9" s="13" t="s">
        <v>229</v>
      </c>
      <c r="B9" s="14" t="n">
        <v>9680</v>
      </c>
      <c r="C9" s="14" t="n">
        <v>8246</v>
      </c>
      <c r="D9" s="16" t="n">
        <v>85.19</v>
      </c>
    </row>
    <row r="10" customFormat="false" ht="15" hidden="false" customHeight="true" outlineLevel="0" collapsed="false">
      <c r="A10" s="13" t="s">
        <v>166</v>
      </c>
      <c r="B10" s="14" t="n">
        <v>45772</v>
      </c>
      <c r="C10" s="14" t="n">
        <v>38736</v>
      </c>
      <c r="D10" s="16" t="n">
        <v>84.63</v>
      </c>
    </row>
    <row r="11" customFormat="false" ht="15" hidden="false" customHeight="true" outlineLevel="0" collapsed="false">
      <c r="A11" s="13" t="s">
        <v>579</v>
      </c>
      <c r="B11" s="14" t="n">
        <v>19</v>
      </c>
      <c r="C11" s="14" t="n">
        <v>19</v>
      </c>
      <c r="D11" s="16" t="n">
        <v>100</v>
      </c>
    </row>
    <row r="12" customFormat="false" ht="15" hidden="false" customHeight="true" outlineLevel="0" collapsed="false">
      <c r="A12" s="13" t="s">
        <v>154</v>
      </c>
      <c r="B12" s="14" t="n">
        <v>21329</v>
      </c>
      <c r="C12" s="14" t="n">
        <v>19443</v>
      </c>
      <c r="D12" s="16" t="n">
        <v>91.16</v>
      </c>
    </row>
    <row r="13" customFormat="false" ht="15" hidden="false" customHeight="true" outlineLevel="0" collapsed="false">
      <c r="A13" s="13" t="s">
        <v>236</v>
      </c>
      <c r="B13" s="14" t="n">
        <v>9586</v>
      </c>
      <c r="C13" s="14" t="n">
        <v>9173</v>
      </c>
      <c r="D13" s="16" t="n">
        <v>95.69</v>
      </c>
    </row>
    <row r="14" customFormat="false" ht="15" hidden="false" customHeight="true" outlineLevel="0" collapsed="false">
      <c r="A14" s="13" t="s">
        <v>170</v>
      </c>
      <c r="B14" s="14" t="n">
        <v>36844</v>
      </c>
      <c r="C14" s="14" t="n">
        <v>31401</v>
      </c>
      <c r="D14" s="16" t="n">
        <v>85.23</v>
      </c>
    </row>
    <row r="15" customFormat="false" ht="15" hidden="false" customHeight="true" outlineLevel="0" collapsed="false">
      <c r="A15" s="13" t="s">
        <v>580</v>
      </c>
      <c r="B15" s="14" t="n">
        <v>156</v>
      </c>
      <c r="C15" s="14" t="n">
        <v>144</v>
      </c>
      <c r="D15" s="16" t="n">
        <v>92.31</v>
      </c>
    </row>
    <row r="16" customFormat="false" ht="15" hidden="false" customHeight="true" outlineLevel="0" collapsed="false">
      <c r="A16" s="13" t="s">
        <v>152</v>
      </c>
      <c r="B16" s="14" t="n">
        <v>7776</v>
      </c>
      <c r="C16" s="14" t="n">
        <v>6940</v>
      </c>
      <c r="D16" s="16" t="n">
        <v>89.25</v>
      </c>
    </row>
    <row r="17" customFormat="false" ht="15" hidden="false" customHeight="true" outlineLevel="0" collapsed="false">
      <c r="A17" s="13" t="s">
        <v>150</v>
      </c>
      <c r="B17" s="14" t="n">
        <v>29373</v>
      </c>
      <c r="C17" s="14" t="n">
        <v>26166</v>
      </c>
      <c r="D17" s="16" t="n">
        <v>89.08</v>
      </c>
    </row>
    <row r="18" customFormat="false" ht="15" hidden="false" customHeight="true" outlineLevel="0" collapsed="false">
      <c r="A18" s="13" t="s">
        <v>142</v>
      </c>
      <c r="B18" s="14" t="n">
        <v>132359</v>
      </c>
      <c r="C18" s="14" t="n">
        <v>101754</v>
      </c>
      <c r="D18" s="16" t="n">
        <v>76.88</v>
      </c>
    </row>
    <row r="19" customFormat="false" ht="15" hidden="false" customHeight="true" outlineLevel="0" collapsed="false">
      <c r="A19" s="13" t="s">
        <v>505</v>
      </c>
      <c r="B19" s="14" t="n">
        <v>104</v>
      </c>
      <c r="C19" s="14" t="n">
        <v>94</v>
      </c>
      <c r="D19" s="16" t="n">
        <v>90.38</v>
      </c>
    </row>
    <row r="20" customFormat="false" ht="15" hidden="false" customHeight="true" outlineLevel="0" collapsed="false">
      <c r="A20" s="13" t="s">
        <v>143</v>
      </c>
      <c r="B20" s="14" t="n">
        <v>1018</v>
      </c>
      <c r="C20" s="14" t="n">
        <v>1015</v>
      </c>
      <c r="D20" s="16" t="n">
        <v>99.71</v>
      </c>
    </row>
    <row r="21" customFormat="false" ht="15" hidden="false" customHeight="true" outlineLevel="0" collapsed="false">
      <c r="A21" s="13" t="s">
        <v>507</v>
      </c>
      <c r="B21" s="14" t="n">
        <v>233</v>
      </c>
      <c r="C21" s="14" t="n">
        <v>231</v>
      </c>
      <c r="D21" s="16" t="n">
        <v>99.14</v>
      </c>
    </row>
    <row r="22" customFormat="false" ht="15" hidden="false" customHeight="true" outlineLevel="0" collapsed="false">
      <c r="A22" s="13" t="s">
        <v>542</v>
      </c>
      <c r="B22" s="14" t="n">
        <v>20</v>
      </c>
      <c r="C22" s="14" t="n">
        <v>19</v>
      </c>
      <c r="D22" s="16" t="n">
        <v>95</v>
      </c>
    </row>
    <row r="23" customFormat="false" ht="15" hidden="false" customHeight="true" outlineLevel="0" collapsed="false">
      <c r="A23" s="13" t="s">
        <v>161</v>
      </c>
      <c r="B23" s="14" t="n">
        <v>418</v>
      </c>
      <c r="C23" s="14" t="n">
        <v>417</v>
      </c>
      <c r="D23" s="16" t="n">
        <v>99.76</v>
      </c>
    </row>
    <row r="24" customFormat="false" ht="15" hidden="false" customHeight="true" outlineLevel="0" collapsed="false">
      <c r="A24" s="13" t="s">
        <v>158</v>
      </c>
      <c r="B24" s="14" t="n">
        <v>8444</v>
      </c>
      <c r="C24" s="14" t="n">
        <v>8278</v>
      </c>
      <c r="D24" s="16" t="n">
        <v>98.03</v>
      </c>
    </row>
    <row r="25" customFormat="false" ht="15" hidden="false" customHeight="true" outlineLevel="0" collapsed="false">
      <c r="A25" s="13" t="s">
        <v>581</v>
      </c>
      <c r="B25" s="14" t="n">
        <v>1</v>
      </c>
      <c r="C25" s="14" t="n">
        <v>1</v>
      </c>
      <c r="D25" s="16" t="n">
        <v>100</v>
      </c>
    </row>
    <row r="26" customFormat="false" ht="15" hidden="false" customHeight="true" outlineLevel="0" collapsed="false">
      <c r="A26" s="13" t="s">
        <v>415</v>
      </c>
      <c r="B26" s="14" t="n">
        <v>2520</v>
      </c>
      <c r="C26" s="14" t="n">
        <v>1755</v>
      </c>
      <c r="D26" s="16" t="n">
        <v>69.64</v>
      </c>
    </row>
    <row r="27" customFormat="false" ht="15" hidden="false" customHeight="true" outlineLevel="0" collapsed="false">
      <c r="A27" s="13" t="s">
        <v>582</v>
      </c>
      <c r="B27" s="14" t="n">
        <v>2</v>
      </c>
      <c r="C27" s="14" t="n">
        <v>2</v>
      </c>
      <c r="D27" s="16" t="n">
        <v>100</v>
      </c>
    </row>
    <row r="28" customFormat="false" ht="15" hidden="false" customHeight="true" outlineLevel="0" collapsed="false">
      <c r="A28" s="13" t="s">
        <v>418</v>
      </c>
      <c r="B28" s="14" t="n">
        <v>795</v>
      </c>
      <c r="C28" s="14" t="n">
        <v>542</v>
      </c>
      <c r="D28" s="16" t="n">
        <v>68.18</v>
      </c>
    </row>
    <row r="29" customFormat="false" ht="15" hidden="false" customHeight="true" outlineLevel="0" collapsed="false">
      <c r="A29" s="13" t="s">
        <v>583</v>
      </c>
      <c r="B29" s="14" t="n">
        <v>34743</v>
      </c>
      <c r="C29" s="14" t="n">
        <v>33023</v>
      </c>
      <c r="D29" s="16" t="n">
        <v>95.05</v>
      </c>
    </row>
    <row r="30" customFormat="false" ht="15" hidden="false" customHeight="true" outlineLevel="0" collapsed="false">
      <c r="A30" s="13" t="s">
        <v>159</v>
      </c>
      <c r="B30" s="14" t="n">
        <v>912</v>
      </c>
      <c r="C30" s="14" t="n">
        <v>911</v>
      </c>
      <c r="D30" s="16" t="n">
        <v>99.89</v>
      </c>
    </row>
    <row r="31" customFormat="false" ht="15" hidden="false" customHeight="true" outlineLevel="0" collapsed="false">
      <c r="A31" s="13" t="s">
        <v>156</v>
      </c>
      <c r="B31" s="14" t="n">
        <v>40719</v>
      </c>
      <c r="C31" s="14" t="n">
        <v>27361</v>
      </c>
      <c r="D31" s="16" t="n">
        <v>67.19</v>
      </c>
    </row>
    <row r="32" customFormat="false" ht="15" hidden="false" customHeight="true" outlineLevel="0" collapsed="false">
      <c r="A32" s="13" t="s">
        <v>414</v>
      </c>
      <c r="B32" s="14" t="n">
        <v>1604</v>
      </c>
      <c r="C32" s="14" t="n">
        <v>1597</v>
      </c>
      <c r="D32" s="16" t="n">
        <v>99.56</v>
      </c>
    </row>
    <row r="33" customFormat="false" ht="15" hidden="false" customHeight="true" outlineLevel="0" collapsed="false">
      <c r="A33" s="13" t="s">
        <v>149</v>
      </c>
      <c r="B33" s="14" t="n">
        <v>124029</v>
      </c>
      <c r="C33" s="14" t="n">
        <v>121580</v>
      </c>
      <c r="D33" s="16" t="n">
        <v>98.03</v>
      </c>
    </row>
    <row r="34" customFormat="false" ht="15" hidden="false" customHeight="true" outlineLevel="0" collapsed="false">
      <c r="A34" s="13" t="s">
        <v>145</v>
      </c>
      <c r="B34" s="14" t="n">
        <v>4</v>
      </c>
      <c r="C34" s="14" t="n">
        <v>4</v>
      </c>
      <c r="D34" s="16" t="n">
        <v>100</v>
      </c>
    </row>
    <row r="35" customFormat="false" ht="15" hidden="false" customHeight="true" outlineLevel="0" collapsed="false">
      <c r="A35" s="13" t="s">
        <v>424</v>
      </c>
      <c r="B35" s="14" t="n">
        <v>2964</v>
      </c>
      <c r="C35" s="14" t="n">
        <v>2906</v>
      </c>
      <c r="D35" s="16" t="n">
        <v>98.04</v>
      </c>
    </row>
    <row r="36" customFormat="false" ht="15" hidden="false" customHeight="true" outlineLevel="0" collapsed="false">
      <c r="A36" s="13" t="s">
        <v>425</v>
      </c>
      <c r="B36" s="14" t="n">
        <v>112</v>
      </c>
      <c r="C36" s="14" t="n">
        <v>111</v>
      </c>
      <c r="D36" s="16" t="n">
        <v>99.11</v>
      </c>
    </row>
    <row r="37" customFormat="false" ht="15" hidden="false" customHeight="true" outlineLevel="0" collapsed="false">
      <c r="A37" s="13" t="s">
        <v>165</v>
      </c>
      <c r="B37" s="14" t="n">
        <v>66038</v>
      </c>
      <c r="C37" s="14" t="n">
        <v>57190</v>
      </c>
      <c r="D37" s="16" t="n">
        <v>86.6</v>
      </c>
    </row>
    <row r="38" customFormat="false" ht="15" hidden="false" customHeight="true" outlineLevel="0" collapsed="false">
      <c r="A38" s="13" t="s">
        <v>477</v>
      </c>
      <c r="B38" s="14" t="n">
        <v>9616</v>
      </c>
      <c r="C38" s="14" t="n">
        <v>8787</v>
      </c>
      <c r="D38" s="16" t="n">
        <v>91.38</v>
      </c>
    </row>
    <row r="39" customFormat="false" ht="15" hidden="false" customHeight="true" outlineLevel="0" collapsed="false">
      <c r="A39" s="13" t="s">
        <v>153</v>
      </c>
      <c r="B39" s="14" t="n">
        <v>3938</v>
      </c>
      <c r="C39" s="14" t="n">
        <v>3730</v>
      </c>
      <c r="D39" s="16" t="n">
        <v>94.72</v>
      </c>
    </row>
    <row r="40" customFormat="false" ht="15" hidden="false" customHeight="true" outlineLevel="0" collapsed="false">
      <c r="A40" s="13" t="s">
        <v>426</v>
      </c>
      <c r="B40" s="14" t="n">
        <v>4883</v>
      </c>
      <c r="C40" s="14" t="n">
        <v>4765</v>
      </c>
      <c r="D40" s="16" t="n">
        <v>97.58</v>
      </c>
    </row>
    <row r="41" customFormat="false" ht="15" hidden="false" customHeight="true" outlineLevel="0" collapsed="false">
      <c r="A41" s="13" t="s">
        <v>427</v>
      </c>
      <c r="B41" s="14" t="n">
        <v>6020</v>
      </c>
      <c r="C41" s="14" t="n">
        <v>5963</v>
      </c>
      <c r="D41" s="16" t="n">
        <v>99.05</v>
      </c>
    </row>
    <row r="42" customFormat="false" ht="15" hidden="false" customHeight="true" outlineLevel="0" collapsed="false">
      <c r="A42" s="13" t="s">
        <v>155</v>
      </c>
      <c r="B42" s="14" t="n">
        <v>4658</v>
      </c>
      <c r="C42" s="14" t="n">
        <v>4034</v>
      </c>
      <c r="D42" s="16" t="n">
        <v>86.6</v>
      </c>
    </row>
    <row r="43" customFormat="false" ht="15" hidden="false" customHeight="true" outlineLevel="0" collapsed="false">
      <c r="A43" s="13" t="s">
        <v>436</v>
      </c>
      <c r="B43" s="14" t="n">
        <v>121733</v>
      </c>
      <c r="C43" s="14" t="n">
        <v>121255</v>
      </c>
      <c r="D43" s="16" t="n">
        <v>99.61</v>
      </c>
    </row>
    <row r="44" customFormat="false" ht="15" hidden="false" customHeight="true" outlineLevel="0" collapsed="false">
      <c r="A44" s="13" t="s">
        <v>410</v>
      </c>
      <c r="B44" s="14" t="n">
        <v>124939</v>
      </c>
      <c r="C44" s="14" t="n">
        <v>119483</v>
      </c>
      <c r="D44" s="16" t="n">
        <v>95.63</v>
      </c>
    </row>
    <row r="45" customFormat="false" ht="15" hidden="false" customHeight="true" outlineLevel="0" collapsed="false">
      <c r="A45" s="13" t="s">
        <v>171</v>
      </c>
      <c r="B45" s="14" t="n">
        <v>295</v>
      </c>
      <c r="C45" s="14" t="n">
        <v>264</v>
      </c>
      <c r="D45" s="16" t="n">
        <v>89.49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38"/>
    <col collapsed="false" customWidth="true" hidden="false" outlineLevel="0" max="4" min="2" style="13" width="12"/>
  </cols>
  <sheetData>
    <row r="1" customFormat="false" ht="15" hidden="false" customHeight="true" outlineLevel="0" collapsed="false">
      <c r="A1" s="13" t="s">
        <v>584</v>
      </c>
    </row>
    <row r="2" customFormat="false" ht="15" hidden="false" customHeight="true" outlineLevel="0" collapsed="false">
      <c r="A2" s="13" t="s">
        <v>559</v>
      </c>
    </row>
    <row r="4" customFormat="false" ht="15" hidden="false" customHeight="true" outlineLevel="0" collapsed="false">
      <c r="A4" s="13" t="s">
        <v>222</v>
      </c>
      <c r="B4" s="13" t="s">
        <v>4</v>
      </c>
      <c r="C4" s="13" t="s">
        <v>198</v>
      </c>
      <c r="D4" s="13" t="s">
        <v>6</v>
      </c>
    </row>
    <row r="5" customFormat="false" ht="15" hidden="false" customHeight="true" outlineLevel="0" collapsed="false">
      <c r="A5" s="13" t="s">
        <v>162</v>
      </c>
      <c r="B5" s="14" t="n">
        <v>489</v>
      </c>
      <c r="C5" s="14" t="n">
        <v>454</v>
      </c>
      <c r="D5" s="16" t="n">
        <v>92.84</v>
      </c>
    </row>
    <row r="6" customFormat="false" ht="15" hidden="false" customHeight="true" outlineLevel="0" collapsed="false">
      <c r="A6" s="13" t="s">
        <v>167</v>
      </c>
      <c r="B6" s="14" t="n">
        <v>7910</v>
      </c>
      <c r="C6" s="14" t="n">
        <v>5111</v>
      </c>
      <c r="D6" s="16" t="n">
        <v>64.61</v>
      </c>
    </row>
    <row r="7" customFormat="false" ht="15" hidden="false" customHeight="true" outlineLevel="0" collapsed="false">
      <c r="A7" s="13" t="s">
        <v>585</v>
      </c>
      <c r="B7" s="14" t="n">
        <v>1014</v>
      </c>
      <c r="C7" s="14" t="n">
        <v>689</v>
      </c>
      <c r="D7" s="16" t="n">
        <v>67.95</v>
      </c>
    </row>
    <row r="8" customFormat="false" ht="15" hidden="false" customHeight="true" outlineLevel="0" collapsed="false">
      <c r="A8" s="13" t="s">
        <v>166</v>
      </c>
      <c r="B8" s="14" t="n">
        <v>9691</v>
      </c>
      <c r="C8" s="14" t="n">
        <v>4353</v>
      </c>
      <c r="D8" s="16" t="n">
        <v>44.92</v>
      </c>
    </row>
    <row r="9" customFormat="false" ht="15" hidden="false" customHeight="true" outlineLevel="0" collapsed="false">
      <c r="A9" s="13" t="s">
        <v>586</v>
      </c>
      <c r="B9" s="14" t="n">
        <v>2</v>
      </c>
      <c r="C9" s="14" t="n">
        <v>1</v>
      </c>
      <c r="D9" s="16" t="n">
        <v>50</v>
      </c>
    </row>
    <row r="10" customFormat="false" ht="15" hidden="false" customHeight="true" outlineLevel="0" collapsed="false">
      <c r="A10" s="13" t="s">
        <v>154</v>
      </c>
      <c r="B10" s="14" t="n">
        <v>4178</v>
      </c>
      <c r="C10" s="14" t="n">
        <v>3127</v>
      </c>
      <c r="D10" s="16" t="n">
        <v>74.84</v>
      </c>
    </row>
    <row r="11" customFormat="false" ht="15" hidden="false" customHeight="true" outlineLevel="0" collapsed="false">
      <c r="A11" s="13" t="s">
        <v>587</v>
      </c>
      <c r="B11" s="14" t="n">
        <v>7</v>
      </c>
      <c r="C11" s="14" t="n">
        <v>2</v>
      </c>
      <c r="D11" s="16" t="n">
        <v>28.57</v>
      </c>
    </row>
    <row r="12" customFormat="false" ht="15" hidden="false" customHeight="true" outlineLevel="0" collapsed="false">
      <c r="A12" s="13" t="s">
        <v>170</v>
      </c>
      <c r="B12" s="14" t="n">
        <v>3217</v>
      </c>
      <c r="C12" s="14" t="n">
        <v>1145</v>
      </c>
      <c r="D12" s="16" t="n">
        <v>35.59</v>
      </c>
    </row>
    <row r="13" customFormat="false" ht="15" hidden="false" customHeight="true" outlineLevel="0" collapsed="false">
      <c r="A13" s="13" t="s">
        <v>152</v>
      </c>
      <c r="B13" s="14" t="n">
        <v>2257</v>
      </c>
      <c r="C13" s="14" t="n">
        <v>1417</v>
      </c>
      <c r="D13" s="16" t="n">
        <v>62.78</v>
      </c>
    </row>
    <row r="14" customFormat="false" ht="15" hidden="false" customHeight="true" outlineLevel="0" collapsed="false">
      <c r="A14" s="13" t="s">
        <v>150</v>
      </c>
      <c r="B14" s="14" t="n">
        <v>5178</v>
      </c>
      <c r="C14" s="14" t="n">
        <v>3252</v>
      </c>
      <c r="D14" s="16" t="n">
        <v>62.8</v>
      </c>
    </row>
    <row r="15" customFormat="false" ht="15" hidden="false" customHeight="true" outlineLevel="0" collapsed="false">
      <c r="A15" s="13" t="s">
        <v>142</v>
      </c>
      <c r="B15" s="14" t="n">
        <v>27763</v>
      </c>
      <c r="C15" s="14" t="n">
        <v>9799</v>
      </c>
      <c r="D15" s="16" t="n">
        <v>35.3</v>
      </c>
    </row>
    <row r="16" customFormat="false" ht="15" hidden="false" customHeight="true" outlineLevel="0" collapsed="false">
      <c r="A16" s="13" t="s">
        <v>505</v>
      </c>
      <c r="B16" s="14" t="n">
        <v>32</v>
      </c>
      <c r="C16" s="14" t="n">
        <v>20</v>
      </c>
      <c r="D16" s="16" t="n">
        <v>62.5</v>
      </c>
    </row>
    <row r="17" customFormat="false" ht="15" hidden="false" customHeight="true" outlineLevel="0" collapsed="false">
      <c r="A17" s="13" t="s">
        <v>143</v>
      </c>
      <c r="B17" s="14" t="n">
        <v>41</v>
      </c>
      <c r="C17" s="14" t="n">
        <v>40</v>
      </c>
      <c r="D17" s="16" t="n">
        <v>97.56</v>
      </c>
    </row>
    <row r="18" customFormat="false" ht="15" hidden="false" customHeight="true" outlineLevel="0" collapsed="false">
      <c r="A18" s="13" t="s">
        <v>507</v>
      </c>
      <c r="B18" s="14" t="n">
        <v>34</v>
      </c>
      <c r="C18" s="14" t="n">
        <v>34</v>
      </c>
      <c r="D18" s="16" t="n">
        <v>100</v>
      </c>
    </row>
    <row r="19" customFormat="false" ht="15" hidden="false" customHeight="true" outlineLevel="0" collapsed="false">
      <c r="A19" s="13" t="s">
        <v>161</v>
      </c>
      <c r="B19" s="14" t="n">
        <v>30</v>
      </c>
      <c r="C19" s="14" t="n">
        <v>30</v>
      </c>
      <c r="D19" s="16" t="n">
        <v>100</v>
      </c>
    </row>
    <row r="20" customFormat="false" ht="15" hidden="false" customHeight="true" outlineLevel="0" collapsed="false">
      <c r="A20" s="13" t="s">
        <v>158</v>
      </c>
      <c r="B20" s="14" t="n">
        <v>266</v>
      </c>
      <c r="C20" s="14" t="n">
        <v>211</v>
      </c>
      <c r="D20" s="16" t="n">
        <v>79.32</v>
      </c>
    </row>
    <row r="21" customFormat="false" ht="15" hidden="false" customHeight="true" outlineLevel="0" collapsed="false">
      <c r="A21" s="13" t="s">
        <v>581</v>
      </c>
      <c r="B21" s="14" t="n">
        <v>1</v>
      </c>
      <c r="C21" s="14" t="n">
        <v>1</v>
      </c>
      <c r="D21" s="16" t="n">
        <v>100</v>
      </c>
    </row>
    <row r="22" customFormat="false" ht="15" hidden="false" customHeight="true" outlineLevel="0" collapsed="false">
      <c r="A22" s="13" t="s">
        <v>415</v>
      </c>
      <c r="B22" s="14" t="n">
        <v>662</v>
      </c>
      <c r="C22" s="14" t="n">
        <v>268</v>
      </c>
      <c r="D22" s="16" t="n">
        <v>40.48</v>
      </c>
    </row>
    <row r="23" customFormat="false" ht="15" hidden="false" customHeight="true" outlineLevel="0" collapsed="false">
      <c r="A23" s="13" t="s">
        <v>582</v>
      </c>
      <c r="B23" s="14" t="n">
        <v>1</v>
      </c>
      <c r="C23" s="14" t="n">
        <v>1</v>
      </c>
      <c r="D23" s="16" t="n">
        <v>100</v>
      </c>
    </row>
    <row r="24" customFormat="false" ht="15" hidden="false" customHeight="true" outlineLevel="0" collapsed="false">
      <c r="A24" s="13" t="s">
        <v>418</v>
      </c>
      <c r="B24" s="14" t="n">
        <v>311</v>
      </c>
      <c r="C24" s="14" t="n">
        <v>175</v>
      </c>
      <c r="D24" s="16" t="n">
        <v>56.27</v>
      </c>
    </row>
    <row r="25" customFormat="false" ht="15" hidden="false" customHeight="true" outlineLevel="0" collapsed="false">
      <c r="A25" s="13" t="s">
        <v>588</v>
      </c>
      <c r="B25" s="14" t="n">
        <v>5585</v>
      </c>
      <c r="C25" s="14" t="n">
        <v>5401</v>
      </c>
      <c r="D25" s="16" t="n">
        <v>96.71</v>
      </c>
    </row>
    <row r="26" customFormat="false" ht="15" hidden="false" customHeight="true" outlineLevel="0" collapsed="false">
      <c r="A26" s="13" t="s">
        <v>583</v>
      </c>
      <c r="B26" s="14" t="n">
        <v>4531</v>
      </c>
      <c r="C26" s="14" t="n">
        <v>3896</v>
      </c>
      <c r="D26" s="16" t="n">
        <v>85.99</v>
      </c>
    </row>
    <row r="27" customFormat="false" ht="15" hidden="false" customHeight="true" outlineLevel="0" collapsed="false">
      <c r="A27" s="13" t="s">
        <v>159</v>
      </c>
      <c r="B27" s="14" t="n">
        <v>2</v>
      </c>
      <c r="C27" s="14" t="n">
        <v>2</v>
      </c>
      <c r="D27" s="16" t="n">
        <v>100</v>
      </c>
    </row>
    <row r="28" customFormat="false" ht="15" hidden="false" customHeight="true" outlineLevel="0" collapsed="false">
      <c r="A28" s="13" t="s">
        <v>156</v>
      </c>
      <c r="B28" s="14" t="n">
        <v>14142</v>
      </c>
      <c r="C28" s="14" t="n">
        <v>6199</v>
      </c>
      <c r="D28" s="16" t="n">
        <v>43.83</v>
      </c>
    </row>
    <row r="29" customFormat="false" ht="15" hidden="false" customHeight="true" outlineLevel="0" collapsed="false">
      <c r="A29" s="13" t="s">
        <v>414</v>
      </c>
      <c r="B29" s="14" t="n">
        <v>177</v>
      </c>
      <c r="C29" s="14" t="n">
        <v>177</v>
      </c>
      <c r="D29" s="16" t="n">
        <v>100</v>
      </c>
    </row>
    <row r="30" customFormat="false" ht="15" hidden="false" customHeight="true" outlineLevel="0" collapsed="false">
      <c r="A30" s="13" t="s">
        <v>424</v>
      </c>
      <c r="B30" s="14" t="n">
        <v>333</v>
      </c>
      <c r="C30" s="14" t="n">
        <v>279</v>
      </c>
      <c r="D30" s="16" t="n">
        <v>83.78</v>
      </c>
    </row>
    <row r="31" customFormat="false" ht="15" hidden="false" customHeight="true" outlineLevel="0" collapsed="false">
      <c r="A31" s="13" t="s">
        <v>425</v>
      </c>
      <c r="B31" s="14" t="n">
        <v>13</v>
      </c>
      <c r="C31" s="14" t="n">
        <v>11</v>
      </c>
      <c r="D31" s="16" t="n">
        <v>84.62</v>
      </c>
    </row>
    <row r="32" customFormat="false" ht="15" hidden="false" customHeight="true" outlineLevel="0" collapsed="false">
      <c r="A32" s="13" t="s">
        <v>165</v>
      </c>
      <c r="B32" s="14" t="n">
        <v>6471</v>
      </c>
      <c r="C32" s="14" t="n">
        <v>2965</v>
      </c>
      <c r="D32" s="16" t="n">
        <v>45.82</v>
      </c>
    </row>
    <row r="33" customFormat="false" ht="15" hidden="false" customHeight="true" outlineLevel="0" collapsed="false">
      <c r="A33" s="13" t="s">
        <v>477</v>
      </c>
      <c r="B33" s="14" t="n">
        <v>724</v>
      </c>
      <c r="C33" s="14" t="n">
        <v>494</v>
      </c>
      <c r="D33" s="16" t="n">
        <v>68.23</v>
      </c>
    </row>
    <row r="34" customFormat="false" ht="15" hidden="false" customHeight="true" outlineLevel="0" collapsed="false">
      <c r="A34" s="13" t="s">
        <v>284</v>
      </c>
      <c r="B34" s="14" t="n">
        <v>1040</v>
      </c>
      <c r="C34" s="14" t="n">
        <v>722</v>
      </c>
      <c r="D34" s="16" t="n">
        <v>69.42</v>
      </c>
    </row>
    <row r="35" customFormat="false" ht="15" hidden="false" customHeight="true" outlineLevel="0" collapsed="false">
      <c r="A35" s="13" t="s">
        <v>285</v>
      </c>
      <c r="B35" s="14" t="n">
        <v>1384</v>
      </c>
      <c r="C35" s="14" t="n">
        <v>926</v>
      </c>
      <c r="D35" s="16" t="n">
        <v>66.91</v>
      </c>
    </row>
    <row r="36" customFormat="false" ht="15" hidden="false" customHeight="true" outlineLevel="0" collapsed="false">
      <c r="A36" s="13" t="s">
        <v>153</v>
      </c>
      <c r="B36" s="14" t="n">
        <v>430</v>
      </c>
      <c r="C36" s="14" t="n">
        <v>244</v>
      </c>
      <c r="D36" s="16" t="n">
        <v>56.74</v>
      </c>
    </row>
    <row r="37" customFormat="false" ht="15" hidden="false" customHeight="true" outlineLevel="0" collapsed="false">
      <c r="A37" s="13" t="s">
        <v>426</v>
      </c>
      <c r="B37" s="14" t="n">
        <v>689</v>
      </c>
      <c r="C37" s="14" t="n">
        <v>648</v>
      </c>
      <c r="D37" s="16" t="n">
        <v>94.05</v>
      </c>
    </row>
    <row r="38" customFormat="false" ht="15" hidden="false" customHeight="true" outlineLevel="0" collapsed="false">
      <c r="A38" s="13" t="s">
        <v>427</v>
      </c>
      <c r="B38" s="14" t="n">
        <v>1013</v>
      </c>
      <c r="C38" s="14" t="n">
        <v>977</v>
      </c>
      <c r="D38" s="16" t="n">
        <v>96.45</v>
      </c>
    </row>
    <row r="39" customFormat="false" ht="15" hidden="false" customHeight="true" outlineLevel="0" collapsed="false">
      <c r="A39" s="13" t="s">
        <v>155</v>
      </c>
      <c r="B39" s="14" t="n">
        <v>611</v>
      </c>
      <c r="C39" s="14" t="n">
        <v>239</v>
      </c>
      <c r="D39" s="16" t="n">
        <v>39.12</v>
      </c>
    </row>
    <row r="40" customFormat="false" ht="15" hidden="false" customHeight="true" outlineLevel="0" collapsed="false">
      <c r="A40" s="13" t="s">
        <v>436</v>
      </c>
      <c r="B40" s="14" t="n">
        <v>5018</v>
      </c>
      <c r="C40" s="14" t="n">
        <v>4796</v>
      </c>
      <c r="D40" s="16" t="n">
        <v>95.58</v>
      </c>
    </row>
    <row r="41" customFormat="false" ht="15" hidden="false" customHeight="true" outlineLevel="0" collapsed="false">
      <c r="A41" s="13" t="s">
        <v>410</v>
      </c>
      <c r="B41" s="14" t="n">
        <v>12515</v>
      </c>
      <c r="C41" s="14" t="n">
        <v>10633</v>
      </c>
      <c r="D41" s="16" t="n">
        <v>84.96</v>
      </c>
    </row>
    <row r="42" customFormat="false" ht="15" hidden="false" customHeight="true" outlineLevel="0" collapsed="false">
      <c r="A42" s="13" t="s">
        <v>171</v>
      </c>
      <c r="B42" s="14" t="n">
        <v>47</v>
      </c>
      <c r="C42" s="14" t="n">
        <v>37</v>
      </c>
      <c r="D42" s="16" t="n">
        <v>78.72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589</v>
      </c>
    </row>
    <row r="2" customFormat="false" ht="15" hidden="false" customHeight="true" outlineLevel="0" collapsed="false">
      <c r="A2" s="13" t="s">
        <v>590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4990</v>
      </c>
      <c r="C5" s="14" t="n">
        <v>3663</v>
      </c>
      <c r="D5" s="14" t="n">
        <v>805</v>
      </c>
      <c r="E5" s="14" t="n">
        <v>792</v>
      </c>
      <c r="F5" s="14" t="n">
        <v>1014</v>
      </c>
      <c r="G5" s="14" t="n">
        <v>887</v>
      </c>
      <c r="H5" s="14" t="n">
        <v>149</v>
      </c>
      <c r="I5" s="14" t="n">
        <v>0</v>
      </c>
      <c r="J5" s="16" t="n">
        <v>73.41</v>
      </c>
    </row>
    <row r="6" customFormat="false" ht="15" hidden="false" customHeight="true" outlineLevel="0" collapsed="false">
      <c r="A6" s="13" t="s">
        <v>133</v>
      </c>
      <c r="B6" s="14" t="n">
        <v>20565</v>
      </c>
      <c r="C6" s="14" t="n">
        <v>17179</v>
      </c>
      <c r="D6" s="14" t="n">
        <v>3790</v>
      </c>
      <c r="E6" s="14" t="n">
        <v>4430</v>
      </c>
      <c r="F6" s="14" t="n">
        <v>5298</v>
      </c>
      <c r="G6" s="14" t="n">
        <v>3274</v>
      </c>
      <c r="H6" s="14" t="n">
        <v>247</v>
      </c>
      <c r="I6" s="14" t="n">
        <v>0</v>
      </c>
      <c r="J6" s="16" t="n">
        <v>83.54</v>
      </c>
    </row>
    <row r="7" customFormat="false" ht="15" hidden="false" customHeight="true" outlineLevel="0" collapsed="false">
      <c r="A7" s="13" t="s">
        <v>548</v>
      </c>
      <c r="B7" s="14" t="n">
        <v>25555</v>
      </c>
      <c r="C7" s="14" t="n">
        <v>20842</v>
      </c>
      <c r="D7" s="14" t="n">
        <v>4595</v>
      </c>
      <c r="E7" s="14" t="n">
        <v>5222</v>
      </c>
      <c r="F7" s="14" t="n">
        <v>6312</v>
      </c>
      <c r="G7" s="14" t="n">
        <v>4161</v>
      </c>
      <c r="H7" s="14" t="n">
        <v>396</v>
      </c>
      <c r="I7" s="14" t="n">
        <v>0</v>
      </c>
      <c r="J7" s="16" t="n">
        <v>81.56</v>
      </c>
    </row>
    <row r="8" customFormat="false" ht="15" hidden="false" customHeight="true" outlineLevel="0" collapsed="false">
      <c r="A8" s="13" t="s">
        <v>136</v>
      </c>
      <c r="B8" s="14" t="n">
        <v>1464</v>
      </c>
      <c r="C8" s="14" t="n">
        <v>768</v>
      </c>
      <c r="D8" s="14" t="n">
        <v>281</v>
      </c>
      <c r="E8" s="14" t="n">
        <v>37</v>
      </c>
      <c r="F8" s="14" t="n">
        <v>61</v>
      </c>
      <c r="G8" s="14" t="n">
        <v>221</v>
      </c>
      <c r="H8" s="14" t="n">
        <v>143</v>
      </c>
      <c r="I8" s="14" t="n">
        <v>7</v>
      </c>
      <c r="J8" s="16" t="n">
        <v>52.46</v>
      </c>
    </row>
    <row r="9" customFormat="false" ht="15" hidden="false" customHeight="true" outlineLevel="0" collapsed="false">
      <c r="A9" s="13" t="s">
        <v>135</v>
      </c>
      <c r="B9" s="14" t="n">
        <v>3767</v>
      </c>
      <c r="C9" s="14" t="n">
        <v>2441</v>
      </c>
      <c r="D9" s="14" t="n">
        <v>1127</v>
      </c>
      <c r="E9" s="14" t="n">
        <v>237</v>
      </c>
      <c r="F9" s="14" t="n">
        <v>238</v>
      </c>
      <c r="G9" s="14" t="n">
        <v>560</v>
      </c>
      <c r="H9" s="14" t="n">
        <v>240</v>
      </c>
      <c r="I9" s="14" t="n">
        <v>10</v>
      </c>
      <c r="J9" s="16" t="n">
        <v>64.8</v>
      </c>
    </row>
    <row r="10" customFormat="false" ht="15" hidden="false" customHeight="true" outlineLevel="0" collapsed="false">
      <c r="A10" s="13" t="s">
        <v>549</v>
      </c>
      <c r="B10" s="14" t="n">
        <v>5231</v>
      </c>
      <c r="C10" s="14" t="n">
        <v>3209</v>
      </c>
      <c r="D10" s="14" t="n">
        <v>1408</v>
      </c>
      <c r="E10" s="14" t="n">
        <v>274</v>
      </c>
      <c r="F10" s="14" t="n">
        <v>299</v>
      </c>
      <c r="G10" s="14" t="n">
        <v>781</v>
      </c>
      <c r="H10" s="14" t="n">
        <v>383</v>
      </c>
      <c r="I10" s="14" t="n">
        <v>17</v>
      </c>
      <c r="J10" s="16" t="n">
        <v>61.35</v>
      </c>
    </row>
    <row r="11" customFormat="false" ht="15" hidden="false" customHeight="true" outlineLevel="0" collapsed="false">
      <c r="A11" s="13" t="s">
        <v>137</v>
      </c>
      <c r="B11" s="14" t="n">
        <v>30786</v>
      </c>
      <c r="C11" s="14" t="n">
        <v>24051</v>
      </c>
      <c r="D11" s="14" t="n">
        <v>6003</v>
      </c>
      <c r="E11" s="14" t="n">
        <v>5496</v>
      </c>
      <c r="F11" s="14" t="n">
        <v>6611</v>
      </c>
      <c r="G11" s="14" t="n">
        <v>4942</v>
      </c>
      <c r="H11" s="14" t="n">
        <v>779</v>
      </c>
      <c r="I11" s="14" t="n">
        <v>17</v>
      </c>
      <c r="J11" s="16" t="n">
        <v>78.12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591</v>
      </c>
    </row>
    <row r="2" customFormat="false" ht="15" hidden="false" customHeight="true" outlineLevel="0" collapsed="false">
      <c r="A2" s="13" t="s">
        <v>592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2863</v>
      </c>
      <c r="C5" s="14" t="n">
        <v>2191</v>
      </c>
      <c r="D5" s="14" t="n">
        <v>358</v>
      </c>
      <c r="E5" s="14" t="n">
        <v>501</v>
      </c>
      <c r="F5" s="14" t="n">
        <v>651</v>
      </c>
      <c r="G5" s="14" t="n">
        <v>550</v>
      </c>
      <c r="H5" s="14" t="n">
        <v>123</v>
      </c>
      <c r="I5" s="14" t="n">
        <v>1</v>
      </c>
      <c r="J5" s="16" t="n">
        <v>76.53</v>
      </c>
    </row>
    <row r="6" customFormat="false" ht="15" hidden="false" customHeight="true" outlineLevel="0" collapsed="false">
      <c r="A6" s="13" t="s">
        <v>133</v>
      </c>
      <c r="B6" s="14" t="n">
        <v>2768</v>
      </c>
      <c r="C6" s="14" t="n">
        <v>2397</v>
      </c>
      <c r="D6" s="14" t="n">
        <v>475</v>
      </c>
      <c r="E6" s="14" t="n">
        <v>644</v>
      </c>
      <c r="F6" s="14" t="n">
        <v>765</v>
      </c>
      <c r="G6" s="14" t="n">
        <v>457</v>
      </c>
      <c r="H6" s="14" t="n">
        <v>42</v>
      </c>
      <c r="I6" s="14" t="n">
        <v>0</v>
      </c>
      <c r="J6" s="16" t="n">
        <v>86.6</v>
      </c>
    </row>
    <row r="7" customFormat="false" ht="15" hidden="false" customHeight="true" outlineLevel="0" collapsed="false">
      <c r="A7" s="13" t="s">
        <v>548</v>
      </c>
      <c r="B7" s="14" t="n">
        <v>5631</v>
      </c>
      <c r="C7" s="14" t="n">
        <v>4588</v>
      </c>
      <c r="D7" s="14" t="n">
        <v>833</v>
      </c>
      <c r="E7" s="14" t="n">
        <v>1145</v>
      </c>
      <c r="F7" s="14" t="n">
        <v>1416</v>
      </c>
      <c r="G7" s="14" t="n">
        <v>1007</v>
      </c>
      <c r="H7" s="14" t="n">
        <v>165</v>
      </c>
      <c r="I7" s="14" t="n">
        <v>1</v>
      </c>
      <c r="J7" s="16" t="n">
        <v>81.48</v>
      </c>
    </row>
    <row r="8" customFormat="false" ht="15" hidden="false" customHeight="true" outlineLevel="0" collapsed="false">
      <c r="A8" s="13" t="s">
        <v>136</v>
      </c>
      <c r="B8" s="14" t="n">
        <v>622</v>
      </c>
      <c r="C8" s="14" t="n">
        <v>226</v>
      </c>
      <c r="D8" s="14" t="n">
        <v>0</v>
      </c>
      <c r="E8" s="14" t="n">
        <v>7</v>
      </c>
      <c r="F8" s="14" t="n">
        <v>18</v>
      </c>
      <c r="G8" s="14" t="n">
        <v>86</v>
      </c>
      <c r="H8" s="14" t="n">
        <v>110</v>
      </c>
      <c r="I8" s="14" t="n">
        <v>4</v>
      </c>
      <c r="J8" s="16" t="n">
        <v>36.33</v>
      </c>
    </row>
    <row r="9" customFormat="false" ht="15" hidden="false" customHeight="true" outlineLevel="0" collapsed="false">
      <c r="A9" s="13" t="s">
        <v>135</v>
      </c>
      <c r="B9" s="14" t="n">
        <v>309</v>
      </c>
      <c r="C9" s="14" t="n">
        <v>135</v>
      </c>
      <c r="D9" s="14" t="n">
        <v>0</v>
      </c>
      <c r="E9" s="14" t="n">
        <v>3</v>
      </c>
      <c r="F9" s="14" t="n">
        <v>11</v>
      </c>
      <c r="G9" s="14" t="n">
        <v>67</v>
      </c>
      <c r="H9" s="14" t="n">
        <v>50</v>
      </c>
      <c r="I9" s="14" t="n">
        <v>2</v>
      </c>
      <c r="J9" s="16" t="n">
        <v>43.69</v>
      </c>
    </row>
    <row r="10" customFormat="false" ht="15" hidden="false" customHeight="true" outlineLevel="0" collapsed="false">
      <c r="A10" s="13" t="s">
        <v>549</v>
      </c>
      <c r="B10" s="14" t="n">
        <v>931</v>
      </c>
      <c r="C10" s="14" t="n">
        <v>361</v>
      </c>
      <c r="D10" s="14" t="n">
        <v>0</v>
      </c>
      <c r="E10" s="14" t="n">
        <v>10</v>
      </c>
      <c r="F10" s="14" t="n">
        <v>29</v>
      </c>
      <c r="G10" s="14" t="n">
        <v>153</v>
      </c>
      <c r="H10" s="14" t="n">
        <v>160</v>
      </c>
      <c r="I10" s="14" t="n">
        <v>6</v>
      </c>
      <c r="J10" s="16" t="n">
        <v>38.78</v>
      </c>
    </row>
    <row r="11" customFormat="false" ht="15" hidden="false" customHeight="true" outlineLevel="0" collapsed="false">
      <c r="A11" s="13" t="s">
        <v>137</v>
      </c>
      <c r="B11" s="14" t="n">
        <v>6562</v>
      </c>
      <c r="C11" s="14" t="n">
        <v>4949</v>
      </c>
      <c r="D11" s="14" t="n">
        <v>833</v>
      </c>
      <c r="E11" s="14" t="n">
        <v>1155</v>
      </c>
      <c r="F11" s="14" t="n">
        <v>1445</v>
      </c>
      <c r="G11" s="14" t="n">
        <v>1160</v>
      </c>
      <c r="H11" s="14" t="n">
        <v>325</v>
      </c>
      <c r="I11" s="14" t="n">
        <v>7</v>
      </c>
      <c r="J11" s="16" t="n">
        <v>75.42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593</v>
      </c>
    </row>
    <row r="2" customFormat="false" ht="15" hidden="false" customHeight="true" outlineLevel="0" collapsed="false">
      <c r="A2" s="13" t="s">
        <v>594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7465</v>
      </c>
      <c r="C5" s="14" t="n">
        <v>2982</v>
      </c>
      <c r="D5" s="14" t="n">
        <v>38</v>
      </c>
      <c r="E5" s="14" t="n">
        <v>226</v>
      </c>
      <c r="F5" s="14" t="n">
        <v>704</v>
      </c>
      <c r="G5" s="14" t="n">
        <v>1162</v>
      </c>
      <c r="H5" s="14" t="n">
        <v>809</v>
      </c>
      <c r="I5" s="14" t="n">
        <v>31</v>
      </c>
      <c r="J5" s="16" t="n">
        <v>39.95</v>
      </c>
    </row>
    <row r="6" customFormat="false" ht="15" hidden="false" customHeight="true" outlineLevel="0" collapsed="false">
      <c r="A6" s="13" t="s">
        <v>133</v>
      </c>
      <c r="B6" s="14" t="n">
        <v>22620</v>
      </c>
      <c r="C6" s="14" t="n">
        <v>14743</v>
      </c>
      <c r="D6" s="14" t="n">
        <v>399</v>
      </c>
      <c r="E6" s="14" t="n">
        <v>2377</v>
      </c>
      <c r="F6" s="14" t="n">
        <v>5294</v>
      </c>
      <c r="G6" s="14" t="n">
        <v>5095</v>
      </c>
      <c r="H6" s="14" t="n">
        <v>1429</v>
      </c>
      <c r="I6" s="14" t="n">
        <v>21</v>
      </c>
      <c r="J6" s="16" t="n">
        <v>65.18</v>
      </c>
    </row>
    <row r="7" customFormat="false" ht="15" hidden="false" customHeight="true" outlineLevel="0" collapsed="false">
      <c r="A7" s="13" t="s">
        <v>548</v>
      </c>
      <c r="B7" s="14" t="n">
        <v>30085</v>
      </c>
      <c r="C7" s="14" t="n">
        <v>17725</v>
      </c>
      <c r="D7" s="14" t="n">
        <v>437</v>
      </c>
      <c r="E7" s="14" t="n">
        <v>2603</v>
      </c>
      <c r="F7" s="14" t="n">
        <v>5998</v>
      </c>
      <c r="G7" s="14" t="n">
        <v>6257</v>
      </c>
      <c r="H7" s="14" t="n">
        <v>2238</v>
      </c>
      <c r="I7" s="14" t="n">
        <v>52</v>
      </c>
      <c r="J7" s="16" t="n">
        <v>58.92</v>
      </c>
    </row>
    <row r="8" customFormat="false" ht="15" hidden="false" customHeight="true" outlineLevel="0" collapsed="false">
      <c r="A8" s="13" t="s">
        <v>136</v>
      </c>
      <c r="B8" s="14" t="n">
        <v>7194</v>
      </c>
      <c r="C8" s="14" t="n">
        <v>1875</v>
      </c>
      <c r="D8" s="14" t="n">
        <v>1</v>
      </c>
      <c r="E8" s="14" t="n">
        <v>50</v>
      </c>
      <c r="F8" s="14" t="n">
        <v>228</v>
      </c>
      <c r="G8" s="14" t="n">
        <v>672</v>
      </c>
      <c r="H8" s="14" t="n">
        <v>794</v>
      </c>
      <c r="I8" s="14" t="n">
        <v>116</v>
      </c>
      <c r="J8" s="16" t="n">
        <v>26.06</v>
      </c>
    </row>
    <row r="9" customFormat="false" ht="15" hidden="false" customHeight="true" outlineLevel="0" collapsed="false">
      <c r="A9" s="13" t="s">
        <v>135</v>
      </c>
      <c r="B9" s="14" t="n">
        <v>13495</v>
      </c>
      <c r="C9" s="14" t="n">
        <v>6545</v>
      </c>
      <c r="D9" s="14" t="n">
        <v>71</v>
      </c>
      <c r="E9" s="14" t="n">
        <v>667</v>
      </c>
      <c r="F9" s="14" t="n">
        <v>1817</v>
      </c>
      <c r="G9" s="14" t="n">
        <v>2614</v>
      </c>
      <c r="H9" s="14" t="n">
        <v>1261</v>
      </c>
      <c r="I9" s="14" t="n">
        <v>63</v>
      </c>
      <c r="J9" s="16" t="n">
        <v>48.5</v>
      </c>
    </row>
    <row r="10" customFormat="false" ht="15" hidden="false" customHeight="true" outlineLevel="0" collapsed="false">
      <c r="A10" s="13" t="s">
        <v>549</v>
      </c>
      <c r="B10" s="14" t="n">
        <v>20689</v>
      </c>
      <c r="C10" s="14" t="n">
        <v>8420</v>
      </c>
      <c r="D10" s="14" t="n">
        <v>72</v>
      </c>
      <c r="E10" s="14" t="n">
        <v>717</v>
      </c>
      <c r="F10" s="14" t="n">
        <v>2045</v>
      </c>
      <c r="G10" s="14" t="n">
        <v>3286</v>
      </c>
      <c r="H10" s="14" t="n">
        <v>2055</v>
      </c>
      <c r="I10" s="14" t="n">
        <v>179</v>
      </c>
      <c r="J10" s="16" t="n">
        <v>40.7</v>
      </c>
    </row>
    <row r="11" customFormat="false" ht="15" hidden="false" customHeight="true" outlineLevel="0" collapsed="false">
      <c r="A11" s="13" t="s">
        <v>137</v>
      </c>
      <c r="B11" s="14" t="n">
        <v>50774</v>
      </c>
      <c r="C11" s="14" t="n">
        <v>26145</v>
      </c>
      <c r="D11" s="14" t="n">
        <v>509</v>
      </c>
      <c r="E11" s="14" t="n">
        <v>3320</v>
      </c>
      <c r="F11" s="14" t="n">
        <v>8043</v>
      </c>
      <c r="G11" s="14" t="n">
        <v>9543</v>
      </c>
      <c r="H11" s="14" t="n">
        <v>4293</v>
      </c>
      <c r="I11" s="14" t="n">
        <v>231</v>
      </c>
      <c r="J11" s="16" t="n">
        <v>51.49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595</v>
      </c>
    </row>
    <row r="2" customFormat="false" ht="15" hidden="false" customHeight="true" outlineLevel="0" collapsed="false">
      <c r="A2" s="13" t="s">
        <v>596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14238</v>
      </c>
      <c r="C5" s="14" t="n">
        <v>8518</v>
      </c>
      <c r="D5" s="14" t="n">
        <v>442</v>
      </c>
      <c r="E5" s="14" t="n">
        <v>1094</v>
      </c>
      <c r="F5" s="14" t="n">
        <v>2154</v>
      </c>
      <c r="G5" s="14" t="n">
        <v>3164</v>
      </c>
      <c r="H5" s="14" t="n">
        <v>1579</v>
      </c>
      <c r="I5" s="14" t="n">
        <v>26</v>
      </c>
      <c r="J5" s="16" t="n">
        <v>59.83</v>
      </c>
    </row>
    <row r="6" customFormat="false" ht="15" hidden="false" customHeight="true" outlineLevel="0" collapsed="false">
      <c r="A6" s="13" t="s">
        <v>133</v>
      </c>
      <c r="B6" s="14" t="n">
        <v>18698</v>
      </c>
      <c r="C6" s="14" t="n">
        <v>14300</v>
      </c>
      <c r="D6" s="14" t="n">
        <v>1236</v>
      </c>
      <c r="E6" s="14" t="n">
        <v>3068</v>
      </c>
      <c r="F6" s="14" t="n">
        <v>4974</v>
      </c>
      <c r="G6" s="14" t="n">
        <v>4180</v>
      </c>
      <c r="H6" s="14" t="n">
        <v>710</v>
      </c>
      <c r="I6" s="14" t="n">
        <v>4</v>
      </c>
      <c r="J6" s="16" t="n">
        <v>76.48</v>
      </c>
    </row>
    <row r="7" customFormat="false" ht="15" hidden="false" customHeight="true" outlineLevel="0" collapsed="false">
      <c r="A7" s="13" t="s">
        <v>548</v>
      </c>
      <c r="B7" s="14" t="n">
        <v>32936</v>
      </c>
      <c r="C7" s="14" t="n">
        <v>22818</v>
      </c>
      <c r="D7" s="14" t="n">
        <v>1678</v>
      </c>
      <c r="E7" s="14" t="n">
        <v>4162</v>
      </c>
      <c r="F7" s="14" t="n">
        <v>7128</v>
      </c>
      <c r="G7" s="14" t="n">
        <v>7344</v>
      </c>
      <c r="H7" s="14" t="n">
        <v>2289</v>
      </c>
      <c r="I7" s="14" t="n">
        <v>30</v>
      </c>
      <c r="J7" s="16" t="n">
        <v>69.28</v>
      </c>
    </row>
    <row r="8" customFormat="false" ht="15" hidden="false" customHeight="true" outlineLevel="0" collapsed="false">
      <c r="A8" s="13" t="s">
        <v>136</v>
      </c>
      <c r="B8" s="14" t="n">
        <v>2590</v>
      </c>
      <c r="C8" s="14" t="n">
        <v>876</v>
      </c>
      <c r="D8" s="14" t="n">
        <v>2</v>
      </c>
      <c r="E8" s="14" t="n">
        <v>6</v>
      </c>
      <c r="F8" s="14" t="n">
        <v>17</v>
      </c>
      <c r="G8" s="14" t="n">
        <v>266</v>
      </c>
      <c r="H8" s="14" t="n">
        <v>561</v>
      </c>
      <c r="I8" s="14" t="n">
        <v>22</v>
      </c>
      <c r="J8" s="16" t="n">
        <v>33.82</v>
      </c>
    </row>
    <row r="9" customFormat="false" ht="15" hidden="false" customHeight="true" outlineLevel="0" collapsed="false">
      <c r="A9" s="13" t="s">
        <v>135</v>
      </c>
      <c r="B9" s="14" t="n">
        <v>1716</v>
      </c>
      <c r="C9" s="14" t="n">
        <v>640</v>
      </c>
      <c r="D9" s="14" t="n">
        <v>2</v>
      </c>
      <c r="E9" s="14" t="n">
        <v>7</v>
      </c>
      <c r="F9" s="14" t="n">
        <v>26</v>
      </c>
      <c r="G9" s="14" t="n">
        <v>309</v>
      </c>
      <c r="H9" s="14" t="n">
        <v>287</v>
      </c>
      <c r="I9" s="14" t="n">
        <v>5</v>
      </c>
      <c r="J9" s="16" t="n">
        <v>37.3</v>
      </c>
    </row>
    <row r="10" customFormat="false" ht="15" hidden="false" customHeight="true" outlineLevel="0" collapsed="false">
      <c r="A10" s="13" t="s">
        <v>549</v>
      </c>
      <c r="B10" s="14" t="n">
        <v>4306</v>
      </c>
      <c r="C10" s="14" t="n">
        <v>1516</v>
      </c>
      <c r="D10" s="14" t="n">
        <v>4</v>
      </c>
      <c r="E10" s="14" t="n">
        <v>13</v>
      </c>
      <c r="F10" s="14" t="n">
        <v>43</v>
      </c>
      <c r="G10" s="14" t="n">
        <v>575</v>
      </c>
      <c r="H10" s="14" t="n">
        <v>848</v>
      </c>
      <c r="I10" s="14" t="n">
        <v>27</v>
      </c>
      <c r="J10" s="16" t="n">
        <v>35.21</v>
      </c>
    </row>
    <row r="11" customFormat="false" ht="15" hidden="false" customHeight="true" outlineLevel="0" collapsed="false">
      <c r="A11" s="13" t="s">
        <v>137</v>
      </c>
      <c r="B11" s="14" t="n">
        <v>37242</v>
      </c>
      <c r="C11" s="14" t="n">
        <v>24334</v>
      </c>
      <c r="D11" s="14" t="n">
        <v>1682</v>
      </c>
      <c r="E11" s="14" t="n">
        <v>4175</v>
      </c>
      <c r="F11" s="14" t="n">
        <v>7171</v>
      </c>
      <c r="G11" s="14" t="n">
        <v>7919</v>
      </c>
      <c r="H11" s="14" t="n">
        <v>3137</v>
      </c>
      <c r="I11" s="14" t="n">
        <v>57</v>
      </c>
      <c r="J11" s="16" t="n">
        <v>65.34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597</v>
      </c>
    </row>
    <row r="2" customFormat="false" ht="15" hidden="false" customHeight="true" outlineLevel="0" collapsed="false">
      <c r="A2" s="13" t="s">
        <v>598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134</v>
      </c>
      <c r="B5" s="14" t="n">
        <v>3574</v>
      </c>
      <c r="C5" s="14" t="n">
        <v>1829</v>
      </c>
      <c r="D5" s="14" t="n">
        <v>24</v>
      </c>
      <c r="E5" s="14" t="n">
        <v>109</v>
      </c>
      <c r="F5" s="14" t="n">
        <v>300</v>
      </c>
      <c r="G5" s="14" t="n">
        <v>670</v>
      </c>
      <c r="H5" s="14" t="n">
        <v>670</v>
      </c>
      <c r="I5" s="14" t="n">
        <v>45</v>
      </c>
      <c r="J5" s="16" t="n">
        <v>51.18</v>
      </c>
    </row>
    <row r="6" customFormat="false" ht="15" hidden="false" customHeight="true" outlineLevel="0" collapsed="false">
      <c r="A6" s="13" t="s">
        <v>133</v>
      </c>
      <c r="B6" s="14" t="n">
        <v>4104</v>
      </c>
      <c r="C6" s="14" t="n">
        <v>3312</v>
      </c>
      <c r="D6" s="14" t="n">
        <v>152</v>
      </c>
      <c r="E6" s="14" t="n">
        <v>500</v>
      </c>
      <c r="F6" s="14" t="n">
        <v>993</v>
      </c>
      <c r="G6" s="14" t="n">
        <v>1109</v>
      </c>
      <c r="H6" s="14" t="n">
        <v>511</v>
      </c>
      <c r="I6" s="14" t="n">
        <v>16</v>
      </c>
      <c r="J6" s="16" t="n">
        <v>80.7</v>
      </c>
    </row>
    <row r="7" customFormat="false" ht="15" hidden="false" customHeight="true" outlineLevel="0" collapsed="false">
      <c r="A7" s="13" t="s">
        <v>548</v>
      </c>
      <c r="B7" s="14" t="n">
        <v>7678</v>
      </c>
      <c r="C7" s="14" t="n">
        <v>5141</v>
      </c>
      <c r="D7" s="14" t="n">
        <v>176</v>
      </c>
      <c r="E7" s="14" t="n">
        <v>609</v>
      </c>
      <c r="F7" s="14" t="n">
        <v>1293</v>
      </c>
      <c r="G7" s="14" t="n">
        <v>1779</v>
      </c>
      <c r="H7" s="14" t="n">
        <v>1181</v>
      </c>
      <c r="I7" s="14" t="n">
        <v>61</v>
      </c>
      <c r="J7" s="16" t="n">
        <v>66.96</v>
      </c>
    </row>
    <row r="8" customFormat="false" ht="15" hidden="false" customHeight="true" outlineLevel="0" collapsed="false">
      <c r="A8" s="13" t="s">
        <v>136</v>
      </c>
      <c r="B8" s="14" t="n">
        <v>1655</v>
      </c>
      <c r="C8" s="14" t="n">
        <v>496</v>
      </c>
      <c r="D8" s="14" t="n">
        <v>1</v>
      </c>
      <c r="E8" s="14" t="n">
        <v>5</v>
      </c>
      <c r="F8" s="14" t="n">
        <v>45</v>
      </c>
      <c r="G8" s="14" t="n">
        <v>118</v>
      </c>
      <c r="H8" s="14" t="n">
        <v>267</v>
      </c>
      <c r="I8" s="14" t="n">
        <v>58</v>
      </c>
      <c r="J8" s="16" t="n">
        <v>29.97</v>
      </c>
    </row>
    <row r="9" customFormat="false" ht="15" hidden="false" customHeight="true" outlineLevel="0" collapsed="false">
      <c r="A9" s="13" t="s">
        <v>135</v>
      </c>
      <c r="B9" s="14" t="n">
        <v>1071</v>
      </c>
      <c r="C9" s="14" t="n">
        <v>548</v>
      </c>
      <c r="D9" s="14" t="n">
        <v>6</v>
      </c>
      <c r="E9" s="14" t="n">
        <v>25</v>
      </c>
      <c r="F9" s="14" t="n">
        <v>112</v>
      </c>
      <c r="G9" s="14" t="n">
        <v>197</v>
      </c>
      <c r="H9" s="14" t="n">
        <v>195</v>
      </c>
      <c r="I9" s="14" t="n">
        <v>8</v>
      </c>
      <c r="J9" s="16" t="n">
        <v>51.17</v>
      </c>
    </row>
    <row r="10" customFormat="false" ht="15" hidden="false" customHeight="true" outlineLevel="0" collapsed="false">
      <c r="A10" s="13" t="s">
        <v>549</v>
      </c>
      <c r="B10" s="14" t="n">
        <v>2726</v>
      </c>
      <c r="C10" s="14" t="n">
        <v>1044</v>
      </c>
      <c r="D10" s="14" t="n">
        <v>7</v>
      </c>
      <c r="E10" s="14" t="n">
        <v>30</v>
      </c>
      <c r="F10" s="14" t="n">
        <v>157</v>
      </c>
      <c r="G10" s="14" t="n">
        <v>315</v>
      </c>
      <c r="H10" s="14" t="n">
        <v>462</v>
      </c>
      <c r="I10" s="14" t="n">
        <v>66</v>
      </c>
      <c r="J10" s="16" t="n">
        <v>38.3</v>
      </c>
    </row>
    <row r="11" customFormat="false" ht="15" hidden="false" customHeight="true" outlineLevel="0" collapsed="false">
      <c r="A11" s="13" t="s">
        <v>137</v>
      </c>
      <c r="B11" s="14" t="n">
        <v>10404</v>
      </c>
      <c r="C11" s="14" t="n">
        <v>6185</v>
      </c>
      <c r="D11" s="14" t="n">
        <v>183</v>
      </c>
      <c r="E11" s="14" t="n">
        <v>639</v>
      </c>
      <c r="F11" s="14" t="n">
        <v>1450</v>
      </c>
      <c r="G11" s="14" t="n">
        <v>2094</v>
      </c>
      <c r="H11" s="14" t="n">
        <v>1643</v>
      </c>
      <c r="I11" s="14" t="n">
        <v>127</v>
      </c>
      <c r="J11" s="16" t="n">
        <v>59.45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2"/>
    <col collapsed="false" customWidth="true" hidden="false" outlineLevel="0" max="10" min="2" style="13" width="12"/>
  </cols>
  <sheetData>
    <row r="1" customFormat="false" ht="15" hidden="false" customHeight="true" outlineLevel="0" collapsed="false">
      <c r="A1" s="13" t="s">
        <v>599</v>
      </c>
    </row>
    <row r="2" customFormat="false" ht="15" hidden="false" customHeight="true" outlineLevel="0" collapsed="false">
      <c r="A2" s="13" t="s">
        <v>600</v>
      </c>
    </row>
    <row r="4" customFormat="false" ht="15" hidden="false" customHeight="true" outlineLevel="0" collapsed="false">
      <c r="A4" s="13" t="s">
        <v>187</v>
      </c>
      <c r="B4" s="13" t="s">
        <v>4</v>
      </c>
      <c r="C4" s="13" t="s">
        <v>198</v>
      </c>
      <c r="D4" s="13" t="s">
        <v>199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6</v>
      </c>
    </row>
    <row r="5" customFormat="false" ht="15" hidden="false" customHeight="true" outlineLevel="0" collapsed="false">
      <c r="A5" s="13" t="s">
        <v>133</v>
      </c>
      <c r="B5" s="14" t="n">
        <v>42</v>
      </c>
      <c r="C5" s="14" t="n">
        <v>32</v>
      </c>
      <c r="D5" s="14" t="n">
        <v>1</v>
      </c>
      <c r="E5" s="14" t="n">
        <v>12</v>
      </c>
      <c r="F5" s="14" t="n">
        <v>10</v>
      </c>
      <c r="G5" s="14" t="n">
        <v>7</v>
      </c>
      <c r="H5" s="14" t="n">
        <v>1</v>
      </c>
      <c r="I5" s="14" t="n">
        <v>0</v>
      </c>
      <c r="J5" s="16" t="n">
        <v>76.19</v>
      </c>
    </row>
    <row r="6" customFormat="false" ht="15" hidden="false" customHeight="true" outlineLevel="0" collapsed="false">
      <c r="A6" s="13" t="s">
        <v>548</v>
      </c>
      <c r="B6" s="14" t="n">
        <v>42</v>
      </c>
      <c r="C6" s="14" t="n">
        <v>32</v>
      </c>
      <c r="D6" s="14" t="n">
        <v>1</v>
      </c>
      <c r="E6" s="14" t="n">
        <v>12</v>
      </c>
      <c r="F6" s="14" t="n">
        <v>10</v>
      </c>
      <c r="G6" s="14" t="n">
        <v>7</v>
      </c>
      <c r="H6" s="14" t="n">
        <v>1</v>
      </c>
      <c r="I6" s="14" t="n">
        <v>0</v>
      </c>
      <c r="J6" s="16" t="n">
        <v>76.19</v>
      </c>
    </row>
    <row r="7" customFormat="false" ht="15" hidden="false" customHeight="true" outlineLevel="0" collapsed="false">
      <c r="A7" s="13" t="s">
        <v>137</v>
      </c>
      <c r="B7" s="14" t="n">
        <v>42</v>
      </c>
      <c r="C7" s="14" t="n">
        <v>32</v>
      </c>
      <c r="D7" s="14" t="n">
        <v>1</v>
      </c>
      <c r="E7" s="14" t="n">
        <v>12</v>
      </c>
      <c r="F7" s="14" t="n">
        <v>10</v>
      </c>
      <c r="G7" s="14" t="n">
        <v>7</v>
      </c>
      <c r="H7" s="14" t="n">
        <v>1</v>
      </c>
      <c r="I7" s="14" t="n">
        <v>0</v>
      </c>
      <c r="J7" s="16" t="n">
        <v>76.19</v>
      </c>
    </row>
    <row r="8" customFormat="false" ht="15" hidden="false" customHeight="true" outlineLevel="0" collapsed="false">
      <c r="B8" s="14"/>
      <c r="C8" s="14"/>
      <c r="D8" s="14"/>
      <c r="E8" s="14"/>
      <c r="F8" s="14"/>
      <c r="G8" s="14"/>
      <c r="H8" s="14"/>
      <c r="I8" s="14"/>
      <c r="J8" s="16"/>
    </row>
    <row r="9" customFormat="false" ht="15" hidden="false" customHeight="true" outlineLevel="0" collapsed="false">
      <c r="B9" s="14"/>
      <c r="C9" s="14"/>
      <c r="D9" s="14"/>
      <c r="E9" s="14"/>
      <c r="F9" s="14"/>
      <c r="G9" s="14"/>
      <c r="H9" s="14"/>
      <c r="I9" s="14"/>
      <c r="J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0"/>
    <col collapsed="false" customWidth="true" hidden="false" outlineLevel="0" max="12" min="2" style="13" width="13"/>
  </cols>
  <sheetData>
    <row r="1" customFormat="false" ht="15" hidden="false" customHeight="true" outlineLevel="0" collapsed="false">
      <c r="A1" s="13" t="s">
        <v>601</v>
      </c>
    </row>
    <row r="2" customFormat="false" ht="15" hidden="false" customHeight="true" outlineLevel="0" collapsed="false">
      <c r="A2" s="13" t="s">
        <v>602</v>
      </c>
    </row>
    <row r="4" customFormat="false" ht="15" hidden="false" customHeight="true" outlineLevel="0" collapsed="false">
      <c r="A4" s="13" t="s">
        <v>210</v>
      </c>
      <c r="B4" s="13" t="s">
        <v>562</v>
      </c>
      <c r="C4" s="13" t="s">
        <v>563</v>
      </c>
      <c r="D4" s="13" t="s">
        <v>564</v>
      </c>
      <c r="E4" s="13" t="s">
        <v>565</v>
      </c>
      <c r="F4" s="13" t="s">
        <v>566</v>
      </c>
      <c r="G4" s="13" t="s">
        <v>567</v>
      </c>
      <c r="H4" s="13" t="s">
        <v>568</v>
      </c>
      <c r="I4" s="13" t="s">
        <v>569</v>
      </c>
      <c r="J4" s="13" t="s">
        <v>181</v>
      </c>
      <c r="K4" s="13" t="s">
        <v>570</v>
      </c>
      <c r="L4" s="13" t="s">
        <v>571</v>
      </c>
    </row>
    <row r="5" customFormat="false" ht="15" hidden="false" customHeight="true" outlineLevel="0" collapsed="false">
      <c r="A5" s="13" t="s">
        <v>32</v>
      </c>
      <c r="B5" s="14" t="n">
        <v>6625</v>
      </c>
      <c r="C5" s="14" t="n">
        <v>3458</v>
      </c>
      <c r="D5" s="14" t="n">
        <v>4774</v>
      </c>
      <c r="E5" s="14" t="n">
        <v>1501</v>
      </c>
      <c r="F5" s="14" t="n">
        <v>20207</v>
      </c>
      <c r="G5" s="14" t="n">
        <v>15552</v>
      </c>
      <c r="H5" s="14" t="n">
        <v>10060</v>
      </c>
      <c r="I5" s="14" t="n">
        <v>6031</v>
      </c>
      <c r="J5" s="14" t="n">
        <v>41666</v>
      </c>
      <c r="K5" s="14" t="n">
        <v>26542</v>
      </c>
      <c r="L5" s="16" t="n">
        <f aca="false">ROUND(K5/J5*100,2)</f>
        <v>63.7</v>
      </c>
    </row>
    <row r="6" customFormat="false" ht="15" hidden="false" customHeight="true" outlineLevel="0" collapsed="false">
      <c r="A6" s="13" t="s">
        <v>572</v>
      </c>
      <c r="B6" s="14" t="n">
        <v>3105</v>
      </c>
      <c r="C6" s="14" t="n">
        <v>1502</v>
      </c>
      <c r="D6" s="14" t="n">
        <v>1887</v>
      </c>
      <c r="E6" s="14" t="n">
        <v>601</v>
      </c>
      <c r="F6" s="14" t="n">
        <v>11539</v>
      </c>
      <c r="G6" s="14" t="n">
        <v>8789</v>
      </c>
      <c r="H6" s="14" t="n">
        <v>5346</v>
      </c>
      <c r="I6" s="14" t="n">
        <v>3072</v>
      </c>
      <c r="J6" s="14" t="n">
        <v>21877</v>
      </c>
      <c r="K6" s="14" t="n">
        <v>13964</v>
      </c>
      <c r="L6" s="16" t="n">
        <f aca="false">ROUND(K6/J6*100,2)</f>
        <v>63.83</v>
      </c>
    </row>
    <row r="7" customFormat="false" ht="15" hidden="false" customHeight="true" outlineLevel="0" collapsed="false">
      <c r="A7" s="13" t="s">
        <v>573</v>
      </c>
      <c r="B7" s="14" t="n">
        <v>1360</v>
      </c>
      <c r="C7" s="14" t="n">
        <v>800</v>
      </c>
      <c r="D7" s="14" t="n">
        <v>1069</v>
      </c>
      <c r="E7" s="14" t="n">
        <v>362</v>
      </c>
      <c r="F7" s="14" t="n">
        <v>3925</v>
      </c>
      <c r="G7" s="14" t="n">
        <v>3094</v>
      </c>
      <c r="H7" s="14" t="n">
        <v>2587</v>
      </c>
      <c r="I7" s="14" t="n">
        <v>1596</v>
      </c>
      <c r="J7" s="14" t="n">
        <v>8941</v>
      </c>
      <c r="K7" s="14" t="n">
        <v>5852</v>
      </c>
      <c r="L7" s="16" t="n">
        <f aca="false">ROUND(K7/J7*100,2)</f>
        <v>65.45</v>
      </c>
    </row>
    <row r="8" customFormat="false" ht="15" hidden="false" customHeight="true" outlineLevel="0" collapsed="false">
      <c r="A8" s="13" t="s">
        <v>574</v>
      </c>
      <c r="B8" s="14" t="n">
        <v>1686</v>
      </c>
      <c r="C8" s="14" t="n">
        <v>862</v>
      </c>
      <c r="D8" s="14" t="n">
        <v>909</v>
      </c>
      <c r="E8" s="14" t="n">
        <v>291</v>
      </c>
      <c r="F8" s="14" t="n">
        <v>6054</v>
      </c>
      <c r="G8" s="14" t="n">
        <v>4791</v>
      </c>
      <c r="H8" s="14" t="n">
        <v>2692</v>
      </c>
      <c r="I8" s="14" t="n">
        <v>1737</v>
      </c>
      <c r="J8" s="14" t="n">
        <v>11341</v>
      </c>
      <c r="K8" s="14" t="n">
        <v>7681</v>
      </c>
      <c r="L8" s="16" t="n">
        <f aca="false">ROUND(K8/J8*100,2)</f>
        <v>67.73</v>
      </c>
    </row>
    <row r="9" customFormat="false" ht="15" hidden="false" customHeight="true" outlineLevel="0" collapsed="false">
      <c r="A9" s="13" t="s">
        <v>575</v>
      </c>
      <c r="B9" s="14" t="n">
        <v>2206</v>
      </c>
      <c r="C9" s="14" t="n">
        <v>1121</v>
      </c>
      <c r="D9" s="14" t="n">
        <v>1311</v>
      </c>
      <c r="E9" s="14" t="n">
        <v>414</v>
      </c>
      <c r="F9" s="14" t="n">
        <v>7545</v>
      </c>
      <c r="G9" s="14" t="n">
        <v>5731</v>
      </c>
      <c r="H9" s="14" t="n">
        <v>3688</v>
      </c>
      <c r="I9" s="14" t="n">
        <v>2135</v>
      </c>
      <c r="J9" s="14" t="n">
        <v>14750</v>
      </c>
      <c r="K9" s="14" t="n">
        <v>9401</v>
      </c>
      <c r="L9" s="16" t="n">
        <f aca="false">ROUND(K9/J9*100,2)</f>
        <v>63.74</v>
      </c>
    </row>
    <row r="10" customFormat="false" ht="15" hidden="false" customHeight="true" outlineLevel="0" collapsed="false">
      <c r="A10" s="13" t="s">
        <v>576</v>
      </c>
      <c r="B10" s="14" t="n">
        <v>5376</v>
      </c>
      <c r="C10" s="14" t="n">
        <v>2566</v>
      </c>
      <c r="D10" s="14" t="n">
        <v>3575</v>
      </c>
      <c r="E10" s="14" t="n">
        <v>1072</v>
      </c>
      <c r="F10" s="14" t="n">
        <v>19527</v>
      </c>
      <c r="G10" s="14" t="n">
        <v>14006</v>
      </c>
      <c r="H10" s="14" t="n">
        <v>8757</v>
      </c>
      <c r="I10" s="14" t="n">
        <v>4612</v>
      </c>
      <c r="J10" s="14" t="n">
        <v>37235</v>
      </c>
      <c r="K10" s="14" t="n">
        <v>22256</v>
      </c>
      <c r="L10" s="16" t="n">
        <f aca="false">ROUND(K10/J10*100,2)</f>
        <v>59.77</v>
      </c>
    </row>
    <row r="11" customFormat="false" ht="15" hidden="false" customHeight="true" outlineLevel="0" collapsed="false">
      <c r="A11" s="13" t="s">
        <v>192</v>
      </c>
      <c r="B11" s="14" t="n">
        <v>20358</v>
      </c>
      <c r="C11" s="14" t="n">
        <v>10309</v>
      </c>
      <c r="D11" s="14" t="n">
        <v>13525</v>
      </c>
      <c r="E11" s="14" t="n">
        <v>4241</v>
      </c>
      <c r="F11" s="14" t="n">
        <v>68797</v>
      </c>
      <c r="G11" s="14" t="n">
        <v>51963</v>
      </c>
      <c r="H11" s="14" t="n">
        <v>33130</v>
      </c>
      <c r="I11" s="14" t="n">
        <v>19183</v>
      </c>
      <c r="J11" s="14" t="n">
        <v>135810</v>
      </c>
      <c r="K11" s="14" t="n">
        <v>85696</v>
      </c>
      <c r="L11" s="16" t="n">
        <f aca="false">ROUND(K11/J11*100,2)</f>
        <v>63.1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38"/>
    <col collapsed="false" customWidth="true" hidden="false" outlineLevel="0" max="4" min="2" style="13" width="12"/>
  </cols>
  <sheetData>
    <row r="1" customFormat="false" ht="15" hidden="false" customHeight="true" outlineLevel="0" collapsed="false">
      <c r="A1" s="13" t="s">
        <v>603</v>
      </c>
    </row>
    <row r="2" customFormat="false" ht="15" hidden="false" customHeight="true" outlineLevel="0" collapsed="false">
      <c r="A2" s="13" t="s">
        <v>604</v>
      </c>
    </row>
    <row r="4" customFormat="false" ht="15" hidden="false" customHeight="true" outlineLevel="0" collapsed="false">
      <c r="A4" s="13" t="s">
        <v>222</v>
      </c>
      <c r="B4" s="13" t="s">
        <v>4</v>
      </c>
      <c r="C4" s="13" t="s">
        <v>198</v>
      </c>
      <c r="D4" s="13" t="s">
        <v>6</v>
      </c>
    </row>
    <row r="5" customFormat="false" ht="15" hidden="false" customHeight="true" outlineLevel="0" collapsed="false">
      <c r="A5" s="13" t="s">
        <v>538</v>
      </c>
      <c r="B5" s="14" t="n">
        <v>42</v>
      </c>
      <c r="C5" s="14" t="n">
        <v>42</v>
      </c>
      <c r="D5" s="16" t="n">
        <v>100</v>
      </c>
    </row>
    <row r="6" customFormat="false" ht="15" hidden="false" customHeight="true" outlineLevel="0" collapsed="false">
      <c r="A6" s="13" t="s">
        <v>162</v>
      </c>
      <c r="B6" s="14" t="n">
        <v>1920</v>
      </c>
      <c r="C6" s="14" t="n">
        <v>1762</v>
      </c>
      <c r="D6" s="16" t="n">
        <v>91.77</v>
      </c>
    </row>
    <row r="7" customFormat="false" ht="15" hidden="false" customHeight="true" outlineLevel="0" collapsed="false">
      <c r="A7" s="13" t="s">
        <v>225</v>
      </c>
      <c r="B7" s="14" t="n">
        <v>9199</v>
      </c>
      <c r="C7" s="14" t="n">
        <v>8233</v>
      </c>
      <c r="D7" s="16" t="n">
        <v>89.5</v>
      </c>
    </row>
    <row r="8" customFormat="false" ht="15" hidden="false" customHeight="true" outlineLevel="0" collapsed="false">
      <c r="A8" s="13" t="s">
        <v>167</v>
      </c>
      <c r="B8" s="14" t="n">
        <v>27730</v>
      </c>
      <c r="C8" s="14" t="n">
        <v>23669</v>
      </c>
      <c r="D8" s="16" t="n">
        <v>85.36</v>
      </c>
    </row>
    <row r="9" customFormat="false" ht="15" hidden="false" customHeight="true" outlineLevel="0" collapsed="false">
      <c r="A9" s="13" t="s">
        <v>229</v>
      </c>
      <c r="B9" s="14" t="n">
        <v>9528</v>
      </c>
      <c r="C9" s="14" t="n">
        <v>9036</v>
      </c>
      <c r="D9" s="16" t="n">
        <v>94.84</v>
      </c>
    </row>
    <row r="10" customFormat="false" ht="15" hidden="false" customHeight="true" outlineLevel="0" collapsed="false">
      <c r="A10" s="13" t="s">
        <v>166</v>
      </c>
      <c r="B10" s="14" t="n">
        <v>34287</v>
      </c>
      <c r="C10" s="14" t="n">
        <v>28971</v>
      </c>
      <c r="D10" s="16" t="n">
        <v>84.5</v>
      </c>
    </row>
    <row r="11" customFormat="false" ht="15" hidden="false" customHeight="true" outlineLevel="0" collapsed="false">
      <c r="A11" s="13" t="s">
        <v>579</v>
      </c>
      <c r="B11" s="14" t="n">
        <v>42</v>
      </c>
      <c r="C11" s="14" t="n">
        <v>42</v>
      </c>
      <c r="D11" s="16" t="n">
        <v>100</v>
      </c>
    </row>
    <row r="12" customFormat="false" ht="15" hidden="false" customHeight="true" outlineLevel="0" collapsed="false">
      <c r="A12" s="13" t="s">
        <v>154</v>
      </c>
      <c r="B12" s="14" t="n">
        <v>21554</v>
      </c>
      <c r="C12" s="14" t="n">
        <v>19538</v>
      </c>
      <c r="D12" s="16" t="n">
        <v>90.65</v>
      </c>
    </row>
    <row r="13" customFormat="false" ht="15" hidden="false" customHeight="true" outlineLevel="0" collapsed="false">
      <c r="A13" s="13" t="s">
        <v>587</v>
      </c>
      <c r="B13" s="14" t="n">
        <v>55</v>
      </c>
      <c r="C13" s="14" t="n">
        <v>52</v>
      </c>
      <c r="D13" s="16" t="n">
        <v>94.55</v>
      </c>
    </row>
    <row r="14" customFormat="false" ht="15" hidden="false" customHeight="true" outlineLevel="0" collapsed="false">
      <c r="A14" s="13" t="s">
        <v>236</v>
      </c>
      <c r="B14" s="14" t="n">
        <v>9412</v>
      </c>
      <c r="C14" s="14" t="n">
        <v>8567</v>
      </c>
      <c r="D14" s="16" t="n">
        <v>91.02</v>
      </c>
    </row>
    <row r="15" customFormat="false" ht="15" hidden="false" customHeight="true" outlineLevel="0" collapsed="false">
      <c r="A15" s="13" t="s">
        <v>170</v>
      </c>
      <c r="B15" s="14" t="n">
        <v>44788</v>
      </c>
      <c r="C15" s="14" t="n">
        <v>38125</v>
      </c>
      <c r="D15" s="16" t="n">
        <v>85.12</v>
      </c>
    </row>
    <row r="16" customFormat="false" ht="15" hidden="false" customHeight="true" outlineLevel="0" collapsed="false">
      <c r="A16" s="13" t="s">
        <v>580</v>
      </c>
      <c r="B16" s="14" t="n">
        <v>217</v>
      </c>
      <c r="C16" s="14" t="n">
        <v>206</v>
      </c>
      <c r="D16" s="16" t="n">
        <v>94.93</v>
      </c>
    </row>
    <row r="17" customFormat="false" ht="15" hidden="false" customHeight="true" outlineLevel="0" collapsed="false">
      <c r="A17" s="13" t="s">
        <v>152</v>
      </c>
      <c r="B17" s="14" t="n">
        <v>8420</v>
      </c>
      <c r="C17" s="14" t="n">
        <v>7765</v>
      </c>
      <c r="D17" s="16" t="n">
        <v>92.22</v>
      </c>
    </row>
    <row r="18" customFormat="false" ht="15" hidden="false" customHeight="true" outlineLevel="0" collapsed="false">
      <c r="A18" s="13" t="s">
        <v>150</v>
      </c>
      <c r="B18" s="14" t="n">
        <v>30643</v>
      </c>
      <c r="C18" s="14" t="n">
        <v>26990</v>
      </c>
      <c r="D18" s="16" t="n">
        <v>88.08</v>
      </c>
    </row>
    <row r="19" customFormat="false" ht="15" hidden="false" customHeight="true" outlineLevel="0" collapsed="false">
      <c r="A19" s="13" t="s">
        <v>142</v>
      </c>
      <c r="B19" s="14" t="n">
        <v>126169</v>
      </c>
      <c r="C19" s="14" t="n">
        <v>97987</v>
      </c>
      <c r="D19" s="16" t="n">
        <v>77.66</v>
      </c>
    </row>
    <row r="20" customFormat="false" ht="15" hidden="false" customHeight="true" outlineLevel="0" collapsed="false">
      <c r="A20" s="13" t="s">
        <v>505</v>
      </c>
      <c r="B20" s="14" t="n">
        <v>115</v>
      </c>
      <c r="C20" s="14" t="n">
        <v>111</v>
      </c>
      <c r="D20" s="16" t="n">
        <v>96.52</v>
      </c>
    </row>
    <row r="21" customFormat="false" ht="15" hidden="false" customHeight="true" outlineLevel="0" collapsed="false">
      <c r="A21" s="13" t="s">
        <v>143</v>
      </c>
      <c r="B21" s="14" t="n">
        <v>1232</v>
      </c>
      <c r="C21" s="14" t="n">
        <v>1227</v>
      </c>
      <c r="D21" s="16" t="n">
        <v>99.59</v>
      </c>
    </row>
    <row r="22" customFormat="false" ht="15" hidden="false" customHeight="true" outlineLevel="0" collapsed="false">
      <c r="A22" s="13" t="s">
        <v>507</v>
      </c>
      <c r="B22" s="14" t="n">
        <v>223</v>
      </c>
      <c r="C22" s="14" t="n">
        <v>221</v>
      </c>
      <c r="D22" s="16" t="n">
        <v>99.1</v>
      </c>
    </row>
    <row r="23" customFormat="false" ht="15" hidden="false" customHeight="true" outlineLevel="0" collapsed="false">
      <c r="A23" s="13" t="s">
        <v>542</v>
      </c>
      <c r="B23" s="14" t="n">
        <v>42</v>
      </c>
      <c r="C23" s="14" t="n">
        <v>42</v>
      </c>
      <c r="D23" s="16" t="n">
        <v>100</v>
      </c>
    </row>
    <row r="24" customFormat="false" ht="15" hidden="false" customHeight="true" outlineLevel="0" collapsed="false">
      <c r="A24" s="13" t="s">
        <v>161</v>
      </c>
      <c r="B24" s="14" t="n">
        <v>459</v>
      </c>
      <c r="C24" s="14" t="n">
        <v>459</v>
      </c>
      <c r="D24" s="16" t="n">
        <v>100</v>
      </c>
    </row>
    <row r="25" customFormat="false" ht="15" hidden="false" customHeight="true" outlineLevel="0" collapsed="false">
      <c r="A25" s="13" t="s">
        <v>158</v>
      </c>
      <c r="B25" s="14" t="n">
        <v>8739</v>
      </c>
      <c r="C25" s="14" t="n">
        <v>8169</v>
      </c>
      <c r="D25" s="16" t="n">
        <v>93.48</v>
      </c>
    </row>
    <row r="26" customFormat="false" ht="15" hidden="false" customHeight="true" outlineLevel="0" collapsed="false">
      <c r="A26" s="13" t="s">
        <v>581</v>
      </c>
      <c r="B26" s="14" t="n">
        <v>2</v>
      </c>
      <c r="C26" s="14" t="n">
        <v>0</v>
      </c>
      <c r="D26" s="16" t="n">
        <v>0</v>
      </c>
    </row>
    <row r="27" customFormat="false" ht="15" hidden="false" customHeight="true" outlineLevel="0" collapsed="false">
      <c r="A27" s="13" t="s">
        <v>415</v>
      </c>
      <c r="B27" s="14" t="n">
        <v>2190</v>
      </c>
      <c r="C27" s="14" t="n">
        <v>1366</v>
      </c>
      <c r="D27" s="16" t="n">
        <v>62.37</v>
      </c>
    </row>
    <row r="28" customFormat="false" ht="15" hidden="false" customHeight="true" outlineLevel="0" collapsed="false">
      <c r="A28" s="13" t="s">
        <v>582</v>
      </c>
      <c r="B28" s="14" t="n">
        <v>3</v>
      </c>
      <c r="C28" s="14" t="n">
        <v>1</v>
      </c>
      <c r="D28" s="16" t="n">
        <v>33.33</v>
      </c>
    </row>
    <row r="29" customFormat="false" ht="15" hidden="false" customHeight="true" outlineLevel="0" collapsed="false">
      <c r="A29" s="13" t="s">
        <v>418</v>
      </c>
      <c r="B29" s="14" t="n">
        <v>880</v>
      </c>
      <c r="C29" s="14" t="n">
        <v>696</v>
      </c>
      <c r="D29" s="16" t="n">
        <v>79.09</v>
      </c>
    </row>
    <row r="30" customFormat="false" ht="15" hidden="false" customHeight="true" outlineLevel="0" collapsed="false">
      <c r="A30" s="13" t="s">
        <v>583</v>
      </c>
      <c r="B30" s="14" t="n">
        <v>34350</v>
      </c>
      <c r="C30" s="14" t="n">
        <v>32683</v>
      </c>
      <c r="D30" s="16" t="n">
        <v>95.15</v>
      </c>
    </row>
    <row r="31" customFormat="false" ht="15" hidden="false" customHeight="true" outlineLevel="0" collapsed="false">
      <c r="A31" s="13" t="s">
        <v>159</v>
      </c>
      <c r="B31" s="14" t="n">
        <v>1113</v>
      </c>
      <c r="C31" s="14" t="n">
        <v>1083</v>
      </c>
      <c r="D31" s="16" t="n">
        <v>97.3</v>
      </c>
    </row>
    <row r="32" customFormat="false" ht="15" hidden="false" customHeight="true" outlineLevel="0" collapsed="false">
      <c r="A32" s="13" t="s">
        <v>156</v>
      </c>
      <c r="B32" s="14" t="n">
        <v>42508</v>
      </c>
      <c r="C32" s="14" t="n">
        <v>31024</v>
      </c>
      <c r="D32" s="16" t="n">
        <v>72.98</v>
      </c>
    </row>
    <row r="33" customFormat="false" ht="15" hidden="false" customHeight="true" outlineLevel="0" collapsed="false">
      <c r="A33" s="13" t="s">
        <v>414</v>
      </c>
      <c r="B33" s="14" t="n">
        <v>1907</v>
      </c>
      <c r="C33" s="14" t="n">
        <v>1907</v>
      </c>
      <c r="D33" s="16" t="n">
        <v>100</v>
      </c>
    </row>
    <row r="34" customFormat="false" ht="15" hidden="false" customHeight="true" outlineLevel="0" collapsed="false">
      <c r="A34" s="13" t="s">
        <v>149</v>
      </c>
      <c r="B34" s="14" t="n">
        <v>119949</v>
      </c>
      <c r="C34" s="14" t="n">
        <v>117564</v>
      </c>
      <c r="D34" s="16" t="n">
        <v>98.01</v>
      </c>
    </row>
    <row r="35" customFormat="false" ht="15" hidden="false" customHeight="true" outlineLevel="0" collapsed="false">
      <c r="A35" s="13" t="s">
        <v>145</v>
      </c>
      <c r="B35" s="14" t="n">
        <v>6</v>
      </c>
      <c r="C35" s="14" t="n">
        <v>6</v>
      </c>
      <c r="D35" s="16" t="n">
        <v>100</v>
      </c>
    </row>
    <row r="36" customFormat="false" ht="15" hidden="false" customHeight="true" outlineLevel="0" collapsed="false">
      <c r="A36" s="13" t="s">
        <v>424</v>
      </c>
      <c r="B36" s="14" t="n">
        <v>2536</v>
      </c>
      <c r="C36" s="14" t="n">
        <v>2471</v>
      </c>
      <c r="D36" s="16" t="n">
        <v>97.44</v>
      </c>
    </row>
    <row r="37" customFormat="false" ht="15" hidden="false" customHeight="true" outlineLevel="0" collapsed="false">
      <c r="A37" s="13" t="s">
        <v>425</v>
      </c>
      <c r="B37" s="14" t="n">
        <v>173</v>
      </c>
      <c r="C37" s="14" t="n">
        <v>130</v>
      </c>
      <c r="D37" s="16" t="n">
        <v>75.14</v>
      </c>
    </row>
    <row r="38" customFormat="false" ht="15" hidden="false" customHeight="true" outlineLevel="0" collapsed="false">
      <c r="A38" s="13" t="s">
        <v>165</v>
      </c>
      <c r="B38" s="14" t="n">
        <v>59025</v>
      </c>
      <c r="C38" s="14" t="n">
        <v>53098</v>
      </c>
      <c r="D38" s="16" t="n">
        <v>89.96</v>
      </c>
    </row>
    <row r="39" customFormat="false" ht="15" hidden="false" customHeight="true" outlineLevel="0" collapsed="false">
      <c r="A39" s="13" t="s">
        <v>477</v>
      </c>
      <c r="B39" s="14" t="n">
        <v>9321</v>
      </c>
      <c r="C39" s="14" t="n">
        <v>7949</v>
      </c>
      <c r="D39" s="16" t="n">
        <v>85.28</v>
      </c>
    </row>
    <row r="40" customFormat="false" ht="15" hidden="false" customHeight="true" outlineLevel="0" collapsed="false">
      <c r="A40" s="13" t="s">
        <v>153</v>
      </c>
      <c r="B40" s="14" t="n">
        <v>3829</v>
      </c>
      <c r="C40" s="14" t="n">
        <v>3650</v>
      </c>
      <c r="D40" s="16" t="n">
        <v>95.33</v>
      </c>
    </row>
    <row r="41" customFormat="false" ht="15" hidden="false" customHeight="true" outlineLevel="0" collapsed="false">
      <c r="A41" s="13" t="s">
        <v>426</v>
      </c>
      <c r="B41" s="14" t="n">
        <v>4386</v>
      </c>
      <c r="C41" s="14" t="n">
        <v>4230</v>
      </c>
      <c r="D41" s="16" t="n">
        <v>96.44</v>
      </c>
    </row>
    <row r="42" customFormat="false" ht="15" hidden="false" customHeight="true" outlineLevel="0" collapsed="false">
      <c r="A42" s="13" t="s">
        <v>427</v>
      </c>
      <c r="B42" s="14" t="n">
        <v>5950</v>
      </c>
      <c r="C42" s="14" t="n">
        <v>5908</v>
      </c>
      <c r="D42" s="16" t="n">
        <v>99.29</v>
      </c>
    </row>
    <row r="43" customFormat="false" ht="15" hidden="false" customHeight="true" outlineLevel="0" collapsed="false">
      <c r="A43" s="13" t="s">
        <v>155</v>
      </c>
      <c r="B43" s="14" t="n">
        <v>5127</v>
      </c>
      <c r="C43" s="14" t="n">
        <v>4243</v>
      </c>
      <c r="D43" s="16" t="n">
        <v>82.76</v>
      </c>
    </row>
    <row r="44" customFormat="false" ht="15" hidden="false" customHeight="true" outlineLevel="0" collapsed="false">
      <c r="A44" s="13" t="s">
        <v>436</v>
      </c>
      <c r="B44" s="14" t="n">
        <v>117431</v>
      </c>
      <c r="C44" s="14" t="n">
        <v>116725</v>
      </c>
      <c r="D44" s="16" t="n">
        <v>99.4</v>
      </c>
    </row>
    <row r="45" customFormat="false" ht="15" hidden="false" customHeight="true" outlineLevel="0" collapsed="false">
      <c r="A45" s="13" t="s">
        <v>410</v>
      </c>
      <c r="B45" s="14" t="n">
        <v>120465</v>
      </c>
      <c r="C45" s="14" t="n">
        <v>112174</v>
      </c>
      <c r="D45" s="16" t="n">
        <v>93.12</v>
      </c>
    </row>
    <row r="46" customFormat="false" ht="15" hidden="false" customHeight="true" outlineLevel="0" collapsed="false">
      <c r="A46" s="13" t="s">
        <v>171</v>
      </c>
      <c r="B46" s="14" t="n">
        <v>189</v>
      </c>
      <c r="C46" s="14" t="n">
        <v>170</v>
      </c>
      <c r="D46" s="16" t="n">
        <v>89.95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38"/>
    <col collapsed="false" customWidth="true" hidden="false" outlineLevel="0" max="4" min="2" style="13" width="12"/>
  </cols>
  <sheetData>
    <row r="1" customFormat="false" ht="15" hidden="false" customHeight="true" outlineLevel="0" collapsed="false">
      <c r="A1" s="13" t="s">
        <v>605</v>
      </c>
    </row>
    <row r="2" customFormat="false" ht="15" hidden="false" customHeight="true" outlineLevel="0" collapsed="false">
      <c r="A2" s="13" t="s">
        <v>606</v>
      </c>
    </row>
    <row r="4" customFormat="false" ht="15" hidden="false" customHeight="true" outlineLevel="0" collapsed="false">
      <c r="A4" s="13" t="s">
        <v>222</v>
      </c>
      <c r="B4" s="13" t="s">
        <v>4</v>
      </c>
      <c r="C4" s="13" t="s">
        <v>198</v>
      </c>
      <c r="D4" s="13" t="s">
        <v>6</v>
      </c>
    </row>
    <row r="5" customFormat="false" ht="15" hidden="false" customHeight="true" outlineLevel="0" collapsed="false">
      <c r="A5" s="13" t="s">
        <v>162</v>
      </c>
      <c r="B5" s="14" t="n">
        <v>513</v>
      </c>
      <c r="C5" s="14" t="n">
        <v>424</v>
      </c>
      <c r="D5" s="16" t="n">
        <v>82.65</v>
      </c>
    </row>
    <row r="6" customFormat="false" ht="15" hidden="false" customHeight="true" outlineLevel="0" collapsed="false">
      <c r="A6" s="13" t="s">
        <v>167</v>
      </c>
      <c r="B6" s="14" t="n">
        <v>5689</v>
      </c>
      <c r="C6" s="14" t="n">
        <v>2830</v>
      </c>
      <c r="D6" s="16" t="n">
        <v>49.75</v>
      </c>
    </row>
    <row r="7" customFormat="false" ht="15" hidden="false" customHeight="true" outlineLevel="0" collapsed="false">
      <c r="A7" s="13" t="s">
        <v>585</v>
      </c>
      <c r="B7" s="14" t="n">
        <v>703</v>
      </c>
      <c r="C7" s="14" t="n">
        <v>520</v>
      </c>
      <c r="D7" s="16" t="n">
        <v>73.97</v>
      </c>
    </row>
    <row r="8" customFormat="false" ht="15" hidden="false" customHeight="true" outlineLevel="0" collapsed="false">
      <c r="A8" s="13" t="s">
        <v>166</v>
      </c>
      <c r="B8" s="14" t="n">
        <v>7205</v>
      </c>
      <c r="C8" s="14" t="n">
        <v>3001</v>
      </c>
      <c r="D8" s="16" t="n">
        <v>41.65</v>
      </c>
    </row>
    <row r="9" customFormat="false" ht="15" hidden="false" customHeight="true" outlineLevel="0" collapsed="false">
      <c r="A9" s="13" t="s">
        <v>154</v>
      </c>
      <c r="B9" s="14" t="n">
        <v>5388</v>
      </c>
      <c r="C9" s="14" t="n">
        <v>3436</v>
      </c>
      <c r="D9" s="16" t="n">
        <v>63.77</v>
      </c>
    </row>
    <row r="10" customFormat="false" ht="15" hidden="false" customHeight="true" outlineLevel="0" collapsed="false">
      <c r="A10" s="13" t="s">
        <v>587</v>
      </c>
      <c r="B10" s="14" t="n">
        <v>5</v>
      </c>
      <c r="C10" s="14" t="n">
        <v>2</v>
      </c>
      <c r="D10" s="16" t="n">
        <v>40</v>
      </c>
    </row>
    <row r="11" customFormat="false" ht="15" hidden="false" customHeight="true" outlineLevel="0" collapsed="false">
      <c r="A11" s="13" t="s">
        <v>170</v>
      </c>
      <c r="B11" s="14" t="n">
        <v>5995</v>
      </c>
      <c r="C11" s="14" t="n">
        <v>3065</v>
      </c>
      <c r="D11" s="16" t="n">
        <v>51.13</v>
      </c>
    </row>
    <row r="12" customFormat="false" ht="15" hidden="false" customHeight="true" outlineLevel="0" collapsed="false">
      <c r="A12" s="13" t="s">
        <v>152</v>
      </c>
      <c r="B12" s="14" t="n">
        <v>1695</v>
      </c>
      <c r="C12" s="14" t="n">
        <v>676</v>
      </c>
      <c r="D12" s="16" t="n">
        <v>39.88</v>
      </c>
    </row>
    <row r="13" customFormat="false" ht="15" hidden="false" customHeight="true" outlineLevel="0" collapsed="false">
      <c r="A13" s="13" t="s">
        <v>150</v>
      </c>
      <c r="B13" s="14" t="n">
        <v>6828</v>
      </c>
      <c r="C13" s="14" t="n">
        <v>4427</v>
      </c>
      <c r="D13" s="16" t="n">
        <v>64.84</v>
      </c>
    </row>
    <row r="14" customFormat="false" ht="15" hidden="false" customHeight="true" outlineLevel="0" collapsed="false">
      <c r="A14" s="13" t="s">
        <v>142</v>
      </c>
      <c r="B14" s="14" t="n">
        <v>32061</v>
      </c>
      <c r="C14" s="14" t="n">
        <v>13850</v>
      </c>
      <c r="D14" s="16" t="n">
        <v>43.2</v>
      </c>
    </row>
    <row r="15" customFormat="false" ht="15" hidden="false" customHeight="true" outlineLevel="0" collapsed="false">
      <c r="A15" s="13" t="s">
        <v>505</v>
      </c>
      <c r="B15" s="14" t="n">
        <v>27</v>
      </c>
      <c r="C15" s="14" t="n">
        <v>26</v>
      </c>
      <c r="D15" s="16" t="n">
        <v>96.3</v>
      </c>
    </row>
    <row r="16" customFormat="false" ht="15" hidden="false" customHeight="true" outlineLevel="0" collapsed="false">
      <c r="A16" s="13" t="s">
        <v>143</v>
      </c>
      <c r="B16" s="14" t="n">
        <v>108</v>
      </c>
      <c r="C16" s="14" t="n">
        <v>108</v>
      </c>
      <c r="D16" s="16" t="n">
        <v>100</v>
      </c>
    </row>
    <row r="17" customFormat="false" ht="15" hidden="false" customHeight="true" outlineLevel="0" collapsed="false">
      <c r="A17" s="13" t="s">
        <v>507</v>
      </c>
      <c r="B17" s="14" t="n">
        <v>4</v>
      </c>
      <c r="C17" s="14" t="n">
        <v>2</v>
      </c>
      <c r="D17" s="16" t="n">
        <v>50</v>
      </c>
    </row>
    <row r="18" customFormat="false" ht="15" hidden="false" customHeight="true" outlineLevel="0" collapsed="false">
      <c r="A18" s="13" t="s">
        <v>161</v>
      </c>
      <c r="B18" s="14" t="n">
        <v>14</v>
      </c>
      <c r="C18" s="14" t="n">
        <v>14</v>
      </c>
      <c r="D18" s="16" t="n">
        <v>100</v>
      </c>
    </row>
    <row r="19" customFormat="false" ht="15" hidden="false" customHeight="true" outlineLevel="0" collapsed="false">
      <c r="A19" s="13" t="s">
        <v>158</v>
      </c>
      <c r="B19" s="14" t="n">
        <v>567</v>
      </c>
      <c r="C19" s="14" t="n">
        <v>297</v>
      </c>
      <c r="D19" s="16" t="n">
        <v>52.38</v>
      </c>
    </row>
    <row r="20" customFormat="false" ht="15" hidden="false" customHeight="true" outlineLevel="0" collapsed="false">
      <c r="A20" s="13" t="s">
        <v>581</v>
      </c>
      <c r="B20" s="14" t="n">
        <v>2</v>
      </c>
      <c r="C20" s="14" t="n">
        <v>0</v>
      </c>
      <c r="D20" s="16" t="n">
        <v>0</v>
      </c>
    </row>
    <row r="21" customFormat="false" ht="15" hidden="false" customHeight="true" outlineLevel="0" collapsed="false">
      <c r="A21" s="13" t="s">
        <v>415</v>
      </c>
      <c r="B21" s="14" t="n">
        <v>687</v>
      </c>
      <c r="C21" s="14" t="n">
        <v>444</v>
      </c>
      <c r="D21" s="16" t="n">
        <v>64.63</v>
      </c>
    </row>
    <row r="22" customFormat="false" ht="15" hidden="false" customHeight="true" outlineLevel="0" collapsed="false">
      <c r="A22" s="13" t="s">
        <v>582</v>
      </c>
      <c r="B22" s="14" t="n">
        <v>1</v>
      </c>
      <c r="C22" s="14" t="n">
        <v>0</v>
      </c>
      <c r="D22" s="16" t="n">
        <v>0</v>
      </c>
    </row>
    <row r="23" customFormat="false" ht="15" hidden="false" customHeight="true" outlineLevel="0" collapsed="false">
      <c r="A23" s="13" t="s">
        <v>418</v>
      </c>
      <c r="B23" s="14" t="n">
        <v>268</v>
      </c>
      <c r="C23" s="14" t="n">
        <v>103</v>
      </c>
      <c r="D23" s="16" t="n">
        <v>38.43</v>
      </c>
    </row>
    <row r="24" customFormat="false" ht="15" hidden="false" customHeight="true" outlineLevel="0" collapsed="false">
      <c r="A24" s="13" t="s">
        <v>588</v>
      </c>
      <c r="B24" s="14" t="n">
        <v>6975</v>
      </c>
      <c r="C24" s="14" t="n">
        <v>6371</v>
      </c>
      <c r="D24" s="16" t="n">
        <v>91.34</v>
      </c>
    </row>
    <row r="25" customFormat="false" ht="15" hidden="false" customHeight="true" outlineLevel="0" collapsed="false">
      <c r="A25" s="13" t="s">
        <v>583</v>
      </c>
      <c r="B25" s="14" t="n">
        <v>5098</v>
      </c>
      <c r="C25" s="14" t="n">
        <v>4566</v>
      </c>
      <c r="D25" s="16" t="n">
        <v>89.56</v>
      </c>
    </row>
    <row r="26" customFormat="false" ht="15" hidden="false" customHeight="true" outlineLevel="0" collapsed="false">
      <c r="A26" s="13" t="s">
        <v>159</v>
      </c>
      <c r="B26" s="14" t="n">
        <v>8</v>
      </c>
      <c r="C26" s="14" t="n">
        <v>6</v>
      </c>
      <c r="D26" s="16" t="n">
        <v>75</v>
      </c>
    </row>
    <row r="27" customFormat="false" ht="15" hidden="false" customHeight="true" outlineLevel="0" collapsed="false">
      <c r="A27" s="13" t="s">
        <v>156</v>
      </c>
      <c r="B27" s="14" t="n">
        <v>9383</v>
      </c>
      <c r="C27" s="14" t="n">
        <v>2484</v>
      </c>
      <c r="D27" s="16" t="n">
        <v>26.47</v>
      </c>
    </row>
    <row r="28" customFormat="false" ht="15" hidden="false" customHeight="true" outlineLevel="0" collapsed="false">
      <c r="A28" s="13" t="s">
        <v>414</v>
      </c>
      <c r="B28" s="14" t="n">
        <v>16</v>
      </c>
      <c r="C28" s="14" t="n">
        <v>16</v>
      </c>
      <c r="D28" s="16" t="n">
        <v>100</v>
      </c>
    </row>
    <row r="29" customFormat="false" ht="15" hidden="false" customHeight="true" outlineLevel="0" collapsed="false">
      <c r="A29" s="13" t="s">
        <v>424</v>
      </c>
      <c r="B29" s="14" t="n">
        <v>340</v>
      </c>
      <c r="C29" s="14" t="n">
        <v>303</v>
      </c>
      <c r="D29" s="16" t="n">
        <v>89.12</v>
      </c>
    </row>
    <row r="30" customFormat="false" ht="15" hidden="false" customHeight="true" outlineLevel="0" collapsed="false">
      <c r="A30" s="13" t="s">
        <v>425</v>
      </c>
      <c r="B30" s="14" t="n">
        <v>36</v>
      </c>
      <c r="C30" s="14" t="n">
        <v>25</v>
      </c>
      <c r="D30" s="16" t="n">
        <v>69.44</v>
      </c>
    </row>
    <row r="31" customFormat="false" ht="15" hidden="false" customHeight="true" outlineLevel="0" collapsed="false">
      <c r="A31" s="13" t="s">
        <v>165</v>
      </c>
      <c r="B31" s="14" t="n">
        <v>7807</v>
      </c>
      <c r="C31" s="14" t="n">
        <v>4013</v>
      </c>
      <c r="D31" s="16" t="n">
        <v>51.4</v>
      </c>
    </row>
    <row r="32" customFormat="false" ht="15" hidden="false" customHeight="true" outlineLevel="0" collapsed="false">
      <c r="A32" s="13" t="s">
        <v>477</v>
      </c>
      <c r="B32" s="14" t="n">
        <v>1121</v>
      </c>
      <c r="C32" s="14" t="n">
        <v>596</v>
      </c>
      <c r="D32" s="16" t="n">
        <v>53.17</v>
      </c>
    </row>
    <row r="33" customFormat="false" ht="15" hidden="false" customHeight="true" outlineLevel="0" collapsed="false">
      <c r="A33" s="13" t="s">
        <v>284</v>
      </c>
      <c r="B33" s="14" t="n">
        <v>988</v>
      </c>
      <c r="C33" s="14" t="n">
        <v>637</v>
      </c>
      <c r="D33" s="16" t="n">
        <v>64.47</v>
      </c>
    </row>
    <row r="34" customFormat="false" ht="15" hidden="false" customHeight="true" outlineLevel="0" collapsed="false">
      <c r="A34" s="13" t="s">
        <v>285</v>
      </c>
      <c r="B34" s="14" t="n">
        <v>2154</v>
      </c>
      <c r="C34" s="14" t="n">
        <v>1020</v>
      </c>
      <c r="D34" s="16" t="n">
        <v>47.35</v>
      </c>
    </row>
    <row r="35" customFormat="false" ht="15" hidden="false" customHeight="true" outlineLevel="0" collapsed="false">
      <c r="A35" s="13" t="s">
        <v>153</v>
      </c>
      <c r="B35" s="14" t="n">
        <v>486</v>
      </c>
      <c r="C35" s="14" t="n">
        <v>318</v>
      </c>
      <c r="D35" s="16" t="n">
        <v>65.43</v>
      </c>
    </row>
    <row r="36" customFormat="false" ht="15" hidden="false" customHeight="true" outlineLevel="0" collapsed="false">
      <c r="A36" s="13" t="s">
        <v>426</v>
      </c>
      <c r="B36" s="14" t="n">
        <v>779</v>
      </c>
      <c r="C36" s="14" t="n">
        <v>751</v>
      </c>
      <c r="D36" s="16" t="n">
        <v>96.41</v>
      </c>
    </row>
    <row r="37" customFormat="false" ht="15" hidden="false" customHeight="true" outlineLevel="0" collapsed="false">
      <c r="A37" s="13" t="s">
        <v>427</v>
      </c>
      <c r="B37" s="14" t="n">
        <v>1139</v>
      </c>
      <c r="C37" s="14" t="n">
        <v>1109</v>
      </c>
      <c r="D37" s="16" t="n">
        <v>97.37</v>
      </c>
    </row>
    <row r="38" customFormat="false" ht="15" hidden="false" customHeight="true" outlineLevel="0" collapsed="false">
      <c r="A38" s="13" t="s">
        <v>155</v>
      </c>
      <c r="B38" s="14" t="n">
        <v>966</v>
      </c>
      <c r="C38" s="14" t="n">
        <v>379</v>
      </c>
      <c r="D38" s="16" t="n">
        <v>39.23</v>
      </c>
    </row>
    <row r="39" customFormat="false" ht="15" hidden="false" customHeight="true" outlineLevel="0" collapsed="false">
      <c r="A39" s="13" t="s">
        <v>436</v>
      </c>
      <c r="B39" s="14" t="n">
        <v>6176</v>
      </c>
      <c r="C39" s="14" t="n">
        <v>5766</v>
      </c>
      <c r="D39" s="16" t="n">
        <v>93.36</v>
      </c>
    </row>
    <row r="40" customFormat="false" ht="15" hidden="false" customHeight="true" outlineLevel="0" collapsed="false">
      <c r="A40" s="13" t="s">
        <v>410</v>
      </c>
      <c r="B40" s="14" t="n">
        <v>10283</v>
      </c>
      <c r="C40" s="14" t="n">
        <v>8128</v>
      </c>
      <c r="D40" s="16" t="n">
        <v>79.04</v>
      </c>
    </row>
    <row r="41" customFormat="false" ht="15" hidden="false" customHeight="true" outlineLevel="0" collapsed="false">
      <c r="A41" s="13" t="s">
        <v>171</v>
      </c>
      <c r="B41" s="14" t="n">
        <v>29</v>
      </c>
      <c r="C41" s="14" t="n">
        <v>12</v>
      </c>
      <c r="D41" s="16" t="n">
        <v>41.38</v>
      </c>
    </row>
    <row r="4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3" width="12"/>
  </cols>
  <sheetData>
    <row r="1" customFormat="false" ht="15" hidden="false" customHeight="true" outlineLevel="0" collapsed="false">
      <c r="A1" s="13" t="s">
        <v>607</v>
      </c>
    </row>
    <row r="2" customFormat="false" ht="15" hidden="false" customHeight="true" outlineLevel="0" collapsed="false">
      <c r="A2" s="13" t="s">
        <v>608</v>
      </c>
    </row>
    <row r="4" customFormat="false" ht="15" hidden="false" customHeight="true" outlineLevel="0" collapsed="false">
      <c r="A4" s="13" t="s">
        <v>3</v>
      </c>
      <c r="B4" s="13" t="s">
        <v>373</v>
      </c>
      <c r="C4" s="13" t="s">
        <v>4</v>
      </c>
      <c r="D4" s="13" t="s">
        <v>5</v>
      </c>
      <c r="E4" s="13" t="s">
        <v>6</v>
      </c>
    </row>
    <row r="5" customFormat="false" ht="15" hidden="false" customHeight="true" outlineLevel="0" collapsed="false">
      <c r="A5" s="13" t="n">
        <v>2024</v>
      </c>
      <c r="B5" s="14" t="n">
        <v>194766</v>
      </c>
      <c r="C5" s="14" t="n">
        <v>190218</v>
      </c>
      <c r="D5" s="14" t="n">
        <v>114985</v>
      </c>
      <c r="E5" s="16" t="n">
        <v>60.45</v>
      </c>
    </row>
    <row r="6" customFormat="false" ht="15" hidden="false" customHeight="true" outlineLevel="0" collapsed="false">
      <c r="A6" s="13" t="n">
        <v>2025</v>
      </c>
      <c r="B6" s="14" t="n">
        <v>184000</v>
      </c>
      <c r="C6" s="14" t="n">
        <v>180329</v>
      </c>
      <c r="D6" s="14" t="n">
        <v>109741</v>
      </c>
      <c r="E6" s="16" t="n">
        <v>60.86</v>
      </c>
    </row>
    <row r="7" customFormat="false" ht="15" hidden="false" customHeight="true" outlineLevel="0" collapsed="false">
      <c r="A7" s="13" t="n">
        <v>2026</v>
      </c>
      <c r="B7" s="14" t="n">
        <v>192950</v>
      </c>
      <c r="C7" s="14" t="n">
        <v>189373</v>
      </c>
      <c r="D7" s="14" t="n">
        <v>123060</v>
      </c>
      <c r="E7" s="16" t="n">
        <v>64.98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32"/>
    <col collapsed="false" customWidth="true" hidden="false" outlineLevel="0" max="2" min="2" style="13" width="110"/>
  </cols>
  <sheetData>
    <row r="1" customFormat="false" ht="15" hidden="false" customHeight="true" outlineLevel="0" collapsed="false">
      <c r="A1" s="13" t="s">
        <v>609</v>
      </c>
    </row>
    <row r="2" customFormat="false" ht="15" hidden="false" customHeight="true" outlineLevel="0" collapsed="false">
      <c r="A2" s="13" t="s">
        <v>610</v>
      </c>
    </row>
    <row r="4" customFormat="false" ht="15" hidden="false" customHeight="true" outlineLevel="0" collapsed="false">
      <c r="A4" s="13" t="s">
        <v>186</v>
      </c>
      <c r="B4" s="13" t="s">
        <v>357</v>
      </c>
    </row>
    <row r="5" customFormat="false" ht="15" hidden="false" customHeight="true" outlineLevel="0" collapsed="false">
      <c r="A5" s="13" t="s">
        <v>611</v>
      </c>
      <c r="B5" s="13" t="s">
        <v>612</v>
      </c>
    </row>
    <row r="6" customFormat="false" ht="15" hidden="false" customHeight="true" outlineLevel="0" collapsed="false">
      <c r="A6" s="13" t="s">
        <v>613</v>
      </c>
      <c r="B6" s="13" t="s">
        <v>614</v>
      </c>
    </row>
    <row r="7" customFormat="false" ht="15" hidden="false" customHeight="true" outlineLevel="0" collapsed="false">
      <c r="A7" s="13" t="s">
        <v>615</v>
      </c>
      <c r="B7" s="13" t="s">
        <v>616</v>
      </c>
    </row>
    <row r="8" customFormat="false" ht="15" hidden="false" customHeight="true" outlineLevel="0" collapsed="false">
      <c r="A8" s="13" t="s">
        <v>617</v>
      </c>
      <c r="B8" s="13" t="s">
        <v>618</v>
      </c>
    </row>
    <row r="9" customFormat="false" ht="15" hidden="false" customHeight="true" outlineLevel="0" collapsed="false">
      <c r="A9" s="13" t="s">
        <v>619</v>
      </c>
      <c r="B9" s="13" t="s">
        <v>620</v>
      </c>
    </row>
    <row r="10" customFormat="false" ht="15" hidden="false" customHeight="true" outlineLevel="0" collapsed="false">
      <c r="A10" s="13" t="s">
        <v>621</v>
      </c>
      <c r="B10" s="13" t="s">
        <v>622</v>
      </c>
    </row>
    <row r="11" customFormat="false" ht="15" hidden="false" customHeight="true" outlineLevel="0" collapsed="false">
      <c r="A11" s="13" t="s">
        <v>623</v>
      </c>
      <c r="B11" s="13" t="s">
        <v>624</v>
      </c>
    </row>
    <row r="12" customFormat="false" ht="15" hidden="false" customHeight="true" outlineLevel="0" collapsed="false">
      <c r="A12" s="13" t="s">
        <v>625</v>
      </c>
      <c r="B12" s="13" t="s">
        <v>626</v>
      </c>
    </row>
    <row r="13" customFormat="false" ht="15" hidden="false" customHeight="true" outlineLevel="0" collapsed="false">
      <c r="A13" s="13" t="s">
        <v>627</v>
      </c>
      <c r="B13" s="13" t="s">
        <v>628</v>
      </c>
    </row>
    <row r="14" customFormat="false" ht="15" hidden="false" customHeight="true" outlineLevel="0" collapsed="false">
      <c r="A14" s="13" t="s">
        <v>629</v>
      </c>
      <c r="B14" s="13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6"/>
    <col collapsed="false" customWidth="true" hidden="false" outlineLevel="0" max="2" min="2" style="13" width="12"/>
    <col collapsed="false" customWidth="true" hidden="false" outlineLevel="0" max="3" min="3" style="13" width="18"/>
    <col collapsed="false" customWidth="true" hidden="false" outlineLevel="0" max="21" min="4" style="13" width="12"/>
  </cols>
  <sheetData>
    <row r="1" customFormat="false" ht="15" hidden="false" customHeight="true" outlineLevel="0" collapsed="false">
      <c r="A1" s="13" t="s">
        <v>631</v>
      </c>
    </row>
    <row r="2" customFormat="false" ht="15" hidden="false" customHeight="true" outlineLevel="0" collapsed="false">
      <c r="A2" s="13" t="s">
        <v>632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187</v>
      </c>
      <c r="D4" s="13" t="s">
        <v>373</v>
      </c>
      <c r="E4" s="13" t="s">
        <v>4</v>
      </c>
      <c r="F4" s="13" t="s">
        <v>5</v>
      </c>
      <c r="G4" s="13" t="s">
        <v>6</v>
      </c>
      <c r="H4" s="13" t="s">
        <v>633</v>
      </c>
      <c r="I4" s="13" t="s">
        <v>634</v>
      </c>
      <c r="J4" s="13" t="s">
        <v>635</v>
      </c>
      <c r="K4" s="13" t="s">
        <v>636</v>
      </c>
      <c r="L4" s="13" t="s">
        <v>637</v>
      </c>
      <c r="M4" s="13" t="s">
        <v>638</v>
      </c>
      <c r="N4" s="13" t="s">
        <v>639</v>
      </c>
      <c r="O4" s="13" t="s">
        <v>640</v>
      </c>
      <c r="P4" s="13" t="s">
        <v>641</v>
      </c>
      <c r="Q4" s="13" t="s">
        <v>642</v>
      </c>
      <c r="R4" s="13" t="s">
        <v>643</v>
      </c>
      <c r="S4" s="13" t="s">
        <v>644</v>
      </c>
      <c r="T4" s="13" t="s">
        <v>645</v>
      </c>
      <c r="U4" s="13" t="s">
        <v>646</v>
      </c>
    </row>
    <row r="5" customFormat="false" ht="15" hidden="false" customHeight="true" outlineLevel="0" collapsed="false">
      <c r="A5" s="13" t="s">
        <v>123</v>
      </c>
      <c r="B5" s="13" t="s">
        <v>647</v>
      </c>
      <c r="C5" s="13" t="s">
        <v>648</v>
      </c>
      <c r="D5" s="14" t="n">
        <v>3101</v>
      </c>
      <c r="E5" s="14" t="n">
        <v>3078</v>
      </c>
      <c r="F5" s="14" t="n">
        <v>2209</v>
      </c>
      <c r="G5" s="16" t="n">
        <v>71.77</v>
      </c>
      <c r="H5" s="14" t="n">
        <v>455</v>
      </c>
      <c r="I5" s="16" t="n">
        <v>20.6</v>
      </c>
      <c r="J5" s="14" t="n">
        <v>400</v>
      </c>
      <c r="K5" s="16" t="n">
        <v>18.11</v>
      </c>
      <c r="L5" s="14" t="n">
        <v>552</v>
      </c>
      <c r="M5" s="16" t="n">
        <v>24.99</v>
      </c>
      <c r="N5" s="14" t="n">
        <v>614</v>
      </c>
      <c r="O5" s="16" t="n">
        <v>27.8</v>
      </c>
      <c r="P5" s="14" t="n">
        <v>184</v>
      </c>
      <c r="Q5" s="16" t="n">
        <v>8.33</v>
      </c>
      <c r="R5" s="14" t="n">
        <v>4</v>
      </c>
      <c r="S5" s="16" t="n">
        <v>0.18</v>
      </c>
      <c r="T5" s="14" t="n">
        <v>0</v>
      </c>
      <c r="U5" s="14" t="n">
        <v>0</v>
      </c>
    </row>
    <row r="6" customFormat="false" ht="15" hidden="false" customHeight="true" outlineLevel="0" collapsed="false">
      <c r="A6" s="13" t="s">
        <v>123</v>
      </c>
      <c r="B6" s="13" t="s">
        <v>647</v>
      </c>
      <c r="C6" s="13" t="s">
        <v>649</v>
      </c>
      <c r="D6" s="14" t="n">
        <v>7512</v>
      </c>
      <c r="E6" s="14" t="n">
        <v>7422</v>
      </c>
      <c r="F6" s="14" t="n">
        <v>5813</v>
      </c>
      <c r="G6" s="16" t="n">
        <v>78.32</v>
      </c>
      <c r="H6" s="14" t="n">
        <v>1301</v>
      </c>
      <c r="I6" s="16" t="n">
        <v>22.38</v>
      </c>
      <c r="J6" s="14" t="n">
        <v>1324</v>
      </c>
      <c r="K6" s="16" t="n">
        <v>22.78</v>
      </c>
      <c r="L6" s="14" t="n">
        <v>1490</v>
      </c>
      <c r="M6" s="16" t="n">
        <v>25.63</v>
      </c>
      <c r="N6" s="14" t="n">
        <v>1383</v>
      </c>
      <c r="O6" s="16" t="n">
        <v>23.79</v>
      </c>
      <c r="P6" s="14" t="n">
        <v>307</v>
      </c>
      <c r="Q6" s="16" t="n">
        <v>5.28</v>
      </c>
      <c r="R6" s="14" t="n">
        <v>8</v>
      </c>
      <c r="S6" s="16" t="n">
        <v>0.14</v>
      </c>
      <c r="T6" s="14" t="n">
        <v>0</v>
      </c>
      <c r="U6" s="14" t="n">
        <v>0</v>
      </c>
    </row>
    <row r="7" customFormat="false" ht="15" hidden="false" customHeight="true" outlineLevel="0" collapsed="false">
      <c r="A7" s="13" t="s">
        <v>123</v>
      </c>
      <c r="B7" s="13" t="s">
        <v>647</v>
      </c>
      <c r="C7" s="13" t="s">
        <v>125</v>
      </c>
      <c r="D7" s="14" t="n">
        <v>2805</v>
      </c>
      <c r="E7" s="14" t="n">
        <v>2566</v>
      </c>
      <c r="F7" s="14" t="n">
        <v>1280</v>
      </c>
      <c r="G7" s="16" t="n">
        <v>49.88</v>
      </c>
      <c r="H7" s="14" t="n">
        <v>461</v>
      </c>
      <c r="I7" s="16" t="n">
        <v>36.02</v>
      </c>
      <c r="J7" s="14" t="n">
        <v>127</v>
      </c>
      <c r="K7" s="16" t="n">
        <v>9.92</v>
      </c>
      <c r="L7" s="14" t="n">
        <v>112</v>
      </c>
      <c r="M7" s="16" t="n">
        <v>8.75</v>
      </c>
      <c r="N7" s="14" t="n">
        <v>250</v>
      </c>
      <c r="O7" s="16" t="n">
        <v>19.53</v>
      </c>
      <c r="P7" s="14" t="n">
        <v>313</v>
      </c>
      <c r="Q7" s="16" t="n">
        <v>24.45</v>
      </c>
      <c r="R7" s="14" t="n">
        <v>17</v>
      </c>
      <c r="S7" s="16" t="n">
        <v>1.33</v>
      </c>
      <c r="T7" s="14" t="n">
        <v>47</v>
      </c>
      <c r="U7" s="14" t="n">
        <v>8</v>
      </c>
    </row>
    <row r="8" customFormat="false" ht="15" hidden="false" customHeight="true" outlineLevel="0" collapsed="false">
      <c r="A8" s="13" t="s">
        <v>123</v>
      </c>
      <c r="B8" s="13" t="s">
        <v>647</v>
      </c>
      <c r="C8" s="13" t="s">
        <v>650</v>
      </c>
      <c r="D8" s="14" t="n">
        <v>13418</v>
      </c>
      <c r="E8" s="14" t="n">
        <v>13066</v>
      </c>
      <c r="F8" s="14" t="n">
        <v>9302</v>
      </c>
      <c r="G8" s="16" t="n">
        <v>71.19</v>
      </c>
      <c r="H8" s="14" t="n">
        <v>2217</v>
      </c>
      <c r="I8" s="16" t="n">
        <v>23.83</v>
      </c>
      <c r="J8" s="14" t="n">
        <v>1851</v>
      </c>
      <c r="K8" s="16" t="n">
        <v>19.9</v>
      </c>
      <c r="L8" s="14" t="n">
        <v>2154</v>
      </c>
      <c r="M8" s="16" t="n">
        <v>23.16</v>
      </c>
      <c r="N8" s="14" t="n">
        <v>2247</v>
      </c>
      <c r="O8" s="16" t="n">
        <v>24.16</v>
      </c>
      <c r="P8" s="14" t="n">
        <v>804</v>
      </c>
      <c r="Q8" s="16" t="n">
        <v>8.64</v>
      </c>
      <c r="R8" s="14" t="n">
        <v>29</v>
      </c>
      <c r="S8" s="16" t="n">
        <v>0.31</v>
      </c>
      <c r="T8" s="14" t="n">
        <v>47</v>
      </c>
      <c r="U8" s="14" t="n">
        <v>8</v>
      </c>
    </row>
    <row r="9" customFormat="false" ht="15" hidden="false" customHeight="true" outlineLevel="0" collapsed="false">
      <c r="A9" s="13" t="s">
        <v>123</v>
      </c>
      <c r="B9" s="13" t="s">
        <v>651</v>
      </c>
      <c r="C9" s="13" t="s">
        <v>648</v>
      </c>
      <c r="D9" s="14" t="n">
        <v>10895</v>
      </c>
      <c r="E9" s="14" t="n">
        <v>10841</v>
      </c>
      <c r="F9" s="14" t="n">
        <v>8592</v>
      </c>
      <c r="G9" s="16" t="n">
        <v>79.25</v>
      </c>
      <c r="H9" s="14" t="n">
        <v>1629</v>
      </c>
      <c r="I9" s="16" t="n">
        <v>18.96</v>
      </c>
      <c r="J9" s="14" t="n">
        <v>1926</v>
      </c>
      <c r="K9" s="16" t="n">
        <v>22.42</v>
      </c>
      <c r="L9" s="14" t="n">
        <v>2582</v>
      </c>
      <c r="M9" s="16" t="n">
        <v>30.05</v>
      </c>
      <c r="N9" s="14" t="n">
        <v>2189</v>
      </c>
      <c r="O9" s="16" t="n">
        <v>25.48</v>
      </c>
      <c r="P9" s="14" t="n">
        <v>266</v>
      </c>
      <c r="Q9" s="16" t="n">
        <v>3.1</v>
      </c>
      <c r="R9" s="14" t="n">
        <v>0</v>
      </c>
      <c r="S9" s="16" t="n">
        <v>0</v>
      </c>
      <c r="T9" s="14" t="n">
        <v>0</v>
      </c>
      <c r="U9" s="14" t="n">
        <v>0</v>
      </c>
    </row>
    <row r="10" customFormat="false" ht="15" hidden="false" customHeight="true" outlineLevel="0" collapsed="false">
      <c r="A10" s="13" t="s">
        <v>123</v>
      </c>
      <c r="B10" s="13" t="s">
        <v>651</v>
      </c>
      <c r="C10" s="13" t="s">
        <v>649</v>
      </c>
      <c r="D10" s="14" t="n">
        <v>20375</v>
      </c>
      <c r="E10" s="14" t="n">
        <v>20230</v>
      </c>
      <c r="F10" s="14" t="n">
        <v>17274</v>
      </c>
      <c r="G10" s="16" t="n">
        <v>85.39</v>
      </c>
      <c r="H10" s="14" t="n">
        <v>4206</v>
      </c>
      <c r="I10" s="16" t="n">
        <v>24.35</v>
      </c>
      <c r="J10" s="14" t="n">
        <v>4580</v>
      </c>
      <c r="K10" s="16" t="n">
        <v>26.51</v>
      </c>
      <c r="L10" s="14" t="n">
        <v>4891</v>
      </c>
      <c r="M10" s="16" t="n">
        <v>28.31</v>
      </c>
      <c r="N10" s="14" t="n">
        <v>3233</v>
      </c>
      <c r="O10" s="16" t="n">
        <v>18.72</v>
      </c>
      <c r="P10" s="14" t="n">
        <v>364</v>
      </c>
      <c r="Q10" s="16" t="n">
        <v>2.11</v>
      </c>
      <c r="R10" s="14" t="n">
        <v>0</v>
      </c>
      <c r="S10" s="16" t="n">
        <v>0</v>
      </c>
      <c r="T10" s="14" t="n">
        <v>0</v>
      </c>
      <c r="U10" s="14" t="n">
        <v>0</v>
      </c>
    </row>
    <row r="11" customFormat="false" ht="15" hidden="false" customHeight="true" outlineLevel="0" collapsed="false">
      <c r="A11" s="13" t="s">
        <v>123</v>
      </c>
      <c r="B11" s="13" t="s">
        <v>651</v>
      </c>
      <c r="C11" s="13" t="s">
        <v>125</v>
      </c>
      <c r="D11" s="14" t="n">
        <v>5368</v>
      </c>
      <c r="E11" s="14" t="n">
        <v>5097</v>
      </c>
      <c r="F11" s="14" t="n">
        <v>3030</v>
      </c>
      <c r="G11" s="16" t="n">
        <v>59.45</v>
      </c>
      <c r="H11" s="14" t="n">
        <v>1112</v>
      </c>
      <c r="I11" s="16" t="n">
        <v>36.7</v>
      </c>
      <c r="J11" s="14" t="n">
        <v>333</v>
      </c>
      <c r="K11" s="16" t="n">
        <v>10.99</v>
      </c>
      <c r="L11" s="14" t="n">
        <v>325</v>
      </c>
      <c r="M11" s="16" t="n">
        <v>10.73</v>
      </c>
      <c r="N11" s="14" t="n">
        <v>597</v>
      </c>
      <c r="O11" s="16" t="n">
        <v>19.7</v>
      </c>
      <c r="P11" s="14" t="n">
        <v>647</v>
      </c>
      <c r="Q11" s="16" t="n">
        <v>21.35</v>
      </c>
      <c r="R11" s="14" t="n">
        <v>16</v>
      </c>
      <c r="S11" s="16" t="n">
        <v>0.53</v>
      </c>
      <c r="T11" s="14" t="n">
        <v>26</v>
      </c>
      <c r="U11" s="14" t="n">
        <v>16</v>
      </c>
    </row>
    <row r="12" customFormat="false" ht="15" hidden="false" customHeight="true" outlineLevel="0" collapsed="false">
      <c r="A12" s="13" t="s">
        <v>123</v>
      </c>
      <c r="B12" s="13" t="s">
        <v>651</v>
      </c>
      <c r="C12" s="13" t="s">
        <v>650</v>
      </c>
      <c r="D12" s="14" t="n">
        <v>36638</v>
      </c>
      <c r="E12" s="14" t="n">
        <v>36168</v>
      </c>
      <c r="F12" s="14" t="n">
        <v>28896</v>
      </c>
      <c r="G12" s="16" t="n">
        <v>79.89</v>
      </c>
      <c r="H12" s="14" t="n">
        <v>6947</v>
      </c>
      <c r="I12" s="16" t="n">
        <v>24.04</v>
      </c>
      <c r="J12" s="14" t="n">
        <v>6839</v>
      </c>
      <c r="K12" s="16" t="n">
        <v>23.67</v>
      </c>
      <c r="L12" s="14" t="n">
        <v>7798</v>
      </c>
      <c r="M12" s="16" t="n">
        <v>26.99</v>
      </c>
      <c r="N12" s="14" t="n">
        <v>6019</v>
      </c>
      <c r="O12" s="16" t="n">
        <v>20.83</v>
      </c>
      <c r="P12" s="14" t="n">
        <v>1277</v>
      </c>
      <c r="Q12" s="16" t="n">
        <v>4.42</v>
      </c>
      <c r="R12" s="14" t="n">
        <v>16</v>
      </c>
      <c r="S12" s="16" t="n">
        <v>0.06</v>
      </c>
      <c r="T12" s="14" t="n">
        <v>26</v>
      </c>
      <c r="U12" s="14" t="n">
        <v>16</v>
      </c>
    </row>
    <row r="13" customFormat="false" ht="15" hidden="false" customHeight="true" outlineLevel="0" collapsed="false">
      <c r="A13" s="13" t="s">
        <v>123</v>
      </c>
      <c r="B13" s="13" t="s">
        <v>192</v>
      </c>
      <c r="C13" s="13" t="s">
        <v>648</v>
      </c>
      <c r="D13" s="14" t="n">
        <v>13996</v>
      </c>
      <c r="E13" s="14" t="n">
        <v>13919</v>
      </c>
      <c r="F13" s="14" t="n">
        <v>10801</v>
      </c>
      <c r="G13" s="16" t="n">
        <v>77.6</v>
      </c>
      <c r="H13" s="14" t="n">
        <v>2084</v>
      </c>
      <c r="I13" s="16" t="n">
        <v>19.29</v>
      </c>
      <c r="J13" s="14" t="n">
        <v>2326</v>
      </c>
      <c r="K13" s="16" t="n">
        <v>21.54</v>
      </c>
      <c r="L13" s="14" t="n">
        <v>3134</v>
      </c>
      <c r="M13" s="16" t="n">
        <v>29.02</v>
      </c>
      <c r="N13" s="14" t="n">
        <v>2803</v>
      </c>
      <c r="O13" s="16" t="n">
        <v>25.95</v>
      </c>
      <c r="P13" s="14" t="n">
        <v>450</v>
      </c>
      <c r="Q13" s="16" t="n">
        <v>4.17</v>
      </c>
      <c r="R13" s="14" t="n">
        <v>4</v>
      </c>
      <c r="S13" s="16" t="n">
        <v>0.04</v>
      </c>
      <c r="T13" s="14" t="n">
        <v>0</v>
      </c>
      <c r="U13" s="14" t="n">
        <v>0</v>
      </c>
    </row>
    <row r="14" customFormat="false" ht="15" hidden="false" customHeight="true" outlineLevel="0" collapsed="false">
      <c r="A14" s="13" t="s">
        <v>123</v>
      </c>
      <c r="B14" s="13" t="s">
        <v>192</v>
      </c>
      <c r="C14" s="13" t="s">
        <v>649</v>
      </c>
      <c r="D14" s="14" t="n">
        <v>27887</v>
      </c>
      <c r="E14" s="14" t="n">
        <v>27652</v>
      </c>
      <c r="F14" s="14" t="n">
        <v>23087</v>
      </c>
      <c r="G14" s="16" t="n">
        <v>83.49</v>
      </c>
      <c r="H14" s="14" t="n">
        <v>5507</v>
      </c>
      <c r="I14" s="16" t="n">
        <v>23.85</v>
      </c>
      <c r="J14" s="14" t="n">
        <v>5904</v>
      </c>
      <c r="K14" s="16" t="n">
        <v>25.57</v>
      </c>
      <c r="L14" s="14" t="n">
        <v>6381</v>
      </c>
      <c r="M14" s="16" t="n">
        <v>27.64</v>
      </c>
      <c r="N14" s="14" t="n">
        <v>4616</v>
      </c>
      <c r="O14" s="16" t="n">
        <v>19.99</v>
      </c>
      <c r="P14" s="14" t="n">
        <v>671</v>
      </c>
      <c r="Q14" s="16" t="n">
        <v>2.91</v>
      </c>
      <c r="R14" s="14" t="n">
        <v>8</v>
      </c>
      <c r="S14" s="16" t="n">
        <v>0.03</v>
      </c>
      <c r="T14" s="14" t="n">
        <v>0</v>
      </c>
      <c r="U14" s="14" t="n">
        <v>0</v>
      </c>
    </row>
    <row r="15" customFormat="false" ht="15" hidden="false" customHeight="true" outlineLevel="0" collapsed="false">
      <c r="A15" s="13" t="s">
        <v>123</v>
      </c>
      <c r="B15" s="13" t="s">
        <v>192</v>
      </c>
      <c r="C15" s="13" t="s">
        <v>125</v>
      </c>
      <c r="D15" s="14" t="n">
        <v>8173</v>
      </c>
      <c r="E15" s="14" t="n">
        <v>7663</v>
      </c>
      <c r="F15" s="14" t="n">
        <v>4310</v>
      </c>
      <c r="G15" s="16" t="n">
        <v>56.24</v>
      </c>
      <c r="H15" s="14" t="n">
        <v>1573</v>
      </c>
      <c r="I15" s="16" t="n">
        <v>36.5</v>
      </c>
      <c r="J15" s="14" t="n">
        <v>460</v>
      </c>
      <c r="K15" s="16" t="n">
        <v>10.67</v>
      </c>
      <c r="L15" s="14" t="n">
        <v>437</v>
      </c>
      <c r="M15" s="16" t="n">
        <v>10.14</v>
      </c>
      <c r="N15" s="14" t="n">
        <v>847</v>
      </c>
      <c r="O15" s="16" t="n">
        <v>19.65</v>
      </c>
      <c r="P15" s="14" t="n">
        <v>960</v>
      </c>
      <c r="Q15" s="16" t="n">
        <v>22.27</v>
      </c>
      <c r="R15" s="14" t="n">
        <v>33</v>
      </c>
      <c r="S15" s="16" t="n">
        <v>0.77</v>
      </c>
      <c r="T15" s="14" t="n">
        <v>73</v>
      </c>
      <c r="U15" s="14" t="n">
        <v>24</v>
      </c>
    </row>
    <row r="16" customFormat="false" ht="15" hidden="false" customHeight="true" outlineLevel="0" collapsed="false">
      <c r="A16" s="13" t="s">
        <v>123</v>
      </c>
      <c r="B16" s="13" t="s">
        <v>192</v>
      </c>
      <c r="C16" s="13" t="s">
        <v>652</v>
      </c>
      <c r="D16" s="14" t="n">
        <v>50056</v>
      </c>
      <c r="E16" s="14" t="n">
        <v>49234</v>
      </c>
      <c r="F16" s="14" t="n">
        <v>38198</v>
      </c>
      <c r="G16" s="16" t="n">
        <v>77.58</v>
      </c>
      <c r="H16" s="14" t="n">
        <v>9164</v>
      </c>
      <c r="I16" s="16" t="n">
        <v>23.99</v>
      </c>
      <c r="J16" s="14" t="n">
        <v>8690</v>
      </c>
      <c r="K16" s="16" t="n">
        <v>22.75</v>
      </c>
      <c r="L16" s="14" t="n">
        <v>9952</v>
      </c>
      <c r="M16" s="16" t="n">
        <v>26.05</v>
      </c>
      <c r="N16" s="14" t="n">
        <v>8266</v>
      </c>
      <c r="O16" s="16" t="n">
        <v>21.64</v>
      </c>
      <c r="P16" s="14" t="n">
        <v>2081</v>
      </c>
      <c r="Q16" s="16" t="n">
        <v>5.45</v>
      </c>
      <c r="R16" s="14" t="n">
        <v>45</v>
      </c>
      <c r="S16" s="16" t="n">
        <v>0.12</v>
      </c>
      <c r="T16" s="14" t="n">
        <v>73</v>
      </c>
      <c r="U16" s="14" t="n">
        <v>24</v>
      </c>
    </row>
    <row r="17" customFormat="false" ht="15" hidden="false" customHeight="true" outlineLevel="0" collapsed="false">
      <c r="A17" s="13" t="s">
        <v>126</v>
      </c>
      <c r="B17" s="13" t="s">
        <v>647</v>
      </c>
      <c r="C17" s="13" t="s">
        <v>648</v>
      </c>
      <c r="D17" s="14" t="n">
        <v>1957</v>
      </c>
      <c r="E17" s="14" t="n">
        <v>1940</v>
      </c>
      <c r="F17" s="14" t="n">
        <v>1325</v>
      </c>
      <c r="G17" s="16" t="n">
        <v>68.3</v>
      </c>
      <c r="H17" s="14" t="n">
        <v>203</v>
      </c>
      <c r="I17" s="16" t="n">
        <v>15.32</v>
      </c>
      <c r="J17" s="14" t="n">
        <v>257</v>
      </c>
      <c r="K17" s="16" t="n">
        <v>19.4</v>
      </c>
      <c r="L17" s="14" t="n">
        <v>354</v>
      </c>
      <c r="M17" s="16" t="n">
        <v>26.72</v>
      </c>
      <c r="N17" s="14" t="n">
        <v>392</v>
      </c>
      <c r="O17" s="16" t="n">
        <v>29.58</v>
      </c>
      <c r="P17" s="14" t="n">
        <v>119</v>
      </c>
      <c r="Q17" s="16" t="n">
        <v>8.98</v>
      </c>
      <c r="R17" s="14" t="n">
        <v>0</v>
      </c>
      <c r="S17" s="16" t="n">
        <v>0</v>
      </c>
      <c r="T17" s="14" t="n">
        <v>0</v>
      </c>
      <c r="U17" s="14" t="n">
        <v>0</v>
      </c>
    </row>
    <row r="18" customFormat="false" ht="15" hidden="false" customHeight="true" outlineLevel="0" collapsed="false">
      <c r="A18" s="13" t="s">
        <v>126</v>
      </c>
      <c r="B18" s="13" t="s">
        <v>647</v>
      </c>
      <c r="C18" s="13" t="s">
        <v>649</v>
      </c>
      <c r="D18" s="14" t="n">
        <v>4485</v>
      </c>
      <c r="E18" s="14" t="n">
        <v>4445</v>
      </c>
      <c r="F18" s="14" t="n">
        <v>3616</v>
      </c>
      <c r="G18" s="16" t="n">
        <v>81.35</v>
      </c>
      <c r="H18" s="14" t="n">
        <v>553</v>
      </c>
      <c r="I18" s="16" t="n">
        <v>15.29</v>
      </c>
      <c r="J18" s="14" t="n">
        <v>772</v>
      </c>
      <c r="K18" s="16" t="n">
        <v>21.35</v>
      </c>
      <c r="L18" s="14" t="n">
        <v>1062</v>
      </c>
      <c r="M18" s="16" t="n">
        <v>29.37</v>
      </c>
      <c r="N18" s="14" t="n">
        <v>986</v>
      </c>
      <c r="O18" s="16" t="n">
        <v>27.27</v>
      </c>
      <c r="P18" s="14" t="n">
        <v>240</v>
      </c>
      <c r="Q18" s="16" t="n">
        <v>6.64</v>
      </c>
      <c r="R18" s="14" t="n">
        <v>3</v>
      </c>
      <c r="S18" s="16" t="n">
        <v>0.08</v>
      </c>
      <c r="T18" s="14" t="n">
        <v>0</v>
      </c>
      <c r="U18" s="14" t="n">
        <v>0</v>
      </c>
    </row>
    <row r="19" customFormat="false" ht="15" hidden="false" customHeight="true" outlineLevel="0" collapsed="false">
      <c r="A19" s="13" t="s">
        <v>126</v>
      </c>
      <c r="B19" s="13" t="s">
        <v>647</v>
      </c>
      <c r="C19" s="13" t="s">
        <v>125</v>
      </c>
      <c r="D19" s="14" t="n">
        <v>1751</v>
      </c>
      <c r="E19" s="14" t="n">
        <v>1602</v>
      </c>
      <c r="F19" s="14" t="n">
        <v>656</v>
      </c>
      <c r="G19" s="16" t="n">
        <v>40.95</v>
      </c>
      <c r="H19" s="14" t="n">
        <v>13</v>
      </c>
      <c r="I19" s="16" t="n">
        <v>1.98</v>
      </c>
      <c r="J19" s="14" t="n">
        <v>19</v>
      </c>
      <c r="K19" s="16" t="n">
        <v>2.9</v>
      </c>
      <c r="L19" s="14" t="n">
        <v>59</v>
      </c>
      <c r="M19" s="16" t="n">
        <v>8.99</v>
      </c>
      <c r="N19" s="14" t="n">
        <v>225</v>
      </c>
      <c r="O19" s="16" t="n">
        <v>34.3</v>
      </c>
      <c r="P19" s="14" t="n">
        <v>328</v>
      </c>
      <c r="Q19" s="16" t="n">
        <v>50</v>
      </c>
      <c r="R19" s="14" t="n">
        <v>12</v>
      </c>
      <c r="S19" s="16" t="n">
        <v>1.83</v>
      </c>
      <c r="T19" s="14" t="n">
        <v>114</v>
      </c>
      <c r="U19" s="14" t="n">
        <v>97</v>
      </c>
    </row>
    <row r="20" customFormat="false" ht="15" hidden="false" customHeight="true" outlineLevel="0" collapsed="false">
      <c r="A20" s="13" t="s">
        <v>126</v>
      </c>
      <c r="B20" s="13" t="s">
        <v>647</v>
      </c>
      <c r="C20" s="13" t="s">
        <v>650</v>
      </c>
      <c r="D20" s="14" t="n">
        <v>8193</v>
      </c>
      <c r="E20" s="14" t="n">
        <v>7987</v>
      </c>
      <c r="F20" s="14" t="n">
        <v>5597</v>
      </c>
      <c r="G20" s="16" t="n">
        <v>70.08</v>
      </c>
      <c r="H20" s="14" t="n">
        <v>769</v>
      </c>
      <c r="I20" s="16" t="n">
        <v>13.74</v>
      </c>
      <c r="J20" s="14" t="n">
        <v>1048</v>
      </c>
      <c r="K20" s="16" t="n">
        <v>18.72</v>
      </c>
      <c r="L20" s="14" t="n">
        <v>1475</v>
      </c>
      <c r="M20" s="16" t="n">
        <v>26.35</v>
      </c>
      <c r="N20" s="14" t="n">
        <v>1603</v>
      </c>
      <c r="O20" s="16" t="n">
        <v>28.64</v>
      </c>
      <c r="P20" s="14" t="n">
        <v>687</v>
      </c>
      <c r="Q20" s="16" t="n">
        <v>12.27</v>
      </c>
      <c r="R20" s="14" t="n">
        <v>15</v>
      </c>
      <c r="S20" s="16" t="n">
        <v>0.27</v>
      </c>
      <c r="T20" s="14" t="n">
        <v>114</v>
      </c>
      <c r="U20" s="14" t="n">
        <v>97</v>
      </c>
    </row>
    <row r="21" customFormat="false" ht="15" hidden="false" customHeight="true" outlineLevel="0" collapsed="false">
      <c r="A21" s="13" t="s">
        <v>126</v>
      </c>
      <c r="B21" s="13" t="s">
        <v>651</v>
      </c>
      <c r="C21" s="13" t="s">
        <v>648</v>
      </c>
      <c r="D21" s="14" t="n">
        <v>1662</v>
      </c>
      <c r="E21" s="14" t="n">
        <v>1654</v>
      </c>
      <c r="F21" s="14" t="n">
        <v>1346</v>
      </c>
      <c r="G21" s="16" t="n">
        <v>81.38</v>
      </c>
      <c r="H21" s="14" t="n">
        <v>176</v>
      </c>
      <c r="I21" s="16" t="n">
        <v>13.08</v>
      </c>
      <c r="J21" s="14" t="n">
        <v>287</v>
      </c>
      <c r="K21" s="16" t="n">
        <v>21.32</v>
      </c>
      <c r="L21" s="14" t="n">
        <v>411</v>
      </c>
      <c r="M21" s="16" t="n">
        <v>30.53</v>
      </c>
      <c r="N21" s="14" t="n">
        <v>403</v>
      </c>
      <c r="O21" s="16" t="n">
        <v>29.94</v>
      </c>
      <c r="P21" s="14" t="n">
        <v>69</v>
      </c>
      <c r="Q21" s="16" t="n">
        <v>5.13</v>
      </c>
      <c r="R21" s="14" t="n">
        <v>0</v>
      </c>
      <c r="S21" s="16" t="n">
        <v>0</v>
      </c>
      <c r="T21" s="14" t="n">
        <v>0</v>
      </c>
      <c r="U21" s="14" t="n">
        <v>0</v>
      </c>
    </row>
    <row r="22" customFormat="false" ht="15" hidden="false" customHeight="true" outlineLevel="0" collapsed="false">
      <c r="A22" s="13" t="s">
        <v>126</v>
      </c>
      <c r="B22" s="13" t="s">
        <v>651</v>
      </c>
      <c r="C22" s="13" t="s">
        <v>649</v>
      </c>
      <c r="D22" s="14" t="n">
        <v>2565</v>
      </c>
      <c r="E22" s="14" t="n">
        <v>2553</v>
      </c>
      <c r="F22" s="14" t="n">
        <v>2241</v>
      </c>
      <c r="G22" s="16" t="n">
        <v>87.78</v>
      </c>
      <c r="H22" s="14" t="n">
        <v>430</v>
      </c>
      <c r="I22" s="16" t="n">
        <v>19.19</v>
      </c>
      <c r="J22" s="14" t="n">
        <v>639</v>
      </c>
      <c r="K22" s="16" t="n">
        <v>28.51</v>
      </c>
      <c r="L22" s="14" t="n">
        <v>694</v>
      </c>
      <c r="M22" s="16" t="n">
        <v>30.97</v>
      </c>
      <c r="N22" s="14" t="n">
        <v>428</v>
      </c>
      <c r="O22" s="16" t="n">
        <v>19.1</v>
      </c>
      <c r="P22" s="14" t="n">
        <v>49</v>
      </c>
      <c r="Q22" s="16" t="n">
        <v>2.19</v>
      </c>
      <c r="R22" s="14" t="n">
        <v>1</v>
      </c>
      <c r="S22" s="16" t="n">
        <v>0.04</v>
      </c>
      <c r="T22" s="14" t="n">
        <v>0</v>
      </c>
      <c r="U22" s="14" t="n">
        <v>0</v>
      </c>
    </row>
    <row r="23" customFormat="false" ht="15" hidden="false" customHeight="true" outlineLevel="0" collapsed="false">
      <c r="A23" s="13" t="s">
        <v>126</v>
      </c>
      <c r="B23" s="13" t="s">
        <v>651</v>
      </c>
      <c r="C23" s="13" t="s">
        <v>125</v>
      </c>
      <c r="D23" s="14" t="n">
        <v>792</v>
      </c>
      <c r="E23" s="14" t="n">
        <v>756</v>
      </c>
      <c r="F23" s="14" t="n">
        <v>344</v>
      </c>
      <c r="G23" s="16" t="n">
        <v>45.5</v>
      </c>
      <c r="H23" s="14" t="n">
        <v>13</v>
      </c>
      <c r="I23" s="16" t="n">
        <v>3.78</v>
      </c>
      <c r="J23" s="14" t="n">
        <v>13</v>
      </c>
      <c r="K23" s="16" t="n">
        <v>3.78</v>
      </c>
      <c r="L23" s="14" t="n">
        <v>30</v>
      </c>
      <c r="M23" s="16" t="n">
        <v>8.72</v>
      </c>
      <c r="N23" s="14" t="n">
        <v>134</v>
      </c>
      <c r="O23" s="16" t="n">
        <v>38.95</v>
      </c>
      <c r="P23" s="14" t="n">
        <v>150</v>
      </c>
      <c r="Q23" s="16" t="n">
        <v>43.6</v>
      </c>
      <c r="R23" s="14" t="n">
        <v>4</v>
      </c>
      <c r="S23" s="16" t="n">
        <v>1.16</v>
      </c>
      <c r="T23" s="14" t="n">
        <v>144</v>
      </c>
      <c r="U23" s="14" t="n">
        <v>128</v>
      </c>
    </row>
    <row r="24" customFormat="false" ht="15" hidden="false" customHeight="true" outlineLevel="0" collapsed="false">
      <c r="A24" s="13" t="s">
        <v>126</v>
      </c>
      <c r="B24" s="13" t="s">
        <v>651</v>
      </c>
      <c r="C24" s="13" t="s">
        <v>650</v>
      </c>
      <c r="D24" s="14" t="n">
        <v>5019</v>
      </c>
      <c r="E24" s="14" t="n">
        <v>4963</v>
      </c>
      <c r="F24" s="14" t="n">
        <v>3931</v>
      </c>
      <c r="G24" s="16" t="n">
        <v>79.21</v>
      </c>
      <c r="H24" s="14" t="n">
        <v>619</v>
      </c>
      <c r="I24" s="16" t="n">
        <v>15.75</v>
      </c>
      <c r="J24" s="14" t="n">
        <v>939</v>
      </c>
      <c r="K24" s="16" t="n">
        <v>23.89</v>
      </c>
      <c r="L24" s="14" t="n">
        <v>1135</v>
      </c>
      <c r="M24" s="16" t="n">
        <v>28.87</v>
      </c>
      <c r="N24" s="14" t="n">
        <v>965</v>
      </c>
      <c r="O24" s="16" t="n">
        <v>24.55</v>
      </c>
      <c r="P24" s="14" t="n">
        <v>268</v>
      </c>
      <c r="Q24" s="16" t="n">
        <v>6.82</v>
      </c>
      <c r="R24" s="14" t="n">
        <v>5</v>
      </c>
      <c r="S24" s="16" t="n">
        <v>0.13</v>
      </c>
      <c r="T24" s="14" t="n">
        <v>144</v>
      </c>
      <c r="U24" s="14" t="n">
        <v>128</v>
      </c>
    </row>
    <row r="25" customFormat="false" ht="15" hidden="false" customHeight="true" outlineLevel="0" collapsed="false">
      <c r="A25" s="13" t="s">
        <v>126</v>
      </c>
      <c r="B25" s="13" t="s">
        <v>192</v>
      </c>
      <c r="C25" s="13" t="s">
        <v>648</v>
      </c>
      <c r="D25" s="14" t="n">
        <v>3619</v>
      </c>
      <c r="E25" s="14" t="n">
        <v>3594</v>
      </c>
      <c r="F25" s="14" t="n">
        <v>2671</v>
      </c>
      <c r="G25" s="16" t="n">
        <v>74.32</v>
      </c>
      <c r="H25" s="14" t="n">
        <v>379</v>
      </c>
      <c r="I25" s="16" t="n">
        <v>14.19</v>
      </c>
      <c r="J25" s="14" t="n">
        <v>544</v>
      </c>
      <c r="K25" s="16" t="n">
        <v>20.37</v>
      </c>
      <c r="L25" s="14" t="n">
        <v>765</v>
      </c>
      <c r="M25" s="16" t="n">
        <v>28.64</v>
      </c>
      <c r="N25" s="14" t="n">
        <v>795</v>
      </c>
      <c r="O25" s="16" t="n">
        <v>29.76</v>
      </c>
      <c r="P25" s="14" t="n">
        <v>188</v>
      </c>
      <c r="Q25" s="16" t="n">
        <v>7.04</v>
      </c>
      <c r="R25" s="14" t="n">
        <v>0</v>
      </c>
      <c r="S25" s="16" t="n">
        <v>0</v>
      </c>
      <c r="T25" s="14" t="n">
        <v>0</v>
      </c>
      <c r="U25" s="14" t="n">
        <v>0</v>
      </c>
    </row>
    <row r="26" customFormat="false" ht="15" hidden="false" customHeight="true" outlineLevel="0" collapsed="false">
      <c r="A26" s="13" t="s">
        <v>126</v>
      </c>
      <c r="B26" s="13" t="s">
        <v>192</v>
      </c>
      <c r="C26" s="13" t="s">
        <v>649</v>
      </c>
      <c r="D26" s="14" t="n">
        <v>7050</v>
      </c>
      <c r="E26" s="14" t="n">
        <v>6998</v>
      </c>
      <c r="F26" s="14" t="n">
        <v>5857</v>
      </c>
      <c r="G26" s="16" t="n">
        <v>83.7</v>
      </c>
      <c r="H26" s="14" t="n">
        <v>983</v>
      </c>
      <c r="I26" s="16" t="n">
        <v>16.78</v>
      </c>
      <c r="J26" s="14" t="n">
        <v>1411</v>
      </c>
      <c r="K26" s="16" t="n">
        <v>24.09</v>
      </c>
      <c r="L26" s="14" t="n">
        <v>1756</v>
      </c>
      <c r="M26" s="16" t="n">
        <v>29.98</v>
      </c>
      <c r="N26" s="14" t="n">
        <v>1414</v>
      </c>
      <c r="O26" s="16" t="n">
        <v>24.14</v>
      </c>
      <c r="P26" s="14" t="n">
        <v>289</v>
      </c>
      <c r="Q26" s="16" t="n">
        <v>4.93</v>
      </c>
      <c r="R26" s="14" t="n">
        <v>4</v>
      </c>
      <c r="S26" s="16" t="n">
        <v>0.07</v>
      </c>
      <c r="T26" s="14" t="n">
        <v>0</v>
      </c>
      <c r="U26" s="14" t="n">
        <v>0</v>
      </c>
    </row>
    <row r="27" customFormat="false" ht="15" hidden="false" customHeight="true" outlineLevel="0" collapsed="false">
      <c r="A27" s="13" t="s">
        <v>126</v>
      </c>
      <c r="B27" s="13" t="s">
        <v>192</v>
      </c>
      <c r="C27" s="13" t="s">
        <v>125</v>
      </c>
      <c r="D27" s="14" t="n">
        <v>2543</v>
      </c>
      <c r="E27" s="14" t="n">
        <v>2358</v>
      </c>
      <c r="F27" s="14" t="n">
        <v>1000</v>
      </c>
      <c r="G27" s="16" t="n">
        <v>42.41</v>
      </c>
      <c r="H27" s="14" t="n">
        <v>26</v>
      </c>
      <c r="I27" s="16" t="n">
        <v>2.6</v>
      </c>
      <c r="J27" s="14" t="n">
        <v>32</v>
      </c>
      <c r="K27" s="16" t="n">
        <v>3.2</v>
      </c>
      <c r="L27" s="14" t="n">
        <v>89</v>
      </c>
      <c r="M27" s="16" t="n">
        <v>8.9</v>
      </c>
      <c r="N27" s="14" t="n">
        <v>359</v>
      </c>
      <c r="O27" s="16" t="n">
        <v>35.9</v>
      </c>
      <c r="P27" s="14" t="n">
        <v>478</v>
      </c>
      <c r="Q27" s="16" t="n">
        <v>47.8</v>
      </c>
      <c r="R27" s="14" t="n">
        <v>16</v>
      </c>
      <c r="S27" s="16" t="n">
        <v>1.6</v>
      </c>
      <c r="T27" s="14" t="n">
        <v>258</v>
      </c>
      <c r="U27" s="14" t="n">
        <v>225</v>
      </c>
    </row>
    <row r="28" customFormat="false" ht="15" hidden="false" customHeight="true" outlineLevel="0" collapsed="false">
      <c r="A28" s="13" t="s">
        <v>126</v>
      </c>
      <c r="B28" s="13" t="s">
        <v>192</v>
      </c>
      <c r="C28" s="13" t="s">
        <v>652</v>
      </c>
      <c r="D28" s="14" t="n">
        <v>13212</v>
      </c>
      <c r="E28" s="14" t="n">
        <v>12950</v>
      </c>
      <c r="F28" s="14" t="n">
        <v>9528</v>
      </c>
      <c r="G28" s="16" t="n">
        <v>73.58</v>
      </c>
      <c r="H28" s="14" t="n">
        <v>1388</v>
      </c>
      <c r="I28" s="16" t="n">
        <v>14.57</v>
      </c>
      <c r="J28" s="14" t="n">
        <v>1987</v>
      </c>
      <c r="K28" s="16" t="n">
        <v>20.85</v>
      </c>
      <c r="L28" s="14" t="n">
        <v>2610</v>
      </c>
      <c r="M28" s="16" t="n">
        <v>27.39</v>
      </c>
      <c r="N28" s="14" t="n">
        <v>2568</v>
      </c>
      <c r="O28" s="16" t="n">
        <v>26.95</v>
      </c>
      <c r="P28" s="14" t="n">
        <v>955</v>
      </c>
      <c r="Q28" s="16" t="n">
        <v>10.02</v>
      </c>
      <c r="R28" s="14" t="n">
        <v>20</v>
      </c>
      <c r="S28" s="16" t="n">
        <v>0.21</v>
      </c>
      <c r="T28" s="14" t="n">
        <v>258</v>
      </c>
      <c r="U28" s="14" t="n">
        <v>225</v>
      </c>
    </row>
    <row r="29" customFormat="false" ht="15" hidden="false" customHeight="true" outlineLevel="0" collapsed="false">
      <c r="A29" s="13" t="s">
        <v>653</v>
      </c>
      <c r="B29" s="13" t="s">
        <v>647</v>
      </c>
      <c r="C29" s="13" t="s">
        <v>648</v>
      </c>
      <c r="D29" s="14" t="n">
        <v>5289</v>
      </c>
      <c r="E29" s="14" t="n">
        <v>5205</v>
      </c>
      <c r="F29" s="14" t="n">
        <v>1677</v>
      </c>
      <c r="G29" s="16" t="n">
        <v>32.22</v>
      </c>
      <c r="H29" s="14" t="n">
        <v>28</v>
      </c>
      <c r="I29" s="16" t="n">
        <v>1.67</v>
      </c>
      <c r="J29" s="14" t="n">
        <v>131</v>
      </c>
      <c r="K29" s="16" t="n">
        <v>7.81</v>
      </c>
      <c r="L29" s="14" t="n">
        <v>428</v>
      </c>
      <c r="M29" s="16" t="n">
        <v>25.52</v>
      </c>
      <c r="N29" s="14" t="n">
        <v>684</v>
      </c>
      <c r="O29" s="16" t="n">
        <v>40.79</v>
      </c>
      <c r="P29" s="14" t="n">
        <v>389</v>
      </c>
      <c r="Q29" s="16" t="n">
        <v>23.2</v>
      </c>
      <c r="R29" s="14" t="n">
        <v>17</v>
      </c>
      <c r="S29" s="16" t="n">
        <v>1.01</v>
      </c>
      <c r="T29" s="14" t="n">
        <v>0</v>
      </c>
      <c r="U29" s="14" t="n">
        <v>0</v>
      </c>
    </row>
    <row r="30" customFormat="false" ht="15" hidden="false" customHeight="true" outlineLevel="0" collapsed="false">
      <c r="A30" s="13" t="s">
        <v>653</v>
      </c>
      <c r="B30" s="13" t="s">
        <v>647</v>
      </c>
      <c r="C30" s="13" t="s">
        <v>649</v>
      </c>
      <c r="D30" s="14" t="n">
        <v>3377</v>
      </c>
      <c r="E30" s="14" t="n">
        <v>3260</v>
      </c>
      <c r="F30" s="14" t="n">
        <v>1271</v>
      </c>
      <c r="G30" s="16" t="n">
        <v>38.99</v>
      </c>
      <c r="H30" s="14" t="n">
        <v>16</v>
      </c>
      <c r="I30" s="16" t="n">
        <v>1.26</v>
      </c>
      <c r="J30" s="14" t="n">
        <v>106</v>
      </c>
      <c r="K30" s="16" t="n">
        <v>8.34</v>
      </c>
      <c r="L30" s="14" t="n">
        <v>322</v>
      </c>
      <c r="M30" s="16" t="n">
        <v>25.33</v>
      </c>
      <c r="N30" s="14" t="n">
        <v>494</v>
      </c>
      <c r="O30" s="16" t="n">
        <v>38.87</v>
      </c>
      <c r="P30" s="14" t="n">
        <v>322</v>
      </c>
      <c r="Q30" s="16" t="n">
        <v>25.33</v>
      </c>
      <c r="R30" s="14" t="n">
        <v>11</v>
      </c>
      <c r="S30" s="16" t="n">
        <v>0.87</v>
      </c>
      <c r="T30" s="14" t="n">
        <v>0</v>
      </c>
      <c r="U30" s="14" t="n">
        <v>0</v>
      </c>
    </row>
    <row r="31" customFormat="false" ht="15" hidden="false" customHeight="true" outlineLevel="0" collapsed="false">
      <c r="A31" s="13" t="s">
        <v>653</v>
      </c>
      <c r="B31" s="13" t="s">
        <v>647</v>
      </c>
      <c r="C31" s="13" t="s">
        <v>125</v>
      </c>
      <c r="D31" s="14" t="n">
        <v>18810</v>
      </c>
      <c r="E31" s="14" t="n">
        <v>17428</v>
      </c>
      <c r="F31" s="14" t="n">
        <v>4214</v>
      </c>
      <c r="G31" s="16" t="n">
        <v>24.18</v>
      </c>
      <c r="H31" s="14" t="n">
        <v>19</v>
      </c>
      <c r="I31" s="16" t="n">
        <v>0.45</v>
      </c>
      <c r="J31" s="14" t="n">
        <v>190</v>
      </c>
      <c r="K31" s="16" t="n">
        <v>4.51</v>
      </c>
      <c r="L31" s="14" t="n">
        <v>619</v>
      </c>
      <c r="M31" s="16" t="n">
        <v>14.69</v>
      </c>
      <c r="N31" s="14" t="n">
        <v>1354</v>
      </c>
      <c r="O31" s="16" t="n">
        <v>32.13</v>
      </c>
      <c r="P31" s="14" t="n">
        <v>1776</v>
      </c>
      <c r="Q31" s="16" t="n">
        <v>42.15</v>
      </c>
      <c r="R31" s="14" t="n">
        <v>256</v>
      </c>
      <c r="S31" s="16" t="n">
        <v>6.07</v>
      </c>
      <c r="T31" s="14" t="n">
        <v>132</v>
      </c>
      <c r="U31" s="14" t="n">
        <v>66</v>
      </c>
    </row>
    <row r="32" customFormat="false" ht="15" hidden="false" customHeight="true" outlineLevel="0" collapsed="false">
      <c r="A32" s="13" t="s">
        <v>653</v>
      </c>
      <c r="B32" s="13" t="s">
        <v>647</v>
      </c>
      <c r="C32" s="13" t="s">
        <v>650</v>
      </c>
      <c r="D32" s="14" t="n">
        <v>27476</v>
      </c>
      <c r="E32" s="14" t="n">
        <v>25893</v>
      </c>
      <c r="F32" s="14" t="n">
        <v>7162</v>
      </c>
      <c r="G32" s="16" t="n">
        <v>27.66</v>
      </c>
      <c r="H32" s="14" t="n">
        <v>63</v>
      </c>
      <c r="I32" s="16" t="n">
        <v>0.88</v>
      </c>
      <c r="J32" s="14" t="n">
        <v>427</v>
      </c>
      <c r="K32" s="16" t="n">
        <v>5.96</v>
      </c>
      <c r="L32" s="14" t="n">
        <v>1369</v>
      </c>
      <c r="M32" s="16" t="n">
        <v>19.11</v>
      </c>
      <c r="N32" s="14" t="n">
        <v>2532</v>
      </c>
      <c r="O32" s="16" t="n">
        <v>35.35</v>
      </c>
      <c r="P32" s="14" t="n">
        <v>2487</v>
      </c>
      <c r="Q32" s="16" t="n">
        <v>34.72</v>
      </c>
      <c r="R32" s="14" t="n">
        <v>284</v>
      </c>
      <c r="S32" s="16" t="n">
        <v>3.97</v>
      </c>
      <c r="T32" s="14" t="n">
        <v>132</v>
      </c>
      <c r="U32" s="14" t="n">
        <v>66</v>
      </c>
    </row>
    <row r="33" customFormat="false" ht="15" hidden="false" customHeight="true" outlineLevel="0" collapsed="false">
      <c r="A33" s="13" t="s">
        <v>653</v>
      </c>
      <c r="B33" s="13" t="s">
        <v>651</v>
      </c>
      <c r="C33" s="13" t="s">
        <v>648</v>
      </c>
      <c r="D33" s="14" t="n">
        <v>14487</v>
      </c>
      <c r="E33" s="14" t="n">
        <v>14389</v>
      </c>
      <c r="F33" s="14" t="n">
        <v>9506</v>
      </c>
      <c r="G33" s="16" t="n">
        <v>66.06</v>
      </c>
      <c r="H33" s="14" t="n">
        <v>140</v>
      </c>
      <c r="I33" s="16" t="n">
        <v>1.47</v>
      </c>
      <c r="J33" s="14" t="n">
        <v>1298</v>
      </c>
      <c r="K33" s="16" t="n">
        <v>13.65</v>
      </c>
      <c r="L33" s="14" t="n">
        <v>3272</v>
      </c>
      <c r="M33" s="16" t="n">
        <v>34.42</v>
      </c>
      <c r="N33" s="14" t="n">
        <v>3549</v>
      </c>
      <c r="O33" s="16" t="n">
        <v>37.33</v>
      </c>
      <c r="P33" s="14" t="n">
        <v>1217</v>
      </c>
      <c r="Q33" s="16" t="n">
        <v>12.8</v>
      </c>
      <c r="R33" s="14" t="n">
        <v>30</v>
      </c>
      <c r="S33" s="16" t="n">
        <v>0.32</v>
      </c>
      <c r="T33" s="14" t="n">
        <v>0</v>
      </c>
      <c r="U33" s="14" t="n">
        <v>0</v>
      </c>
    </row>
    <row r="34" customFormat="false" ht="15" hidden="false" customHeight="true" outlineLevel="0" collapsed="false">
      <c r="A34" s="13" t="s">
        <v>653</v>
      </c>
      <c r="B34" s="13" t="s">
        <v>651</v>
      </c>
      <c r="C34" s="13" t="s">
        <v>649</v>
      </c>
      <c r="D34" s="14" t="n">
        <v>3970</v>
      </c>
      <c r="E34" s="14" t="n">
        <v>3908</v>
      </c>
      <c r="F34" s="14" t="n">
        <v>2825</v>
      </c>
      <c r="G34" s="16" t="n">
        <v>72.29</v>
      </c>
      <c r="H34" s="14" t="n">
        <v>106</v>
      </c>
      <c r="I34" s="16" t="n">
        <v>3.75</v>
      </c>
      <c r="J34" s="14" t="n">
        <v>469</v>
      </c>
      <c r="K34" s="16" t="n">
        <v>16.6</v>
      </c>
      <c r="L34" s="14" t="n">
        <v>947</v>
      </c>
      <c r="M34" s="16" t="n">
        <v>33.52</v>
      </c>
      <c r="N34" s="14" t="n">
        <v>999</v>
      </c>
      <c r="O34" s="16" t="n">
        <v>35.36</v>
      </c>
      <c r="P34" s="14" t="n">
        <v>298</v>
      </c>
      <c r="Q34" s="16" t="n">
        <v>10.55</v>
      </c>
      <c r="R34" s="14" t="n">
        <v>6</v>
      </c>
      <c r="S34" s="16" t="n">
        <v>0.21</v>
      </c>
      <c r="T34" s="14" t="n">
        <v>0</v>
      </c>
      <c r="U34" s="14" t="n">
        <v>0</v>
      </c>
    </row>
    <row r="35" customFormat="false" ht="15" hidden="false" customHeight="true" outlineLevel="0" collapsed="false">
      <c r="A35" s="13" t="s">
        <v>653</v>
      </c>
      <c r="B35" s="13" t="s">
        <v>651</v>
      </c>
      <c r="C35" s="13" t="s">
        <v>125</v>
      </c>
      <c r="D35" s="14" t="n">
        <v>19924</v>
      </c>
      <c r="E35" s="14" t="n">
        <v>19383</v>
      </c>
      <c r="F35" s="14" t="n">
        <v>9679</v>
      </c>
      <c r="G35" s="16" t="n">
        <v>49.94</v>
      </c>
      <c r="H35" s="14" t="n">
        <v>88</v>
      </c>
      <c r="I35" s="16" t="n">
        <v>0.91</v>
      </c>
      <c r="J35" s="14" t="n">
        <v>883</v>
      </c>
      <c r="K35" s="16" t="n">
        <v>9.12</v>
      </c>
      <c r="L35" s="14" t="n">
        <v>2636</v>
      </c>
      <c r="M35" s="16" t="n">
        <v>27.23</v>
      </c>
      <c r="N35" s="14" t="n">
        <v>3734</v>
      </c>
      <c r="O35" s="16" t="n">
        <v>38.58</v>
      </c>
      <c r="P35" s="14" t="n">
        <v>2139</v>
      </c>
      <c r="Q35" s="16" t="n">
        <v>22.1</v>
      </c>
      <c r="R35" s="14" t="n">
        <v>199</v>
      </c>
      <c r="S35" s="16" t="n">
        <v>2.06</v>
      </c>
      <c r="T35" s="14" t="n">
        <v>61</v>
      </c>
      <c r="U35" s="14" t="n">
        <v>43</v>
      </c>
    </row>
    <row r="36" customFormat="false" ht="15" hidden="false" customHeight="true" outlineLevel="0" collapsed="false">
      <c r="A36" s="13" t="s">
        <v>653</v>
      </c>
      <c r="B36" s="13" t="s">
        <v>651</v>
      </c>
      <c r="C36" s="13" t="s">
        <v>650</v>
      </c>
      <c r="D36" s="14" t="n">
        <v>38381</v>
      </c>
      <c r="E36" s="14" t="n">
        <v>37680</v>
      </c>
      <c r="F36" s="14" t="n">
        <v>22010</v>
      </c>
      <c r="G36" s="16" t="n">
        <v>58.41</v>
      </c>
      <c r="H36" s="14" t="n">
        <v>334</v>
      </c>
      <c r="I36" s="16" t="n">
        <v>1.52</v>
      </c>
      <c r="J36" s="14" t="n">
        <v>2650</v>
      </c>
      <c r="K36" s="16" t="n">
        <v>12.04</v>
      </c>
      <c r="L36" s="14" t="n">
        <v>6855</v>
      </c>
      <c r="M36" s="16" t="n">
        <v>31.14</v>
      </c>
      <c r="N36" s="14" t="n">
        <v>8282</v>
      </c>
      <c r="O36" s="16" t="n">
        <v>37.63</v>
      </c>
      <c r="P36" s="14" t="n">
        <v>3654</v>
      </c>
      <c r="Q36" s="16" t="n">
        <v>16.6</v>
      </c>
      <c r="R36" s="14" t="n">
        <v>235</v>
      </c>
      <c r="S36" s="16" t="n">
        <v>1.07</v>
      </c>
      <c r="T36" s="14" t="n">
        <v>61</v>
      </c>
      <c r="U36" s="14" t="n">
        <v>43</v>
      </c>
    </row>
    <row r="37" customFormat="false" ht="15" hidden="false" customHeight="true" outlineLevel="0" collapsed="false">
      <c r="A37" s="13" t="s">
        <v>653</v>
      </c>
      <c r="B37" s="13" t="s">
        <v>192</v>
      </c>
      <c r="C37" s="13" t="s">
        <v>648</v>
      </c>
      <c r="D37" s="14" t="n">
        <v>19776</v>
      </c>
      <c r="E37" s="14" t="n">
        <v>19594</v>
      </c>
      <c r="F37" s="14" t="n">
        <v>11183</v>
      </c>
      <c r="G37" s="16" t="n">
        <v>57.07</v>
      </c>
      <c r="H37" s="14" t="n">
        <v>168</v>
      </c>
      <c r="I37" s="16" t="n">
        <v>1.5</v>
      </c>
      <c r="J37" s="14" t="n">
        <v>1429</v>
      </c>
      <c r="K37" s="16" t="n">
        <v>12.78</v>
      </c>
      <c r="L37" s="14" t="n">
        <v>3700</v>
      </c>
      <c r="M37" s="16" t="n">
        <v>33.09</v>
      </c>
      <c r="N37" s="14" t="n">
        <v>4233</v>
      </c>
      <c r="O37" s="16" t="n">
        <v>37.85</v>
      </c>
      <c r="P37" s="14" t="n">
        <v>1606</v>
      </c>
      <c r="Q37" s="16" t="n">
        <v>14.36</v>
      </c>
      <c r="R37" s="14" t="n">
        <v>47</v>
      </c>
      <c r="S37" s="16" t="n">
        <v>0.42</v>
      </c>
      <c r="T37" s="14" t="n">
        <v>0</v>
      </c>
      <c r="U37" s="14" t="n">
        <v>0</v>
      </c>
    </row>
    <row r="38" customFormat="false" ht="15" hidden="false" customHeight="true" outlineLevel="0" collapsed="false">
      <c r="A38" s="13" t="s">
        <v>653</v>
      </c>
      <c r="B38" s="13" t="s">
        <v>192</v>
      </c>
      <c r="C38" s="13" t="s">
        <v>649</v>
      </c>
      <c r="D38" s="14" t="n">
        <v>7347</v>
      </c>
      <c r="E38" s="14" t="n">
        <v>7168</v>
      </c>
      <c r="F38" s="14" t="n">
        <v>4096</v>
      </c>
      <c r="G38" s="16" t="n">
        <v>57.14</v>
      </c>
      <c r="H38" s="14" t="n">
        <v>122</v>
      </c>
      <c r="I38" s="16" t="n">
        <v>2.98</v>
      </c>
      <c r="J38" s="14" t="n">
        <v>575</v>
      </c>
      <c r="K38" s="16" t="n">
        <v>14.04</v>
      </c>
      <c r="L38" s="14" t="n">
        <v>1269</v>
      </c>
      <c r="M38" s="16" t="n">
        <v>30.98</v>
      </c>
      <c r="N38" s="14" t="n">
        <v>1493</v>
      </c>
      <c r="O38" s="16" t="n">
        <v>36.45</v>
      </c>
      <c r="P38" s="14" t="n">
        <v>620</v>
      </c>
      <c r="Q38" s="16" t="n">
        <v>15.14</v>
      </c>
      <c r="R38" s="14" t="n">
        <v>17</v>
      </c>
      <c r="S38" s="16" t="n">
        <v>0.42</v>
      </c>
      <c r="T38" s="14" t="n">
        <v>0</v>
      </c>
      <c r="U38" s="14" t="n">
        <v>0</v>
      </c>
    </row>
    <row r="39" customFormat="false" ht="15" hidden="false" customHeight="true" outlineLevel="0" collapsed="false">
      <c r="A39" s="13" t="s">
        <v>653</v>
      </c>
      <c r="B39" s="13" t="s">
        <v>192</v>
      </c>
      <c r="C39" s="13" t="s">
        <v>125</v>
      </c>
      <c r="D39" s="14" t="n">
        <v>38734</v>
      </c>
      <c r="E39" s="14" t="n">
        <v>36811</v>
      </c>
      <c r="F39" s="14" t="n">
        <v>13893</v>
      </c>
      <c r="G39" s="16" t="n">
        <v>37.74</v>
      </c>
      <c r="H39" s="14" t="n">
        <v>107</v>
      </c>
      <c r="I39" s="16" t="n">
        <v>0.77</v>
      </c>
      <c r="J39" s="14" t="n">
        <v>1073</v>
      </c>
      <c r="K39" s="16" t="n">
        <v>7.72</v>
      </c>
      <c r="L39" s="14" t="n">
        <v>3255</v>
      </c>
      <c r="M39" s="16" t="n">
        <v>23.43</v>
      </c>
      <c r="N39" s="14" t="n">
        <v>5088</v>
      </c>
      <c r="O39" s="16" t="n">
        <v>36.62</v>
      </c>
      <c r="P39" s="14" t="n">
        <v>3915</v>
      </c>
      <c r="Q39" s="16" t="n">
        <v>28.18</v>
      </c>
      <c r="R39" s="14" t="n">
        <v>455</v>
      </c>
      <c r="S39" s="16" t="n">
        <v>3.28</v>
      </c>
      <c r="T39" s="14" t="n">
        <v>193</v>
      </c>
      <c r="U39" s="14" t="n">
        <v>109</v>
      </c>
    </row>
    <row r="40" customFormat="false" ht="15" hidden="false" customHeight="true" outlineLevel="0" collapsed="false">
      <c r="A40" s="13" t="s">
        <v>653</v>
      </c>
      <c r="B40" s="13" t="s">
        <v>192</v>
      </c>
      <c r="C40" s="13" t="s">
        <v>652</v>
      </c>
      <c r="D40" s="14" t="n">
        <v>65857</v>
      </c>
      <c r="E40" s="14" t="n">
        <v>63573</v>
      </c>
      <c r="F40" s="14" t="n">
        <v>29172</v>
      </c>
      <c r="G40" s="16" t="n">
        <v>45.89</v>
      </c>
      <c r="H40" s="14" t="n">
        <v>397</v>
      </c>
      <c r="I40" s="16" t="n">
        <v>1.36</v>
      </c>
      <c r="J40" s="14" t="n">
        <v>3077</v>
      </c>
      <c r="K40" s="16" t="n">
        <v>10.55</v>
      </c>
      <c r="L40" s="14" t="n">
        <v>8224</v>
      </c>
      <c r="M40" s="16" t="n">
        <v>28.19</v>
      </c>
      <c r="N40" s="14" t="n">
        <v>10814</v>
      </c>
      <c r="O40" s="16" t="n">
        <v>37.07</v>
      </c>
      <c r="P40" s="14" t="n">
        <v>6141</v>
      </c>
      <c r="Q40" s="16" t="n">
        <v>21.05</v>
      </c>
      <c r="R40" s="14" t="n">
        <v>519</v>
      </c>
      <c r="S40" s="16" t="n">
        <v>1.78</v>
      </c>
      <c r="T40" s="14" t="n">
        <v>193</v>
      </c>
      <c r="U40" s="14" t="n">
        <v>109</v>
      </c>
    </row>
    <row r="41" customFormat="false" ht="15" hidden="false" customHeight="true" outlineLevel="0" collapsed="false">
      <c r="A41" s="13" t="s">
        <v>202</v>
      </c>
      <c r="B41" s="13" t="s">
        <v>647</v>
      </c>
      <c r="C41" s="13" t="s">
        <v>648</v>
      </c>
      <c r="D41" s="14" t="n">
        <v>8329</v>
      </c>
      <c r="E41" s="14" t="n">
        <v>8249</v>
      </c>
      <c r="F41" s="14" t="n">
        <v>4129</v>
      </c>
      <c r="G41" s="16" t="n">
        <v>50.05</v>
      </c>
      <c r="H41" s="14" t="n">
        <v>251</v>
      </c>
      <c r="I41" s="16" t="n">
        <v>6.08</v>
      </c>
      <c r="J41" s="14" t="n">
        <v>589</v>
      </c>
      <c r="K41" s="16" t="n">
        <v>14.26</v>
      </c>
      <c r="L41" s="14" t="n">
        <v>1136</v>
      </c>
      <c r="M41" s="16" t="n">
        <v>27.51</v>
      </c>
      <c r="N41" s="14" t="n">
        <v>1566</v>
      </c>
      <c r="O41" s="16" t="n">
        <v>37.93</v>
      </c>
      <c r="P41" s="14" t="n">
        <v>580</v>
      </c>
      <c r="Q41" s="16" t="n">
        <v>14.05</v>
      </c>
      <c r="R41" s="14" t="n">
        <v>7</v>
      </c>
      <c r="S41" s="16" t="n">
        <v>0.17</v>
      </c>
      <c r="T41" s="14" t="n">
        <v>0</v>
      </c>
      <c r="U41" s="14" t="n">
        <v>0</v>
      </c>
    </row>
    <row r="42" customFormat="false" ht="15" hidden="false" customHeight="true" outlineLevel="0" collapsed="false">
      <c r="A42" s="13" t="s">
        <v>202</v>
      </c>
      <c r="B42" s="13" t="s">
        <v>647</v>
      </c>
      <c r="C42" s="13" t="s">
        <v>649</v>
      </c>
      <c r="D42" s="14" t="n">
        <v>16152</v>
      </c>
      <c r="E42" s="14" t="n">
        <v>15892</v>
      </c>
      <c r="F42" s="14" t="n">
        <v>9379</v>
      </c>
      <c r="G42" s="16" t="n">
        <v>59.02</v>
      </c>
      <c r="H42" s="14" t="n">
        <v>691</v>
      </c>
      <c r="I42" s="16" t="n">
        <v>7.37</v>
      </c>
      <c r="J42" s="14" t="n">
        <v>1587</v>
      </c>
      <c r="K42" s="16" t="n">
        <v>16.92</v>
      </c>
      <c r="L42" s="14" t="n">
        <v>2714</v>
      </c>
      <c r="M42" s="16" t="n">
        <v>28.94</v>
      </c>
      <c r="N42" s="14" t="n">
        <v>3209</v>
      </c>
      <c r="O42" s="16" t="n">
        <v>34.21</v>
      </c>
      <c r="P42" s="14" t="n">
        <v>1164</v>
      </c>
      <c r="Q42" s="16" t="n">
        <v>12.41</v>
      </c>
      <c r="R42" s="14" t="n">
        <v>14</v>
      </c>
      <c r="S42" s="16" t="n">
        <v>0.15</v>
      </c>
      <c r="T42" s="14" t="n">
        <v>0</v>
      </c>
      <c r="U42" s="14" t="n">
        <v>0</v>
      </c>
    </row>
    <row r="43" customFormat="false" ht="15" hidden="false" customHeight="true" outlineLevel="0" collapsed="false">
      <c r="A43" s="13" t="s">
        <v>202</v>
      </c>
      <c r="B43" s="13" t="s">
        <v>647</v>
      </c>
      <c r="C43" s="13" t="s">
        <v>125</v>
      </c>
      <c r="D43" s="14" t="n">
        <v>5517</v>
      </c>
      <c r="E43" s="14" t="n">
        <v>5184</v>
      </c>
      <c r="F43" s="14" t="n">
        <v>1315</v>
      </c>
      <c r="G43" s="16" t="n">
        <v>25.37</v>
      </c>
      <c r="H43" s="14" t="n">
        <v>5</v>
      </c>
      <c r="I43" s="16" t="n">
        <v>0.38</v>
      </c>
      <c r="J43" s="14" t="n">
        <v>11</v>
      </c>
      <c r="K43" s="16" t="n">
        <v>0.84</v>
      </c>
      <c r="L43" s="14" t="n">
        <v>49</v>
      </c>
      <c r="M43" s="16" t="n">
        <v>3.73</v>
      </c>
      <c r="N43" s="14" t="n">
        <v>434</v>
      </c>
      <c r="O43" s="16" t="n">
        <v>33</v>
      </c>
      <c r="P43" s="14" t="n">
        <v>768</v>
      </c>
      <c r="Q43" s="16" t="n">
        <v>58.4</v>
      </c>
      <c r="R43" s="14" t="n">
        <v>48</v>
      </c>
      <c r="S43" s="16" t="n">
        <v>3.65</v>
      </c>
      <c r="T43" s="14" t="n">
        <v>8</v>
      </c>
      <c r="U43" s="14" t="n">
        <v>3</v>
      </c>
    </row>
    <row r="44" customFormat="false" ht="15" hidden="false" customHeight="true" outlineLevel="0" collapsed="false">
      <c r="A44" s="13" t="s">
        <v>202</v>
      </c>
      <c r="B44" s="13" t="s">
        <v>647</v>
      </c>
      <c r="C44" s="13" t="s">
        <v>650</v>
      </c>
      <c r="D44" s="14" t="n">
        <v>29998</v>
      </c>
      <c r="E44" s="14" t="n">
        <v>29325</v>
      </c>
      <c r="F44" s="14" t="n">
        <v>14823</v>
      </c>
      <c r="G44" s="16" t="n">
        <v>50.55</v>
      </c>
      <c r="H44" s="14" t="n">
        <v>947</v>
      </c>
      <c r="I44" s="16" t="n">
        <v>6.39</v>
      </c>
      <c r="J44" s="14" t="n">
        <v>2187</v>
      </c>
      <c r="K44" s="16" t="n">
        <v>14.75</v>
      </c>
      <c r="L44" s="14" t="n">
        <v>3899</v>
      </c>
      <c r="M44" s="16" t="n">
        <v>26.3</v>
      </c>
      <c r="N44" s="14" t="n">
        <v>5209</v>
      </c>
      <c r="O44" s="16" t="n">
        <v>35.14</v>
      </c>
      <c r="P44" s="14" t="n">
        <v>2512</v>
      </c>
      <c r="Q44" s="16" t="n">
        <v>16.95</v>
      </c>
      <c r="R44" s="14" t="n">
        <v>69</v>
      </c>
      <c r="S44" s="16" t="n">
        <v>0.47</v>
      </c>
      <c r="T44" s="14" t="n">
        <v>8</v>
      </c>
      <c r="U44" s="14" t="n">
        <v>3</v>
      </c>
    </row>
    <row r="45" customFormat="false" ht="15" hidden="false" customHeight="true" outlineLevel="0" collapsed="false">
      <c r="A45" s="13" t="s">
        <v>202</v>
      </c>
      <c r="B45" s="13" t="s">
        <v>651</v>
      </c>
      <c r="C45" s="13" t="s">
        <v>648</v>
      </c>
      <c r="D45" s="14" t="n">
        <v>8308</v>
      </c>
      <c r="E45" s="14" t="n">
        <v>8261</v>
      </c>
      <c r="F45" s="14" t="n">
        <v>5726</v>
      </c>
      <c r="G45" s="16" t="n">
        <v>69.31</v>
      </c>
      <c r="H45" s="14" t="n">
        <v>338</v>
      </c>
      <c r="I45" s="16" t="n">
        <v>5.9</v>
      </c>
      <c r="J45" s="14" t="n">
        <v>1022</v>
      </c>
      <c r="K45" s="16" t="n">
        <v>17.85</v>
      </c>
      <c r="L45" s="14" t="n">
        <v>2035</v>
      </c>
      <c r="M45" s="16" t="n">
        <v>35.54</v>
      </c>
      <c r="N45" s="14" t="n">
        <v>1960</v>
      </c>
      <c r="O45" s="16" t="n">
        <v>34.23</v>
      </c>
      <c r="P45" s="14" t="n">
        <v>370</v>
      </c>
      <c r="Q45" s="16" t="n">
        <v>6.46</v>
      </c>
      <c r="R45" s="14" t="n">
        <v>1</v>
      </c>
      <c r="S45" s="16" t="n">
        <v>0.02</v>
      </c>
      <c r="T45" s="14" t="n">
        <v>0</v>
      </c>
      <c r="U45" s="14" t="n">
        <v>0</v>
      </c>
    </row>
    <row r="46" customFormat="false" ht="15" hidden="false" customHeight="true" outlineLevel="0" collapsed="false">
      <c r="A46" s="13" t="s">
        <v>202</v>
      </c>
      <c r="B46" s="13" t="s">
        <v>651</v>
      </c>
      <c r="C46" s="13" t="s">
        <v>649</v>
      </c>
      <c r="D46" s="14" t="n">
        <v>9737</v>
      </c>
      <c r="E46" s="14" t="n">
        <v>9645</v>
      </c>
      <c r="F46" s="14" t="n">
        <v>7314</v>
      </c>
      <c r="G46" s="16" t="n">
        <v>75.83</v>
      </c>
      <c r="H46" s="14" t="n">
        <v>847</v>
      </c>
      <c r="I46" s="16" t="n">
        <v>11.58</v>
      </c>
      <c r="J46" s="14" t="n">
        <v>1734</v>
      </c>
      <c r="K46" s="16" t="n">
        <v>23.71</v>
      </c>
      <c r="L46" s="14" t="n">
        <v>2420</v>
      </c>
      <c r="M46" s="16" t="n">
        <v>33.09</v>
      </c>
      <c r="N46" s="14" t="n">
        <v>1952</v>
      </c>
      <c r="O46" s="16" t="n">
        <v>26.69</v>
      </c>
      <c r="P46" s="14" t="n">
        <v>361</v>
      </c>
      <c r="Q46" s="16" t="n">
        <v>4.94</v>
      </c>
      <c r="R46" s="14" t="n">
        <v>0</v>
      </c>
      <c r="S46" s="16" t="n">
        <v>0</v>
      </c>
      <c r="T46" s="14" t="n">
        <v>0</v>
      </c>
      <c r="U46" s="14" t="n">
        <v>0</v>
      </c>
    </row>
    <row r="47" customFormat="false" ht="15" hidden="false" customHeight="true" outlineLevel="0" collapsed="false">
      <c r="A47" s="13" t="s">
        <v>202</v>
      </c>
      <c r="B47" s="13" t="s">
        <v>651</v>
      </c>
      <c r="C47" s="13" t="s">
        <v>125</v>
      </c>
      <c r="D47" s="14" t="n">
        <v>2026</v>
      </c>
      <c r="E47" s="14" t="n">
        <v>1962</v>
      </c>
      <c r="F47" s="14" t="n">
        <v>643</v>
      </c>
      <c r="G47" s="16" t="n">
        <v>32.77</v>
      </c>
      <c r="H47" s="14" t="n">
        <v>8</v>
      </c>
      <c r="I47" s="16" t="n">
        <v>1.24</v>
      </c>
      <c r="J47" s="14" t="n">
        <v>13</v>
      </c>
      <c r="K47" s="16" t="n">
        <v>2.02</v>
      </c>
      <c r="L47" s="14" t="n">
        <v>51</v>
      </c>
      <c r="M47" s="16" t="n">
        <v>7.93</v>
      </c>
      <c r="N47" s="14" t="n">
        <v>248</v>
      </c>
      <c r="O47" s="16" t="n">
        <v>38.57</v>
      </c>
      <c r="P47" s="14" t="n">
        <v>316</v>
      </c>
      <c r="Q47" s="16" t="n">
        <v>49.14</v>
      </c>
      <c r="R47" s="14" t="n">
        <v>7</v>
      </c>
      <c r="S47" s="16" t="n">
        <v>1.09</v>
      </c>
      <c r="T47" s="14" t="n">
        <v>4</v>
      </c>
      <c r="U47" s="14" t="n">
        <v>1</v>
      </c>
    </row>
    <row r="48" customFormat="false" ht="15" hidden="false" customHeight="true" outlineLevel="0" collapsed="false">
      <c r="A48" s="13" t="s">
        <v>202</v>
      </c>
      <c r="B48" s="13" t="s">
        <v>651</v>
      </c>
      <c r="C48" s="13" t="s">
        <v>650</v>
      </c>
      <c r="D48" s="14" t="n">
        <v>20071</v>
      </c>
      <c r="E48" s="14" t="n">
        <v>19868</v>
      </c>
      <c r="F48" s="14" t="n">
        <v>13683</v>
      </c>
      <c r="G48" s="16" t="n">
        <v>68.87</v>
      </c>
      <c r="H48" s="14" t="n">
        <v>1193</v>
      </c>
      <c r="I48" s="16" t="n">
        <v>8.72</v>
      </c>
      <c r="J48" s="14" t="n">
        <v>2769</v>
      </c>
      <c r="K48" s="16" t="n">
        <v>20.24</v>
      </c>
      <c r="L48" s="14" t="n">
        <v>4506</v>
      </c>
      <c r="M48" s="16" t="n">
        <v>32.93</v>
      </c>
      <c r="N48" s="14" t="n">
        <v>4160</v>
      </c>
      <c r="O48" s="16" t="n">
        <v>30.4</v>
      </c>
      <c r="P48" s="14" t="n">
        <v>1047</v>
      </c>
      <c r="Q48" s="16" t="n">
        <v>7.65</v>
      </c>
      <c r="R48" s="14" t="n">
        <v>8</v>
      </c>
      <c r="S48" s="16" t="n">
        <v>0.06</v>
      </c>
      <c r="T48" s="14" t="n">
        <v>4</v>
      </c>
      <c r="U48" s="14" t="n">
        <v>1</v>
      </c>
    </row>
    <row r="49" customFormat="false" ht="15" hidden="false" customHeight="true" outlineLevel="0" collapsed="false">
      <c r="A49" s="13" t="s">
        <v>202</v>
      </c>
      <c r="B49" s="13" t="s">
        <v>192</v>
      </c>
      <c r="C49" s="13" t="s">
        <v>648</v>
      </c>
      <c r="D49" s="14" t="n">
        <v>16637</v>
      </c>
      <c r="E49" s="14" t="n">
        <v>16510</v>
      </c>
      <c r="F49" s="14" t="n">
        <v>9855</v>
      </c>
      <c r="G49" s="16" t="n">
        <v>59.69</v>
      </c>
      <c r="H49" s="14" t="n">
        <v>589</v>
      </c>
      <c r="I49" s="16" t="n">
        <v>5.98</v>
      </c>
      <c r="J49" s="14" t="n">
        <v>1611</v>
      </c>
      <c r="K49" s="16" t="n">
        <v>16.35</v>
      </c>
      <c r="L49" s="14" t="n">
        <v>3171</v>
      </c>
      <c r="M49" s="16" t="n">
        <v>32.18</v>
      </c>
      <c r="N49" s="14" t="n">
        <v>3526</v>
      </c>
      <c r="O49" s="16" t="n">
        <v>35.78</v>
      </c>
      <c r="P49" s="14" t="n">
        <v>950</v>
      </c>
      <c r="Q49" s="16" t="n">
        <v>9.64</v>
      </c>
      <c r="R49" s="14" t="n">
        <v>8</v>
      </c>
      <c r="S49" s="16" t="n">
        <v>0.08</v>
      </c>
      <c r="T49" s="14" t="n">
        <v>0</v>
      </c>
      <c r="U49" s="14" t="n">
        <v>0</v>
      </c>
    </row>
    <row r="50" customFormat="false" ht="15" hidden="false" customHeight="true" outlineLevel="0" collapsed="false">
      <c r="A50" s="13" t="s">
        <v>202</v>
      </c>
      <c r="B50" s="13" t="s">
        <v>192</v>
      </c>
      <c r="C50" s="13" t="s">
        <v>649</v>
      </c>
      <c r="D50" s="14" t="n">
        <v>25889</v>
      </c>
      <c r="E50" s="14" t="n">
        <v>25537</v>
      </c>
      <c r="F50" s="14" t="n">
        <v>16693</v>
      </c>
      <c r="G50" s="16" t="n">
        <v>65.37</v>
      </c>
      <c r="H50" s="14" t="n">
        <v>1538</v>
      </c>
      <c r="I50" s="16" t="n">
        <v>9.21</v>
      </c>
      <c r="J50" s="14" t="n">
        <v>3321</v>
      </c>
      <c r="K50" s="16" t="n">
        <v>19.89</v>
      </c>
      <c r="L50" s="14" t="n">
        <v>5134</v>
      </c>
      <c r="M50" s="16" t="n">
        <v>30.76</v>
      </c>
      <c r="N50" s="14" t="n">
        <v>5161</v>
      </c>
      <c r="O50" s="16" t="n">
        <v>30.92</v>
      </c>
      <c r="P50" s="14" t="n">
        <v>1525</v>
      </c>
      <c r="Q50" s="16" t="n">
        <v>9.14</v>
      </c>
      <c r="R50" s="14" t="n">
        <v>14</v>
      </c>
      <c r="S50" s="16" t="n">
        <v>0.08</v>
      </c>
      <c r="T50" s="14" t="n">
        <v>0</v>
      </c>
      <c r="U50" s="14" t="n">
        <v>0</v>
      </c>
    </row>
    <row r="51" customFormat="false" ht="15" hidden="false" customHeight="true" outlineLevel="0" collapsed="false">
      <c r="A51" s="13" t="s">
        <v>202</v>
      </c>
      <c r="B51" s="13" t="s">
        <v>192</v>
      </c>
      <c r="C51" s="13" t="s">
        <v>125</v>
      </c>
      <c r="D51" s="14" t="n">
        <v>7543</v>
      </c>
      <c r="E51" s="14" t="n">
        <v>7146</v>
      </c>
      <c r="F51" s="14" t="n">
        <v>1958</v>
      </c>
      <c r="G51" s="16" t="n">
        <v>27.4</v>
      </c>
      <c r="H51" s="14" t="n">
        <v>13</v>
      </c>
      <c r="I51" s="16" t="n">
        <v>0.66</v>
      </c>
      <c r="J51" s="14" t="n">
        <v>24</v>
      </c>
      <c r="K51" s="16" t="n">
        <v>1.23</v>
      </c>
      <c r="L51" s="14" t="n">
        <v>100</v>
      </c>
      <c r="M51" s="16" t="n">
        <v>5.11</v>
      </c>
      <c r="N51" s="14" t="n">
        <v>682</v>
      </c>
      <c r="O51" s="16" t="n">
        <v>34.83</v>
      </c>
      <c r="P51" s="14" t="n">
        <v>1084</v>
      </c>
      <c r="Q51" s="16" t="n">
        <v>55.36</v>
      </c>
      <c r="R51" s="14" t="n">
        <v>55</v>
      </c>
      <c r="S51" s="16" t="n">
        <v>2.81</v>
      </c>
      <c r="T51" s="14" t="n">
        <v>12</v>
      </c>
      <c r="U51" s="14" t="n">
        <v>4</v>
      </c>
    </row>
    <row r="52" customFormat="false" ht="15" hidden="false" customHeight="true" outlineLevel="0" collapsed="false">
      <c r="A52" s="13" t="s">
        <v>202</v>
      </c>
      <c r="B52" s="13" t="s">
        <v>192</v>
      </c>
      <c r="C52" s="13" t="s">
        <v>652</v>
      </c>
      <c r="D52" s="14" t="n">
        <v>50069</v>
      </c>
      <c r="E52" s="14" t="n">
        <v>49193</v>
      </c>
      <c r="F52" s="14" t="n">
        <v>28506</v>
      </c>
      <c r="G52" s="16" t="n">
        <v>57.95</v>
      </c>
      <c r="H52" s="14" t="n">
        <v>2140</v>
      </c>
      <c r="I52" s="16" t="n">
        <v>7.51</v>
      </c>
      <c r="J52" s="14" t="n">
        <v>4956</v>
      </c>
      <c r="K52" s="16" t="n">
        <v>17.39</v>
      </c>
      <c r="L52" s="14" t="n">
        <v>8405</v>
      </c>
      <c r="M52" s="16" t="n">
        <v>29.49</v>
      </c>
      <c r="N52" s="14" t="n">
        <v>9369</v>
      </c>
      <c r="O52" s="16" t="n">
        <v>32.87</v>
      </c>
      <c r="P52" s="14" t="n">
        <v>3559</v>
      </c>
      <c r="Q52" s="16" t="n">
        <v>12.49</v>
      </c>
      <c r="R52" s="14" t="n">
        <v>77</v>
      </c>
      <c r="S52" s="16" t="n">
        <v>0.27</v>
      </c>
      <c r="T52" s="14" t="n">
        <v>12</v>
      </c>
      <c r="U52" s="14" t="n">
        <v>4</v>
      </c>
    </row>
    <row r="53" customFormat="false" ht="15" hidden="false" customHeight="true" outlineLevel="0" collapsed="false">
      <c r="A53" s="13" t="s">
        <v>203</v>
      </c>
      <c r="B53" s="13" t="s">
        <v>647</v>
      </c>
      <c r="C53" s="13" t="s">
        <v>648</v>
      </c>
      <c r="D53" s="14" t="n">
        <v>2216</v>
      </c>
      <c r="E53" s="14" t="n">
        <v>2196</v>
      </c>
      <c r="F53" s="14" t="n">
        <v>1172</v>
      </c>
      <c r="G53" s="16" t="n">
        <v>53.37</v>
      </c>
      <c r="H53" s="14" t="n">
        <v>30</v>
      </c>
      <c r="I53" s="16" t="n">
        <v>2.56</v>
      </c>
      <c r="J53" s="14" t="n">
        <v>91</v>
      </c>
      <c r="K53" s="16" t="n">
        <v>7.76</v>
      </c>
      <c r="L53" s="14" t="n">
        <v>249</v>
      </c>
      <c r="M53" s="16" t="n">
        <v>21.25</v>
      </c>
      <c r="N53" s="14" t="n">
        <v>462</v>
      </c>
      <c r="O53" s="16" t="n">
        <v>39.42</v>
      </c>
      <c r="P53" s="14" t="n">
        <v>325</v>
      </c>
      <c r="Q53" s="16" t="n">
        <v>27.73</v>
      </c>
      <c r="R53" s="14" t="n">
        <v>15</v>
      </c>
      <c r="S53" s="16" t="n">
        <v>1.28</v>
      </c>
      <c r="T53" s="14" t="n">
        <v>0</v>
      </c>
      <c r="U53" s="14" t="n">
        <v>0</v>
      </c>
    </row>
    <row r="54" customFormat="false" ht="15" hidden="false" customHeight="true" outlineLevel="0" collapsed="false">
      <c r="A54" s="13" t="s">
        <v>203</v>
      </c>
      <c r="B54" s="13" t="s">
        <v>647</v>
      </c>
      <c r="C54" s="13" t="s">
        <v>649</v>
      </c>
      <c r="D54" s="14" t="n">
        <v>2151</v>
      </c>
      <c r="E54" s="14" t="n">
        <v>2123</v>
      </c>
      <c r="F54" s="14" t="n">
        <v>1505</v>
      </c>
      <c r="G54" s="16" t="n">
        <v>70.89</v>
      </c>
      <c r="H54" s="14" t="n">
        <v>51</v>
      </c>
      <c r="I54" s="16" t="n">
        <v>3.39</v>
      </c>
      <c r="J54" s="14" t="n">
        <v>192</v>
      </c>
      <c r="K54" s="16" t="n">
        <v>12.76</v>
      </c>
      <c r="L54" s="14" t="n">
        <v>411</v>
      </c>
      <c r="M54" s="16" t="n">
        <v>27.31</v>
      </c>
      <c r="N54" s="14" t="n">
        <v>544</v>
      </c>
      <c r="O54" s="16" t="n">
        <v>36.15</v>
      </c>
      <c r="P54" s="14" t="n">
        <v>300</v>
      </c>
      <c r="Q54" s="16" t="n">
        <v>19.93</v>
      </c>
      <c r="R54" s="14" t="n">
        <v>7</v>
      </c>
      <c r="S54" s="16" t="n">
        <v>0.47</v>
      </c>
      <c r="T54" s="14" t="n">
        <v>0</v>
      </c>
      <c r="U54" s="14" t="n">
        <v>0</v>
      </c>
    </row>
    <row r="55" customFormat="false" ht="15" hidden="false" customHeight="true" outlineLevel="0" collapsed="false">
      <c r="A55" s="13" t="s">
        <v>203</v>
      </c>
      <c r="B55" s="13" t="s">
        <v>647</v>
      </c>
      <c r="C55" s="13" t="s">
        <v>125</v>
      </c>
      <c r="D55" s="14" t="n">
        <v>4391</v>
      </c>
      <c r="E55" s="14" t="n">
        <v>4221</v>
      </c>
      <c r="F55" s="14" t="n">
        <v>1598</v>
      </c>
      <c r="G55" s="16" t="n">
        <v>37.86</v>
      </c>
      <c r="H55" s="14" t="n">
        <v>5</v>
      </c>
      <c r="I55" s="16" t="n">
        <v>0.31</v>
      </c>
      <c r="J55" s="14" t="n">
        <v>51</v>
      </c>
      <c r="K55" s="16" t="n">
        <v>3.19</v>
      </c>
      <c r="L55" s="14" t="n">
        <v>217</v>
      </c>
      <c r="M55" s="16" t="n">
        <v>13.58</v>
      </c>
      <c r="N55" s="14" t="n">
        <v>558</v>
      </c>
      <c r="O55" s="16" t="n">
        <v>34.92</v>
      </c>
      <c r="P55" s="14" t="n">
        <v>683</v>
      </c>
      <c r="Q55" s="16" t="n">
        <v>42.74</v>
      </c>
      <c r="R55" s="14" t="n">
        <v>84</v>
      </c>
      <c r="S55" s="16" t="n">
        <v>5.26</v>
      </c>
      <c r="T55" s="14" t="n">
        <v>3</v>
      </c>
      <c r="U55" s="14" t="n">
        <v>1</v>
      </c>
    </row>
    <row r="56" customFormat="false" ht="15" hidden="false" customHeight="true" outlineLevel="0" collapsed="false">
      <c r="A56" s="13" t="s">
        <v>203</v>
      </c>
      <c r="B56" s="13" t="s">
        <v>647</v>
      </c>
      <c r="C56" s="13" t="s">
        <v>650</v>
      </c>
      <c r="D56" s="14" t="n">
        <v>8758</v>
      </c>
      <c r="E56" s="14" t="n">
        <v>8540</v>
      </c>
      <c r="F56" s="14" t="n">
        <v>4275</v>
      </c>
      <c r="G56" s="16" t="n">
        <v>50.06</v>
      </c>
      <c r="H56" s="14" t="n">
        <v>86</v>
      </c>
      <c r="I56" s="16" t="n">
        <v>2.01</v>
      </c>
      <c r="J56" s="14" t="n">
        <v>334</v>
      </c>
      <c r="K56" s="16" t="n">
        <v>7.81</v>
      </c>
      <c r="L56" s="14" t="n">
        <v>877</v>
      </c>
      <c r="M56" s="16" t="n">
        <v>20.51</v>
      </c>
      <c r="N56" s="14" t="n">
        <v>1564</v>
      </c>
      <c r="O56" s="16" t="n">
        <v>36.58</v>
      </c>
      <c r="P56" s="14" t="n">
        <v>1308</v>
      </c>
      <c r="Q56" s="16" t="n">
        <v>30.6</v>
      </c>
      <c r="R56" s="14" t="n">
        <v>106</v>
      </c>
      <c r="S56" s="16" t="n">
        <v>2.48</v>
      </c>
      <c r="T56" s="14" t="n">
        <v>3</v>
      </c>
      <c r="U56" s="14" t="n">
        <v>1</v>
      </c>
    </row>
    <row r="57" customFormat="false" ht="15" hidden="false" customHeight="true" outlineLevel="0" collapsed="false">
      <c r="A57" s="13" t="s">
        <v>203</v>
      </c>
      <c r="B57" s="13" t="s">
        <v>651</v>
      </c>
      <c r="C57" s="13" t="s">
        <v>648</v>
      </c>
      <c r="D57" s="14" t="n">
        <v>2176</v>
      </c>
      <c r="E57" s="14" t="n">
        <v>2155</v>
      </c>
      <c r="F57" s="14" t="n">
        <v>1831</v>
      </c>
      <c r="G57" s="16" t="n">
        <v>84.97</v>
      </c>
      <c r="H57" s="14" t="n">
        <v>42</v>
      </c>
      <c r="I57" s="16" t="n">
        <v>2.29</v>
      </c>
      <c r="J57" s="14" t="n">
        <v>221</v>
      </c>
      <c r="K57" s="16" t="n">
        <v>12.07</v>
      </c>
      <c r="L57" s="14" t="n">
        <v>584</v>
      </c>
      <c r="M57" s="16" t="n">
        <v>31.9</v>
      </c>
      <c r="N57" s="14" t="n">
        <v>670</v>
      </c>
      <c r="O57" s="16" t="n">
        <v>36.59</v>
      </c>
      <c r="P57" s="14" t="n">
        <v>309</v>
      </c>
      <c r="Q57" s="16" t="n">
        <v>16.88</v>
      </c>
      <c r="R57" s="14" t="n">
        <v>5</v>
      </c>
      <c r="S57" s="16" t="n">
        <v>0.27</v>
      </c>
      <c r="T57" s="14" t="n">
        <v>0</v>
      </c>
      <c r="U57" s="14" t="n">
        <v>0</v>
      </c>
    </row>
    <row r="58" customFormat="false" ht="15" hidden="false" customHeight="true" outlineLevel="0" collapsed="false">
      <c r="A58" s="13" t="s">
        <v>203</v>
      </c>
      <c r="B58" s="13" t="s">
        <v>651</v>
      </c>
      <c r="C58" s="13" t="s">
        <v>649</v>
      </c>
      <c r="D58" s="14" t="n">
        <v>1784</v>
      </c>
      <c r="E58" s="14" t="n">
        <v>1768</v>
      </c>
      <c r="F58" s="14" t="n">
        <v>1585</v>
      </c>
      <c r="G58" s="16" t="n">
        <v>89.65</v>
      </c>
      <c r="H58" s="14" t="n">
        <v>164</v>
      </c>
      <c r="I58" s="16" t="n">
        <v>10.35</v>
      </c>
      <c r="J58" s="14" t="n">
        <v>357</v>
      </c>
      <c r="K58" s="16" t="n">
        <v>22.52</v>
      </c>
      <c r="L58" s="14" t="n">
        <v>519</v>
      </c>
      <c r="M58" s="16" t="n">
        <v>32.74</v>
      </c>
      <c r="N58" s="14" t="n">
        <v>401</v>
      </c>
      <c r="O58" s="16" t="n">
        <v>25.3</v>
      </c>
      <c r="P58" s="14" t="n">
        <v>140</v>
      </c>
      <c r="Q58" s="16" t="n">
        <v>8.83</v>
      </c>
      <c r="R58" s="14" t="n">
        <v>4</v>
      </c>
      <c r="S58" s="16" t="n">
        <v>0.25</v>
      </c>
      <c r="T58" s="14" t="n">
        <v>0</v>
      </c>
      <c r="U58" s="14" t="n">
        <v>0</v>
      </c>
    </row>
    <row r="59" customFormat="false" ht="15" hidden="false" customHeight="true" outlineLevel="0" collapsed="false">
      <c r="A59" s="13" t="s">
        <v>203</v>
      </c>
      <c r="B59" s="13" t="s">
        <v>651</v>
      </c>
      <c r="C59" s="13" t="s">
        <v>125</v>
      </c>
      <c r="D59" s="14" t="n">
        <v>2854</v>
      </c>
      <c r="E59" s="14" t="n">
        <v>2805</v>
      </c>
      <c r="F59" s="14" t="n">
        <v>1890</v>
      </c>
      <c r="G59" s="16" t="n">
        <v>67.38</v>
      </c>
      <c r="H59" s="14" t="n">
        <v>29</v>
      </c>
      <c r="I59" s="16" t="n">
        <v>1.53</v>
      </c>
      <c r="J59" s="14" t="n">
        <v>196</v>
      </c>
      <c r="K59" s="16" t="n">
        <v>10.37</v>
      </c>
      <c r="L59" s="14" t="n">
        <v>487</v>
      </c>
      <c r="M59" s="16" t="n">
        <v>25.77</v>
      </c>
      <c r="N59" s="14" t="n">
        <v>702</v>
      </c>
      <c r="O59" s="16" t="n">
        <v>37.14</v>
      </c>
      <c r="P59" s="14" t="n">
        <v>449</v>
      </c>
      <c r="Q59" s="16" t="n">
        <v>23.76</v>
      </c>
      <c r="R59" s="14" t="n">
        <v>27</v>
      </c>
      <c r="S59" s="16" t="n">
        <v>1.43</v>
      </c>
      <c r="T59" s="14" t="n">
        <v>3</v>
      </c>
      <c r="U59" s="14" t="n">
        <v>3</v>
      </c>
    </row>
    <row r="60" customFormat="false" ht="15" hidden="false" customHeight="true" outlineLevel="0" collapsed="false">
      <c r="A60" s="13" t="s">
        <v>203</v>
      </c>
      <c r="B60" s="13" t="s">
        <v>651</v>
      </c>
      <c r="C60" s="13" t="s">
        <v>650</v>
      </c>
      <c r="D60" s="14" t="n">
        <v>6814</v>
      </c>
      <c r="E60" s="14" t="n">
        <v>6728</v>
      </c>
      <c r="F60" s="14" t="n">
        <v>5306</v>
      </c>
      <c r="G60" s="16" t="n">
        <v>78.86</v>
      </c>
      <c r="H60" s="14" t="n">
        <v>235</v>
      </c>
      <c r="I60" s="16" t="n">
        <v>4.43</v>
      </c>
      <c r="J60" s="14" t="n">
        <v>774</v>
      </c>
      <c r="K60" s="16" t="n">
        <v>14.59</v>
      </c>
      <c r="L60" s="14" t="n">
        <v>1590</v>
      </c>
      <c r="M60" s="16" t="n">
        <v>29.97</v>
      </c>
      <c r="N60" s="14" t="n">
        <v>1773</v>
      </c>
      <c r="O60" s="16" t="n">
        <v>33.42</v>
      </c>
      <c r="P60" s="14" t="n">
        <v>898</v>
      </c>
      <c r="Q60" s="16" t="n">
        <v>16.92</v>
      </c>
      <c r="R60" s="14" t="n">
        <v>36</v>
      </c>
      <c r="S60" s="16" t="n">
        <v>0.68</v>
      </c>
      <c r="T60" s="14" t="n">
        <v>3</v>
      </c>
      <c r="U60" s="14" t="n">
        <v>3</v>
      </c>
    </row>
    <row r="61" customFormat="false" ht="15" hidden="false" customHeight="true" outlineLevel="0" collapsed="false">
      <c r="A61" s="13" t="s">
        <v>203</v>
      </c>
      <c r="B61" s="13" t="s">
        <v>192</v>
      </c>
      <c r="C61" s="13" t="s">
        <v>648</v>
      </c>
      <c r="D61" s="14" t="n">
        <v>4392</v>
      </c>
      <c r="E61" s="14" t="n">
        <v>4351</v>
      </c>
      <c r="F61" s="14" t="n">
        <v>3003</v>
      </c>
      <c r="G61" s="16" t="n">
        <v>69.02</v>
      </c>
      <c r="H61" s="14" t="n">
        <v>72</v>
      </c>
      <c r="I61" s="16" t="n">
        <v>2.4</v>
      </c>
      <c r="J61" s="14" t="n">
        <v>312</v>
      </c>
      <c r="K61" s="16" t="n">
        <v>10.39</v>
      </c>
      <c r="L61" s="14" t="n">
        <v>833</v>
      </c>
      <c r="M61" s="16" t="n">
        <v>27.74</v>
      </c>
      <c r="N61" s="14" t="n">
        <v>1132</v>
      </c>
      <c r="O61" s="16" t="n">
        <v>37.7</v>
      </c>
      <c r="P61" s="14" t="n">
        <v>634</v>
      </c>
      <c r="Q61" s="16" t="n">
        <v>21.11</v>
      </c>
      <c r="R61" s="14" t="n">
        <v>20</v>
      </c>
      <c r="S61" s="16" t="n">
        <v>0.67</v>
      </c>
      <c r="T61" s="14" t="n">
        <v>0</v>
      </c>
      <c r="U61" s="14" t="n">
        <v>0</v>
      </c>
    </row>
    <row r="62" customFormat="false" ht="15" hidden="false" customHeight="true" outlineLevel="0" collapsed="false">
      <c r="A62" s="13" t="s">
        <v>203</v>
      </c>
      <c r="B62" s="13" t="s">
        <v>192</v>
      </c>
      <c r="C62" s="13" t="s">
        <v>649</v>
      </c>
      <c r="D62" s="14" t="n">
        <v>3935</v>
      </c>
      <c r="E62" s="14" t="n">
        <v>3891</v>
      </c>
      <c r="F62" s="14" t="n">
        <v>3090</v>
      </c>
      <c r="G62" s="16" t="n">
        <v>79.41</v>
      </c>
      <c r="H62" s="14" t="n">
        <v>215</v>
      </c>
      <c r="I62" s="16" t="n">
        <v>6.96</v>
      </c>
      <c r="J62" s="14" t="n">
        <v>549</v>
      </c>
      <c r="K62" s="16" t="n">
        <v>17.77</v>
      </c>
      <c r="L62" s="14" t="n">
        <v>930</v>
      </c>
      <c r="M62" s="16" t="n">
        <v>30.1</v>
      </c>
      <c r="N62" s="14" t="n">
        <v>945</v>
      </c>
      <c r="O62" s="16" t="n">
        <v>30.58</v>
      </c>
      <c r="P62" s="14" t="n">
        <v>440</v>
      </c>
      <c r="Q62" s="16" t="n">
        <v>14.24</v>
      </c>
      <c r="R62" s="14" t="n">
        <v>11</v>
      </c>
      <c r="S62" s="16" t="n">
        <v>0.36</v>
      </c>
      <c r="T62" s="14" t="n">
        <v>0</v>
      </c>
      <c r="U62" s="14" t="n">
        <v>0</v>
      </c>
    </row>
    <row r="63" customFormat="false" ht="15" hidden="false" customHeight="true" outlineLevel="0" collapsed="false">
      <c r="A63" s="13" t="s">
        <v>203</v>
      </c>
      <c r="B63" s="13" t="s">
        <v>192</v>
      </c>
      <c r="C63" s="13" t="s">
        <v>125</v>
      </c>
      <c r="D63" s="14" t="n">
        <v>7245</v>
      </c>
      <c r="E63" s="14" t="n">
        <v>7026</v>
      </c>
      <c r="F63" s="14" t="n">
        <v>3488</v>
      </c>
      <c r="G63" s="16" t="n">
        <v>49.64</v>
      </c>
      <c r="H63" s="14" t="n">
        <v>34</v>
      </c>
      <c r="I63" s="16" t="n">
        <v>0.97</v>
      </c>
      <c r="J63" s="14" t="n">
        <v>247</v>
      </c>
      <c r="K63" s="16" t="n">
        <v>7.08</v>
      </c>
      <c r="L63" s="14" t="n">
        <v>704</v>
      </c>
      <c r="M63" s="16" t="n">
        <v>20.18</v>
      </c>
      <c r="N63" s="14" t="n">
        <v>1260</v>
      </c>
      <c r="O63" s="16" t="n">
        <v>36.12</v>
      </c>
      <c r="P63" s="14" t="n">
        <v>1132</v>
      </c>
      <c r="Q63" s="16" t="n">
        <v>32.45</v>
      </c>
      <c r="R63" s="14" t="n">
        <v>111</v>
      </c>
      <c r="S63" s="16" t="n">
        <v>3.18</v>
      </c>
      <c r="T63" s="14" t="n">
        <v>6</v>
      </c>
      <c r="U63" s="14" t="n">
        <v>4</v>
      </c>
    </row>
    <row r="64" customFormat="false" ht="15" hidden="false" customHeight="true" outlineLevel="0" collapsed="false">
      <c r="A64" s="13" t="s">
        <v>203</v>
      </c>
      <c r="B64" s="13" t="s">
        <v>192</v>
      </c>
      <c r="C64" s="13" t="s">
        <v>652</v>
      </c>
      <c r="D64" s="14" t="n">
        <v>15572</v>
      </c>
      <c r="E64" s="14" t="n">
        <v>15268</v>
      </c>
      <c r="F64" s="14" t="n">
        <v>9581</v>
      </c>
      <c r="G64" s="16" t="n">
        <v>62.75</v>
      </c>
      <c r="H64" s="14" t="n">
        <v>321</v>
      </c>
      <c r="I64" s="16" t="n">
        <v>3.35</v>
      </c>
      <c r="J64" s="14" t="n">
        <v>1108</v>
      </c>
      <c r="K64" s="16" t="n">
        <v>11.56</v>
      </c>
      <c r="L64" s="14" t="n">
        <v>2467</v>
      </c>
      <c r="M64" s="16" t="n">
        <v>25.75</v>
      </c>
      <c r="N64" s="14" t="n">
        <v>3337</v>
      </c>
      <c r="O64" s="16" t="n">
        <v>34.83</v>
      </c>
      <c r="P64" s="14" t="n">
        <v>2206</v>
      </c>
      <c r="Q64" s="16" t="n">
        <v>23.02</v>
      </c>
      <c r="R64" s="14" t="n">
        <v>142</v>
      </c>
      <c r="S64" s="16" t="n">
        <v>1.48</v>
      </c>
      <c r="T64" s="14" t="n">
        <v>6</v>
      </c>
      <c r="U64" s="14" t="n">
        <v>4</v>
      </c>
    </row>
    <row r="65" customFormat="false" ht="15" hidden="false" customHeight="true" outlineLevel="0" collapsed="false">
      <c r="A65" s="13" t="s">
        <v>654</v>
      </c>
      <c r="B65" s="13" t="s">
        <v>647</v>
      </c>
      <c r="C65" s="13" t="s">
        <v>648</v>
      </c>
      <c r="D65" s="14" t="n">
        <v>20892</v>
      </c>
      <c r="E65" s="14" t="n">
        <v>20668</v>
      </c>
      <c r="F65" s="14" t="n">
        <v>10512</v>
      </c>
      <c r="G65" s="16" t="n">
        <v>50.86</v>
      </c>
      <c r="H65" s="14" t="n">
        <v>967</v>
      </c>
      <c r="I65" s="16" t="n">
        <v>9.2</v>
      </c>
      <c r="J65" s="14" t="n">
        <v>1468</v>
      </c>
      <c r="K65" s="16" t="n">
        <v>13.96</v>
      </c>
      <c r="L65" s="14" t="n">
        <v>2719</v>
      </c>
      <c r="M65" s="16" t="n">
        <v>25.87</v>
      </c>
      <c r="N65" s="14" t="n">
        <v>3718</v>
      </c>
      <c r="O65" s="16" t="n">
        <v>35.37</v>
      </c>
      <c r="P65" s="14" t="n">
        <v>1597</v>
      </c>
      <c r="Q65" s="16" t="n">
        <v>15.19</v>
      </c>
      <c r="R65" s="14" t="n">
        <v>43</v>
      </c>
      <c r="S65" s="16" t="n">
        <v>0.41</v>
      </c>
      <c r="T65" s="14" t="n">
        <v>0</v>
      </c>
      <c r="U65" s="14" t="n">
        <v>0</v>
      </c>
    </row>
    <row r="66" customFormat="false" ht="15" hidden="false" customHeight="true" outlineLevel="0" collapsed="false">
      <c r="A66" s="13" t="s">
        <v>654</v>
      </c>
      <c r="B66" s="13" t="s">
        <v>647</v>
      </c>
      <c r="C66" s="13" t="s">
        <v>649</v>
      </c>
      <c r="D66" s="14" t="n">
        <v>33677</v>
      </c>
      <c r="E66" s="14" t="n">
        <v>33142</v>
      </c>
      <c r="F66" s="14" t="n">
        <v>21584</v>
      </c>
      <c r="G66" s="16" t="n">
        <v>65.13</v>
      </c>
      <c r="H66" s="14" t="n">
        <v>2612</v>
      </c>
      <c r="I66" s="16" t="n">
        <v>12.1</v>
      </c>
      <c r="J66" s="14" t="n">
        <v>3981</v>
      </c>
      <c r="K66" s="16" t="n">
        <v>18.44</v>
      </c>
      <c r="L66" s="14" t="n">
        <v>5999</v>
      </c>
      <c r="M66" s="16" t="n">
        <v>27.79</v>
      </c>
      <c r="N66" s="14" t="n">
        <v>6616</v>
      </c>
      <c r="O66" s="16" t="n">
        <v>30.65</v>
      </c>
      <c r="P66" s="14" t="n">
        <v>2333</v>
      </c>
      <c r="Q66" s="16" t="n">
        <v>10.81</v>
      </c>
      <c r="R66" s="14" t="n">
        <v>43</v>
      </c>
      <c r="S66" s="16" t="n">
        <v>0.2</v>
      </c>
      <c r="T66" s="14" t="n">
        <v>0</v>
      </c>
      <c r="U66" s="14" t="n">
        <v>0</v>
      </c>
    </row>
    <row r="67" customFormat="false" ht="15" hidden="false" customHeight="true" outlineLevel="0" collapsed="false">
      <c r="A67" s="13" t="s">
        <v>654</v>
      </c>
      <c r="B67" s="13" t="s">
        <v>647</v>
      </c>
      <c r="C67" s="13" t="s">
        <v>125</v>
      </c>
      <c r="D67" s="14" t="n">
        <v>33274</v>
      </c>
      <c r="E67" s="14" t="n">
        <v>31001</v>
      </c>
      <c r="F67" s="14" t="n">
        <v>9063</v>
      </c>
      <c r="G67" s="16" t="n">
        <v>29.23</v>
      </c>
      <c r="H67" s="14" t="n">
        <v>503</v>
      </c>
      <c r="I67" s="16" t="n">
        <v>5.55</v>
      </c>
      <c r="J67" s="14" t="n">
        <v>398</v>
      </c>
      <c r="K67" s="16" t="n">
        <v>4.39</v>
      </c>
      <c r="L67" s="14" t="n">
        <v>1056</v>
      </c>
      <c r="M67" s="16" t="n">
        <v>11.65</v>
      </c>
      <c r="N67" s="14" t="n">
        <v>2821</v>
      </c>
      <c r="O67" s="16" t="n">
        <v>31.13</v>
      </c>
      <c r="P67" s="14" t="n">
        <v>3868</v>
      </c>
      <c r="Q67" s="16" t="n">
        <v>42.68</v>
      </c>
      <c r="R67" s="14" t="n">
        <v>417</v>
      </c>
      <c r="S67" s="16" t="n">
        <v>4.6</v>
      </c>
      <c r="T67" s="14" t="n">
        <v>304</v>
      </c>
      <c r="U67" s="14" t="n">
        <v>175</v>
      </c>
    </row>
    <row r="68" customFormat="false" ht="15" hidden="false" customHeight="true" outlineLevel="0" collapsed="false">
      <c r="A68" s="13" t="s">
        <v>654</v>
      </c>
      <c r="B68" s="13" t="s">
        <v>647</v>
      </c>
      <c r="C68" s="13" t="s">
        <v>192</v>
      </c>
      <c r="D68" s="14" t="n">
        <v>87843</v>
      </c>
      <c r="E68" s="14" t="n">
        <v>84811</v>
      </c>
      <c r="F68" s="14" t="n">
        <v>41159</v>
      </c>
      <c r="G68" s="16" t="n">
        <v>48.53</v>
      </c>
      <c r="H68" s="14" t="n">
        <v>4082</v>
      </c>
      <c r="I68" s="16" t="n">
        <v>9.92</v>
      </c>
      <c r="J68" s="14" t="n">
        <v>5847</v>
      </c>
      <c r="K68" s="16" t="n">
        <v>14.21</v>
      </c>
      <c r="L68" s="14" t="n">
        <v>9774</v>
      </c>
      <c r="M68" s="16" t="n">
        <v>23.75</v>
      </c>
      <c r="N68" s="14" t="n">
        <v>13155</v>
      </c>
      <c r="O68" s="16" t="n">
        <v>31.96</v>
      </c>
      <c r="P68" s="14" t="n">
        <v>7798</v>
      </c>
      <c r="Q68" s="16" t="n">
        <v>18.95</v>
      </c>
      <c r="R68" s="14" t="n">
        <v>503</v>
      </c>
      <c r="S68" s="16" t="n">
        <v>1.22</v>
      </c>
      <c r="T68" s="14" t="n">
        <v>304</v>
      </c>
      <c r="U68" s="14" t="n">
        <v>175</v>
      </c>
    </row>
    <row r="69" customFormat="false" ht="15" hidden="false" customHeight="true" outlineLevel="0" collapsed="false">
      <c r="A69" s="13" t="s">
        <v>654</v>
      </c>
      <c r="B69" s="13" t="s">
        <v>651</v>
      </c>
      <c r="C69" s="13" t="s">
        <v>648</v>
      </c>
      <c r="D69" s="14" t="n">
        <v>37528</v>
      </c>
      <c r="E69" s="14" t="n">
        <v>37300</v>
      </c>
      <c r="F69" s="14" t="n">
        <v>27001</v>
      </c>
      <c r="G69" s="16" t="n">
        <v>72.39</v>
      </c>
      <c r="H69" s="14" t="n">
        <v>2325</v>
      </c>
      <c r="I69" s="16" t="n">
        <v>8.61</v>
      </c>
      <c r="J69" s="14" t="n">
        <v>4754</v>
      </c>
      <c r="K69" s="16" t="n">
        <v>17.61</v>
      </c>
      <c r="L69" s="14" t="n">
        <v>8884</v>
      </c>
      <c r="M69" s="16" t="n">
        <v>32.9</v>
      </c>
      <c r="N69" s="14" t="n">
        <v>8771</v>
      </c>
      <c r="O69" s="16" t="n">
        <v>32.48</v>
      </c>
      <c r="P69" s="14" t="n">
        <v>2231</v>
      </c>
      <c r="Q69" s="16" t="n">
        <v>8.26</v>
      </c>
      <c r="R69" s="14" t="n">
        <v>36</v>
      </c>
      <c r="S69" s="16" t="n">
        <v>0.13</v>
      </c>
      <c r="T69" s="14" t="n">
        <v>0</v>
      </c>
      <c r="U69" s="14" t="n">
        <v>0</v>
      </c>
    </row>
    <row r="70" customFormat="false" ht="15" hidden="false" customHeight="true" outlineLevel="0" collapsed="false">
      <c r="A70" s="13" t="s">
        <v>654</v>
      </c>
      <c r="B70" s="13" t="s">
        <v>651</v>
      </c>
      <c r="C70" s="13" t="s">
        <v>649</v>
      </c>
      <c r="D70" s="14" t="n">
        <v>38431</v>
      </c>
      <c r="E70" s="14" t="n">
        <v>38104</v>
      </c>
      <c r="F70" s="14" t="n">
        <v>31239</v>
      </c>
      <c r="G70" s="16" t="n">
        <v>81.98</v>
      </c>
      <c r="H70" s="14" t="n">
        <v>5753</v>
      </c>
      <c r="I70" s="16" t="n">
        <v>18.42</v>
      </c>
      <c r="J70" s="14" t="n">
        <v>7779</v>
      </c>
      <c r="K70" s="16" t="n">
        <v>24.9</v>
      </c>
      <c r="L70" s="14" t="n">
        <v>9471</v>
      </c>
      <c r="M70" s="16" t="n">
        <v>30.32</v>
      </c>
      <c r="N70" s="14" t="n">
        <v>7013</v>
      </c>
      <c r="O70" s="16" t="n">
        <v>22.45</v>
      </c>
      <c r="P70" s="14" t="n">
        <v>1212</v>
      </c>
      <c r="Q70" s="16" t="n">
        <v>3.88</v>
      </c>
      <c r="R70" s="14" t="n">
        <v>11</v>
      </c>
      <c r="S70" s="16" t="n">
        <v>0.04</v>
      </c>
      <c r="T70" s="14" t="n">
        <v>0</v>
      </c>
      <c r="U70" s="14" t="n">
        <v>0</v>
      </c>
    </row>
    <row r="71" customFormat="false" ht="15" hidden="false" customHeight="true" outlineLevel="0" collapsed="false">
      <c r="A71" s="13" t="s">
        <v>654</v>
      </c>
      <c r="B71" s="13" t="s">
        <v>651</v>
      </c>
      <c r="C71" s="13" t="s">
        <v>125</v>
      </c>
      <c r="D71" s="14" t="n">
        <v>30964</v>
      </c>
      <c r="E71" s="14" t="n">
        <v>30003</v>
      </c>
      <c r="F71" s="14" t="n">
        <v>15586</v>
      </c>
      <c r="G71" s="16" t="n">
        <v>51.95</v>
      </c>
      <c r="H71" s="14" t="n">
        <v>1250</v>
      </c>
      <c r="I71" s="16" t="n">
        <v>8.02</v>
      </c>
      <c r="J71" s="14" t="n">
        <v>1438</v>
      </c>
      <c r="K71" s="16" t="n">
        <v>9.23</v>
      </c>
      <c r="L71" s="14" t="n">
        <v>3529</v>
      </c>
      <c r="M71" s="16" t="n">
        <v>22.64</v>
      </c>
      <c r="N71" s="14" t="n">
        <v>5415</v>
      </c>
      <c r="O71" s="16" t="n">
        <v>34.74</v>
      </c>
      <c r="P71" s="14" t="n">
        <v>3701</v>
      </c>
      <c r="Q71" s="16" t="n">
        <v>23.75</v>
      </c>
      <c r="R71" s="14" t="n">
        <v>253</v>
      </c>
      <c r="S71" s="16" t="n">
        <v>1.62</v>
      </c>
      <c r="T71" s="14" t="n">
        <v>238</v>
      </c>
      <c r="U71" s="14" t="n">
        <v>191</v>
      </c>
    </row>
    <row r="72" customFormat="false" ht="15" hidden="false" customHeight="true" outlineLevel="0" collapsed="false">
      <c r="A72" s="13" t="s">
        <v>654</v>
      </c>
      <c r="B72" s="13" t="s">
        <v>651</v>
      </c>
      <c r="C72" s="13" t="s">
        <v>192</v>
      </c>
      <c r="D72" s="14" t="n">
        <v>106923</v>
      </c>
      <c r="E72" s="14" t="n">
        <v>105407</v>
      </c>
      <c r="F72" s="14" t="n">
        <v>73826</v>
      </c>
      <c r="G72" s="16" t="n">
        <v>70.04</v>
      </c>
      <c r="H72" s="14" t="n">
        <v>9328</v>
      </c>
      <c r="I72" s="16" t="n">
        <v>12.64</v>
      </c>
      <c r="J72" s="14" t="n">
        <v>13971</v>
      </c>
      <c r="K72" s="16" t="n">
        <v>18.92</v>
      </c>
      <c r="L72" s="14" t="n">
        <v>21884</v>
      </c>
      <c r="M72" s="16" t="n">
        <v>29.64</v>
      </c>
      <c r="N72" s="14" t="n">
        <v>21199</v>
      </c>
      <c r="O72" s="16" t="n">
        <v>28.71</v>
      </c>
      <c r="P72" s="14" t="n">
        <v>7144</v>
      </c>
      <c r="Q72" s="16" t="n">
        <v>9.68</v>
      </c>
      <c r="R72" s="14" t="n">
        <v>300</v>
      </c>
      <c r="S72" s="16" t="n">
        <v>0.41</v>
      </c>
      <c r="T72" s="14" t="n">
        <v>238</v>
      </c>
      <c r="U72" s="14" t="n">
        <v>191</v>
      </c>
    </row>
    <row r="73" customFormat="false" ht="15" hidden="false" customHeight="true" outlineLevel="0" collapsed="false">
      <c r="A73" s="13" t="s">
        <v>654</v>
      </c>
      <c r="B73" s="13" t="s">
        <v>192</v>
      </c>
      <c r="C73" s="13" t="s">
        <v>137</v>
      </c>
      <c r="D73" s="14" t="n">
        <v>194766</v>
      </c>
      <c r="E73" s="14" t="n">
        <v>190218</v>
      </c>
      <c r="F73" s="14" t="n">
        <v>114985</v>
      </c>
      <c r="G73" s="16" t="n">
        <v>60.45</v>
      </c>
      <c r="H73" s="14" t="n">
        <v>13410</v>
      </c>
      <c r="I73" s="16" t="n">
        <v>11.66</v>
      </c>
      <c r="J73" s="14" t="n">
        <v>19818</v>
      </c>
      <c r="K73" s="16" t="n">
        <v>17.24</v>
      </c>
      <c r="L73" s="14" t="n">
        <v>31658</v>
      </c>
      <c r="M73" s="16" t="n">
        <v>27.53</v>
      </c>
      <c r="N73" s="14" t="n">
        <v>34354</v>
      </c>
      <c r="O73" s="16" t="n">
        <v>29.88</v>
      </c>
      <c r="P73" s="14" t="n">
        <v>14942</v>
      </c>
      <c r="Q73" s="16" t="n">
        <v>12.99</v>
      </c>
      <c r="R73" s="14" t="n">
        <v>803</v>
      </c>
      <c r="S73" s="16" t="n">
        <v>0.7</v>
      </c>
      <c r="T73" s="14" t="n">
        <v>542</v>
      </c>
      <c r="U73" s="14" t="n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0"/>
    <col collapsed="false" customWidth="true" hidden="false" outlineLevel="0" max="2" min="2" style="13" width="6"/>
    <col collapsed="false" customWidth="true" hidden="false" outlineLevel="0" max="3" min="3" style="13" width="50"/>
    <col collapsed="false" customWidth="true" hidden="false" outlineLevel="0" max="12" min="4" style="13" width="13"/>
  </cols>
  <sheetData>
    <row r="1" customFormat="false" ht="15" hidden="false" customHeight="true" outlineLevel="0" collapsed="false">
      <c r="A1" s="13" t="s">
        <v>655</v>
      </c>
    </row>
    <row r="2" customFormat="false" ht="15" hidden="false" customHeight="true" outlineLevel="0" collapsed="false">
      <c r="A2" s="13" t="s">
        <v>656</v>
      </c>
    </row>
    <row r="4" customFormat="false" ht="15" hidden="false" customHeight="true" outlineLevel="0" collapsed="false">
      <c r="A4" s="13" t="s">
        <v>114</v>
      </c>
      <c r="B4" s="13" t="s">
        <v>657</v>
      </c>
      <c r="C4" s="13" t="s">
        <v>658</v>
      </c>
      <c r="D4" s="13" t="s">
        <v>175</v>
      </c>
      <c r="E4" s="13" t="s">
        <v>176</v>
      </c>
      <c r="F4" s="13" t="s">
        <v>177</v>
      </c>
      <c r="G4" s="13" t="s">
        <v>178</v>
      </c>
      <c r="H4" s="13" t="s">
        <v>179</v>
      </c>
      <c r="I4" s="13" t="s">
        <v>180</v>
      </c>
      <c r="J4" s="13" t="s">
        <v>659</v>
      </c>
      <c r="K4" s="13" t="s">
        <v>660</v>
      </c>
      <c r="L4" s="13" t="s">
        <v>183</v>
      </c>
    </row>
    <row r="5" customFormat="false" ht="15" hidden="false" customHeight="true" outlineLevel="0" collapsed="false">
      <c r="A5" s="13" t="s">
        <v>200</v>
      </c>
      <c r="B5" s="13" t="n">
        <v>1</v>
      </c>
      <c r="C5" s="13" t="s">
        <v>661</v>
      </c>
      <c r="D5" s="14" t="n">
        <v>40195</v>
      </c>
      <c r="E5" s="14" t="n">
        <v>40171</v>
      </c>
      <c r="F5" s="16" t="n">
        <v>99.94</v>
      </c>
      <c r="G5" s="14" t="n">
        <v>204</v>
      </c>
      <c r="H5" s="14" t="n">
        <v>189</v>
      </c>
      <c r="I5" s="16" t="n">
        <v>92.65</v>
      </c>
      <c r="J5" s="14" t="n">
        <v>40399</v>
      </c>
      <c r="K5" s="14" t="n">
        <v>40360</v>
      </c>
      <c r="L5" s="16" t="n">
        <v>99.9</v>
      </c>
    </row>
    <row r="6" customFormat="false" ht="15" hidden="false" customHeight="true" outlineLevel="0" collapsed="false">
      <c r="A6" s="13" t="s">
        <v>200</v>
      </c>
      <c r="B6" s="13" t="n">
        <v>2</v>
      </c>
      <c r="C6" s="13" t="s">
        <v>410</v>
      </c>
      <c r="D6" s="14" t="n">
        <v>41404</v>
      </c>
      <c r="E6" s="14" t="n">
        <v>41146</v>
      </c>
      <c r="F6" s="16" t="n">
        <v>99.38</v>
      </c>
      <c r="G6" s="14" t="n">
        <v>998</v>
      </c>
      <c r="H6" s="14" t="n">
        <v>947</v>
      </c>
      <c r="I6" s="16" t="n">
        <v>94.89</v>
      </c>
      <c r="J6" s="14" t="n">
        <v>42402</v>
      </c>
      <c r="K6" s="14" t="n">
        <v>42093</v>
      </c>
      <c r="L6" s="16" t="n">
        <v>99.27</v>
      </c>
    </row>
    <row r="7" customFormat="false" ht="15" hidden="false" customHeight="true" outlineLevel="0" collapsed="false">
      <c r="A7" s="13" t="s">
        <v>200</v>
      </c>
      <c r="B7" s="13" t="n">
        <v>3</v>
      </c>
      <c r="C7" s="13" t="s">
        <v>145</v>
      </c>
      <c r="D7" s="14" t="n">
        <v>8</v>
      </c>
      <c r="E7" s="14" t="n">
        <v>8</v>
      </c>
      <c r="F7" s="16" t="n">
        <v>100</v>
      </c>
      <c r="G7" s="14" t="n">
        <v>0</v>
      </c>
      <c r="H7" s="14" t="n">
        <v>0</v>
      </c>
      <c r="I7" s="16" t="n">
        <v>0</v>
      </c>
      <c r="J7" s="14" t="n">
        <v>8</v>
      </c>
      <c r="K7" s="14" t="n">
        <v>8</v>
      </c>
      <c r="L7" s="16" t="n">
        <v>100</v>
      </c>
    </row>
    <row r="8" customFormat="false" ht="15" hidden="false" customHeight="true" outlineLevel="0" collapsed="false">
      <c r="A8" s="13" t="s">
        <v>200</v>
      </c>
      <c r="B8" s="13" t="n">
        <v>4</v>
      </c>
      <c r="C8" s="13" t="s">
        <v>142</v>
      </c>
      <c r="D8" s="14" t="n">
        <v>41348</v>
      </c>
      <c r="E8" s="14" t="n">
        <v>40018</v>
      </c>
      <c r="F8" s="16" t="n">
        <v>96.78</v>
      </c>
      <c r="G8" s="14" t="n">
        <v>1865</v>
      </c>
      <c r="H8" s="14" t="n">
        <v>1474</v>
      </c>
      <c r="I8" s="16" t="n">
        <v>79.03</v>
      </c>
      <c r="J8" s="14" t="n">
        <v>43213</v>
      </c>
      <c r="K8" s="14" t="n">
        <v>41492</v>
      </c>
      <c r="L8" s="16" t="n">
        <v>96.02</v>
      </c>
    </row>
    <row r="9" customFormat="false" ht="15" hidden="false" customHeight="true" outlineLevel="0" collapsed="false">
      <c r="A9" s="13" t="s">
        <v>200</v>
      </c>
      <c r="B9" s="13" t="n">
        <v>5</v>
      </c>
      <c r="C9" s="13" t="s">
        <v>149</v>
      </c>
      <c r="D9" s="14" t="n">
        <v>752</v>
      </c>
      <c r="E9" s="14" t="n">
        <v>752</v>
      </c>
      <c r="F9" s="16" t="n">
        <v>100</v>
      </c>
      <c r="G9" s="14" t="n">
        <v>847</v>
      </c>
      <c r="H9" s="14" t="n">
        <v>847</v>
      </c>
      <c r="I9" s="16" t="n">
        <v>100</v>
      </c>
      <c r="J9" s="14" t="n">
        <v>1599</v>
      </c>
      <c r="K9" s="14" t="n">
        <v>1599</v>
      </c>
      <c r="L9" s="16" t="n">
        <v>100</v>
      </c>
    </row>
    <row r="10" customFormat="false" ht="15" hidden="false" customHeight="true" outlineLevel="0" collapsed="false">
      <c r="A10" s="13" t="s">
        <v>200</v>
      </c>
      <c r="B10" s="13" t="n">
        <v>6</v>
      </c>
      <c r="C10" s="13" t="s">
        <v>662</v>
      </c>
      <c r="D10" s="14" t="n">
        <v>71</v>
      </c>
      <c r="E10" s="14" t="n">
        <v>70</v>
      </c>
      <c r="F10" s="16" t="n">
        <v>98.59</v>
      </c>
      <c r="G10" s="14" t="n">
        <v>0</v>
      </c>
      <c r="H10" s="14" t="n">
        <v>0</v>
      </c>
      <c r="I10" s="16" t="n">
        <v>0</v>
      </c>
      <c r="J10" s="14" t="n">
        <v>71</v>
      </c>
      <c r="K10" s="14" t="n">
        <v>70</v>
      </c>
      <c r="L10" s="16" t="n">
        <v>98.59</v>
      </c>
    </row>
    <row r="11" customFormat="false" ht="15" hidden="false" customHeight="true" outlineLevel="0" collapsed="false">
      <c r="A11" s="13" t="s">
        <v>200</v>
      </c>
      <c r="B11" s="13" t="n">
        <v>7</v>
      </c>
      <c r="C11" s="13" t="s">
        <v>663</v>
      </c>
      <c r="D11" s="14" t="n">
        <v>41435</v>
      </c>
      <c r="E11" s="14" t="n">
        <v>37691</v>
      </c>
      <c r="F11" s="16" t="n">
        <v>90.96</v>
      </c>
      <c r="G11" s="14" t="n">
        <v>2801</v>
      </c>
      <c r="H11" s="14" t="n">
        <v>1954</v>
      </c>
      <c r="I11" s="16" t="n">
        <v>69.76</v>
      </c>
      <c r="J11" s="14" t="n">
        <v>44236</v>
      </c>
      <c r="K11" s="14" t="n">
        <v>39645</v>
      </c>
      <c r="L11" s="16" t="n">
        <v>89.62</v>
      </c>
    </row>
    <row r="12" customFormat="false" ht="15" hidden="false" customHeight="true" outlineLevel="0" collapsed="false">
      <c r="A12" s="13" t="s">
        <v>200</v>
      </c>
      <c r="B12" s="13" t="n">
        <v>8</v>
      </c>
      <c r="C12" s="13" t="s">
        <v>664</v>
      </c>
      <c r="D12" s="14" t="n">
        <v>41247</v>
      </c>
      <c r="E12" s="14" t="n">
        <v>41202</v>
      </c>
      <c r="F12" s="16" t="n">
        <v>99.89</v>
      </c>
      <c r="G12" s="14" t="n">
        <v>1022</v>
      </c>
      <c r="H12" s="14" t="n">
        <v>1021</v>
      </c>
      <c r="I12" s="16" t="n">
        <v>99.9</v>
      </c>
      <c r="J12" s="14" t="n">
        <v>42269</v>
      </c>
      <c r="K12" s="14" t="n">
        <v>42223</v>
      </c>
      <c r="L12" s="16" t="n">
        <v>99.89</v>
      </c>
    </row>
    <row r="13" customFormat="false" ht="15" hidden="false" customHeight="true" outlineLevel="0" collapsed="false">
      <c r="A13" s="13" t="s">
        <v>200</v>
      </c>
      <c r="B13" s="13" t="n">
        <v>9</v>
      </c>
      <c r="C13" s="13" t="s">
        <v>665</v>
      </c>
      <c r="D13" s="14" t="n">
        <v>41342</v>
      </c>
      <c r="E13" s="14" t="n">
        <v>35103</v>
      </c>
      <c r="F13" s="16" t="n">
        <v>84.91</v>
      </c>
      <c r="G13" s="14" t="n">
        <v>3896</v>
      </c>
      <c r="H13" s="14" t="n">
        <v>1777</v>
      </c>
      <c r="I13" s="16" t="n">
        <v>45.61</v>
      </c>
      <c r="J13" s="14" t="n">
        <v>45238</v>
      </c>
      <c r="K13" s="14" t="n">
        <v>36880</v>
      </c>
      <c r="L13" s="16" t="n">
        <v>81.52</v>
      </c>
    </row>
    <row r="14" customFormat="false" ht="15" hidden="false" customHeight="true" outlineLevel="0" collapsed="false">
      <c r="A14" s="13" t="s">
        <v>200</v>
      </c>
      <c r="B14" s="13" t="n">
        <v>10</v>
      </c>
      <c r="C14" s="13" t="s">
        <v>666</v>
      </c>
      <c r="D14" s="14" t="n">
        <v>41243</v>
      </c>
      <c r="E14" s="14" t="n">
        <v>41152</v>
      </c>
      <c r="F14" s="16" t="n">
        <v>99.78</v>
      </c>
      <c r="G14" s="14" t="n">
        <v>1079</v>
      </c>
      <c r="H14" s="14" t="n">
        <v>1077</v>
      </c>
      <c r="I14" s="16" t="n">
        <v>99.81</v>
      </c>
      <c r="J14" s="14" t="n">
        <v>42322</v>
      </c>
      <c r="K14" s="14" t="n">
        <v>42229</v>
      </c>
      <c r="L14" s="16" t="n">
        <v>99.78</v>
      </c>
    </row>
    <row r="15" customFormat="false" ht="15" hidden="false" customHeight="true" outlineLevel="0" collapsed="false">
      <c r="A15" s="13" t="s">
        <v>200</v>
      </c>
      <c r="B15" s="13" t="n">
        <v>11</v>
      </c>
      <c r="C15" s="13" t="s">
        <v>667</v>
      </c>
      <c r="D15" s="14" t="n">
        <v>41390</v>
      </c>
      <c r="E15" s="14" t="n">
        <v>35268</v>
      </c>
      <c r="F15" s="16" t="n">
        <v>85.21</v>
      </c>
      <c r="G15" s="14" t="n">
        <v>2884</v>
      </c>
      <c r="H15" s="14" t="n">
        <v>1391</v>
      </c>
      <c r="I15" s="16" t="n">
        <v>48.23</v>
      </c>
      <c r="J15" s="14" t="n">
        <v>44274</v>
      </c>
      <c r="K15" s="14" t="n">
        <v>36659</v>
      </c>
      <c r="L15" s="16" t="n">
        <v>82.8</v>
      </c>
    </row>
    <row r="16" customFormat="false" ht="15" hidden="false" customHeight="true" outlineLevel="0" collapsed="false">
      <c r="A16" s="13" t="s">
        <v>200</v>
      </c>
      <c r="B16" s="13" t="n">
        <v>12</v>
      </c>
      <c r="C16" s="13" t="s">
        <v>668</v>
      </c>
      <c r="D16" s="14" t="n">
        <v>41240</v>
      </c>
      <c r="E16" s="14" t="n">
        <v>40537</v>
      </c>
      <c r="F16" s="16" t="n">
        <v>98.3</v>
      </c>
      <c r="G16" s="14" t="n">
        <v>1083</v>
      </c>
      <c r="H16" s="14" t="n">
        <v>1051</v>
      </c>
      <c r="I16" s="16" t="n">
        <v>97.05</v>
      </c>
      <c r="J16" s="14" t="n">
        <v>42323</v>
      </c>
      <c r="K16" s="14" t="n">
        <v>41588</v>
      </c>
      <c r="L16" s="16" t="n">
        <v>98.26</v>
      </c>
    </row>
    <row r="17" customFormat="false" ht="15" hidden="false" customHeight="true" outlineLevel="0" collapsed="false">
      <c r="A17" s="13" t="s">
        <v>200</v>
      </c>
      <c r="B17" s="13" t="n">
        <v>13</v>
      </c>
      <c r="C17" s="13" t="s">
        <v>669</v>
      </c>
      <c r="D17" s="14" t="n">
        <v>1095</v>
      </c>
      <c r="E17" s="14" t="n">
        <v>1094</v>
      </c>
      <c r="F17" s="16" t="n">
        <v>99.91</v>
      </c>
      <c r="G17" s="14" t="n">
        <v>11</v>
      </c>
      <c r="H17" s="14" t="n">
        <v>11</v>
      </c>
      <c r="I17" s="16" t="n">
        <v>100</v>
      </c>
      <c r="J17" s="14" t="n">
        <v>1106</v>
      </c>
      <c r="K17" s="14" t="n">
        <v>1105</v>
      </c>
      <c r="L17" s="16" t="n">
        <v>99.91</v>
      </c>
    </row>
    <row r="18" customFormat="false" ht="15" hidden="false" customHeight="true" outlineLevel="0" collapsed="false">
      <c r="A18" s="13" t="s">
        <v>201</v>
      </c>
      <c r="B18" s="13" t="n">
        <v>1</v>
      </c>
      <c r="C18" s="13" t="s">
        <v>661</v>
      </c>
      <c r="D18" s="14" t="n">
        <v>10458</v>
      </c>
      <c r="E18" s="14" t="n">
        <v>10445</v>
      </c>
      <c r="F18" s="16" t="n">
        <v>99.88</v>
      </c>
      <c r="G18" s="14" t="n">
        <v>72</v>
      </c>
      <c r="H18" s="14" t="n">
        <v>65</v>
      </c>
      <c r="I18" s="16" t="n">
        <v>90.28</v>
      </c>
      <c r="J18" s="14" t="n">
        <v>10530</v>
      </c>
      <c r="K18" s="14" t="n">
        <v>10510</v>
      </c>
      <c r="L18" s="16" t="n">
        <v>99.81</v>
      </c>
    </row>
    <row r="19" customFormat="false" ht="15" hidden="false" customHeight="true" outlineLevel="0" collapsed="false">
      <c r="A19" s="13" t="s">
        <v>201</v>
      </c>
      <c r="B19" s="13" t="n">
        <v>2</v>
      </c>
      <c r="C19" s="13" t="s">
        <v>410</v>
      </c>
      <c r="D19" s="14" t="n">
        <v>10551</v>
      </c>
      <c r="E19" s="14" t="n">
        <v>10445</v>
      </c>
      <c r="F19" s="16" t="n">
        <v>99</v>
      </c>
      <c r="G19" s="14" t="n">
        <v>249</v>
      </c>
      <c r="H19" s="14" t="n">
        <v>231</v>
      </c>
      <c r="I19" s="16" t="n">
        <v>92.77</v>
      </c>
      <c r="J19" s="14" t="n">
        <v>10800</v>
      </c>
      <c r="K19" s="14" t="n">
        <v>10676</v>
      </c>
      <c r="L19" s="16" t="n">
        <v>98.85</v>
      </c>
    </row>
    <row r="20" customFormat="false" ht="15" hidden="false" customHeight="true" outlineLevel="0" collapsed="false">
      <c r="A20" s="13" t="s">
        <v>201</v>
      </c>
      <c r="B20" s="13" t="n">
        <v>3</v>
      </c>
      <c r="C20" s="13" t="s">
        <v>142</v>
      </c>
      <c r="D20" s="14" t="n">
        <v>10529</v>
      </c>
      <c r="E20" s="14" t="n">
        <v>10036</v>
      </c>
      <c r="F20" s="16" t="n">
        <v>95.32</v>
      </c>
      <c r="G20" s="14" t="n">
        <v>455</v>
      </c>
      <c r="H20" s="14" t="n">
        <v>287</v>
      </c>
      <c r="I20" s="16" t="n">
        <v>63.08</v>
      </c>
      <c r="J20" s="14" t="n">
        <v>10984</v>
      </c>
      <c r="K20" s="14" t="n">
        <v>10323</v>
      </c>
      <c r="L20" s="16" t="n">
        <v>93.98</v>
      </c>
    </row>
    <row r="21" customFormat="false" ht="15" hidden="false" customHeight="true" outlineLevel="0" collapsed="false">
      <c r="A21" s="13" t="s">
        <v>201</v>
      </c>
      <c r="B21" s="13" t="n">
        <v>4</v>
      </c>
      <c r="C21" s="13" t="s">
        <v>149</v>
      </c>
      <c r="D21" s="14" t="n">
        <v>139</v>
      </c>
      <c r="E21" s="14" t="n">
        <v>138</v>
      </c>
      <c r="F21" s="16" t="n">
        <v>99.28</v>
      </c>
      <c r="G21" s="14" t="n">
        <v>194</v>
      </c>
      <c r="H21" s="14" t="n">
        <v>194</v>
      </c>
      <c r="I21" s="16" t="n">
        <v>100</v>
      </c>
      <c r="J21" s="14" t="n">
        <v>333</v>
      </c>
      <c r="K21" s="14" t="n">
        <v>332</v>
      </c>
      <c r="L21" s="16" t="n">
        <v>99.7</v>
      </c>
    </row>
    <row r="22" customFormat="false" ht="15" hidden="false" customHeight="true" outlineLevel="0" collapsed="false">
      <c r="A22" s="13" t="s">
        <v>201</v>
      </c>
      <c r="B22" s="13" t="n">
        <v>5</v>
      </c>
      <c r="C22" s="13" t="s">
        <v>662</v>
      </c>
      <c r="D22" s="14" t="n">
        <v>3</v>
      </c>
      <c r="E22" s="14" t="n">
        <v>3</v>
      </c>
      <c r="F22" s="16" t="n">
        <v>100</v>
      </c>
      <c r="G22" s="14" t="n">
        <v>0</v>
      </c>
      <c r="H22" s="14" t="n">
        <v>0</v>
      </c>
      <c r="I22" s="16" t="n">
        <v>0</v>
      </c>
      <c r="J22" s="14" t="n">
        <v>3</v>
      </c>
      <c r="K22" s="14" t="n">
        <v>3</v>
      </c>
      <c r="L22" s="16" t="n">
        <v>100</v>
      </c>
    </row>
    <row r="23" customFormat="false" ht="15" hidden="false" customHeight="true" outlineLevel="0" collapsed="false">
      <c r="A23" s="13" t="s">
        <v>201</v>
      </c>
      <c r="B23" s="13" t="n">
        <v>6</v>
      </c>
      <c r="C23" s="13" t="s">
        <v>156</v>
      </c>
      <c r="D23" s="14" t="n">
        <v>10546</v>
      </c>
      <c r="E23" s="14" t="n">
        <v>8992</v>
      </c>
      <c r="F23" s="16" t="n">
        <v>85.26</v>
      </c>
      <c r="G23" s="14" t="n">
        <v>1558</v>
      </c>
      <c r="H23" s="14" t="n">
        <v>772</v>
      </c>
      <c r="I23" s="16" t="n">
        <v>49.55</v>
      </c>
      <c r="J23" s="14" t="n">
        <v>12104</v>
      </c>
      <c r="K23" s="14" t="n">
        <v>9764</v>
      </c>
      <c r="L23" s="16" t="n">
        <v>80.67</v>
      </c>
    </row>
    <row r="24" customFormat="false" ht="15" hidden="false" customHeight="true" outlineLevel="0" collapsed="false">
      <c r="A24" s="13" t="s">
        <v>201</v>
      </c>
      <c r="B24" s="13" t="n">
        <v>7</v>
      </c>
      <c r="C24" s="13" t="s">
        <v>663</v>
      </c>
      <c r="D24" s="14" t="n">
        <v>10553</v>
      </c>
      <c r="E24" s="14" t="n">
        <v>9562</v>
      </c>
      <c r="F24" s="16" t="n">
        <v>90.61</v>
      </c>
      <c r="G24" s="14" t="n">
        <v>541</v>
      </c>
      <c r="H24" s="14" t="n">
        <v>256</v>
      </c>
      <c r="I24" s="16" t="n">
        <v>47.32</v>
      </c>
      <c r="J24" s="14" t="n">
        <v>11094</v>
      </c>
      <c r="K24" s="14" t="n">
        <v>9818</v>
      </c>
      <c r="L24" s="16" t="n">
        <v>88.5</v>
      </c>
    </row>
    <row r="25" customFormat="false" ht="15" hidden="false" customHeight="true" outlineLevel="0" collapsed="false">
      <c r="A25" s="13" t="s">
        <v>201</v>
      </c>
      <c r="B25" s="13" t="n">
        <v>8</v>
      </c>
      <c r="C25" s="13" t="s">
        <v>664</v>
      </c>
      <c r="D25" s="14" t="n">
        <v>10481</v>
      </c>
      <c r="E25" s="14" t="n">
        <v>10461</v>
      </c>
      <c r="F25" s="16" t="n">
        <v>99.81</v>
      </c>
      <c r="G25" s="14" t="n">
        <v>209</v>
      </c>
      <c r="H25" s="14" t="n">
        <v>208</v>
      </c>
      <c r="I25" s="16" t="n">
        <v>99.52</v>
      </c>
      <c r="J25" s="14" t="n">
        <v>10690</v>
      </c>
      <c r="K25" s="14" t="n">
        <v>10669</v>
      </c>
      <c r="L25" s="16" t="n">
        <v>99.8</v>
      </c>
    </row>
    <row r="26" customFormat="false" ht="15" hidden="false" customHeight="true" outlineLevel="0" collapsed="false">
      <c r="A26" s="13" t="s">
        <v>201</v>
      </c>
      <c r="B26" s="13" t="n">
        <v>9</v>
      </c>
      <c r="C26" s="13" t="s">
        <v>665</v>
      </c>
      <c r="D26" s="14" t="n">
        <v>10528</v>
      </c>
      <c r="E26" s="14" t="n">
        <v>8752</v>
      </c>
      <c r="F26" s="16" t="n">
        <v>83.13</v>
      </c>
      <c r="G26" s="14" t="n">
        <v>997</v>
      </c>
      <c r="H26" s="14" t="n">
        <v>521</v>
      </c>
      <c r="I26" s="16" t="n">
        <v>52.26</v>
      </c>
      <c r="J26" s="14" t="n">
        <v>11525</v>
      </c>
      <c r="K26" s="14" t="n">
        <v>9273</v>
      </c>
      <c r="L26" s="16" t="n">
        <v>80.46</v>
      </c>
    </row>
    <row r="27" customFormat="false" ht="15" hidden="false" customHeight="true" outlineLevel="0" collapsed="false">
      <c r="A27" s="13" t="s">
        <v>201</v>
      </c>
      <c r="B27" s="13" t="n">
        <v>10</v>
      </c>
      <c r="C27" s="13" t="s">
        <v>666</v>
      </c>
      <c r="D27" s="14" t="n">
        <v>10479</v>
      </c>
      <c r="E27" s="14" t="n">
        <v>10423</v>
      </c>
      <c r="F27" s="16" t="n">
        <v>99.47</v>
      </c>
      <c r="G27" s="14" t="n">
        <v>189</v>
      </c>
      <c r="H27" s="14" t="n">
        <v>188</v>
      </c>
      <c r="I27" s="16" t="n">
        <v>99.47</v>
      </c>
      <c r="J27" s="14" t="n">
        <v>10668</v>
      </c>
      <c r="K27" s="14" t="n">
        <v>10611</v>
      </c>
      <c r="L27" s="16" t="n">
        <v>99.47</v>
      </c>
    </row>
    <row r="28" customFormat="false" ht="15" hidden="false" customHeight="true" outlineLevel="0" collapsed="false">
      <c r="A28" s="13" t="s">
        <v>201</v>
      </c>
      <c r="B28" s="13" t="n">
        <v>11</v>
      </c>
      <c r="C28" s="13" t="s">
        <v>669</v>
      </c>
      <c r="D28" s="14" t="n">
        <v>74</v>
      </c>
      <c r="E28" s="14" t="n">
        <v>74</v>
      </c>
      <c r="F28" s="16" t="n">
        <v>100</v>
      </c>
      <c r="G28" s="14" t="n">
        <v>0</v>
      </c>
      <c r="H28" s="14" t="n">
        <v>0</v>
      </c>
      <c r="I28" s="16" t="n">
        <v>0</v>
      </c>
      <c r="J28" s="14" t="n">
        <v>74</v>
      </c>
      <c r="K28" s="14" t="n">
        <v>74</v>
      </c>
      <c r="L28" s="16" t="n">
        <v>100</v>
      </c>
    </row>
    <row r="29" customFormat="false" ht="15" hidden="false" customHeight="true" outlineLevel="0" collapsed="false">
      <c r="A29" s="13" t="s">
        <v>202</v>
      </c>
      <c r="B29" s="13" t="n">
        <v>1</v>
      </c>
      <c r="C29" s="13" t="s">
        <v>661</v>
      </c>
      <c r="D29" s="14" t="n">
        <v>41374</v>
      </c>
      <c r="E29" s="14" t="n">
        <v>41217</v>
      </c>
      <c r="F29" s="16" t="n">
        <v>99.62</v>
      </c>
      <c r="G29" s="14" t="n">
        <v>207</v>
      </c>
      <c r="H29" s="14" t="n">
        <v>185</v>
      </c>
      <c r="I29" s="16" t="n">
        <v>89.37</v>
      </c>
      <c r="J29" s="14" t="n">
        <v>41581</v>
      </c>
      <c r="K29" s="14" t="n">
        <v>41402</v>
      </c>
      <c r="L29" s="16" t="n">
        <v>99.57</v>
      </c>
    </row>
    <row r="30" customFormat="false" ht="15" hidden="false" customHeight="true" outlineLevel="0" collapsed="false">
      <c r="A30" s="13" t="s">
        <v>202</v>
      </c>
      <c r="B30" s="13" t="n">
        <v>2</v>
      </c>
      <c r="C30" s="13" t="s">
        <v>410</v>
      </c>
      <c r="D30" s="14" t="n">
        <v>41861</v>
      </c>
      <c r="E30" s="14" t="n">
        <v>40417</v>
      </c>
      <c r="F30" s="16" t="n">
        <v>96.55</v>
      </c>
      <c r="G30" s="14" t="n">
        <v>531</v>
      </c>
      <c r="H30" s="14" t="n">
        <v>347</v>
      </c>
      <c r="I30" s="16" t="n">
        <v>65.35</v>
      </c>
      <c r="J30" s="14" t="n">
        <v>42392</v>
      </c>
      <c r="K30" s="14" t="n">
        <v>40764</v>
      </c>
      <c r="L30" s="16" t="n">
        <v>96.16</v>
      </c>
    </row>
    <row r="31" customFormat="false" ht="15" hidden="false" customHeight="true" outlineLevel="0" collapsed="false">
      <c r="A31" s="13" t="s">
        <v>202</v>
      </c>
      <c r="B31" s="13" t="n">
        <v>3</v>
      </c>
      <c r="C31" s="13" t="s">
        <v>145</v>
      </c>
      <c r="D31" s="14" t="n">
        <v>4</v>
      </c>
      <c r="E31" s="14" t="n">
        <v>4</v>
      </c>
      <c r="F31" s="16" t="n">
        <v>100</v>
      </c>
      <c r="G31" s="14" t="n">
        <v>0</v>
      </c>
      <c r="H31" s="14" t="n">
        <v>0</v>
      </c>
      <c r="I31" s="16" t="n">
        <v>0</v>
      </c>
      <c r="J31" s="14" t="n">
        <v>4</v>
      </c>
      <c r="K31" s="14" t="n">
        <v>4</v>
      </c>
      <c r="L31" s="16" t="n">
        <v>100</v>
      </c>
    </row>
    <row r="32" customFormat="false" ht="15" hidden="false" customHeight="true" outlineLevel="0" collapsed="false">
      <c r="A32" s="13" t="s">
        <v>202</v>
      </c>
      <c r="B32" s="13" t="n">
        <v>4</v>
      </c>
      <c r="C32" s="13" t="s">
        <v>142</v>
      </c>
      <c r="D32" s="14" t="n">
        <v>41747</v>
      </c>
      <c r="E32" s="14" t="n">
        <v>38040</v>
      </c>
      <c r="F32" s="16" t="n">
        <v>91.12</v>
      </c>
      <c r="G32" s="14" t="n">
        <v>1869</v>
      </c>
      <c r="H32" s="14" t="n">
        <v>831</v>
      </c>
      <c r="I32" s="16" t="n">
        <v>44.46</v>
      </c>
      <c r="J32" s="14" t="n">
        <v>43616</v>
      </c>
      <c r="K32" s="14" t="n">
        <v>38871</v>
      </c>
      <c r="L32" s="16" t="n">
        <v>89.12</v>
      </c>
    </row>
    <row r="33" customFormat="false" ht="15" hidden="false" customHeight="true" outlineLevel="0" collapsed="false">
      <c r="A33" s="13" t="s">
        <v>202</v>
      </c>
      <c r="B33" s="13" t="n">
        <v>5</v>
      </c>
      <c r="C33" s="13" t="s">
        <v>149</v>
      </c>
      <c r="D33" s="14" t="n">
        <v>343</v>
      </c>
      <c r="E33" s="14" t="n">
        <v>343</v>
      </c>
      <c r="F33" s="16" t="n">
        <v>100</v>
      </c>
      <c r="G33" s="14" t="n">
        <v>420</v>
      </c>
      <c r="H33" s="14" t="n">
        <v>419</v>
      </c>
      <c r="I33" s="16" t="n">
        <v>99.76</v>
      </c>
      <c r="J33" s="14" t="n">
        <v>763</v>
      </c>
      <c r="K33" s="14" t="n">
        <v>762</v>
      </c>
      <c r="L33" s="16" t="n">
        <v>99.87</v>
      </c>
    </row>
    <row r="34" customFormat="false" ht="15" hidden="false" customHeight="true" outlineLevel="0" collapsed="false">
      <c r="A34" s="13" t="s">
        <v>202</v>
      </c>
      <c r="B34" s="13" t="n">
        <v>6</v>
      </c>
      <c r="C34" s="13" t="s">
        <v>662</v>
      </c>
      <c r="D34" s="14" t="n">
        <v>14</v>
      </c>
      <c r="E34" s="14" t="n">
        <v>14</v>
      </c>
      <c r="F34" s="16" t="n">
        <v>100</v>
      </c>
      <c r="G34" s="14" t="n">
        <v>0</v>
      </c>
      <c r="H34" s="14" t="n">
        <v>0</v>
      </c>
      <c r="I34" s="16" t="n">
        <v>0</v>
      </c>
      <c r="J34" s="14" t="n">
        <v>14</v>
      </c>
      <c r="K34" s="14" t="n">
        <v>14</v>
      </c>
      <c r="L34" s="16" t="n">
        <v>100</v>
      </c>
    </row>
    <row r="35" customFormat="false" ht="15" hidden="false" customHeight="true" outlineLevel="0" collapsed="false">
      <c r="A35" s="13" t="s">
        <v>202</v>
      </c>
      <c r="B35" s="13" t="n">
        <v>7</v>
      </c>
      <c r="C35" s="13" t="s">
        <v>156</v>
      </c>
      <c r="D35" s="14" t="n">
        <v>41823</v>
      </c>
      <c r="E35" s="14" t="n">
        <v>25758</v>
      </c>
      <c r="F35" s="16" t="n">
        <v>61.59</v>
      </c>
      <c r="G35" s="14" t="n">
        <v>5500</v>
      </c>
      <c r="H35" s="14" t="n">
        <v>1261</v>
      </c>
      <c r="I35" s="16" t="n">
        <v>22.93</v>
      </c>
      <c r="J35" s="14" t="n">
        <v>47323</v>
      </c>
      <c r="K35" s="14" t="n">
        <v>27019</v>
      </c>
      <c r="L35" s="16" t="n">
        <v>57.09</v>
      </c>
    </row>
    <row r="36" customFormat="false" ht="15" hidden="false" customHeight="true" outlineLevel="0" collapsed="false">
      <c r="A36" s="13" t="s">
        <v>202</v>
      </c>
      <c r="B36" s="13" t="n">
        <v>8</v>
      </c>
      <c r="C36" s="13" t="s">
        <v>663</v>
      </c>
      <c r="D36" s="14" t="n">
        <v>32173</v>
      </c>
      <c r="E36" s="14" t="n">
        <v>25476</v>
      </c>
      <c r="F36" s="16" t="n">
        <v>79.18</v>
      </c>
      <c r="G36" s="14" t="n">
        <v>1801</v>
      </c>
      <c r="H36" s="14" t="n">
        <v>711</v>
      </c>
      <c r="I36" s="16" t="n">
        <v>39.48</v>
      </c>
      <c r="J36" s="14" t="n">
        <v>33974</v>
      </c>
      <c r="K36" s="14" t="n">
        <v>26187</v>
      </c>
      <c r="L36" s="16" t="n">
        <v>77.08</v>
      </c>
    </row>
    <row r="37" customFormat="false" ht="15" hidden="false" customHeight="true" outlineLevel="0" collapsed="false">
      <c r="A37" s="13" t="s">
        <v>202</v>
      </c>
      <c r="B37" s="13" t="n">
        <v>9</v>
      </c>
      <c r="C37" s="13" t="s">
        <v>664</v>
      </c>
      <c r="D37" s="14" t="n">
        <v>31791</v>
      </c>
      <c r="E37" s="14" t="n">
        <v>31641</v>
      </c>
      <c r="F37" s="16" t="n">
        <v>99.53</v>
      </c>
      <c r="G37" s="14" t="n">
        <v>327</v>
      </c>
      <c r="H37" s="14" t="n">
        <v>325</v>
      </c>
      <c r="I37" s="16" t="n">
        <v>99.39</v>
      </c>
      <c r="J37" s="14" t="n">
        <v>32118</v>
      </c>
      <c r="K37" s="14" t="n">
        <v>31966</v>
      </c>
      <c r="L37" s="16" t="n">
        <v>99.53</v>
      </c>
    </row>
    <row r="38" customFormat="false" ht="15" hidden="false" customHeight="true" outlineLevel="0" collapsed="false">
      <c r="A38" s="13" t="s">
        <v>202</v>
      </c>
      <c r="B38" s="13" t="n">
        <v>10</v>
      </c>
      <c r="C38" s="13" t="s">
        <v>670</v>
      </c>
      <c r="D38" s="14" t="n">
        <v>41665</v>
      </c>
      <c r="E38" s="14" t="n">
        <v>37759</v>
      </c>
      <c r="F38" s="16" t="n">
        <v>90.63</v>
      </c>
      <c r="G38" s="14" t="n">
        <v>1270</v>
      </c>
      <c r="H38" s="14" t="n">
        <v>413</v>
      </c>
      <c r="I38" s="16" t="n">
        <v>32.52</v>
      </c>
      <c r="J38" s="14" t="n">
        <v>42935</v>
      </c>
      <c r="K38" s="14" t="n">
        <v>38172</v>
      </c>
      <c r="L38" s="16" t="n">
        <v>88.91</v>
      </c>
    </row>
    <row r="39" customFormat="false" ht="15" hidden="false" customHeight="true" outlineLevel="0" collapsed="false">
      <c r="A39" s="13" t="s">
        <v>202</v>
      </c>
      <c r="B39" s="13" t="n">
        <v>11</v>
      </c>
      <c r="C39" s="13" t="s">
        <v>671</v>
      </c>
      <c r="D39" s="14" t="n">
        <v>41223</v>
      </c>
      <c r="E39" s="14" t="n">
        <v>41087</v>
      </c>
      <c r="F39" s="16" t="n">
        <v>99.67</v>
      </c>
      <c r="G39" s="14" t="n">
        <v>383</v>
      </c>
      <c r="H39" s="14" t="n">
        <v>379</v>
      </c>
      <c r="I39" s="16" t="n">
        <v>98.96</v>
      </c>
      <c r="J39" s="14" t="n">
        <v>41606</v>
      </c>
      <c r="K39" s="14" t="n">
        <v>41466</v>
      </c>
      <c r="L39" s="16" t="n">
        <v>99.66</v>
      </c>
    </row>
    <row r="40" customFormat="false" ht="15" hidden="false" customHeight="true" outlineLevel="0" collapsed="false">
      <c r="A40" s="13" t="s">
        <v>202</v>
      </c>
      <c r="B40" s="13" t="n">
        <v>12</v>
      </c>
      <c r="C40" s="13" t="s">
        <v>152</v>
      </c>
      <c r="D40" s="14" t="n">
        <v>3298</v>
      </c>
      <c r="E40" s="14" t="n">
        <v>3115</v>
      </c>
      <c r="F40" s="16" t="n">
        <v>94.45</v>
      </c>
      <c r="G40" s="14" t="n">
        <v>63</v>
      </c>
      <c r="H40" s="14" t="n">
        <v>49</v>
      </c>
      <c r="I40" s="16" t="n">
        <v>77.78</v>
      </c>
      <c r="J40" s="14" t="n">
        <v>3361</v>
      </c>
      <c r="K40" s="14" t="n">
        <v>3164</v>
      </c>
      <c r="L40" s="16" t="n">
        <v>94.14</v>
      </c>
    </row>
    <row r="41" customFormat="false" ht="15" hidden="false" customHeight="true" outlineLevel="0" collapsed="false">
      <c r="A41" s="13" t="s">
        <v>202</v>
      </c>
      <c r="B41" s="13" t="n">
        <v>13</v>
      </c>
      <c r="C41" s="13" t="s">
        <v>669</v>
      </c>
      <c r="D41" s="14" t="n">
        <v>422</v>
      </c>
      <c r="E41" s="14" t="n">
        <v>419</v>
      </c>
      <c r="F41" s="16" t="n">
        <v>99.29</v>
      </c>
      <c r="G41" s="14" t="n">
        <v>3</v>
      </c>
      <c r="H41" s="14" t="n">
        <v>3</v>
      </c>
      <c r="I41" s="16" t="n">
        <v>100</v>
      </c>
      <c r="J41" s="14" t="n">
        <v>425</v>
      </c>
      <c r="K41" s="14" t="n">
        <v>422</v>
      </c>
      <c r="L41" s="16" t="n">
        <v>99.29</v>
      </c>
    </row>
    <row r="42" customFormat="false" ht="15" hidden="false" customHeight="true" outlineLevel="0" collapsed="false">
      <c r="A42" s="13" t="s">
        <v>202</v>
      </c>
      <c r="B42" s="13" t="n">
        <v>14</v>
      </c>
      <c r="C42" s="13" t="s">
        <v>672</v>
      </c>
      <c r="D42" s="14" t="n">
        <v>6565</v>
      </c>
      <c r="E42" s="14" t="n">
        <v>5531</v>
      </c>
      <c r="F42" s="16" t="n">
        <v>84.25</v>
      </c>
      <c r="G42" s="14" t="n">
        <v>256</v>
      </c>
      <c r="H42" s="14" t="n">
        <v>86</v>
      </c>
      <c r="I42" s="16" t="n">
        <v>33.59</v>
      </c>
      <c r="J42" s="14" t="n">
        <v>6821</v>
      </c>
      <c r="K42" s="14" t="n">
        <v>5617</v>
      </c>
      <c r="L42" s="16" t="n">
        <v>82.35</v>
      </c>
    </row>
    <row r="43" customFormat="false" ht="15" hidden="false" customHeight="true" outlineLevel="0" collapsed="false">
      <c r="A43" s="13" t="s">
        <v>202</v>
      </c>
      <c r="B43" s="13" t="n">
        <v>15</v>
      </c>
      <c r="C43" s="13" t="s">
        <v>673</v>
      </c>
      <c r="D43" s="14" t="n">
        <v>6514</v>
      </c>
      <c r="E43" s="14" t="n">
        <v>5944</v>
      </c>
      <c r="F43" s="16" t="n">
        <v>91.25</v>
      </c>
      <c r="G43" s="14" t="n">
        <v>62</v>
      </c>
      <c r="H43" s="14" t="n">
        <v>54</v>
      </c>
      <c r="I43" s="16" t="n">
        <v>87.1</v>
      </c>
      <c r="J43" s="14" t="n">
        <v>6576</v>
      </c>
      <c r="K43" s="14" t="n">
        <v>5998</v>
      </c>
      <c r="L43" s="16" t="n">
        <v>91.21</v>
      </c>
    </row>
    <row r="44" customFormat="false" ht="15" hidden="false" customHeight="true" outlineLevel="0" collapsed="false">
      <c r="A44" s="13" t="s">
        <v>203</v>
      </c>
      <c r="B44" s="13" t="n">
        <v>1</v>
      </c>
      <c r="C44" s="13" t="s">
        <v>661</v>
      </c>
      <c r="D44" s="14" t="n">
        <v>8015</v>
      </c>
      <c r="E44" s="14" t="n">
        <v>7901</v>
      </c>
      <c r="F44" s="16" t="n">
        <v>98.58</v>
      </c>
      <c r="G44" s="14" t="n">
        <v>4226</v>
      </c>
      <c r="H44" s="14" t="n">
        <v>4066</v>
      </c>
      <c r="I44" s="16" t="n">
        <v>96.21</v>
      </c>
      <c r="J44" s="14" t="n">
        <v>12241</v>
      </c>
      <c r="K44" s="14" t="n">
        <v>11967</v>
      </c>
      <c r="L44" s="16" t="n">
        <v>97.76</v>
      </c>
    </row>
    <row r="45" customFormat="false" ht="15" hidden="false" customHeight="true" outlineLevel="0" collapsed="false">
      <c r="A45" s="13" t="s">
        <v>203</v>
      </c>
      <c r="B45" s="13" t="n">
        <v>2</v>
      </c>
      <c r="C45" s="13" t="s">
        <v>410</v>
      </c>
      <c r="D45" s="14" t="n">
        <v>8204</v>
      </c>
      <c r="E45" s="14" t="n">
        <v>7585</v>
      </c>
      <c r="F45" s="16" t="n">
        <v>92.45</v>
      </c>
      <c r="G45" s="14" t="n">
        <v>4778</v>
      </c>
      <c r="H45" s="14" t="n">
        <v>3938</v>
      </c>
      <c r="I45" s="16" t="n">
        <v>82.42</v>
      </c>
      <c r="J45" s="14" t="n">
        <v>12982</v>
      </c>
      <c r="K45" s="14" t="n">
        <v>11523</v>
      </c>
      <c r="L45" s="16" t="n">
        <v>88.76</v>
      </c>
    </row>
    <row r="46" customFormat="false" ht="15" hidden="false" customHeight="true" outlineLevel="0" collapsed="false">
      <c r="A46" s="13" t="s">
        <v>203</v>
      </c>
      <c r="B46" s="13" t="n">
        <v>3</v>
      </c>
      <c r="C46" s="13" t="s">
        <v>142</v>
      </c>
      <c r="D46" s="14" t="n">
        <v>8187</v>
      </c>
      <c r="E46" s="14" t="n">
        <v>5731</v>
      </c>
      <c r="F46" s="16" t="n">
        <v>70</v>
      </c>
      <c r="G46" s="14" t="n">
        <v>6486</v>
      </c>
      <c r="H46" s="14" t="n">
        <v>3127</v>
      </c>
      <c r="I46" s="16" t="n">
        <v>48.21</v>
      </c>
      <c r="J46" s="14" t="n">
        <v>14673</v>
      </c>
      <c r="K46" s="14" t="n">
        <v>8858</v>
      </c>
      <c r="L46" s="16" t="n">
        <v>60.37</v>
      </c>
    </row>
    <row r="47" customFormat="false" ht="15" hidden="false" customHeight="true" outlineLevel="0" collapsed="false">
      <c r="A47" s="13" t="s">
        <v>203</v>
      </c>
      <c r="B47" s="13" t="n">
        <v>4</v>
      </c>
      <c r="C47" s="13" t="s">
        <v>149</v>
      </c>
      <c r="D47" s="14" t="n">
        <v>4552</v>
      </c>
      <c r="E47" s="14" t="n">
        <v>4552</v>
      </c>
      <c r="F47" s="16" t="n">
        <v>100</v>
      </c>
      <c r="G47" s="14" t="n">
        <v>4562</v>
      </c>
      <c r="H47" s="14" t="n">
        <v>4562</v>
      </c>
      <c r="I47" s="16" t="n">
        <v>100</v>
      </c>
      <c r="J47" s="14" t="n">
        <v>9114</v>
      </c>
      <c r="K47" s="14" t="n">
        <v>9114</v>
      </c>
      <c r="L47" s="16" t="n">
        <v>100</v>
      </c>
    </row>
    <row r="48" customFormat="false" ht="15" hidden="false" customHeight="true" outlineLevel="0" collapsed="false">
      <c r="A48" s="13" t="s">
        <v>203</v>
      </c>
      <c r="B48" s="13" t="n">
        <v>5</v>
      </c>
      <c r="C48" s="13" t="s">
        <v>662</v>
      </c>
      <c r="D48" s="14" t="n">
        <v>11</v>
      </c>
      <c r="E48" s="14" t="n">
        <v>11</v>
      </c>
      <c r="F48" s="16" t="n">
        <v>100</v>
      </c>
      <c r="G48" s="14" t="n">
        <v>2</v>
      </c>
      <c r="H48" s="14" t="n">
        <v>2</v>
      </c>
      <c r="I48" s="16" t="n">
        <v>100</v>
      </c>
      <c r="J48" s="14" t="n">
        <v>13</v>
      </c>
      <c r="K48" s="14" t="n">
        <v>13</v>
      </c>
      <c r="L48" s="16" t="n">
        <v>100</v>
      </c>
    </row>
    <row r="49" customFormat="false" ht="15" hidden="false" customHeight="true" outlineLevel="0" collapsed="false">
      <c r="A49" s="13" t="s">
        <v>203</v>
      </c>
      <c r="B49" s="13" t="n">
        <v>6</v>
      </c>
      <c r="C49" s="13" t="s">
        <v>674</v>
      </c>
      <c r="D49" s="14" t="n">
        <v>8207</v>
      </c>
      <c r="E49" s="14" t="n">
        <v>8054</v>
      </c>
      <c r="F49" s="16" t="n">
        <v>98.14</v>
      </c>
      <c r="G49" s="14" t="n">
        <v>4653</v>
      </c>
      <c r="H49" s="14" t="n">
        <v>4415</v>
      </c>
      <c r="I49" s="16" t="n">
        <v>94.89</v>
      </c>
      <c r="J49" s="14" t="n">
        <v>12860</v>
      </c>
      <c r="K49" s="14" t="n">
        <v>12469</v>
      </c>
      <c r="L49" s="16" t="n">
        <v>96.96</v>
      </c>
    </row>
    <row r="50" customFormat="false" ht="15" hidden="false" customHeight="true" outlineLevel="0" collapsed="false">
      <c r="A50" s="13" t="s">
        <v>203</v>
      </c>
      <c r="B50" s="13" t="n">
        <v>7</v>
      </c>
      <c r="C50" s="13" t="s">
        <v>675</v>
      </c>
      <c r="D50" s="14" t="n">
        <v>11</v>
      </c>
      <c r="E50" s="14" t="n">
        <v>11</v>
      </c>
      <c r="F50" s="16" t="n">
        <v>100</v>
      </c>
      <c r="G50" s="14" t="n">
        <v>0</v>
      </c>
      <c r="H50" s="14" t="n">
        <v>0</v>
      </c>
      <c r="I50" s="16" t="n">
        <v>0</v>
      </c>
      <c r="J50" s="14" t="n">
        <v>11</v>
      </c>
      <c r="K50" s="14" t="n">
        <v>11</v>
      </c>
      <c r="L50" s="16" t="n">
        <v>100</v>
      </c>
    </row>
    <row r="51" customFormat="false" ht="15" hidden="false" customHeight="true" outlineLevel="0" collapsed="false">
      <c r="A51" s="13" t="s">
        <v>203</v>
      </c>
      <c r="B51" s="13" t="n">
        <v>8</v>
      </c>
      <c r="C51" s="13" t="s">
        <v>676</v>
      </c>
      <c r="D51" s="14" t="n">
        <v>11</v>
      </c>
      <c r="E51" s="14" t="n">
        <v>11</v>
      </c>
      <c r="F51" s="16" t="n">
        <v>100</v>
      </c>
      <c r="G51" s="14" t="n">
        <v>0</v>
      </c>
      <c r="H51" s="14" t="n">
        <v>0</v>
      </c>
      <c r="I51" s="16" t="n">
        <v>0</v>
      </c>
      <c r="J51" s="14" t="n">
        <v>11</v>
      </c>
      <c r="K51" s="14" t="n">
        <v>11</v>
      </c>
      <c r="L51" s="16" t="n">
        <v>100</v>
      </c>
    </row>
    <row r="52" customFormat="false" ht="15" hidden="false" customHeight="true" outlineLevel="0" collapsed="false">
      <c r="A52" s="13" t="s">
        <v>203</v>
      </c>
      <c r="B52" s="13" t="n">
        <v>9</v>
      </c>
      <c r="C52" s="13" t="s">
        <v>677</v>
      </c>
      <c r="D52" s="14" t="n">
        <v>8205</v>
      </c>
      <c r="E52" s="14" t="n">
        <v>8015</v>
      </c>
      <c r="F52" s="16" t="n">
        <v>97.68</v>
      </c>
      <c r="G52" s="14" t="n">
        <v>4644</v>
      </c>
      <c r="H52" s="14" t="n">
        <v>4230</v>
      </c>
      <c r="I52" s="16" t="n">
        <v>91.09</v>
      </c>
      <c r="J52" s="14" t="n">
        <v>12849</v>
      </c>
      <c r="K52" s="14" t="n">
        <v>12245</v>
      </c>
      <c r="L52" s="16" t="n">
        <v>95.3</v>
      </c>
    </row>
    <row r="53" customFormat="false" ht="15" hidden="false" customHeight="true" outlineLevel="0" collapsed="false">
      <c r="A53" s="13" t="s">
        <v>203</v>
      </c>
      <c r="B53" s="13" t="n">
        <v>10</v>
      </c>
      <c r="C53" s="13" t="s">
        <v>678</v>
      </c>
      <c r="D53" s="14" t="n">
        <v>4312</v>
      </c>
      <c r="E53" s="14" t="n">
        <v>4312</v>
      </c>
      <c r="F53" s="16" t="n">
        <v>100</v>
      </c>
      <c r="G53" s="14" t="n">
        <v>4555</v>
      </c>
      <c r="H53" s="14" t="n">
        <v>4489</v>
      </c>
      <c r="I53" s="16" t="n">
        <v>98.55</v>
      </c>
      <c r="J53" s="14" t="n">
        <v>8867</v>
      </c>
      <c r="K53" s="14" t="n">
        <v>8801</v>
      </c>
      <c r="L53" s="16" t="n">
        <v>99.26</v>
      </c>
    </row>
    <row r="54" customFormat="false" ht="15" hidden="false" customHeight="true" outlineLevel="0" collapsed="false">
      <c r="A54" s="13" t="s">
        <v>203</v>
      </c>
      <c r="B54" s="13" t="n">
        <v>11</v>
      </c>
      <c r="C54" s="13" t="s">
        <v>411</v>
      </c>
      <c r="D54" s="14" t="n">
        <v>8198</v>
      </c>
      <c r="E54" s="14" t="n">
        <v>7224</v>
      </c>
      <c r="F54" s="16" t="n">
        <v>88.12</v>
      </c>
      <c r="G54" s="14" t="n">
        <v>5028</v>
      </c>
      <c r="H54" s="14" t="n">
        <v>3555</v>
      </c>
      <c r="I54" s="16" t="n">
        <v>70.7</v>
      </c>
      <c r="J54" s="14" t="n">
        <v>13226</v>
      </c>
      <c r="K54" s="14" t="n">
        <v>10779</v>
      </c>
      <c r="L54" s="16" t="n">
        <v>81.5</v>
      </c>
    </row>
    <row r="55" customFormat="false" ht="15" hidden="false" customHeight="true" outlineLevel="0" collapsed="false">
      <c r="A55" s="13" t="s">
        <v>203</v>
      </c>
      <c r="B55" s="13" t="n">
        <v>12</v>
      </c>
      <c r="C55" s="13" t="s">
        <v>669</v>
      </c>
      <c r="D55" s="14" t="n">
        <v>183</v>
      </c>
      <c r="E55" s="14" t="n">
        <v>181</v>
      </c>
      <c r="F55" s="16" t="n">
        <v>98.91</v>
      </c>
      <c r="G55" s="14" t="n">
        <v>102</v>
      </c>
      <c r="H55" s="14" t="n">
        <v>101</v>
      </c>
      <c r="I55" s="16" t="n">
        <v>99.02</v>
      </c>
      <c r="J55" s="14" t="n">
        <v>285</v>
      </c>
      <c r="K55" s="14" t="n">
        <v>282</v>
      </c>
      <c r="L55" s="16" t="n">
        <v>98.95</v>
      </c>
    </row>
    <row r="56" customFormat="false" ht="15" hidden="false" customHeight="true" outlineLevel="0" collapsed="false">
      <c r="A56" s="13" t="s">
        <v>653</v>
      </c>
      <c r="B56" s="13" t="n">
        <v>1</v>
      </c>
      <c r="C56" s="13" t="s">
        <v>661</v>
      </c>
      <c r="D56" s="14" t="n">
        <v>26127</v>
      </c>
      <c r="E56" s="14" t="n">
        <v>25754</v>
      </c>
      <c r="F56" s="16" t="n">
        <v>98.57</v>
      </c>
      <c r="G56" s="14" t="n">
        <v>21866</v>
      </c>
      <c r="H56" s="14" t="n">
        <v>20930</v>
      </c>
      <c r="I56" s="16" t="n">
        <v>95.72</v>
      </c>
      <c r="J56" s="14" t="n">
        <v>47993</v>
      </c>
      <c r="K56" s="14" t="n">
        <v>46684</v>
      </c>
      <c r="L56" s="16" t="n">
        <v>97.27</v>
      </c>
    </row>
    <row r="57" customFormat="false" ht="15" hidden="false" customHeight="true" outlineLevel="0" collapsed="false">
      <c r="A57" s="13" t="s">
        <v>653</v>
      </c>
      <c r="B57" s="13" t="n">
        <v>2</v>
      </c>
      <c r="C57" s="13" t="s">
        <v>410</v>
      </c>
      <c r="D57" s="14" t="n">
        <v>26618</v>
      </c>
      <c r="E57" s="14" t="n">
        <v>25054</v>
      </c>
      <c r="F57" s="16" t="n">
        <v>94.12</v>
      </c>
      <c r="G57" s="14" t="n">
        <v>24426</v>
      </c>
      <c r="H57" s="14" t="n">
        <v>20764</v>
      </c>
      <c r="I57" s="16" t="n">
        <v>85.01</v>
      </c>
      <c r="J57" s="14" t="n">
        <v>51044</v>
      </c>
      <c r="K57" s="14" t="n">
        <v>45818</v>
      </c>
      <c r="L57" s="16" t="n">
        <v>89.76</v>
      </c>
    </row>
    <row r="58" customFormat="false" ht="15" hidden="false" customHeight="true" outlineLevel="0" collapsed="false">
      <c r="A58" s="13" t="s">
        <v>653</v>
      </c>
      <c r="B58" s="13" t="n">
        <v>3</v>
      </c>
      <c r="C58" s="13" t="s">
        <v>145</v>
      </c>
      <c r="D58" s="14" t="n">
        <v>2</v>
      </c>
      <c r="E58" s="14" t="n">
        <v>2</v>
      </c>
      <c r="F58" s="16" t="n">
        <v>100</v>
      </c>
      <c r="G58" s="14" t="n">
        <v>0</v>
      </c>
      <c r="H58" s="14" t="n">
        <v>0</v>
      </c>
      <c r="I58" s="16" t="n">
        <v>0</v>
      </c>
      <c r="J58" s="14" t="n">
        <v>2</v>
      </c>
      <c r="K58" s="14" t="n">
        <v>2</v>
      </c>
      <c r="L58" s="16" t="n">
        <v>100</v>
      </c>
    </row>
    <row r="59" customFormat="false" ht="15" hidden="false" customHeight="true" outlineLevel="0" collapsed="false">
      <c r="A59" s="13" t="s">
        <v>653</v>
      </c>
      <c r="B59" s="13" t="n">
        <v>4</v>
      </c>
      <c r="C59" s="13" t="s">
        <v>142</v>
      </c>
      <c r="D59" s="14" t="n">
        <v>26533</v>
      </c>
      <c r="E59" s="14" t="n">
        <v>14210</v>
      </c>
      <c r="F59" s="16" t="n">
        <v>53.56</v>
      </c>
      <c r="G59" s="14" t="n">
        <v>33771</v>
      </c>
      <c r="H59" s="14" t="n">
        <v>11561</v>
      </c>
      <c r="I59" s="16" t="n">
        <v>34.23</v>
      </c>
      <c r="J59" s="14" t="n">
        <v>60304</v>
      </c>
      <c r="K59" s="14" t="n">
        <v>25771</v>
      </c>
      <c r="L59" s="16" t="n">
        <v>42.74</v>
      </c>
    </row>
    <row r="60" customFormat="false" ht="15" hidden="false" customHeight="true" outlineLevel="0" collapsed="false">
      <c r="A60" s="13" t="s">
        <v>653</v>
      </c>
      <c r="B60" s="13" t="n">
        <v>5</v>
      </c>
      <c r="C60" s="13" t="s">
        <v>149</v>
      </c>
      <c r="D60" s="14" t="n">
        <v>23456</v>
      </c>
      <c r="E60" s="14" t="n">
        <v>23456</v>
      </c>
      <c r="F60" s="16" t="n">
        <v>100</v>
      </c>
      <c r="G60" s="14" t="n">
        <v>23499</v>
      </c>
      <c r="H60" s="14" t="n">
        <v>23498</v>
      </c>
      <c r="I60" s="16" t="n">
        <v>100</v>
      </c>
      <c r="J60" s="14" t="n">
        <v>46955</v>
      </c>
      <c r="K60" s="14" t="n">
        <v>46954</v>
      </c>
      <c r="L60" s="16" t="n">
        <v>100</v>
      </c>
    </row>
    <row r="61" customFormat="false" ht="15" hidden="false" customHeight="true" outlineLevel="0" collapsed="false">
      <c r="A61" s="13" t="s">
        <v>653</v>
      </c>
      <c r="B61" s="13" t="n">
        <v>6</v>
      </c>
      <c r="C61" s="13" t="s">
        <v>662</v>
      </c>
      <c r="D61" s="14" t="n">
        <v>34</v>
      </c>
      <c r="E61" s="14" t="n">
        <v>33</v>
      </c>
      <c r="F61" s="16" t="n">
        <v>97.06</v>
      </c>
      <c r="G61" s="14" t="n">
        <v>20</v>
      </c>
      <c r="H61" s="14" t="n">
        <v>15</v>
      </c>
      <c r="I61" s="16" t="n">
        <v>75</v>
      </c>
      <c r="J61" s="14" t="n">
        <v>54</v>
      </c>
      <c r="K61" s="14" t="n">
        <v>48</v>
      </c>
      <c r="L61" s="16" t="n">
        <v>88.89</v>
      </c>
    </row>
    <row r="62" customFormat="false" ht="15" hidden="false" customHeight="true" outlineLevel="0" collapsed="false">
      <c r="A62" s="13" t="s">
        <v>653</v>
      </c>
      <c r="B62" s="13" t="n">
        <v>7</v>
      </c>
      <c r="C62" s="13" t="s">
        <v>669</v>
      </c>
      <c r="D62" s="14" t="n">
        <v>434</v>
      </c>
      <c r="E62" s="14" t="n">
        <v>432</v>
      </c>
      <c r="F62" s="16" t="n">
        <v>99.54</v>
      </c>
      <c r="G62" s="14" t="n">
        <v>541</v>
      </c>
      <c r="H62" s="14" t="n">
        <v>533</v>
      </c>
      <c r="I62" s="16" t="n">
        <v>98.52</v>
      </c>
      <c r="J62" s="14" t="n">
        <v>975</v>
      </c>
      <c r="K62" s="14" t="n">
        <v>965</v>
      </c>
      <c r="L62" s="16" t="n">
        <v>98.97</v>
      </c>
    </row>
    <row r="63" customFormat="false" ht="15" hidden="false" customHeight="true" outlineLevel="0" collapsed="false">
      <c r="A63" s="13" t="s">
        <v>653</v>
      </c>
      <c r="B63" s="13" t="n">
        <v>8</v>
      </c>
      <c r="C63" s="13" t="s">
        <v>156</v>
      </c>
      <c r="D63" s="14" t="n">
        <v>156</v>
      </c>
      <c r="E63" s="14" t="n">
        <v>71</v>
      </c>
      <c r="F63" s="16" t="n">
        <v>45.51</v>
      </c>
      <c r="G63" s="14" t="n">
        <v>295</v>
      </c>
      <c r="H63" s="14" t="n">
        <v>106</v>
      </c>
      <c r="I63" s="16" t="n">
        <v>35.93</v>
      </c>
      <c r="J63" s="14" t="n">
        <v>451</v>
      </c>
      <c r="K63" s="14" t="n">
        <v>177</v>
      </c>
      <c r="L63" s="16" t="n">
        <v>39.25</v>
      </c>
    </row>
    <row r="64" customFormat="false" ht="15" hidden="false" customHeight="true" outlineLevel="0" collapsed="false">
      <c r="A64" s="13" t="s">
        <v>653</v>
      </c>
      <c r="B64" s="13" t="n">
        <v>9</v>
      </c>
      <c r="C64" s="13" t="s">
        <v>427</v>
      </c>
      <c r="D64" s="14" t="n">
        <v>3985</v>
      </c>
      <c r="E64" s="14" t="n">
        <v>3945</v>
      </c>
      <c r="F64" s="16" t="n">
        <v>99</v>
      </c>
      <c r="G64" s="14" t="n">
        <v>6771</v>
      </c>
      <c r="H64" s="14" t="n">
        <v>6564</v>
      </c>
      <c r="I64" s="16" t="n">
        <v>96.94</v>
      </c>
      <c r="J64" s="14" t="n">
        <v>10756</v>
      </c>
      <c r="K64" s="14" t="n">
        <v>10509</v>
      </c>
      <c r="L64" s="16" t="n">
        <v>97.7</v>
      </c>
    </row>
    <row r="65" customFormat="false" ht="15" hidden="false" customHeight="true" outlineLevel="0" collapsed="false">
      <c r="A65" s="13" t="s">
        <v>653</v>
      </c>
      <c r="B65" s="13" t="n">
        <v>10</v>
      </c>
      <c r="C65" s="13" t="s">
        <v>670</v>
      </c>
      <c r="D65" s="14" t="n">
        <v>8283</v>
      </c>
      <c r="E65" s="14" t="n">
        <v>4244</v>
      </c>
      <c r="F65" s="16" t="n">
        <v>51.24</v>
      </c>
      <c r="G65" s="14" t="n">
        <v>1094</v>
      </c>
      <c r="H65" s="14" t="n">
        <v>227</v>
      </c>
      <c r="I65" s="16" t="n">
        <v>20.75</v>
      </c>
      <c r="J65" s="14" t="n">
        <v>9377</v>
      </c>
      <c r="K65" s="14" t="n">
        <v>4471</v>
      </c>
      <c r="L65" s="16" t="n">
        <v>47.68</v>
      </c>
    </row>
    <row r="66" customFormat="false" ht="15" hidden="false" customHeight="true" outlineLevel="0" collapsed="false">
      <c r="A66" s="13" t="s">
        <v>653</v>
      </c>
      <c r="B66" s="13" t="n">
        <v>11</v>
      </c>
      <c r="C66" s="13" t="s">
        <v>671</v>
      </c>
      <c r="D66" s="14" t="n">
        <v>8119</v>
      </c>
      <c r="E66" s="14" t="n">
        <v>7899</v>
      </c>
      <c r="F66" s="16" t="n">
        <v>97.29</v>
      </c>
      <c r="G66" s="14" t="n">
        <v>212</v>
      </c>
      <c r="H66" s="14" t="n">
        <v>210</v>
      </c>
      <c r="I66" s="16" t="n">
        <v>99.06</v>
      </c>
      <c r="J66" s="14" t="n">
        <v>8331</v>
      </c>
      <c r="K66" s="14" t="n">
        <v>8109</v>
      </c>
      <c r="L66" s="16" t="n">
        <v>97.34</v>
      </c>
    </row>
    <row r="67" customFormat="false" ht="15" hidden="false" customHeight="true" outlineLevel="0" collapsed="false">
      <c r="A67" s="13" t="s">
        <v>653</v>
      </c>
      <c r="B67" s="13" t="n">
        <v>12</v>
      </c>
      <c r="C67" s="13" t="s">
        <v>679</v>
      </c>
      <c r="D67" s="14" t="n">
        <v>14</v>
      </c>
      <c r="E67" s="14" t="n">
        <v>14</v>
      </c>
      <c r="F67" s="16" t="n">
        <v>100</v>
      </c>
      <c r="G67" s="14" t="n">
        <v>7</v>
      </c>
      <c r="H67" s="14" t="n">
        <v>7</v>
      </c>
      <c r="I67" s="16" t="n">
        <v>100</v>
      </c>
      <c r="J67" s="14" t="n">
        <v>21</v>
      </c>
      <c r="K67" s="14" t="n">
        <v>21</v>
      </c>
      <c r="L67" s="16" t="n">
        <v>100</v>
      </c>
    </row>
    <row r="68" customFormat="false" ht="15" hidden="false" customHeight="true" outlineLevel="0" collapsed="false">
      <c r="A68" s="13" t="s">
        <v>653</v>
      </c>
      <c r="B68" s="13" t="n">
        <v>13</v>
      </c>
      <c r="C68" s="13" t="s">
        <v>680</v>
      </c>
      <c r="D68" s="14" t="n">
        <v>1700</v>
      </c>
      <c r="E68" s="14" t="n">
        <v>1690</v>
      </c>
      <c r="F68" s="16" t="n">
        <v>99.41</v>
      </c>
      <c r="G68" s="14" t="n">
        <v>8</v>
      </c>
      <c r="H68" s="14" t="n">
        <v>6</v>
      </c>
      <c r="I68" s="16" t="n">
        <v>75</v>
      </c>
      <c r="J68" s="14" t="n">
        <v>1708</v>
      </c>
      <c r="K68" s="14" t="n">
        <v>1696</v>
      </c>
      <c r="L68" s="16" t="n">
        <v>99.3</v>
      </c>
    </row>
    <row r="69" customFormat="false" ht="15" hidden="false" customHeight="true" outlineLevel="0" collapsed="false">
      <c r="A69" s="13" t="s">
        <v>653</v>
      </c>
      <c r="B69" s="13" t="n">
        <v>14</v>
      </c>
      <c r="C69" s="13" t="s">
        <v>681</v>
      </c>
      <c r="D69" s="14" t="n">
        <v>1683</v>
      </c>
      <c r="E69" s="14" t="n">
        <v>1682</v>
      </c>
      <c r="F69" s="16" t="n">
        <v>99.94</v>
      </c>
      <c r="G69" s="14" t="n">
        <v>10</v>
      </c>
      <c r="H69" s="14" t="n">
        <v>10</v>
      </c>
      <c r="I69" s="16" t="n">
        <v>100</v>
      </c>
      <c r="J69" s="14" t="n">
        <v>1693</v>
      </c>
      <c r="K69" s="14" t="n">
        <v>1692</v>
      </c>
      <c r="L69" s="16" t="n">
        <v>99.94</v>
      </c>
    </row>
    <row r="70" customFormat="false" ht="15" hidden="false" customHeight="true" outlineLevel="0" collapsed="false">
      <c r="A70" s="13" t="s">
        <v>653</v>
      </c>
      <c r="B70" s="13" t="n">
        <v>15</v>
      </c>
      <c r="C70" s="13" t="s">
        <v>682</v>
      </c>
      <c r="D70" s="14" t="n">
        <v>45</v>
      </c>
      <c r="E70" s="14" t="n">
        <v>43</v>
      </c>
      <c r="F70" s="16" t="n">
        <v>95.56</v>
      </c>
      <c r="G70" s="14" t="n">
        <v>0</v>
      </c>
      <c r="H70" s="14" t="n">
        <v>0</v>
      </c>
      <c r="I70" s="16" t="n">
        <v>0</v>
      </c>
      <c r="J70" s="14" t="n">
        <v>45</v>
      </c>
      <c r="K70" s="14" t="n">
        <v>43</v>
      </c>
      <c r="L70" s="16" t="n">
        <v>95.56</v>
      </c>
    </row>
    <row r="71" customFormat="false" ht="15" hidden="false" customHeight="true" outlineLevel="0" collapsed="false">
      <c r="A71" s="13" t="s">
        <v>653</v>
      </c>
      <c r="B71" s="13" t="n">
        <v>16</v>
      </c>
      <c r="C71" s="13" t="s">
        <v>683</v>
      </c>
      <c r="D71" s="14" t="n">
        <v>44</v>
      </c>
      <c r="E71" s="14" t="n">
        <v>44</v>
      </c>
      <c r="F71" s="16" t="n">
        <v>100</v>
      </c>
      <c r="G71" s="14" t="n">
        <v>0</v>
      </c>
      <c r="H71" s="14" t="n">
        <v>0</v>
      </c>
      <c r="I71" s="16" t="n">
        <v>0</v>
      </c>
      <c r="J71" s="14" t="n">
        <v>44</v>
      </c>
      <c r="K71" s="14" t="n">
        <v>44</v>
      </c>
      <c r="L71" s="16" t="n">
        <v>100</v>
      </c>
    </row>
    <row r="72" customFormat="false" ht="15" hidden="false" customHeight="true" outlineLevel="0" collapsed="false">
      <c r="A72" s="13" t="s">
        <v>653</v>
      </c>
      <c r="B72" s="13" t="n">
        <v>17</v>
      </c>
      <c r="C72" s="13" t="s">
        <v>419</v>
      </c>
      <c r="D72" s="14" t="n">
        <v>12504</v>
      </c>
      <c r="E72" s="14" t="n">
        <v>11858</v>
      </c>
      <c r="F72" s="16" t="n">
        <v>94.83</v>
      </c>
      <c r="G72" s="14" t="n">
        <v>17390</v>
      </c>
      <c r="H72" s="14" t="n">
        <v>15394</v>
      </c>
      <c r="I72" s="16" t="n">
        <v>88.52</v>
      </c>
      <c r="J72" s="14" t="n">
        <v>29894</v>
      </c>
      <c r="K72" s="14" t="n">
        <v>27252</v>
      </c>
      <c r="L72" s="16" t="n">
        <v>91.16</v>
      </c>
    </row>
    <row r="73" customFormat="false" ht="15" hidden="false" customHeight="true" outlineLevel="0" collapsed="false">
      <c r="A73" s="13" t="s">
        <v>653</v>
      </c>
      <c r="B73" s="13" t="n">
        <v>18</v>
      </c>
      <c r="C73" s="13" t="s">
        <v>426</v>
      </c>
      <c r="D73" s="14" t="n">
        <v>3209</v>
      </c>
      <c r="E73" s="14" t="n">
        <v>3083</v>
      </c>
      <c r="F73" s="16" t="n">
        <v>96.07</v>
      </c>
      <c r="G73" s="14" t="n">
        <v>9324</v>
      </c>
      <c r="H73" s="14" t="n">
        <v>8529</v>
      </c>
      <c r="I73" s="16" t="n">
        <v>91.47</v>
      </c>
      <c r="J73" s="14" t="n">
        <v>12533</v>
      </c>
      <c r="K73" s="14" t="n">
        <v>11612</v>
      </c>
      <c r="L73" s="16" t="n">
        <v>92.65</v>
      </c>
    </row>
    <row r="74" customFormat="false" ht="15" hidden="false" customHeight="true" outlineLevel="0" collapsed="false">
      <c r="A74" s="13" t="s">
        <v>653</v>
      </c>
      <c r="B74" s="13" t="n">
        <v>19</v>
      </c>
      <c r="C74" s="13" t="s">
        <v>150</v>
      </c>
      <c r="D74" s="14" t="n">
        <v>13731</v>
      </c>
      <c r="E74" s="14" t="n">
        <v>12277</v>
      </c>
      <c r="F74" s="16" t="n">
        <v>89.41</v>
      </c>
      <c r="G74" s="14" t="n">
        <v>20127</v>
      </c>
      <c r="H74" s="14" t="n">
        <v>14486</v>
      </c>
      <c r="I74" s="16" t="n">
        <v>71.97</v>
      </c>
      <c r="J74" s="14" t="n">
        <v>33858</v>
      </c>
      <c r="K74" s="14" t="n">
        <v>26763</v>
      </c>
      <c r="L74" s="16" t="n">
        <v>79.04</v>
      </c>
    </row>
    <row r="75" customFormat="false" ht="15" hidden="false" customHeight="true" outlineLevel="0" collapsed="false">
      <c r="A75" s="13" t="s">
        <v>653</v>
      </c>
      <c r="B75" s="13" t="n">
        <v>20</v>
      </c>
      <c r="C75" s="13" t="s">
        <v>154</v>
      </c>
      <c r="D75" s="14" t="n">
        <v>8844</v>
      </c>
      <c r="E75" s="14" t="n">
        <v>8256</v>
      </c>
      <c r="F75" s="16" t="n">
        <v>93.35</v>
      </c>
      <c r="G75" s="14" t="n">
        <v>12228</v>
      </c>
      <c r="H75" s="14" t="n">
        <v>10583</v>
      </c>
      <c r="I75" s="16" t="n">
        <v>86.55</v>
      </c>
      <c r="J75" s="14" t="n">
        <v>21072</v>
      </c>
      <c r="K75" s="14" t="n">
        <v>18839</v>
      </c>
      <c r="L75" s="16" t="n">
        <v>89.4</v>
      </c>
    </row>
    <row r="76" customFormat="false" ht="15" hidden="false" customHeight="true" outlineLevel="0" collapsed="false">
      <c r="A76" s="13" t="s">
        <v>653</v>
      </c>
      <c r="B76" s="13" t="n">
        <v>21</v>
      </c>
      <c r="C76" s="13" t="s">
        <v>684</v>
      </c>
      <c r="D76" s="14" t="n">
        <v>1128</v>
      </c>
      <c r="E76" s="14" t="n">
        <v>1067</v>
      </c>
      <c r="F76" s="16" t="n">
        <v>94.59</v>
      </c>
      <c r="G76" s="14" t="n">
        <v>1456</v>
      </c>
      <c r="H76" s="14" t="n">
        <v>1236</v>
      </c>
      <c r="I76" s="16" t="n">
        <v>84.89</v>
      </c>
      <c r="J76" s="14" t="n">
        <v>2584</v>
      </c>
      <c r="K76" s="14" t="n">
        <v>2303</v>
      </c>
      <c r="L76" s="16" t="n">
        <v>89.13</v>
      </c>
    </row>
    <row r="77" customFormat="false" ht="15" hidden="false" customHeight="true" outlineLevel="0" collapsed="false">
      <c r="A77" s="13" t="s">
        <v>653</v>
      </c>
      <c r="B77" s="13" t="n">
        <v>22</v>
      </c>
      <c r="C77" s="13" t="s">
        <v>162</v>
      </c>
      <c r="D77" s="14" t="n">
        <v>1142</v>
      </c>
      <c r="E77" s="14" t="n">
        <v>1123</v>
      </c>
      <c r="F77" s="16" t="n">
        <v>98.34</v>
      </c>
      <c r="G77" s="14" t="n">
        <v>1730</v>
      </c>
      <c r="H77" s="14" t="n">
        <v>1689</v>
      </c>
      <c r="I77" s="16" t="n">
        <v>97.63</v>
      </c>
      <c r="J77" s="14" t="n">
        <v>2872</v>
      </c>
      <c r="K77" s="14" t="n">
        <v>2812</v>
      </c>
      <c r="L77" s="16" t="n">
        <v>97.91</v>
      </c>
    </row>
    <row r="78" customFormat="false" ht="15" hidden="false" customHeight="true" outlineLevel="0" collapsed="false">
      <c r="A78" s="13" t="s">
        <v>653</v>
      </c>
      <c r="B78" s="13" t="n">
        <v>23</v>
      </c>
      <c r="C78" s="13" t="s">
        <v>424</v>
      </c>
      <c r="D78" s="14" t="n">
        <v>2751</v>
      </c>
      <c r="E78" s="14" t="n">
        <v>2694</v>
      </c>
      <c r="F78" s="16" t="n">
        <v>97.93</v>
      </c>
      <c r="G78" s="14" t="n">
        <v>1610</v>
      </c>
      <c r="H78" s="14" t="n">
        <v>1485</v>
      </c>
      <c r="I78" s="16" t="n">
        <v>92.24</v>
      </c>
      <c r="J78" s="14" t="n">
        <v>4361</v>
      </c>
      <c r="K78" s="14" t="n">
        <v>4179</v>
      </c>
      <c r="L78" s="16" t="n">
        <v>95.83</v>
      </c>
    </row>
    <row r="79" customFormat="false" ht="15" hidden="false" customHeight="true" outlineLevel="0" collapsed="false">
      <c r="A79" s="13" t="s">
        <v>653</v>
      </c>
      <c r="B79" s="13" t="n">
        <v>24</v>
      </c>
      <c r="C79" s="13" t="s">
        <v>685</v>
      </c>
      <c r="D79" s="14" t="n">
        <v>440</v>
      </c>
      <c r="E79" s="14" t="n">
        <v>407</v>
      </c>
      <c r="F79" s="16" t="n">
        <v>92.5</v>
      </c>
      <c r="G79" s="14" t="n">
        <v>7</v>
      </c>
      <c r="H79" s="14" t="n">
        <v>1</v>
      </c>
      <c r="I79" s="16" t="n">
        <v>14.29</v>
      </c>
      <c r="J79" s="14" t="n">
        <v>447</v>
      </c>
      <c r="K79" s="14" t="n">
        <v>408</v>
      </c>
      <c r="L79" s="16" t="n">
        <v>91.28</v>
      </c>
    </row>
    <row r="80" customFormat="false" ht="15" hidden="false" customHeight="true" outlineLevel="0" collapsed="false">
      <c r="A80" s="13" t="s">
        <v>653</v>
      </c>
      <c r="B80" s="13" t="n">
        <v>25</v>
      </c>
      <c r="C80" s="13" t="s">
        <v>686</v>
      </c>
      <c r="D80" s="14" t="n">
        <v>437</v>
      </c>
      <c r="E80" s="14" t="n">
        <v>437</v>
      </c>
      <c r="F80" s="16" t="n">
        <v>100</v>
      </c>
      <c r="G80" s="14" t="n">
        <v>4</v>
      </c>
      <c r="H80" s="14" t="n">
        <v>4</v>
      </c>
      <c r="I80" s="16" t="n">
        <v>100</v>
      </c>
      <c r="J80" s="14" t="n">
        <v>441</v>
      </c>
      <c r="K80" s="14" t="n">
        <v>441</v>
      </c>
      <c r="L80" s="16" t="n">
        <v>100</v>
      </c>
    </row>
    <row r="81" customFormat="false" ht="15" hidden="false" customHeight="true" outlineLevel="0" collapsed="false">
      <c r="A81" s="13" t="s">
        <v>653</v>
      </c>
      <c r="B81" s="13" t="n">
        <v>26</v>
      </c>
      <c r="C81" s="13" t="s">
        <v>687</v>
      </c>
      <c r="D81" s="14" t="n">
        <v>1108</v>
      </c>
      <c r="E81" s="14" t="n">
        <v>1102</v>
      </c>
      <c r="F81" s="16" t="n">
        <v>99.46</v>
      </c>
      <c r="G81" s="14" t="n">
        <v>8</v>
      </c>
      <c r="H81" s="14" t="n">
        <v>7</v>
      </c>
      <c r="I81" s="16" t="n">
        <v>87.5</v>
      </c>
      <c r="J81" s="14" t="n">
        <v>1116</v>
      </c>
      <c r="K81" s="14" t="n">
        <v>1109</v>
      </c>
      <c r="L81" s="16" t="n">
        <v>99.37</v>
      </c>
    </row>
    <row r="82" customFormat="false" ht="15" hidden="false" customHeight="true" outlineLevel="0" collapsed="false">
      <c r="A82" s="13" t="s">
        <v>653</v>
      </c>
      <c r="B82" s="13" t="n">
        <v>27</v>
      </c>
      <c r="C82" s="13" t="s">
        <v>688</v>
      </c>
      <c r="D82" s="14" t="n">
        <v>1096</v>
      </c>
      <c r="E82" s="14" t="n">
        <v>1096</v>
      </c>
      <c r="F82" s="16" t="n">
        <v>100</v>
      </c>
      <c r="G82" s="14" t="n">
        <v>4</v>
      </c>
      <c r="H82" s="14" t="n">
        <v>4</v>
      </c>
      <c r="I82" s="16" t="n">
        <v>100</v>
      </c>
      <c r="J82" s="14" t="n">
        <v>1100</v>
      </c>
      <c r="K82" s="14" t="n">
        <v>1100</v>
      </c>
      <c r="L82" s="16" t="n">
        <v>100</v>
      </c>
    </row>
    <row r="83" customFormat="false" ht="15" hidden="false" customHeight="true" outlineLevel="0" collapsed="false">
      <c r="A83" s="13" t="s">
        <v>653</v>
      </c>
      <c r="B83" s="13" t="n">
        <v>28</v>
      </c>
      <c r="C83" s="13" t="s">
        <v>152</v>
      </c>
      <c r="D83" s="14" t="n">
        <v>3141</v>
      </c>
      <c r="E83" s="14" t="n">
        <v>2711</v>
      </c>
      <c r="F83" s="16" t="n">
        <v>86.31</v>
      </c>
      <c r="G83" s="14" t="n">
        <v>1247</v>
      </c>
      <c r="H83" s="14" t="n">
        <v>834</v>
      </c>
      <c r="I83" s="16" t="n">
        <v>66.88</v>
      </c>
      <c r="J83" s="14" t="n">
        <v>4388</v>
      </c>
      <c r="K83" s="14" t="n">
        <v>3545</v>
      </c>
      <c r="L83" s="16" t="n">
        <v>80.79</v>
      </c>
    </row>
    <row r="84" customFormat="false" ht="15" hidden="false" customHeight="true" outlineLevel="0" collapsed="false">
      <c r="A84" s="13" t="s">
        <v>653</v>
      </c>
      <c r="B84" s="13" t="n">
        <v>29</v>
      </c>
      <c r="C84" s="13" t="s">
        <v>689</v>
      </c>
      <c r="D84" s="14" t="n">
        <v>8</v>
      </c>
      <c r="E84" s="14" t="n">
        <v>7</v>
      </c>
      <c r="F84" s="16" t="n">
        <v>87.5</v>
      </c>
      <c r="G84" s="14" t="n">
        <v>8</v>
      </c>
      <c r="H84" s="14" t="n">
        <v>5</v>
      </c>
      <c r="I84" s="16" t="n">
        <v>62.5</v>
      </c>
      <c r="J84" s="14" t="n">
        <v>16</v>
      </c>
      <c r="K84" s="14" t="n">
        <v>12</v>
      </c>
      <c r="L84" s="16" t="n">
        <v>75</v>
      </c>
    </row>
    <row r="85" customFormat="false" ht="15" hidden="false" customHeight="true" outlineLevel="0" collapsed="false">
      <c r="A85" s="13" t="s">
        <v>653</v>
      </c>
      <c r="B85" s="13" t="n">
        <v>30</v>
      </c>
      <c r="C85" s="13" t="s">
        <v>690</v>
      </c>
      <c r="D85" s="14" t="n">
        <v>774</v>
      </c>
      <c r="E85" s="14" t="n">
        <v>745</v>
      </c>
      <c r="F85" s="16" t="n">
        <v>96.25</v>
      </c>
      <c r="G85" s="14" t="n">
        <v>13</v>
      </c>
      <c r="H85" s="14" t="n">
        <v>9</v>
      </c>
      <c r="I85" s="16" t="n">
        <v>69.23</v>
      </c>
      <c r="J85" s="14" t="n">
        <v>787</v>
      </c>
      <c r="K85" s="14" t="n">
        <v>754</v>
      </c>
      <c r="L85" s="16" t="n">
        <v>95.81</v>
      </c>
    </row>
    <row r="86" customFormat="false" ht="15" hidden="false" customHeight="true" outlineLevel="0" collapsed="false">
      <c r="A86" s="13" t="s">
        <v>653</v>
      </c>
      <c r="B86" s="13" t="n">
        <v>31</v>
      </c>
      <c r="C86" s="13" t="s">
        <v>691</v>
      </c>
      <c r="D86" s="14" t="n">
        <v>776</v>
      </c>
      <c r="E86" s="14" t="n">
        <v>770</v>
      </c>
      <c r="F86" s="16" t="n">
        <v>99.23</v>
      </c>
      <c r="G86" s="14" t="n">
        <v>5</v>
      </c>
      <c r="H86" s="14" t="n">
        <v>5</v>
      </c>
      <c r="I86" s="16" t="n">
        <v>100</v>
      </c>
      <c r="J86" s="14" t="n">
        <v>781</v>
      </c>
      <c r="K86" s="14" t="n">
        <v>775</v>
      </c>
      <c r="L86" s="16" t="n">
        <v>99.23</v>
      </c>
    </row>
    <row r="87" customFormat="false" ht="15" hidden="false" customHeight="true" outlineLevel="0" collapsed="false">
      <c r="A87" s="13" t="s">
        <v>653</v>
      </c>
      <c r="B87" s="13" t="n">
        <v>32</v>
      </c>
      <c r="C87" s="13" t="s">
        <v>692</v>
      </c>
      <c r="D87" s="14" t="n">
        <v>4222</v>
      </c>
      <c r="E87" s="14" t="n">
        <v>4151</v>
      </c>
      <c r="F87" s="16" t="n">
        <v>98.32</v>
      </c>
      <c r="G87" s="14" t="n">
        <v>17</v>
      </c>
      <c r="H87" s="14" t="n">
        <v>13</v>
      </c>
      <c r="I87" s="16" t="n">
        <v>76.47</v>
      </c>
      <c r="J87" s="14" t="n">
        <v>4239</v>
      </c>
      <c r="K87" s="14" t="n">
        <v>4164</v>
      </c>
      <c r="L87" s="16" t="n">
        <v>98.23</v>
      </c>
    </row>
    <row r="88" customFormat="false" ht="15" hidden="false" customHeight="true" outlineLevel="0" collapsed="false">
      <c r="A88" s="13" t="s">
        <v>653</v>
      </c>
      <c r="B88" s="13" t="n">
        <v>33</v>
      </c>
      <c r="C88" s="13" t="s">
        <v>693</v>
      </c>
      <c r="D88" s="14" t="n">
        <v>4189</v>
      </c>
      <c r="E88" s="14" t="n">
        <v>4182</v>
      </c>
      <c r="F88" s="16" t="n">
        <v>99.83</v>
      </c>
      <c r="G88" s="14" t="n">
        <v>18</v>
      </c>
      <c r="H88" s="14" t="n">
        <v>18</v>
      </c>
      <c r="I88" s="16" t="n">
        <v>100</v>
      </c>
      <c r="J88" s="14" t="n">
        <v>4207</v>
      </c>
      <c r="K88" s="14" t="n">
        <v>4200</v>
      </c>
      <c r="L88" s="16" t="n">
        <v>99.83</v>
      </c>
    </row>
    <row r="89" customFormat="false" ht="15" hidden="false" customHeight="true" outlineLevel="0" collapsed="false">
      <c r="A89" s="13" t="s">
        <v>653</v>
      </c>
      <c r="B89" s="13" t="n">
        <v>34</v>
      </c>
      <c r="C89" s="13" t="s">
        <v>525</v>
      </c>
      <c r="D89" s="14" t="n">
        <v>624</v>
      </c>
      <c r="E89" s="14" t="n">
        <v>605</v>
      </c>
      <c r="F89" s="16" t="n">
        <v>96.96</v>
      </c>
      <c r="G89" s="14" t="n">
        <v>97</v>
      </c>
      <c r="H89" s="14" t="n">
        <v>77</v>
      </c>
      <c r="I89" s="16" t="n">
        <v>79.38</v>
      </c>
      <c r="J89" s="14" t="n">
        <v>721</v>
      </c>
      <c r="K89" s="14" t="n">
        <v>682</v>
      </c>
      <c r="L89" s="16" t="n">
        <v>94.59</v>
      </c>
    </row>
    <row r="90" customFormat="false" ht="15" hidden="false" customHeight="true" outlineLevel="0" collapsed="false">
      <c r="A90" s="13" t="s">
        <v>653</v>
      </c>
      <c r="B90" s="13" t="n">
        <v>35</v>
      </c>
      <c r="C90" s="13" t="s">
        <v>505</v>
      </c>
      <c r="D90" s="14" t="n">
        <v>532</v>
      </c>
      <c r="E90" s="14" t="n">
        <v>532</v>
      </c>
      <c r="F90" s="16" t="n">
        <v>100</v>
      </c>
      <c r="G90" s="14" t="n">
        <v>141</v>
      </c>
      <c r="H90" s="14" t="n">
        <v>129</v>
      </c>
      <c r="I90" s="16" t="n">
        <v>91.49</v>
      </c>
      <c r="J90" s="14" t="n">
        <v>673</v>
      </c>
      <c r="K90" s="14" t="n">
        <v>661</v>
      </c>
      <c r="L90" s="16" t="n">
        <v>98.22</v>
      </c>
    </row>
    <row r="91" customFormat="false" ht="15" hidden="false" customHeight="true" outlineLevel="0" collapsed="false">
      <c r="A91" s="13" t="s">
        <v>653</v>
      </c>
      <c r="B91" s="13" t="n">
        <v>36</v>
      </c>
      <c r="C91" s="13" t="s">
        <v>694</v>
      </c>
      <c r="D91" s="14" t="n">
        <v>278</v>
      </c>
      <c r="E91" s="14" t="n">
        <v>270</v>
      </c>
      <c r="F91" s="16" t="n">
        <v>97.12</v>
      </c>
      <c r="G91" s="14" t="n">
        <v>0</v>
      </c>
      <c r="H91" s="14" t="n">
        <v>0</v>
      </c>
      <c r="I91" s="16" t="n">
        <v>0</v>
      </c>
      <c r="J91" s="14" t="n">
        <v>278</v>
      </c>
      <c r="K91" s="14" t="n">
        <v>270</v>
      </c>
      <c r="L91" s="16" t="n">
        <v>97.12</v>
      </c>
    </row>
    <row r="92" customFormat="false" ht="15" hidden="false" customHeight="true" outlineLevel="0" collapsed="false">
      <c r="A92" s="13" t="s">
        <v>653</v>
      </c>
      <c r="B92" s="13" t="n">
        <v>37</v>
      </c>
      <c r="C92" s="13" t="s">
        <v>695</v>
      </c>
      <c r="D92" s="14" t="n">
        <v>277</v>
      </c>
      <c r="E92" s="14" t="n">
        <v>277</v>
      </c>
      <c r="F92" s="16" t="n">
        <v>100</v>
      </c>
      <c r="G92" s="14" t="n">
        <v>0</v>
      </c>
      <c r="H92" s="14" t="n">
        <v>0</v>
      </c>
      <c r="I92" s="16" t="n">
        <v>0</v>
      </c>
      <c r="J92" s="14" t="n">
        <v>277</v>
      </c>
      <c r="K92" s="14" t="n">
        <v>277</v>
      </c>
      <c r="L92" s="16" t="n">
        <v>100</v>
      </c>
    </row>
    <row r="93" customFormat="false" ht="15" hidden="false" customHeight="true" outlineLevel="0" collapsed="false">
      <c r="A93" s="13" t="s">
        <v>653</v>
      </c>
      <c r="B93" s="13" t="n">
        <v>38</v>
      </c>
      <c r="C93" s="13" t="s">
        <v>696</v>
      </c>
      <c r="D93" s="14" t="n">
        <v>277</v>
      </c>
      <c r="E93" s="14" t="n">
        <v>273</v>
      </c>
      <c r="F93" s="16" t="n">
        <v>98.56</v>
      </c>
      <c r="G93" s="14" t="n">
        <v>0</v>
      </c>
      <c r="H93" s="14" t="n">
        <v>0</v>
      </c>
      <c r="I93" s="16" t="n">
        <v>0</v>
      </c>
      <c r="J93" s="14" t="n">
        <v>277</v>
      </c>
      <c r="K93" s="14" t="n">
        <v>273</v>
      </c>
      <c r="L93" s="16" t="n">
        <v>98.56</v>
      </c>
    </row>
    <row r="94" customFormat="false" ht="15" hidden="false" customHeight="true" outlineLevel="0" collapsed="false">
      <c r="A94" s="13" t="s">
        <v>653</v>
      </c>
      <c r="B94" s="13" t="n">
        <v>39</v>
      </c>
      <c r="C94" s="13" t="s">
        <v>697</v>
      </c>
      <c r="D94" s="14" t="n">
        <v>277</v>
      </c>
      <c r="E94" s="14" t="n">
        <v>277</v>
      </c>
      <c r="F94" s="16" t="n">
        <v>100</v>
      </c>
      <c r="G94" s="14" t="n">
        <v>0</v>
      </c>
      <c r="H94" s="14" t="n">
        <v>0</v>
      </c>
      <c r="I94" s="16" t="n">
        <v>0</v>
      </c>
      <c r="J94" s="14" t="n">
        <v>277</v>
      </c>
      <c r="K94" s="14" t="n">
        <v>277</v>
      </c>
      <c r="L94" s="16" t="n">
        <v>100</v>
      </c>
    </row>
    <row r="95" customFormat="false" ht="15" hidden="false" customHeight="true" outlineLevel="0" collapsed="false">
      <c r="A95" s="13" t="s">
        <v>653</v>
      </c>
      <c r="B95" s="13" t="n">
        <v>40</v>
      </c>
      <c r="C95" s="13" t="s">
        <v>698</v>
      </c>
      <c r="D95" s="14" t="n">
        <v>276</v>
      </c>
      <c r="E95" s="14" t="n">
        <v>271</v>
      </c>
      <c r="F95" s="16" t="n">
        <v>98.19</v>
      </c>
      <c r="G95" s="14" t="n">
        <v>0</v>
      </c>
      <c r="H95" s="14" t="n">
        <v>0</v>
      </c>
      <c r="I95" s="16" t="n">
        <v>0</v>
      </c>
      <c r="J95" s="14" t="n">
        <v>276</v>
      </c>
      <c r="K95" s="14" t="n">
        <v>271</v>
      </c>
      <c r="L95" s="16" t="n">
        <v>98.19</v>
      </c>
    </row>
    <row r="96" customFormat="false" ht="15" hidden="false" customHeight="true" outlineLevel="0" collapsed="false">
      <c r="A96" s="13" t="s">
        <v>653</v>
      </c>
      <c r="B96" s="13" t="n">
        <v>41</v>
      </c>
      <c r="C96" s="13" t="s">
        <v>699</v>
      </c>
      <c r="D96" s="14" t="n">
        <v>277</v>
      </c>
      <c r="E96" s="14" t="n">
        <v>277</v>
      </c>
      <c r="F96" s="16" t="n">
        <v>100</v>
      </c>
      <c r="G96" s="14" t="n">
        <v>0</v>
      </c>
      <c r="H96" s="14" t="n">
        <v>0</v>
      </c>
      <c r="I96" s="16" t="n">
        <v>0</v>
      </c>
      <c r="J96" s="14" t="n">
        <v>277</v>
      </c>
      <c r="K96" s="14" t="n">
        <v>277</v>
      </c>
      <c r="L96" s="16" t="n">
        <v>100</v>
      </c>
    </row>
    <row r="97" customFormat="false" ht="15" hidden="false" customHeight="true" outlineLevel="0" collapsed="false">
      <c r="A97" s="13" t="s">
        <v>653</v>
      </c>
      <c r="B97" s="13" t="n">
        <v>42</v>
      </c>
      <c r="C97" s="13" t="s">
        <v>700</v>
      </c>
      <c r="D97" s="14" t="n">
        <v>8022</v>
      </c>
      <c r="E97" s="14" t="n">
        <v>7939</v>
      </c>
      <c r="F97" s="16" t="n">
        <v>98.97</v>
      </c>
      <c r="G97" s="14" t="n">
        <v>94</v>
      </c>
      <c r="H97" s="14" t="n">
        <v>69</v>
      </c>
      <c r="I97" s="16" t="n">
        <v>73.4</v>
      </c>
      <c r="J97" s="14" t="n">
        <v>8116</v>
      </c>
      <c r="K97" s="14" t="n">
        <v>8008</v>
      </c>
      <c r="L97" s="16" t="n">
        <v>98.67</v>
      </c>
    </row>
    <row r="98" customFormat="false" ht="15" hidden="false" customHeight="true" outlineLevel="0" collapsed="false">
      <c r="A98" s="13" t="s">
        <v>653</v>
      </c>
      <c r="B98" s="13" t="n">
        <v>43</v>
      </c>
      <c r="C98" s="13" t="s">
        <v>701</v>
      </c>
      <c r="D98" s="14" t="n">
        <v>7987</v>
      </c>
      <c r="E98" s="14" t="n">
        <v>7985</v>
      </c>
      <c r="F98" s="16" t="n">
        <v>99.97</v>
      </c>
      <c r="G98" s="14" t="n">
        <v>65</v>
      </c>
      <c r="H98" s="14" t="n">
        <v>65</v>
      </c>
      <c r="I98" s="16" t="n">
        <v>100</v>
      </c>
      <c r="J98" s="14" t="n">
        <v>8052</v>
      </c>
      <c r="K98" s="14" t="n">
        <v>8050</v>
      </c>
      <c r="L98" s="16" t="n">
        <v>99.98</v>
      </c>
    </row>
    <row r="99" customFormat="false" ht="15" hidden="false" customHeight="true" outlineLevel="0" collapsed="false">
      <c r="A99" s="13" t="s">
        <v>653</v>
      </c>
      <c r="B99" s="13" t="n">
        <v>44</v>
      </c>
      <c r="C99" s="13" t="s">
        <v>702</v>
      </c>
      <c r="D99" s="14" t="n">
        <v>0</v>
      </c>
      <c r="E99" s="14" t="n">
        <v>0</v>
      </c>
      <c r="F99" s="16" t="n">
        <v>0</v>
      </c>
      <c r="G99" s="14" t="n">
        <v>7</v>
      </c>
      <c r="H99" s="14" t="n">
        <v>7</v>
      </c>
      <c r="I99" s="16" t="n">
        <v>100</v>
      </c>
      <c r="J99" s="14" t="n">
        <v>7</v>
      </c>
      <c r="K99" s="14" t="n">
        <v>7</v>
      </c>
      <c r="L99" s="16" t="n">
        <v>100</v>
      </c>
    </row>
    <row r="100" customFormat="false" ht="15" hidden="false" customHeight="true" outlineLevel="0" collapsed="false">
      <c r="A100" s="13" t="s">
        <v>653</v>
      </c>
      <c r="B100" s="13" t="n">
        <v>45</v>
      </c>
      <c r="C100" s="13" t="s">
        <v>703</v>
      </c>
      <c r="D100" s="14" t="n">
        <v>19</v>
      </c>
      <c r="E100" s="14" t="n">
        <v>13</v>
      </c>
      <c r="F100" s="16" t="n">
        <v>68.42</v>
      </c>
      <c r="G100" s="14" t="n">
        <v>0</v>
      </c>
      <c r="H100" s="14" t="n">
        <v>0</v>
      </c>
      <c r="I100" s="16" t="n">
        <v>0</v>
      </c>
      <c r="J100" s="14" t="n">
        <v>19</v>
      </c>
      <c r="K100" s="14" t="n">
        <v>13</v>
      </c>
      <c r="L100" s="16" t="n">
        <v>68.42</v>
      </c>
    </row>
    <row r="101" customFormat="false" ht="15" hidden="false" customHeight="true" outlineLevel="0" collapsed="false">
      <c r="A101" s="13" t="s">
        <v>653</v>
      </c>
      <c r="B101" s="13" t="n">
        <v>46</v>
      </c>
      <c r="C101" s="13" t="s">
        <v>704</v>
      </c>
      <c r="D101" s="14" t="n">
        <v>19</v>
      </c>
      <c r="E101" s="14" t="n">
        <v>19</v>
      </c>
      <c r="F101" s="16" t="n">
        <v>100</v>
      </c>
      <c r="G101" s="14" t="n">
        <v>0</v>
      </c>
      <c r="H101" s="14" t="n">
        <v>0</v>
      </c>
      <c r="I101" s="16" t="n">
        <v>0</v>
      </c>
      <c r="J101" s="14" t="n">
        <v>19</v>
      </c>
      <c r="K101" s="14" t="n">
        <v>19</v>
      </c>
      <c r="L101" s="16" t="n">
        <v>100</v>
      </c>
    </row>
    <row r="102" customFormat="false" ht="15" hidden="false" customHeight="true" outlineLevel="0" collapsed="false">
      <c r="A102" s="13" t="s">
        <v>653</v>
      </c>
      <c r="B102" s="13" t="n">
        <v>47</v>
      </c>
      <c r="C102" s="13" t="s">
        <v>705</v>
      </c>
      <c r="D102" s="14" t="n">
        <v>55</v>
      </c>
      <c r="E102" s="14" t="n">
        <v>55</v>
      </c>
      <c r="F102" s="16" t="n">
        <v>100</v>
      </c>
      <c r="G102" s="14" t="n">
        <v>0</v>
      </c>
      <c r="H102" s="14" t="n">
        <v>0</v>
      </c>
      <c r="I102" s="16" t="n">
        <v>0</v>
      </c>
      <c r="J102" s="14" t="n">
        <v>55</v>
      </c>
      <c r="K102" s="14" t="n">
        <v>55</v>
      </c>
      <c r="L102" s="16" t="n">
        <v>100</v>
      </c>
    </row>
    <row r="103" customFormat="false" ht="15" hidden="false" customHeight="true" outlineLevel="0" collapsed="false">
      <c r="A103" s="13" t="s">
        <v>653</v>
      </c>
      <c r="B103" s="13" t="n">
        <v>48</v>
      </c>
      <c r="C103" s="13" t="s">
        <v>706</v>
      </c>
      <c r="D103" s="14" t="n">
        <v>55</v>
      </c>
      <c r="E103" s="14" t="n">
        <v>55</v>
      </c>
      <c r="F103" s="16" t="n">
        <v>100</v>
      </c>
      <c r="G103" s="14" t="n">
        <v>0</v>
      </c>
      <c r="H103" s="14" t="n">
        <v>0</v>
      </c>
      <c r="I103" s="16" t="n">
        <v>0</v>
      </c>
      <c r="J103" s="14" t="n">
        <v>55</v>
      </c>
      <c r="K103" s="14" t="n">
        <v>55</v>
      </c>
      <c r="L103" s="16" t="n">
        <v>100</v>
      </c>
    </row>
    <row r="104" customFormat="false" ht="15" hidden="false" customHeight="true" outlineLevel="0" collapsed="false">
      <c r="A104" s="13" t="s">
        <v>653</v>
      </c>
      <c r="B104" s="13" t="n">
        <v>49</v>
      </c>
      <c r="C104" s="13" t="s">
        <v>425</v>
      </c>
      <c r="D104" s="14" t="n">
        <v>338</v>
      </c>
      <c r="E104" s="14" t="n">
        <v>315</v>
      </c>
      <c r="F104" s="16" t="n">
        <v>93.2</v>
      </c>
      <c r="G104" s="14" t="n">
        <v>82</v>
      </c>
      <c r="H104" s="14" t="n">
        <v>61</v>
      </c>
      <c r="I104" s="16" t="n">
        <v>74.39</v>
      </c>
      <c r="J104" s="14" t="n">
        <v>420</v>
      </c>
      <c r="K104" s="14" t="n">
        <v>376</v>
      </c>
      <c r="L104" s="16" t="n">
        <v>89.52</v>
      </c>
    </row>
    <row r="105" customFormat="false" ht="15" hidden="false" customHeight="true" outlineLevel="0" collapsed="false">
      <c r="A105" s="13" t="s">
        <v>653</v>
      </c>
      <c r="B105" s="13" t="n">
        <v>50</v>
      </c>
      <c r="C105" s="13" t="s">
        <v>672</v>
      </c>
      <c r="D105" s="14" t="n">
        <v>752</v>
      </c>
      <c r="E105" s="14" t="n">
        <v>545</v>
      </c>
      <c r="F105" s="16" t="n">
        <v>72.47</v>
      </c>
      <c r="G105" s="14" t="n">
        <v>43</v>
      </c>
      <c r="H105" s="14" t="n">
        <v>6</v>
      </c>
      <c r="I105" s="16" t="n">
        <v>13.95</v>
      </c>
      <c r="J105" s="14" t="n">
        <v>795</v>
      </c>
      <c r="K105" s="14" t="n">
        <v>551</v>
      </c>
      <c r="L105" s="16" t="n">
        <v>69.31</v>
      </c>
    </row>
    <row r="106" customFormat="false" ht="15" hidden="false" customHeight="true" outlineLevel="0" collapsed="false">
      <c r="A106" s="13" t="s">
        <v>653</v>
      </c>
      <c r="B106" s="13" t="n">
        <v>51</v>
      </c>
      <c r="C106" s="13" t="s">
        <v>673</v>
      </c>
      <c r="D106" s="14" t="n">
        <v>747</v>
      </c>
      <c r="E106" s="14" t="n">
        <v>720</v>
      </c>
      <c r="F106" s="16" t="n">
        <v>96.39</v>
      </c>
      <c r="G106" s="14" t="n">
        <v>10</v>
      </c>
      <c r="H106" s="14" t="n">
        <v>9</v>
      </c>
      <c r="I106" s="16" t="n">
        <v>90</v>
      </c>
      <c r="J106" s="14" t="n">
        <v>757</v>
      </c>
      <c r="K106" s="14" t="n">
        <v>729</v>
      </c>
      <c r="L106" s="16" t="n">
        <v>96.3</v>
      </c>
    </row>
    <row r="107" customFormat="false" ht="15" hidden="false" customHeight="true" outlineLevel="0" collapsed="false">
      <c r="A107" s="13" t="s">
        <v>653</v>
      </c>
      <c r="B107" s="13" t="n">
        <v>52</v>
      </c>
      <c r="C107" s="13" t="s">
        <v>707</v>
      </c>
      <c r="D107" s="14" t="n">
        <v>1134</v>
      </c>
      <c r="E107" s="14" t="n">
        <v>1004</v>
      </c>
      <c r="F107" s="16" t="n">
        <v>88.54</v>
      </c>
      <c r="G107" s="14" t="n">
        <v>554</v>
      </c>
      <c r="H107" s="14" t="n">
        <v>408</v>
      </c>
      <c r="I107" s="16" t="n">
        <v>73.65</v>
      </c>
      <c r="J107" s="14" t="n">
        <v>1688</v>
      </c>
      <c r="K107" s="14" t="n">
        <v>1412</v>
      </c>
      <c r="L107" s="16" t="n">
        <v>83.65</v>
      </c>
    </row>
    <row r="108" customFormat="false" ht="15" hidden="false" customHeight="true" outlineLevel="0" collapsed="false">
      <c r="A108" s="13" t="s">
        <v>653</v>
      </c>
      <c r="B108" s="13" t="n">
        <v>53</v>
      </c>
      <c r="C108" s="13" t="s">
        <v>708</v>
      </c>
      <c r="D108" s="14" t="n">
        <v>11</v>
      </c>
      <c r="E108" s="14" t="n">
        <v>11</v>
      </c>
      <c r="F108" s="16" t="n">
        <v>100</v>
      </c>
      <c r="G108" s="14" t="n">
        <v>0</v>
      </c>
      <c r="H108" s="14" t="n">
        <v>0</v>
      </c>
      <c r="I108" s="16" t="n">
        <v>0</v>
      </c>
      <c r="J108" s="14" t="n">
        <v>11</v>
      </c>
      <c r="K108" s="14" t="n">
        <v>11</v>
      </c>
      <c r="L108" s="16" t="n">
        <v>100</v>
      </c>
    </row>
    <row r="109" customFormat="false" ht="15" hidden="false" customHeight="true" outlineLevel="0" collapsed="false">
      <c r="A109" s="13" t="s">
        <v>653</v>
      </c>
      <c r="B109" s="13" t="n">
        <v>54</v>
      </c>
      <c r="C109" s="13" t="s">
        <v>709</v>
      </c>
      <c r="D109" s="14" t="n">
        <v>11</v>
      </c>
      <c r="E109" s="14" t="n">
        <v>6</v>
      </c>
      <c r="F109" s="16" t="n">
        <v>54.55</v>
      </c>
      <c r="G109" s="14" t="n">
        <v>0</v>
      </c>
      <c r="H109" s="14" t="n">
        <v>0</v>
      </c>
      <c r="I109" s="16" t="n">
        <v>0</v>
      </c>
      <c r="J109" s="14" t="n">
        <v>11</v>
      </c>
      <c r="K109" s="14" t="n">
        <v>6</v>
      </c>
      <c r="L109" s="16" t="n">
        <v>54.55</v>
      </c>
    </row>
    <row r="110" customFormat="false" ht="15" hidden="false" customHeight="true" outlineLevel="0" collapsed="false">
      <c r="A110" s="13" t="s">
        <v>653</v>
      </c>
      <c r="B110" s="13" t="n">
        <v>55</v>
      </c>
      <c r="C110" s="13" t="s">
        <v>710</v>
      </c>
      <c r="D110" s="14" t="n">
        <v>4</v>
      </c>
      <c r="E110" s="14" t="n">
        <v>4</v>
      </c>
      <c r="F110" s="16" t="n">
        <v>100</v>
      </c>
      <c r="G110" s="14" t="n">
        <v>0</v>
      </c>
      <c r="H110" s="14" t="n">
        <v>0</v>
      </c>
      <c r="I110" s="16" t="n">
        <v>0</v>
      </c>
      <c r="J110" s="14" t="n">
        <v>4</v>
      </c>
      <c r="K110" s="14" t="n">
        <v>4</v>
      </c>
      <c r="L110" s="16" t="n">
        <v>100</v>
      </c>
    </row>
    <row r="111" customFormat="false" ht="15" hidden="false" customHeight="true" outlineLevel="0" collapsed="false">
      <c r="A111" s="13" t="s">
        <v>653</v>
      </c>
      <c r="B111" s="13" t="n">
        <v>56</v>
      </c>
      <c r="C111" s="13" t="s">
        <v>711</v>
      </c>
      <c r="D111" s="14" t="n">
        <v>4</v>
      </c>
      <c r="E111" s="14" t="n">
        <v>4</v>
      </c>
      <c r="F111" s="16" t="n">
        <v>100</v>
      </c>
      <c r="G111" s="14" t="n">
        <v>0</v>
      </c>
      <c r="H111" s="14" t="n">
        <v>0</v>
      </c>
      <c r="I111" s="16" t="n">
        <v>0</v>
      </c>
      <c r="J111" s="14" t="n">
        <v>4</v>
      </c>
      <c r="K111" s="14" t="n">
        <v>4</v>
      </c>
      <c r="L111" s="16" t="n">
        <v>100</v>
      </c>
    </row>
    <row r="112" customFormat="false" ht="15" hidden="false" customHeight="true" outlineLevel="0" collapsed="false">
      <c r="A112" s="13" t="s">
        <v>653</v>
      </c>
      <c r="B112" s="13" t="n">
        <v>57</v>
      </c>
      <c r="C112" s="13" t="s">
        <v>712</v>
      </c>
      <c r="D112" s="14" t="n">
        <v>29</v>
      </c>
      <c r="E112" s="14" t="n">
        <v>29</v>
      </c>
      <c r="F112" s="16" t="n">
        <v>100</v>
      </c>
      <c r="G112" s="14" t="n">
        <v>1</v>
      </c>
      <c r="H112" s="14" t="n">
        <v>1</v>
      </c>
      <c r="I112" s="16" t="n">
        <v>100</v>
      </c>
      <c r="J112" s="14" t="n">
        <v>30</v>
      </c>
      <c r="K112" s="14" t="n">
        <v>30</v>
      </c>
      <c r="L112" s="16" t="n">
        <v>100</v>
      </c>
    </row>
    <row r="113" customFormat="false" ht="15" hidden="false" customHeight="true" outlineLevel="0" collapsed="false">
      <c r="A113" s="13" t="s">
        <v>653</v>
      </c>
      <c r="B113" s="13" t="n">
        <v>58</v>
      </c>
      <c r="C113" s="13" t="s">
        <v>713</v>
      </c>
      <c r="D113" s="14" t="n">
        <v>29</v>
      </c>
      <c r="E113" s="14" t="n">
        <v>29</v>
      </c>
      <c r="F113" s="16" t="n">
        <v>100</v>
      </c>
      <c r="G113" s="14" t="n">
        <v>1</v>
      </c>
      <c r="H113" s="14" t="n">
        <v>1</v>
      </c>
      <c r="I113" s="16" t="n">
        <v>100</v>
      </c>
      <c r="J113" s="14" t="n">
        <v>30</v>
      </c>
      <c r="K113" s="14" t="n">
        <v>30</v>
      </c>
      <c r="L113" s="16" t="n">
        <v>100</v>
      </c>
    </row>
    <row r="114" customFormat="false" ht="15" hidden="false" customHeight="true" outlineLevel="0" collapsed="false">
      <c r="A114" s="13" t="s">
        <v>653</v>
      </c>
      <c r="B114" s="13" t="n">
        <v>59</v>
      </c>
      <c r="C114" s="13" t="s">
        <v>714</v>
      </c>
      <c r="D114" s="14" t="n">
        <v>4</v>
      </c>
      <c r="E114" s="14" t="n">
        <v>4</v>
      </c>
      <c r="F114" s="16" t="n">
        <v>100</v>
      </c>
      <c r="G114" s="14" t="n">
        <v>0</v>
      </c>
      <c r="H114" s="14" t="n">
        <v>0</v>
      </c>
      <c r="I114" s="16" t="n">
        <v>0</v>
      </c>
      <c r="J114" s="14" t="n">
        <v>4</v>
      </c>
      <c r="K114" s="14" t="n">
        <v>4</v>
      </c>
      <c r="L114" s="16" t="n">
        <v>100</v>
      </c>
    </row>
    <row r="115" customFormat="false" ht="15" hidden="false" customHeight="true" outlineLevel="0" collapsed="false">
      <c r="A115" s="13" t="s">
        <v>653</v>
      </c>
      <c r="B115" s="13" t="n">
        <v>60</v>
      </c>
      <c r="C115" s="13" t="s">
        <v>715</v>
      </c>
      <c r="D115" s="14" t="n">
        <v>4</v>
      </c>
      <c r="E115" s="14" t="n">
        <v>4</v>
      </c>
      <c r="F115" s="16" t="n">
        <v>100</v>
      </c>
      <c r="G115" s="14" t="n">
        <v>0</v>
      </c>
      <c r="H115" s="14" t="n">
        <v>0</v>
      </c>
      <c r="I115" s="16" t="n">
        <v>0</v>
      </c>
      <c r="J115" s="14" t="n">
        <v>4</v>
      </c>
      <c r="K115" s="14" t="n">
        <v>4</v>
      </c>
      <c r="L115" s="16" t="n">
        <v>100</v>
      </c>
    </row>
    <row r="116" customFormat="false" ht="15" hidden="false" customHeight="true" outlineLevel="0" collapsed="false">
      <c r="A116" s="13" t="s">
        <v>653</v>
      </c>
      <c r="B116" s="13" t="n">
        <v>61</v>
      </c>
      <c r="C116" s="13" t="s">
        <v>716</v>
      </c>
      <c r="D116" s="14" t="n">
        <v>4</v>
      </c>
      <c r="E116" s="14" t="n">
        <v>4</v>
      </c>
      <c r="F116" s="16" t="n">
        <v>100</v>
      </c>
      <c r="G116" s="14" t="n">
        <v>0</v>
      </c>
      <c r="H116" s="14" t="n">
        <v>0</v>
      </c>
      <c r="I116" s="16" t="n">
        <v>0</v>
      </c>
      <c r="J116" s="14" t="n">
        <v>4</v>
      </c>
      <c r="K116" s="14" t="n">
        <v>4</v>
      </c>
      <c r="L116" s="16" t="n">
        <v>100</v>
      </c>
    </row>
    <row r="117" customFormat="false" ht="15" hidden="false" customHeight="true" outlineLevel="0" collapsed="false">
      <c r="A117" s="13" t="s">
        <v>653</v>
      </c>
      <c r="B117" s="13" t="n">
        <v>62</v>
      </c>
      <c r="C117" s="13" t="s">
        <v>717</v>
      </c>
      <c r="D117" s="14" t="n">
        <v>4</v>
      </c>
      <c r="E117" s="14" t="n">
        <v>4</v>
      </c>
      <c r="F117" s="16" t="n">
        <v>100</v>
      </c>
      <c r="G117" s="14" t="n">
        <v>0</v>
      </c>
      <c r="H117" s="14" t="n">
        <v>0</v>
      </c>
      <c r="I117" s="16" t="n">
        <v>0</v>
      </c>
      <c r="J117" s="14" t="n">
        <v>4</v>
      </c>
      <c r="K117" s="14" t="n">
        <v>4</v>
      </c>
      <c r="L117" s="16" t="n">
        <v>100</v>
      </c>
    </row>
    <row r="118" customFormat="false" ht="15" hidden="false" customHeight="true" outlineLevel="0" collapsed="false">
      <c r="A118" s="13" t="s">
        <v>653</v>
      </c>
      <c r="B118" s="13" t="n">
        <v>63</v>
      </c>
      <c r="C118" s="13" t="s">
        <v>718</v>
      </c>
      <c r="D118" s="14" t="n">
        <v>29</v>
      </c>
      <c r="E118" s="14" t="n">
        <v>29</v>
      </c>
      <c r="F118" s="16" t="n">
        <v>100</v>
      </c>
      <c r="G118" s="14" t="n">
        <v>1</v>
      </c>
      <c r="H118" s="14" t="n">
        <v>1</v>
      </c>
      <c r="I118" s="16" t="n">
        <v>100</v>
      </c>
      <c r="J118" s="14" t="n">
        <v>30</v>
      </c>
      <c r="K118" s="14" t="n">
        <v>30</v>
      </c>
      <c r="L118" s="16" t="n">
        <v>100</v>
      </c>
    </row>
    <row r="119" customFormat="false" ht="15" hidden="false" customHeight="true" outlineLevel="0" collapsed="false">
      <c r="A119" s="13" t="s">
        <v>653</v>
      </c>
      <c r="B119" s="13" t="n">
        <v>64</v>
      </c>
      <c r="C119" s="13" t="s">
        <v>719</v>
      </c>
      <c r="D119" s="14" t="n">
        <v>29</v>
      </c>
      <c r="E119" s="14" t="n">
        <v>29</v>
      </c>
      <c r="F119" s="16" t="n">
        <v>100</v>
      </c>
      <c r="G119" s="14" t="n">
        <v>1</v>
      </c>
      <c r="H119" s="14" t="n">
        <v>1</v>
      </c>
      <c r="I119" s="16" t="n">
        <v>100</v>
      </c>
      <c r="J119" s="14" t="n">
        <v>30</v>
      </c>
      <c r="K119" s="14" t="n">
        <v>30</v>
      </c>
      <c r="L119" s="16" t="n">
        <v>100</v>
      </c>
    </row>
    <row r="120" customFormat="false" ht="15" hidden="false" customHeight="true" outlineLevel="0" collapsed="false">
      <c r="A120" s="13" t="s">
        <v>653</v>
      </c>
      <c r="B120" s="13" t="n">
        <v>65</v>
      </c>
      <c r="C120" s="13" t="s">
        <v>720</v>
      </c>
      <c r="D120" s="14" t="n">
        <v>29</v>
      </c>
      <c r="E120" s="14" t="n">
        <v>29</v>
      </c>
      <c r="F120" s="16" t="n">
        <v>100</v>
      </c>
      <c r="G120" s="14" t="n">
        <v>1</v>
      </c>
      <c r="H120" s="14" t="n">
        <v>1</v>
      </c>
      <c r="I120" s="16" t="n">
        <v>100</v>
      </c>
      <c r="J120" s="14" t="n">
        <v>30</v>
      </c>
      <c r="K120" s="14" t="n">
        <v>30</v>
      </c>
      <c r="L120" s="16" t="n">
        <v>100</v>
      </c>
    </row>
    <row r="121" customFormat="false" ht="15" hidden="false" customHeight="true" outlineLevel="0" collapsed="false">
      <c r="A121" s="13" t="s">
        <v>653</v>
      </c>
      <c r="B121" s="13" t="n">
        <v>66</v>
      </c>
      <c r="C121" s="13" t="s">
        <v>721</v>
      </c>
      <c r="D121" s="14" t="n">
        <v>29</v>
      </c>
      <c r="E121" s="14" t="n">
        <v>29</v>
      </c>
      <c r="F121" s="16" t="n">
        <v>100</v>
      </c>
      <c r="G121" s="14" t="n">
        <v>1</v>
      </c>
      <c r="H121" s="14" t="n">
        <v>1</v>
      </c>
      <c r="I121" s="16" t="n">
        <v>100</v>
      </c>
      <c r="J121" s="14" t="n">
        <v>30</v>
      </c>
      <c r="K121" s="14" t="n">
        <v>30</v>
      </c>
      <c r="L121" s="1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32"/>
    <col collapsed="false" customWidth="true" hidden="false" outlineLevel="0" max="2" min="2" style="13" width="110"/>
  </cols>
  <sheetData>
    <row r="1" customFormat="false" ht="15" hidden="false" customHeight="true" outlineLevel="0" collapsed="false">
      <c r="A1" s="13" t="s">
        <v>722</v>
      </c>
    </row>
    <row r="2" customFormat="false" ht="15" hidden="false" customHeight="true" outlineLevel="0" collapsed="false">
      <c r="A2" s="13" t="s">
        <v>610</v>
      </c>
    </row>
    <row r="4" customFormat="false" ht="15" hidden="false" customHeight="true" outlineLevel="0" collapsed="false">
      <c r="A4" s="13" t="s">
        <v>186</v>
      </c>
      <c r="B4" s="13" t="s">
        <v>357</v>
      </c>
    </row>
    <row r="5" customFormat="false" ht="15" hidden="false" customHeight="true" outlineLevel="0" collapsed="false">
      <c r="A5" s="13" t="s">
        <v>611</v>
      </c>
      <c r="B5" s="13" t="s">
        <v>723</v>
      </c>
    </row>
    <row r="6" customFormat="false" ht="15" hidden="false" customHeight="true" outlineLevel="0" collapsed="false">
      <c r="A6" s="13" t="s">
        <v>613</v>
      </c>
      <c r="B6" s="13" t="s">
        <v>724</v>
      </c>
    </row>
    <row r="7" customFormat="false" ht="15" hidden="false" customHeight="true" outlineLevel="0" collapsed="false">
      <c r="A7" s="13" t="s">
        <v>615</v>
      </c>
      <c r="B7" s="13" t="s">
        <v>725</v>
      </c>
    </row>
    <row r="8" customFormat="false" ht="15" hidden="false" customHeight="true" outlineLevel="0" collapsed="false">
      <c r="A8" s="13" t="s">
        <v>617</v>
      </c>
      <c r="B8" s="13" t="s">
        <v>726</v>
      </c>
    </row>
    <row r="9" customFormat="false" ht="15" hidden="false" customHeight="true" outlineLevel="0" collapsed="false">
      <c r="A9" s="13" t="s">
        <v>619</v>
      </c>
      <c r="B9" s="13" t="s">
        <v>727</v>
      </c>
    </row>
    <row r="10" customFormat="false" ht="15" hidden="false" customHeight="true" outlineLevel="0" collapsed="false">
      <c r="A10" s="13" t="s">
        <v>621</v>
      </c>
      <c r="B10" s="13" t="s">
        <v>622</v>
      </c>
    </row>
    <row r="11" customFormat="false" ht="15" hidden="false" customHeight="true" outlineLevel="0" collapsed="false">
      <c r="A11" s="13" t="s">
        <v>623</v>
      </c>
      <c r="B11" s="13" t="s">
        <v>624</v>
      </c>
    </row>
    <row r="12" customFormat="false" ht="15" hidden="false" customHeight="true" outlineLevel="0" collapsed="false">
      <c r="A12" s="13" t="s">
        <v>625</v>
      </c>
      <c r="B12" s="13" t="s">
        <v>626</v>
      </c>
    </row>
    <row r="13" customFormat="false" ht="15" hidden="false" customHeight="true" outlineLevel="0" collapsed="false">
      <c r="A13" s="13" t="s">
        <v>627</v>
      </c>
      <c r="B13" s="13" t="s">
        <v>728</v>
      </c>
    </row>
    <row r="14" customFormat="false" ht="15" hidden="false" customHeight="true" outlineLevel="0" collapsed="false">
      <c r="A14" s="13" t="s">
        <v>629</v>
      </c>
      <c r="B14" s="13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6"/>
    <col collapsed="false" customWidth="true" hidden="false" outlineLevel="0" max="2" min="2" style="13" width="12"/>
    <col collapsed="false" customWidth="true" hidden="false" outlineLevel="0" max="3" min="3" style="13" width="18"/>
    <col collapsed="false" customWidth="true" hidden="false" outlineLevel="0" max="21" min="4" style="13" width="12"/>
  </cols>
  <sheetData>
    <row r="1" customFormat="false" ht="15" hidden="false" customHeight="true" outlineLevel="0" collapsed="false">
      <c r="A1" s="13" t="s">
        <v>729</v>
      </c>
    </row>
    <row r="2" customFormat="false" ht="15" hidden="false" customHeight="true" outlineLevel="0" collapsed="false">
      <c r="A2" s="13" t="s">
        <v>730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187</v>
      </c>
      <c r="D4" s="13" t="s">
        <v>373</v>
      </c>
      <c r="E4" s="13" t="s">
        <v>4</v>
      </c>
      <c r="F4" s="13" t="s">
        <v>5</v>
      </c>
      <c r="G4" s="13" t="s">
        <v>6</v>
      </c>
      <c r="H4" s="13" t="s">
        <v>633</v>
      </c>
      <c r="I4" s="13" t="s">
        <v>634</v>
      </c>
      <c r="J4" s="13" t="s">
        <v>635</v>
      </c>
      <c r="K4" s="13" t="s">
        <v>636</v>
      </c>
      <c r="L4" s="13" t="s">
        <v>637</v>
      </c>
      <c r="M4" s="13" t="s">
        <v>638</v>
      </c>
      <c r="N4" s="13" t="s">
        <v>639</v>
      </c>
      <c r="O4" s="13" t="s">
        <v>640</v>
      </c>
      <c r="P4" s="13" t="s">
        <v>641</v>
      </c>
      <c r="Q4" s="13" t="s">
        <v>642</v>
      </c>
      <c r="R4" s="13" t="s">
        <v>643</v>
      </c>
      <c r="S4" s="13" t="s">
        <v>644</v>
      </c>
      <c r="T4" s="13" t="s">
        <v>645</v>
      </c>
      <c r="U4" s="13" t="s">
        <v>646</v>
      </c>
    </row>
    <row r="5" customFormat="false" ht="15" hidden="false" customHeight="true" outlineLevel="0" collapsed="false">
      <c r="A5" s="13" t="s">
        <v>123</v>
      </c>
      <c r="B5" s="13" t="s">
        <v>647</v>
      </c>
      <c r="C5" s="13" t="s">
        <v>648</v>
      </c>
      <c r="D5" s="14" t="n">
        <v>2332</v>
      </c>
      <c r="E5" s="14" t="n">
        <v>2319</v>
      </c>
      <c r="F5" s="14" t="n">
        <v>1644</v>
      </c>
      <c r="G5" s="16" t="n">
        <v>70.89</v>
      </c>
      <c r="H5" s="14" t="n">
        <v>478</v>
      </c>
      <c r="I5" s="16" t="n">
        <v>29.08</v>
      </c>
      <c r="J5" s="14" t="n">
        <v>345</v>
      </c>
      <c r="K5" s="16" t="n">
        <v>20.99</v>
      </c>
      <c r="L5" s="14" t="n">
        <v>420</v>
      </c>
      <c r="M5" s="16" t="n">
        <v>25.55</v>
      </c>
      <c r="N5" s="14" t="n">
        <v>349</v>
      </c>
      <c r="O5" s="16" t="n">
        <v>21.23</v>
      </c>
      <c r="P5" s="14" t="n">
        <v>52</v>
      </c>
      <c r="Q5" s="16" t="n">
        <v>3.16</v>
      </c>
      <c r="R5" s="14" t="n">
        <v>0</v>
      </c>
      <c r="S5" s="16" t="n">
        <v>0</v>
      </c>
      <c r="T5" s="14" t="n">
        <v>0</v>
      </c>
      <c r="U5" s="14" t="n">
        <v>0</v>
      </c>
    </row>
    <row r="6" customFormat="false" ht="15" hidden="false" customHeight="true" outlineLevel="0" collapsed="false">
      <c r="A6" s="13" t="s">
        <v>123</v>
      </c>
      <c r="B6" s="13" t="s">
        <v>647</v>
      </c>
      <c r="C6" s="13" t="s">
        <v>649</v>
      </c>
      <c r="D6" s="14" t="n">
        <v>4657</v>
      </c>
      <c r="E6" s="14" t="n">
        <v>4606</v>
      </c>
      <c r="F6" s="14" t="n">
        <v>3529</v>
      </c>
      <c r="G6" s="16" t="n">
        <v>76.62</v>
      </c>
      <c r="H6" s="14" t="n">
        <v>815</v>
      </c>
      <c r="I6" s="16" t="n">
        <v>23.09</v>
      </c>
      <c r="J6" s="14" t="n">
        <v>812</v>
      </c>
      <c r="K6" s="16" t="n">
        <v>23.01</v>
      </c>
      <c r="L6" s="14" t="n">
        <v>1005</v>
      </c>
      <c r="M6" s="16" t="n">
        <v>28.48</v>
      </c>
      <c r="N6" s="14" t="n">
        <v>801</v>
      </c>
      <c r="O6" s="16" t="n">
        <v>22.7</v>
      </c>
      <c r="P6" s="14" t="n">
        <v>96</v>
      </c>
      <c r="Q6" s="16" t="n">
        <v>2.72</v>
      </c>
      <c r="R6" s="14" t="n">
        <v>0</v>
      </c>
      <c r="S6" s="16" t="n">
        <v>0</v>
      </c>
      <c r="T6" s="14" t="n">
        <v>0</v>
      </c>
      <c r="U6" s="14" t="n">
        <v>0</v>
      </c>
    </row>
    <row r="7" customFormat="false" ht="15" hidden="false" customHeight="true" outlineLevel="0" collapsed="false">
      <c r="A7" s="13" t="s">
        <v>123</v>
      </c>
      <c r="B7" s="13" t="s">
        <v>647</v>
      </c>
      <c r="C7" s="13" t="s">
        <v>125</v>
      </c>
      <c r="D7" s="14" t="n">
        <v>2532</v>
      </c>
      <c r="E7" s="14" t="n">
        <v>2315</v>
      </c>
      <c r="F7" s="14" t="n">
        <v>1224</v>
      </c>
      <c r="G7" s="16" t="n">
        <v>52.87</v>
      </c>
      <c r="H7" s="14" t="n">
        <v>530</v>
      </c>
      <c r="I7" s="16" t="n">
        <v>43.3</v>
      </c>
      <c r="J7" s="14" t="n">
        <v>76</v>
      </c>
      <c r="K7" s="16" t="n">
        <v>6.21</v>
      </c>
      <c r="L7" s="14" t="n">
        <v>107</v>
      </c>
      <c r="M7" s="16" t="n">
        <v>8.74</v>
      </c>
      <c r="N7" s="14" t="n">
        <v>271</v>
      </c>
      <c r="O7" s="16" t="n">
        <v>22.14</v>
      </c>
      <c r="P7" s="14" t="n">
        <v>232</v>
      </c>
      <c r="Q7" s="16" t="n">
        <v>18.95</v>
      </c>
      <c r="R7" s="14" t="n">
        <v>8</v>
      </c>
      <c r="S7" s="16" t="n">
        <v>0.65</v>
      </c>
      <c r="T7" s="14" t="n">
        <v>31</v>
      </c>
      <c r="U7" s="14" t="n">
        <v>6</v>
      </c>
    </row>
    <row r="8" customFormat="false" ht="15" hidden="false" customHeight="true" outlineLevel="0" collapsed="false">
      <c r="A8" s="13" t="s">
        <v>123</v>
      </c>
      <c r="B8" s="13" t="s">
        <v>647</v>
      </c>
      <c r="C8" s="13" t="s">
        <v>650</v>
      </c>
      <c r="D8" s="14" t="n">
        <v>9521</v>
      </c>
      <c r="E8" s="14" t="n">
        <v>9240</v>
      </c>
      <c r="F8" s="14" t="n">
        <v>6397</v>
      </c>
      <c r="G8" s="16" t="n">
        <v>69.23</v>
      </c>
      <c r="H8" s="14" t="n">
        <v>1823</v>
      </c>
      <c r="I8" s="16" t="n">
        <v>28.5</v>
      </c>
      <c r="J8" s="14" t="n">
        <v>1233</v>
      </c>
      <c r="K8" s="16" t="n">
        <v>19.27</v>
      </c>
      <c r="L8" s="14" t="n">
        <v>1532</v>
      </c>
      <c r="M8" s="16" t="n">
        <v>23.95</v>
      </c>
      <c r="N8" s="14" t="n">
        <v>1421</v>
      </c>
      <c r="O8" s="16" t="n">
        <v>22.21</v>
      </c>
      <c r="P8" s="14" t="n">
        <v>380</v>
      </c>
      <c r="Q8" s="16" t="n">
        <v>5.94</v>
      </c>
      <c r="R8" s="14" t="n">
        <v>8</v>
      </c>
      <c r="S8" s="16" t="n">
        <v>0.13</v>
      </c>
      <c r="T8" s="14" t="n">
        <v>31</v>
      </c>
      <c r="U8" s="14" t="n">
        <v>6</v>
      </c>
    </row>
    <row r="9" customFormat="false" ht="15" hidden="false" customHeight="true" outlineLevel="0" collapsed="false">
      <c r="A9" s="13" t="s">
        <v>123</v>
      </c>
      <c r="B9" s="13" t="s">
        <v>651</v>
      </c>
      <c r="C9" s="13" t="s">
        <v>648</v>
      </c>
      <c r="D9" s="14" t="n">
        <v>9000</v>
      </c>
      <c r="E9" s="14" t="n">
        <v>8956</v>
      </c>
      <c r="F9" s="14" t="n">
        <v>7227</v>
      </c>
      <c r="G9" s="16" t="n">
        <v>80.69</v>
      </c>
      <c r="H9" s="14" t="n">
        <v>1509</v>
      </c>
      <c r="I9" s="16" t="n">
        <v>20.88</v>
      </c>
      <c r="J9" s="14" t="n">
        <v>1756</v>
      </c>
      <c r="K9" s="16" t="n">
        <v>24.3</v>
      </c>
      <c r="L9" s="14" t="n">
        <v>2159</v>
      </c>
      <c r="M9" s="16" t="n">
        <v>29.87</v>
      </c>
      <c r="N9" s="14" t="n">
        <v>1635</v>
      </c>
      <c r="O9" s="16" t="n">
        <v>22.62</v>
      </c>
      <c r="P9" s="14" t="n">
        <v>168</v>
      </c>
      <c r="Q9" s="16" t="n">
        <v>2.32</v>
      </c>
      <c r="R9" s="14" t="n">
        <v>0</v>
      </c>
      <c r="S9" s="16" t="n">
        <v>0</v>
      </c>
      <c r="T9" s="14" t="n">
        <v>0</v>
      </c>
      <c r="U9" s="14" t="n">
        <v>0</v>
      </c>
    </row>
    <row r="10" customFormat="false" ht="15" hidden="false" customHeight="true" outlineLevel="0" collapsed="false">
      <c r="A10" s="13" t="s">
        <v>123</v>
      </c>
      <c r="B10" s="13" t="s">
        <v>651</v>
      </c>
      <c r="C10" s="13" t="s">
        <v>649</v>
      </c>
      <c r="D10" s="14" t="n">
        <v>16083</v>
      </c>
      <c r="E10" s="14" t="n">
        <v>15959</v>
      </c>
      <c r="F10" s="14" t="n">
        <v>13565</v>
      </c>
      <c r="G10" s="16" t="n">
        <v>85</v>
      </c>
      <c r="H10" s="14" t="n">
        <v>3457</v>
      </c>
      <c r="I10" s="16" t="n">
        <v>25.48</v>
      </c>
      <c r="J10" s="14" t="n">
        <v>3723</v>
      </c>
      <c r="K10" s="16" t="n">
        <v>27.45</v>
      </c>
      <c r="L10" s="14" t="n">
        <v>3816</v>
      </c>
      <c r="M10" s="16" t="n">
        <v>28.13</v>
      </c>
      <c r="N10" s="14" t="n">
        <v>2334</v>
      </c>
      <c r="O10" s="16" t="n">
        <v>17.21</v>
      </c>
      <c r="P10" s="14" t="n">
        <v>235</v>
      </c>
      <c r="Q10" s="16" t="n">
        <v>1.73</v>
      </c>
      <c r="R10" s="14" t="n">
        <v>0</v>
      </c>
      <c r="S10" s="16" t="n">
        <v>0</v>
      </c>
      <c r="T10" s="14" t="n">
        <v>0</v>
      </c>
      <c r="U10" s="14" t="n">
        <v>0</v>
      </c>
    </row>
    <row r="11" customFormat="false" ht="15" hidden="false" customHeight="true" outlineLevel="0" collapsed="false">
      <c r="A11" s="13" t="s">
        <v>123</v>
      </c>
      <c r="B11" s="13" t="s">
        <v>651</v>
      </c>
      <c r="C11" s="13" t="s">
        <v>125</v>
      </c>
      <c r="D11" s="14" t="n">
        <v>5014</v>
      </c>
      <c r="E11" s="14" t="n">
        <v>4713</v>
      </c>
      <c r="F11" s="14" t="n">
        <v>3180</v>
      </c>
      <c r="G11" s="16" t="n">
        <v>67.47</v>
      </c>
      <c r="H11" s="14" t="n">
        <v>1402</v>
      </c>
      <c r="I11" s="16" t="n">
        <v>44.09</v>
      </c>
      <c r="J11" s="14" t="n">
        <v>352</v>
      </c>
      <c r="K11" s="16" t="n">
        <v>11.07</v>
      </c>
      <c r="L11" s="14" t="n">
        <v>283</v>
      </c>
      <c r="M11" s="16" t="n">
        <v>8.9</v>
      </c>
      <c r="N11" s="14" t="n">
        <v>715</v>
      </c>
      <c r="O11" s="16" t="n">
        <v>22.48</v>
      </c>
      <c r="P11" s="14" t="n">
        <v>415</v>
      </c>
      <c r="Q11" s="16" t="n">
        <v>13.05</v>
      </c>
      <c r="R11" s="14" t="n">
        <v>13</v>
      </c>
      <c r="S11" s="16" t="n">
        <v>0.41</v>
      </c>
      <c r="T11" s="14" t="n">
        <v>35</v>
      </c>
      <c r="U11" s="14" t="n">
        <v>11</v>
      </c>
    </row>
    <row r="12" customFormat="false" ht="15" hidden="false" customHeight="true" outlineLevel="0" collapsed="false">
      <c r="A12" s="13" t="s">
        <v>123</v>
      </c>
      <c r="B12" s="13" t="s">
        <v>651</v>
      </c>
      <c r="C12" s="13" t="s">
        <v>650</v>
      </c>
      <c r="D12" s="14" t="n">
        <v>30097</v>
      </c>
      <c r="E12" s="14" t="n">
        <v>29628</v>
      </c>
      <c r="F12" s="14" t="n">
        <v>23972</v>
      </c>
      <c r="G12" s="16" t="n">
        <v>80.91</v>
      </c>
      <c r="H12" s="14" t="n">
        <v>6368</v>
      </c>
      <c r="I12" s="16" t="n">
        <v>26.56</v>
      </c>
      <c r="J12" s="14" t="n">
        <v>5831</v>
      </c>
      <c r="K12" s="16" t="n">
        <v>24.32</v>
      </c>
      <c r="L12" s="14" t="n">
        <v>6258</v>
      </c>
      <c r="M12" s="16" t="n">
        <v>26.11</v>
      </c>
      <c r="N12" s="14" t="n">
        <v>4684</v>
      </c>
      <c r="O12" s="16" t="n">
        <v>19.54</v>
      </c>
      <c r="P12" s="14" t="n">
        <v>818</v>
      </c>
      <c r="Q12" s="16" t="n">
        <v>3.41</v>
      </c>
      <c r="R12" s="14" t="n">
        <v>13</v>
      </c>
      <c r="S12" s="16" t="n">
        <v>0.05</v>
      </c>
      <c r="T12" s="14" t="n">
        <v>35</v>
      </c>
      <c r="U12" s="14" t="n">
        <v>11</v>
      </c>
    </row>
    <row r="13" customFormat="false" ht="15" hidden="false" customHeight="true" outlineLevel="0" collapsed="false">
      <c r="A13" s="13" t="s">
        <v>123</v>
      </c>
      <c r="B13" s="13" t="s">
        <v>192</v>
      </c>
      <c r="C13" s="13" t="s">
        <v>648</v>
      </c>
      <c r="D13" s="14" t="n">
        <v>11332</v>
      </c>
      <c r="E13" s="14" t="n">
        <v>11275</v>
      </c>
      <c r="F13" s="14" t="n">
        <v>8871</v>
      </c>
      <c r="G13" s="16" t="n">
        <v>78.68</v>
      </c>
      <c r="H13" s="14" t="n">
        <v>1987</v>
      </c>
      <c r="I13" s="16" t="n">
        <v>22.4</v>
      </c>
      <c r="J13" s="14" t="n">
        <v>2101</v>
      </c>
      <c r="K13" s="16" t="n">
        <v>23.68</v>
      </c>
      <c r="L13" s="14" t="n">
        <v>2579</v>
      </c>
      <c r="M13" s="16" t="n">
        <v>29.07</v>
      </c>
      <c r="N13" s="14" t="n">
        <v>1984</v>
      </c>
      <c r="O13" s="16" t="n">
        <v>22.37</v>
      </c>
      <c r="P13" s="14" t="n">
        <v>220</v>
      </c>
      <c r="Q13" s="16" t="n">
        <v>2.48</v>
      </c>
      <c r="R13" s="14" t="n">
        <v>0</v>
      </c>
      <c r="S13" s="16" t="n">
        <v>0</v>
      </c>
      <c r="T13" s="14" t="n">
        <v>0</v>
      </c>
      <c r="U13" s="14" t="n">
        <v>0</v>
      </c>
    </row>
    <row r="14" customFormat="false" ht="15" hidden="false" customHeight="true" outlineLevel="0" collapsed="false">
      <c r="A14" s="13" t="s">
        <v>123</v>
      </c>
      <c r="B14" s="13" t="s">
        <v>192</v>
      </c>
      <c r="C14" s="13" t="s">
        <v>649</v>
      </c>
      <c r="D14" s="14" t="n">
        <v>20740</v>
      </c>
      <c r="E14" s="14" t="n">
        <v>20565</v>
      </c>
      <c r="F14" s="14" t="n">
        <v>17094</v>
      </c>
      <c r="G14" s="16" t="n">
        <v>83.12</v>
      </c>
      <c r="H14" s="14" t="n">
        <v>4272</v>
      </c>
      <c r="I14" s="16" t="n">
        <v>24.99</v>
      </c>
      <c r="J14" s="14" t="n">
        <v>4535</v>
      </c>
      <c r="K14" s="16" t="n">
        <v>26.53</v>
      </c>
      <c r="L14" s="14" t="n">
        <v>4821</v>
      </c>
      <c r="M14" s="16" t="n">
        <v>28.2</v>
      </c>
      <c r="N14" s="14" t="n">
        <v>3135</v>
      </c>
      <c r="O14" s="16" t="n">
        <v>18.34</v>
      </c>
      <c r="P14" s="14" t="n">
        <v>331</v>
      </c>
      <c r="Q14" s="16" t="n">
        <v>1.94</v>
      </c>
      <c r="R14" s="14" t="n">
        <v>0</v>
      </c>
      <c r="S14" s="16" t="n">
        <v>0</v>
      </c>
      <c r="T14" s="14" t="n">
        <v>0</v>
      </c>
      <c r="U14" s="14" t="n">
        <v>0</v>
      </c>
    </row>
    <row r="15" customFormat="false" ht="15" hidden="false" customHeight="true" outlineLevel="0" collapsed="false">
      <c r="A15" s="13" t="s">
        <v>123</v>
      </c>
      <c r="B15" s="13" t="s">
        <v>192</v>
      </c>
      <c r="C15" s="13" t="s">
        <v>125</v>
      </c>
      <c r="D15" s="14" t="n">
        <v>7546</v>
      </c>
      <c r="E15" s="14" t="n">
        <v>7028</v>
      </c>
      <c r="F15" s="14" t="n">
        <v>4404</v>
      </c>
      <c r="G15" s="16" t="n">
        <v>62.66</v>
      </c>
      <c r="H15" s="14" t="n">
        <v>1932</v>
      </c>
      <c r="I15" s="16" t="n">
        <v>43.87</v>
      </c>
      <c r="J15" s="14" t="n">
        <v>428</v>
      </c>
      <c r="K15" s="16" t="n">
        <v>9.72</v>
      </c>
      <c r="L15" s="14" t="n">
        <v>390</v>
      </c>
      <c r="M15" s="16" t="n">
        <v>8.86</v>
      </c>
      <c r="N15" s="14" t="n">
        <v>986</v>
      </c>
      <c r="O15" s="16" t="n">
        <v>22.39</v>
      </c>
      <c r="P15" s="14" t="n">
        <v>647</v>
      </c>
      <c r="Q15" s="16" t="n">
        <v>14.69</v>
      </c>
      <c r="R15" s="14" t="n">
        <v>21</v>
      </c>
      <c r="S15" s="16" t="n">
        <v>0.48</v>
      </c>
      <c r="T15" s="14" t="n">
        <v>66</v>
      </c>
      <c r="U15" s="14" t="n">
        <v>17</v>
      </c>
    </row>
    <row r="16" customFormat="false" ht="15" hidden="false" customHeight="true" outlineLevel="0" collapsed="false">
      <c r="A16" s="13" t="s">
        <v>123</v>
      </c>
      <c r="B16" s="13" t="s">
        <v>192</v>
      </c>
      <c r="C16" s="13" t="s">
        <v>652</v>
      </c>
      <c r="D16" s="14" t="n">
        <v>39618</v>
      </c>
      <c r="E16" s="14" t="n">
        <v>38868</v>
      </c>
      <c r="F16" s="14" t="n">
        <v>30369</v>
      </c>
      <c r="G16" s="16" t="n">
        <v>78.13</v>
      </c>
      <c r="H16" s="14" t="n">
        <v>8191</v>
      </c>
      <c r="I16" s="16" t="n">
        <v>26.97</v>
      </c>
      <c r="J16" s="14" t="n">
        <v>7064</v>
      </c>
      <c r="K16" s="16" t="n">
        <v>23.26</v>
      </c>
      <c r="L16" s="14" t="n">
        <v>7790</v>
      </c>
      <c r="M16" s="16" t="n">
        <v>25.65</v>
      </c>
      <c r="N16" s="14" t="n">
        <v>6105</v>
      </c>
      <c r="O16" s="16" t="n">
        <v>20.1</v>
      </c>
      <c r="P16" s="14" t="n">
        <v>1198</v>
      </c>
      <c r="Q16" s="16" t="n">
        <v>3.94</v>
      </c>
      <c r="R16" s="14" t="n">
        <v>21</v>
      </c>
      <c r="S16" s="16" t="n">
        <v>0.07</v>
      </c>
      <c r="T16" s="14" t="n">
        <v>66</v>
      </c>
      <c r="U16" s="14" t="n">
        <v>17</v>
      </c>
    </row>
    <row r="17" customFormat="false" ht="15" hidden="false" customHeight="true" outlineLevel="0" collapsed="false">
      <c r="A17" s="13" t="s">
        <v>126</v>
      </c>
      <c r="B17" s="13" t="s">
        <v>647</v>
      </c>
      <c r="C17" s="13" t="s">
        <v>648</v>
      </c>
      <c r="D17" s="14" t="n">
        <v>1551</v>
      </c>
      <c r="E17" s="14" t="n">
        <v>1545</v>
      </c>
      <c r="F17" s="14" t="n">
        <v>1196</v>
      </c>
      <c r="G17" s="16" t="n">
        <v>77.41</v>
      </c>
      <c r="H17" s="14" t="n">
        <v>257</v>
      </c>
      <c r="I17" s="16" t="n">
        <v>21.49</v>
      </c>
      <c r="J17" s="14" t="n">
        <v>305</v>
      </c>
      <c r="K17" s="16" t="n">
        <v>25.5</v>
      </c>
      <c r="L17" s="14" t="n">
        <v>305</v>
      </c>
      <c r="M17" s="16" t="n">
        <v>25.5</v>
      </c>
      <c r="N17" s="14" t="n">
        <v>267</v>
      </c>
      <c r="O17" s="16" t="n">
        <v>22.32</v>
      </c>
      <c r="P17" s="14" t="n">
        <v>62</v>
      </c>
      <c r="Q17" s="16" t="n">
        <v>5.18</v>
      </c>
      <c r="R17" s="14" t="n">
        <v>0</v>
      </c>
      <c r="S17" s="16" t="n">
        <v>0</v>
      </c>
      <c r="T17" s="14" t="n">
        <v>0</v>
      </c>
      <c r="U17" s="14" t="n">
        <v>0</v>
      </c>
    </row>
    <row r="18" customFormat="false" ht="15" hidden="false" customHeight="true" outlineLevel="0" collapsed="false">
      <c r="A18" s="13" t="s">
        <v>126</v>
      </c>
      <c r="B18" s="13" t="s">
        <v>647</v>
      </c>
      <c r="C18" s="13" t="s">
        <v>649</v>
      </c>
      <c r="D18" s="14" t="n">
        <v>2977</v>
      </c>
      <c r="E18" s="14" t="n">
        <v>2965</v>
      </c>
      <c r="F18" s="14" t="n">
        <v>2479</v>
      </c>
      <c r="G18" s="16" t="n">
        <v>83.61</v>
      </c>
      <c r="H18" s="14" t="n">
        <v>373</v>
      </c>
      <c r="I18" s="16" t="n">
        <v>15.05</v>
      </c>
      <c r="J18" s="14" t="n">
        <v>625</v>
      </c>
      <c r="K18" s="16" t="n">
        <v>25.21</v>
      </c>
      <c r="L18" s="14" t="n">
        <v>752</v>
      </c>
      <c r="M18" s="16" t="n">
        <v>30.33</v>
      </c>
      <c r="N18" s="14" t="n">
        <v>608</v>
      </c>
      <c r="O18" s="16" t="n">
        <v>24.53</v>
      </c>
      <c r="P18" s="14" t="n">
        <v>121</v>
      </c>
      <c r="Q18" s="16" t="n">
        <v>4.88</v>
      </c>
      <c r="R18" s="14" t="n">
        <v>0</v>
      </c>
      <c r="S18" s="16" t="n">
        <v>0</v>
      </c>
      <c r="T18" s="14" t="n">
        <v>0</v>
      </c>
      <c r="U18" s="14" t="n">
        <v>0</v>
      </c>
    </row>
    <row r="19" customFormat="false" ht="15" hidden="false" customHeight="true" outlineLevel="0" collapsed="false">
      <c r="A19" s="13" t="s">
        <v>126</v>
      </c>
      <c r="B19" s="13" t="s">
        <v>647</v>
      </c>
      <c r="C19" s="13" t="s">
        <v>125</v>
      </c>
      <c r="D19" s="14" t="n">
        <v>1167</v>
      </c>
      <c r="E19" s="14" t="n">
        <v>1056</v>
      </c>
      <c r="F19" s="14" t="n">
        <v>433</v>
      </c>
      <c r="G19" s="16" t="n">
        <v>41</v>
      </c>
      <c r="H19" s="14" t="n">
        <v>5</v>
      </c>
      <c r="I19" s="16" t="n">
        <v>1.15</v>
      </c>
      <c r="J19" s="14" t="n">
        <v>13</v>
      </c>
      <c r="K19" s="16" t="n">
        <v>3</v>
      </c>
      <c r="L19" s="14" t="n">
        <v>53</v>
      </c>
      <c r="M19" s="16" t="n">
        <v>12.24</v>
      </c>
      <c r="N19" s="14" t="n">
        <v>165</v>
      </c>
      <c r="O19" s="16" t="n">
        <v>38.11</v>
      </c>
      <c r="P19" s="14" t="n">
        <v>187</v>
      </c>
      <c r="Q19" s="16" t="n">
        <v>43.19</v>
      </c>
      <c r="R19" s="14" t="n">
        <v>10</v>
      </c>
      <c r="S19" s="16" t="n">
        <v>2.31</v>
      </c>
      <c r="T19" s="14" t="n">
        <v>82</v>
      </c>
      <c r="U19" s="14" t="n">
        <v>64</v>
      </c>
    </row>
    <row r="20" customFormat="false" ht="15" hidden="false" customHeight="true" outlineLevel="0" collapsed="false">
      <c r="A20" s="13" t="s">
        <v>126</v>
      </c>
      <c r="B20" s="13" t="s">
        <v>647</v>
      </c>
      <c r="C20" s="13" t="s">
        <v>650</v>
      </c>
      <c r="D20" s="14" t="n">
        <v>5695</v>
      </c>
      <c r="E20" s="14" t="n">
        <v>5566</v>
      </c>
      <c r="F20" s="14" t="n">
        <v>4108</v>
      </c>
      <c r="G20" s="16" t="n">
        <v>73.81</v>
      </c>
      <c r="H20" s="14" t="n">
        <v>635</v>
      </c>
      <c r="I20" s="16" t="n">
        <v>15.46</v>
      </c>
      <c r="J20" s="14" t="n">
        <v>943</v>
      </c>
      <c r="K20" s="16" t="n">
        <v>22.96</v>
      </c>
      <c r="L20" s="14" t="n">
        <v>1110</v>
      </c>
      <c r="M20" s="16" t="n">
        <v>27.02</v>
      </c>
      <c r="N20" s="14" t="n">
        <v>1040</v>
      </c>
      <c r="O20" s="16" t="n">
        <v>25.32</v>
      </c>
      <c r="P20" s="14" t="n">
        <v>370</v>
      </c>
      <c r="Q20" s="16" t="n">
        <v>9.01</v>
      </c>
      <c r="R20" s="14" t="n">
        <v>10</v>
      </c>
      <c r="S20" s="16" t="n">
        <v>0.24</v>
      </c>
      <c r="T20" s="14" t="n">
        <v>82</v>
      </c>
      <c r="U20" s="14" t="n">
        <v>64</v>
      </c>
    </row>
    <row r="21" customFormat="false" ht="15" hidden="false" customHeight="true" outlineLevel="0" collapsed="false">
      <c r="A21" s="13" t="s">
        <v>126</v>
      </c>
      <c r="B21" s="13" t="s">
        <v>651</v>
      </c>
      <c r="C21" s="13" t="s">
        <v>648</v>
      </c>
      <c r="D21" s="14" t="n">
        <v>1238</v>
      </c>
      <c r="E21" s="14" t="n">
        <v>1234</v>
      </c>
      <c r="F21" s="14" t="n">
        <v>1043</v>
      </c>
      <c r="G21" s="16" t="n">
        <v>84.52</v>
      </c>
      <c r="H21" s="14" t="n">
        <v>172</v>
      </c>
      <c r="I21" s="16" t="n">
        <v>16.49</v>
      </c>
      <c r="J21" s="14" t="n">
        <v>287</v>
      </c>
      <c r="K21" s="16" t="n">
        <v>27.52</v>
      </c>
      <c r="L21" s="14" t="n">
        <v>322</v>
      </c>
      <c r="M21" s="16" t="n">
        <v>30.87</v>
      </c>
      <c r="N21" s="14" t="n">
        <v>229</v>
      </c>
      <c r="O21" s="16" t="n">
        <v>21.96</v>
      </c>
      <c r="P21" s="14" t="n">
        <v>33</v>
      </c>
      <c r="Q21" s="16" t="n">
        <v>3.16</v>
      </c>
      <c r="R21" s="14" t="n">
        <v>0</v>
      </c>
      <c r="S21" s="16" t="n">
        <v>0</v>
      </c>
      <c r="T21" s="14" t="n">
        <v>0</v>
      </c>
      <c r="U21" s="14" t="n">
        <v>0</v>
      </c>
    </row>
    <row r="22" customFormat="false" ht="15" hidden="false" customHeight="true" outlineLevel="0" collapsed="false">
      <c r="A22" s="13" t="s">
        <v>126</v>
      </c>
      <c r="B22" s="13" t="s">
        <v>651</v>
      </c>
      <c r="C22" s="13" t="s">
        <v>649</v>
      </c>
      <c r="D22" s="14" t="n">
        <v>1878</v>
      </c>
      <c r="E22" s="14" t="n">
        <v>1871</v>
      </c>
      <c r="F22" s="14" t="n">
        <v>1689</v>
      </c>
      <c r="G22" s="16" t="n">
        <v>90.27</v>
      </c>
      <c r="H22" s="14" t="n">
        <v>441</v>
      </c>
      <c r="I22" s="16" t="n">
        <v>26.11</v>
      </c>
      <c r="J22" s="14" t="n">
        <v>547</v>
      </c>
      <c r="K22" s="16" t="n">
        <v>32.39</v>
      </c>
      <c r="L22" s="14" t="n">
        <v>442</v>
      </c>
      <c r="M22" s="16" t="n">
        <v>26.17</v>
      </c>
      <c r="N22" s="14" t="n">
        <v>227</v>
      </c>
      <c r="O22" s="16" t="n">
        <v>13.44</v>
      </c>
      <c r="P22" s="14" t="n">
        <v>32</v>
      </c>
      <c r="Q22" s="16" t="n">
        <v>1.89</v>
      </c>
      <c r="R22" s="14" t="n">
        <v>0</v>
      </c>
      <c r="S22" s="16" t="n">
        <v>0</v>
      </c>
      <c r="T22" s="14" t="n">
        <v>0</v>
      </c>
      <c r="U22" s="14" t="n">
        <v>0</v>
      </c>
    </row>
    <row r="23" customFormat="false" ht="15" hidden="false" customHeight="true" outlineLevel="0" collapsed="false">
      <c r="A23" s="13" t="s">
        <v>126</v>
      </c>
      <c r="B23" s="13" t="s">
        <v>651</v>
      </c>
      <c r="C23" s="13" t="s">
        <v>125</v>
      </c>
      <c r="D23" s="14" t="n">
        <v>504</v>
      </c>
      <c r="E23" s="14" t="n">
        <v>480</v>
      </c>
      <c r="F23" s="14" t="n">
        <v>164</v>
      </c>
      <c r="G23" s="16" t="n">
        <v>34.17</v>
      </c>
      <c r="H23" s="14" t="n">
        <v>5</v>
      </c>
      <c r="I23" s="16" t="n">
        <v>3.05</v>
      </c>
      <c r="J23" s="14" t="n">
        <v>8</v>
      </c>
      <c r="K23" s="16" t="n">
        <v>4.88</v>
      </c>
      <c r="L23" s="14" t="n">
        <v>14</v>
      </c>
      <c r="M23" s="16" t="n">
        <v>8.54</v>
      </c>
      <c r="N23" s="14" t="n">
        <v>85</v>
      </c>
      <c r="O23" s="16" t="n">
        <v>51.83</v>
      </c>
      <c r="P23" s="14" t="n">
        <v>52</v>
      </c>
      <c r="Q23" s="16" t="n">
        <v>31.71</v>
      </c>
      <c r="R23" s="14" t="n">
        <v>0</v>
      </c>
      <c r="S23" s="16" t="n">
        <v>0</v>
      </c>
      <c r="T23" s="14" t="n">
        <v>111</v>
      </c>
      <c r="U23" s="14" t="n">
        <v>102</v>
      </c>
    </row>
    <row r="24" customFormat="false" ht="15" hidden="false" customHeight="true" outlineLevel="0" collapsed="false">
      <c r="A24" s="13" t="s">
        <v>126</v>
      </c>
      <c r="B24" s="13" t="s">
        <v>651</v>
      </c>
      <c r="C24" s="13" t="s">
        <v>650</v>
      </c>
      <c r="D24" s="14" t="n">
        <v>3620</v>
      </c>
      <c r="E24" s="14" t="n">
        <v>3585</v>
      </c>
      <c r="F24" s="14" t="n">
        <v>2896</v>
      </c>
      <c r="G24" s="16" t="n">
        <v>80.78</v>
      </c>
      <c r="H24" s="14" t="n">
        <v>618</v>
      </c>
      <c r="I24" s="16" t="n">
        <v>21.34</v>
      </c>
      <c r="J24" s="14" t="n">
        <v>842</v>
      </c>
      <c r="K24" s="16" t="n">
        <v>29.07</v>
      </c>
      <c r="L24" s="14" t="n">
        <v>778</v>
      </c>
      <c r="M24" s="16" t="n">
        <v>26.86</v>
      </c>
      <c r="N24" s="14" t="n">
        <v>541</v>
      </c>
      <c r="O24" s="16" t="n">
        <v>18.68</v>
      </c>
      <c r="P24" s="14" t="n">
        <v>117</v>
      </c>
      <c r="Q24" s="16" t="n">
        <v>4.04</v>
      </c>
      <c r="R24" s="14" t="n">
        <v>0</v>
      </c>
      <c r="S24" s="16" t="n">
        <v>0</v>
      </c>
      <c r="T24" s="14" t="n">
        <v>111</v>
      </c>
      <c r="U24" s="14" t="n">
        <v>102</v>
      </c>
    </row>
    <row r="25" customFormat="false" ht="15" hidden="false" customHeight="true" outlineLevel="0" collapsed="false">
      <c r="A25" s="13" t="s">
        <v>126</v>
      </c>
      <c r="B25" s="13" t="s">
        <v>192</v>
      </c>
      <c r="C25" s="13" t="s">
        <v>648</v>
      </c>
      <c r="D25" s="14" t="n">
        <v>2789</v>
      </c>
      <c r="E25" s="14" t="n">
        <v>2779</v>
      </c>
      <c r="F25" s="14" t="n">
        <v>2239</v>
      </c>
      <c r="G25" s="16" t="n">
        <v>80.57</v>
      </c>
      <c r="H25" s="14" t="n">
        <v>429</v>
      </c>
      <c r="I25" s="16" t="n">
        <v>19.16</v>
      </c>
      <c r="J25" s="14" t="n">
        <v>592</v>
      </c>
      <c r="K25" s="16" t="n">
        <v>26.44</v>
      </c>
      <c r="L25" s="14" t="n">
        <v>627</v>
      </c>
      <c r="M25" s="16" t="n">
        <v>28</v>
      </c>
      <c r="N25" s="14" t="n">
        <v>496</v>
      </c>
      <c r="O25" s="16" t="n">
        <v>22.15</v>
      </c>
      <c r="P25" s="14" t="n">
        <v>95</v>
      </c>
      <c r="Q25" s="16" t="n">
        <v>4.24</v>
      </c>
      <c r="R25" s="14" t="n">
        <v>0</v>
      </c>
      <c r="S25" s="16" t="n">
        <v>0</v>
      </c>
      <c r="T25" s="14" t="n">
        <v>0</v>
      </c>
      <c r="U25" s="14" t="n">
        <v>0</v>
      </c>
    </row>
    <row r="26" customFormat="false" ht="15" hidden="false" customHeight="true" outlineLevel="0" collapsed="false">
      <c r="A26" s="13" t="s">
        <v>126</v>
      </c>
      <c r="B26" s="13" t="s">
        <v>192</v>
      </c>
      <c r="C26" s="13" t="s">
        <v>649</v>
      </c>
      <c r="D26" s="14" t="n">
        <v>4855</v>
      </c>
      <c r="E26" s="14" t="n">
        <v>4836</v>
      </c>
      <c r="F26" s="14" t="n">
        <v>4168</v>
      </c>
      <c r="G26" s="16" t="n">
        <v>86.19</v>
      </c>
      <c r="H26" s="14" t="n">
        <v>814</v>
      </c>
      <c r="I26" s="16" t="n">
        <v>19.53</v>
      </c>
      <c r="J26" s="14" t="n">
        <v>1172</v>
      </c>
      <c r="K26" s="16" t="n">
        <v>28.12</v>
      </c>
      <c r="L26" s="14" t="n">
        <v>1194</v>
      </c>
      <c r="M26" s="16" t="n">
        <v>28.65</v>
      </c>
      <c r="N26" s="14" t="n">
        <v>835</v>
      </c>
      <c r="O26" s="16" t="n">
        <v>20.03</v>
      </c>
      <c r="P26" s="14" t="n">
        <v>153</v>
      </c>
      <c r="Q26" s="16" t="n">
        <v>3.67</v>
      </c>
      <c r="R26" s="14" t="n">
        <v>0</v>
      </c>
      <c r="S26" s="16" t="n">
        <v>0</v>
      </c>
      <c r="T26" s="14" t="n">
        <v>0</v>
      </c>
      <c r="U26" s="14" t="n">
        <v>0</v>
      </c>
    </row>
    <row r="27" customFormat="false" ht="15" hidden="false" customHeight="true" outlineLevel="0" collapsed="false">
      <c r="A27" s="13" t="s">
        <v>126</v>
      </c>
      <c r="B27" s="13" t="s">
        <v>192</v>
      </c>
      <c r="C27" s="13" t="s">
        <v>125</v>
      </c>
      <c r="D27" s="14" t="n">
        <v>1671</v>
      </c>
      <c r="E27" s="14" t="n">
        <v>1536</v>
      </c>
      <c r="F27" s="14" t="n">
        <v>597</v>
      </c>
      <c r="G27" s="16" t="n">
        <v>38.87</v>
      </c>
      <c r="H27" s="14" t="n">
        <v>10</v>
      </c>
      <c r="I27" s="16" t="n">
        <v>1.68</v>
      </c>
      <c r="J27" s="14" t="n">
        <v>21</v>
      </c>
      <c r="K27" s="16" t="n">
        <v>3.52</v>
      </c>
      <c r="L27" s="14" t="n">
        <v>67</v>
      </c>
      <c r="M27" s="16" t="n">
        <v>11.22</v>
      </c>
      <c r="N27" s="14" t="n">
        <v>250</v>
      </c>
      <c r="O27" s="16" t="n">
        <v>41.88</v>
      </c>
      <c r="P27" s="14" t="n">
        <v>239</v>
      </c>
      <c r="Q27" s="16" t="n">
        <v>40.03</v>
      </c>
      <c r="R27" s="14" t="n">
        <v>10</v>
      </c>
      <c r="S27" s="16" t="n">
        <v>1.68</v>
      </c>
      <c r="T27" s="14" t="n">
        <v>193</v>
      </c>
      <c r="U27" s="14" t="n">
        <v>166</v>
      </c>
    </row>
    <row r="28" customFormat="false" ht="15" hidden="false" customHeight="true" outlineLevel="0" collapsed="false">
      <c r="A28" s="13" t="s">
        <v>126</v>
      </c>
      <c r="B28" s="13" t="s">
        <v>192</v>
      </c>
      <c r="C28" s="13" t="s">
        <v>652</v>
      </c>
      <c r="D28" s="14" t="n">
        <v>9315</v>
      </c>
      <c r="E28" s="14" t="n">
        <v>9151</v>
      </c>
      <c r="F28" s="14" t="n">
        <v>7004</v>
      </c>
      <c r="G28" s="16" t="n">
        <v>76.54</v>
      </c>
      <c r="H28" s="14" t="n">
        <v>1253</v>
      </c>
      <c r="I28" s="16" t="n">
        <v>17.89</v>
      </c>
      <c r="J28" s="14" t="n">
        <v>1785</v>
      </c>
      <c r="K28" s="16" t="n">
        <v>25.49</v>
      </c>
      <c r="L28" s="14" t="n">
        <v>1888</v>
      </c>
      <c r="M28" s="16" t="n">
        <v>26.96</v>
      </c>
      <c r="N28" s="14" t="n">
        <v>1581</v>
      </c>
      <c r="O28" s="16" t="n">
        <v>22.57</v>
      </c>
      <c r="P28" s="14" t="n">
        <v>487</v>
      </c>
      <c r="Q28" s="16" t="n">
        <v>6.95</v>
      </c>
      <c r="R28" s="14" t="n">
        <v>10</v>
      </c>
      <c r="S28" s="16" t="n">
        <v>0.14</v>
      </c>
      <c r="T28" s="14" t="n">
        <v>193</v>
      </c>
      <c r="U28" s="14" t="n">
        <v>166</v>
      </c>
    </row>
    <row r="29" customFormat="false" ht="15" hidden="false" customHeight="true" outlineLevel="0" collapsed="false">
      <c r="A29" s="13" t="s">
        <v>653</v>
      </c>
      <c r="B29" s="13" t="s">
        <v>647</v>
      </c>
      <c r="C29" s="13" t="s">
        <v>648</v>
      </c>
      <c r="D29" s="14" t="n">
        <v>5715</v>
      </c>
      <c r="E29" s="14" t="n">
        <v>5672</v>
      </c>
      <c r="F29" s="14" t="n">
        <v>1718</v>
      </c>
      <c r="G29" s="16" t="n">
        <v>30.29</v>
      </c>
      <c r="H29" s="14" t="n">
        <v>40</v>
      </c>
      <c r="I29" s="16" t="n">
        <v>2.33</v>
      </c>
      <c r="J29" s="14" t="n">
        <v>167</v>
      </c>
      <c r="K29" s="16" t="n">
        <v>9.72</v>
      </c>
      <c r="L29" s="14" t="n">
        <v>436</v>
      </c>
      <c r="M29" s="16" t="n">
        <v>25.38</v>
      </c>
      <c r="N29" s="14" t="n">
        <v>621</v>
      </c>
      <c r="O29" s="16" t="n">
        <v>36.15</v>
      </c>
      <c r="P29" s="14" t="n">
        <v>434</v>
      </c>
      <c r="Q29" s="16" t="n">
        <v>25.26</v>
      </c>
      <c r="R29" s="14" t="n">
        <v>20</v>
      </c>
      <c r="S29" s="16" t="n">
        <v>1.16</v>
      </c>
      <c r="T29" s="14" t="n">
        <v>0</v>
      </c>
      <c r="U29" s="14" t="n">
        <v>0</v>
      </c>
    </row>
    <row r="30" customFormat="false" ht="15" hidden="false" customHeight="true" outlineLevel="0" collapsed="false">
      <c r="A30" s="13" t="s">
        <v>653</v>
      </c>
      <c r="B30" s="13" t="s">
        <v>647</v>
      </c>
      <c r="C30" s="13" t="s">
        <v>649</v>
      </c>
      <c r="D30" s="14" t="n">
        <v>4246</v>
      </c>
      <c r="E30" s="14" t="n">
        <v>4130</v>
      </c>
      <c r="F30" s="14" t="n">
        <v>1556</v>
      </c>
      <c r="G30" s="16" t="n">
        <v>37.68</v>
      </c>
      <c r="H30" s="14" t="n">
        <v>23</v>
      </c>
      <c r="I30" s="16" t="n">
        <v>1.48</v>
      </c>
      <c r="J30" s="14" t="n">
        <v>142</v>
      </c>
      <c r="K30" s="16" t="n">
        <v>9.13</v>
      </c>
      <c r="L30" s="14" t="n">
        <v>387</v>
      </c>
      <c r="M30" s="16" t="n">
        <v>24.87</v>
      </c>
      <c r="N30" s="14" t="n">
        <v>577</v>
      </c>
      <c r="O30" s="16" t="n">
        <v>37.08</v>
      </c>
      <c r="P30" s="14" t="n">
        <v>408</v>
      </c>
      <c r="Q30" s="16" t="n">
        <v>26.22</v>
      </c>
      <c r="R30" s="14" t="n">
        <v>19</v>
      </c>
      <c r="S30" s="16" t="n">
        <v>1.22</v>
      </c>
      <c r="T30" s="14" t="n">
        <v>0</v>
      </c>
      <c r="U30" s="14" t="n">
        <v>0</v>
      </c>
    </row>
    <row r="31" customFormat="false" ht="15" hidden="false" customHeight="true" outlineLevel="0" collapsed="false">
      <c r="A31" s="13" t="s">
        <v>653</v>
      </c>
      <c r="B31" s="13" t="s">
        <v>647</v>
      </c>
      <c r="C31" s="13" t="s">
        <v>125</v>
      </c>
      <c r="D31" s="14" t="n">
        <v>15610</v>
      </c>
      <c r="E31" s="14" t="n">
        <v>14626</v>
      </c>
      <c r="F31" s="14" t="n">
        <v>3381</v>
      </c>
      <c r="G31" s="16" t="n">
        <v>23.12</v>
      </c>
      <c r="H31" s="14" t="n">
        <v>22</v>
      </c>
      <c r="I31" s="16" t="n">
        <v>0.65</v>
      </c>
      <c r="J31" s="14" t="n">
        <v>197</v>
      </c>
      <c r="K31" s="16" t="n">
        <v>5.83</v>
      </c>
      <c r="L31" s="14" t="n">
        <v>533</v>
      </c>
      <c r="M31" s="16" t="n">
        <v>15.76</v>
      </c>
      <c r="N31" s="14" t="n">
        <v>1105</v>
      </c>
      <c r="O31" s="16" t="n">
        <v>32.68</v>
      </c>
      <c r="P31" s="14" t="n">
        <v>1345</v>
      </c>
      <c r="Q31" s="16" t="n">
        <v>39.78</v>
      </c>
      <c r="R31" s="14" t="n">
        <v>179</v>
      </c>
      <c r="S31" s="16" t="n">
        <v>5.29</v>
      </c>
      <c r="T31" s="14" t="n">
        <v>121</v>
      </c>
      <c r="U31" s="14" t="n">
        <v>39</v>
      </c>
    </row>
    <row r="32" customFormat="false" ht="15" hidden="false" customHeight="true" outlineLevel="0" collapsed="false">
      <c r="A32" s="13" t="s">
        <v>653</v>
      </c>
      <c r="B32" s="13" t="s">
        <v>647</v>
      </c>
      <c r="C32" s="13" t="s">
        <v>650</v>
      </c>
      <c r="D32" s="14" t="n">
        <v>25571</v>
      </c>
      <c r="E32" s="14" t="n">
        <v>24428</v>
      </c>
      <c r="F32" s="14" t="n">
        <v>6655</v>
      </c>
      <c r="G32" s="16" t="n">
        <v>27.24</v>
      </c>
      <c r="H32" s="14" t="n">
        <v>85</v>
      </c>
      <c r="I32" s="16" t="n">
        <v>1.28</v>
      </c>
      <c r="J32" s="14" t="n">
        <v>506</v>
      </c>
      <c r="K32" s="16" t="n">
        <v>7.6</v>
      </c>
      <c r="L32" s="14" t="n">
        <v>1356</v>
      </c>
      <c r="M32" s="16" t="n">
        <v>20.38</v>
      </c>
      <c r="N32" s="14" t="n">
        <v>2303</v>
      </c>
      <c r="O32" s="16" t="n">
        <v>34.61</v>
      </c>
      <c r="P32" s="14" t="n">
        <v>2187</v>
      </c>
      <c r="Q32" s="16" t="n">
        <v>32.86</v>
      </c>
      <c r="R32" s="14" t="n">
        <v>218</v>
      </c>
      <c r="S32" s="16" t="n">
        <v>3.28</v>
      </c>
      <c r="T32" s="14" t="n">
        <v>121</v>
      </c>
      <c r="U32" s="14" t="n">
        <v>39</v>
      </c>
    </row>
    <row r="33" customFormat="false" ht="15" hidden="false" customHeight="true" outlineLevel="0" collapsed="false">
      <c r="A33" s="13" t="s">
        <v>653</v>
      </c>
      <c r="B33" s="13" t="s">
        <v>651</v>
      </c>
      <c r="C33" s="13" t="s">
        <v>648</v>
      </c>
      <c r="D33" s="14" t="n">
        <v>15217</v>
      </c>
      <c r="E33" s="14" t="n">
        <v>15089</v>
      </c>
      <c r="F33" s="14" t="n">
        <v>9963</v>
      </c>
      <c r="G33" s="16" t="n">
        <v>66.03</v>
      </c>
      <c r="H33" s="14" t="n">
        <v>184</v>
      </c>
      <c r="I33" s="16" t="n">
        <v>1.85</v>
      </c>
      <c r="J33" s="14" t="n">
        <v>1391</v>
      </c>
      <c r="K33" s="16" t="n">
        <v>13.96</v>
      </c>
      <c r="L33" s="14" t="n">
        <v>3464</v>
      </c>
      <c r="M33" s="16" t="n">
        <v>34.77</v>
      </c>
      <c r="N33" s="14" t="n">
        <v>3706</v>
      </c>
      <c r="O33" s="16" t="n">
        <v>37.2</v>
      </c>
      <c r="P33" s="14" t="n">
        <v>1179</v>
      </c>
      <c r="Q33" s="16" t="n">
        <v>11.83</v>
      </c>
      <c r="R33" s="14" t="n">
        <v>39</v>
      </c>
      <c r="S33" s="16" t="n">
        <v>0.39</v>
      </c>
      <c r="T33" s="14" t="n">
        <v>0</v>
      </c>
      <c r="U33" s="14" t="n">
        <v>0</v>
      </c>
    </row>
    <row r="34" customFormat="false" ht="15" hidden="false" customHeight="true" outlineLevel="0" collapsed="false">
      <c r="A34" s="13" t="s">
        <v>653</v>
      </c>
      <c r="B34" s="13" t="s">
        <v>651</v>
      </c>
      <c r="C34" s="13" t="s">
        <v>649</v>
      </c>
      <c r="D34" s="14" t="n">
        <v>5600</v>
      </c>
      <c r="E34" s="14" t="n">
        <v>5526</v>
      </c>
      <c r="F34" s="14" t="n">
        <v>3810</v>
      </c>
      <c r="G34" s="16" t="n">
        <v>68.95</v>
      </c>
      <c r="H34" s="14" t="n">
        <v>124</v>
      </c>
      <c r="I34" s="16" t="n">
        <v>3.25</v>
      </c>
      <c r="J34" s="14" t="n">
        <v>662</v>
      </c>
      <c r="K34" s="16" t="n">
        <v>17.38</v>
      </c>
      <c r="L34" s="14" t="n">
        <v>1315</v>
      </c>
      <c r="M34" s="16" t="n">
        <v>34.51</v>
      </c>
      <c r="N34" s="14" t="n">
        <v>1262</v>
      </c>
      <c r="O34" s="16" t="n">
        <v>33.12</v>
      </c>
      <c r="P34" s="14" t="n">
        <v>435</v>
      </c>
      <c r="Q34" s="16" t="n">
        <v>11.42</v>
      </c>
      <c r="R34" s="14" t="n">
        <v>12</v>
      </c>
      <c r="S34" s="16" t="n">
        <v>0.31</v>
      </c>
      <c r="T34" s="14" t="n">
        <v>0</v>
      </c>
      <c r="U34" s="14" t="n">
        <v>0</v>
      </c>
    </row>
    <row r="35" customFormat="false" ht="15" hidden="false" customHeight="true" outlineLevel="0" collapsed="false">
      <c r="A35" s="13" t="s">
        <v>653</v>
      </c>
      <c r="B35" s="13" t="s">
        <v>651</v>
      </c>
      <c r="C35" s="13" t="s">
        <v>125</v>
      </c>
      <c r="D35" s="14" t="n">
        <v>17687</v>
      </c>
      <c r="E35" s="14" t="n">
        <v>17294</v>
      </c>
      <c r="F35" s="14" t="n">
        <v>9277</v>
      </c>
      <c r="G35" s="16" t="n">
        <v>53.64</v>
      </c>
      <c r="H35" s="14" t="n">
        <v>94</v>
      </c>
      <c r="I35" s="16" t="n">
        <v>1.01</v>
      </c>
      <c r="J35" s="14" t="n">
        <v>968</v>
      </c>
      <c r="K35" s="16" t="n">
        <v>10.43</v>
      </c>
      <c r="L35" s="14" t="n">
        <v>2657</v>
      </c>
      <c r="M35" s="16" t="n">
        <v>28.64</v>
      </c>
      <c r="N35" s="14" t="n">
        <v>3480</v>
      </c>
      <c r="O35" s="16" t="n">
        <v>37.51</v>
      </c>
      <c r="P35" s="14" t="n">
        <v>1952</v>
      </c>
      <c r="Q35" s="16" t="n">
        <v>21.04</v>
      </c>
      <c r="R35" s="14" t="n">
        <v>126</v>
      </c>
      <c r="S35" s="16" t="n">
        <v>1.36</v>
      </c>
      <c r="T35" s="14" t="n">
        <v>46</v>
      </c>
      <c r="U35" s="14" t="n">
        <v>19</v>
      </c>
    </row>
    <row r="36" customFormat="false" ht="15" hidden="false" customHeight="true" outlineLevel="0" collapsed="false">
      <c r="A36" s="13" t="s">
        <v>653</v>
      </c>
      <c r="B36" s="13" t="s">
        <v>651</v>
      </c>
      <c r="C36" s="13" t="s">
        <v>650</v>
      </c>
      <c r="D36" s="14" t="n">
        <v>38504</v>
      </c>
      <c r="E36" s="14" t="n">
        <v>37909</v>
      </c>
      <c r="F36" s="14" t="n">
        <v>23050</v>
      </c>
      <c r="G36" s="16" t="n">
        <v>60.8</v>
      </c>
      <c r="H36" s="14" t="n">
        <v>402</v>
      </c>
      <c r="I36" s="16" t="n">
        <v>1.74</v>
      </c>
      <c r="J36" s="14" t="n">
        <v>3021</v>
      </c>
      <c r="K36" s="16" t="n">
        <v>13.11</v>
      </c>
      <c r="L36" s="14" t="n">
        <v>7436</v>
      </c>
      <c r="M36" s="16" t="n">
        <v>32.26</v>
      </c>
      <c r="N36" s="14" t="n">
        <v>8448</v>
      </c>
      <c r="O36" s="16" t="n">
        <v>36.65</v>
      </c>
      <c r="P36" s="14" t="n">
        <v>3566</v>
      </c>
      <c r="Q36" s="16" t="n">
        <v>15.47</v>
      </c>
      <c r="R36" s="14" t="n">
        <v>177</v>
      </c>
      <c r="S36" s="16" t="n">
        <v>0.77</v>
      </c>
      <c r="T36" s="14" t="n">
        <v>46</v>
      </c>
      <c r="U36" s="14" t="n">
        <v>19</v>
      </c>
    </row>
    <row r="37" customFormat="false" ht="15" hidden="false" customHeight="true" outlineLevel="0" collapsed="false">
      <c r="A37" s="13" t="s">
        <v>653</v>
      </c>
      <c r="B37" s="13" t="s">
        <v>192</v>
      </c>
      <c r="C37" s="13" t="s">
        <v>648</v>
      </c>
      <c r="D37" s="14" t="n">
        <v>20932</v>
      </c>
      <c r="E37" s="14" t="n">
        <v>20761</v>
      </c>
      <c r="F37" s="14" t="n">
        <v>11681</v>
      </c>
      <c r="G37" s="16" t="n">
        <v>56.26</v>
      </c>
      <c r="H37" s="14" t="n">
        <v>224</v>
      </c>
      <c r="I37" s="16" t="n">
        <v>1.92</v>
      </c>
      <c r="J37" s="14" t="n">
        <v>1558</v>
      </c>
      <c r="K37" s="16" t="n">
        <v>13.34</v>
      </c>
      <c r="L37" s="14" t="n">
        <v>3900</v>
      </c>
      <c r="M37" s="16" t="n">
        <v>33.39</v>
      </c>
      <c r="N37" s="14" t="n">
        <v>4327</v>
      </c>
      <c r="O37" s="16" t="n">
        <v>37.04</v>
      </c>
      <c r="P37" s="14" t="n">
        <v>1613</v>
      </c>
      <c r="Q37" s="16" t="n">
        <v>13.81</v>
      </c>
      <c r="R37" s="14" t="n">
        <v>59</v>
      </c>
      <c r="S37" s="16" t="n">
        <v>0.51</v>
      </c>
      <c r="T37" s="14" t="n">
        <v>0</v>
      </c>
      <c r="U37" s="14" t="n">
        <v>0</v>
      </c>
    </row>
    <row r="38" customFormat="false" ht="15" hidden="false" customHeight="true" outlineLevel="0" collapsed="false">
      <c r="A38" s="13" t="s">
        <v>653</v>
      </c>
      <c r="B38" s="13" t="s">
        <v>192</v>
      </c>
      <c r="C38" s="13" t="s">
        <v>649</v>
      </c>
      <c r="D38" s="14" t="n">
        <v>9846</v>
      </c>
      <c r="E38" s="14" t="n">
        <v>9656</v>
      </c>
      <c r="F38" s="14" t="n">
        <v>5366</v>
      </c>
      <c r="G38" s="16" t="n">
        <v>55.57</v>
      </c>
      <c r="H38" s="14" t="n">
        <v>147</v>
      </c>
      <c r="I38" s="16" t="n">
        <v>2.74</v>
      </c>
      <c r="J38" s="14" t="n">
        <v>804</v>
      </c>
      <c r="K38" s="16" t="n">
        <v>14.98</v>
      </c>
      <c r="L38" s="14" t="n">
        <v>1702</v>
      </c>
      <c r="M38" s="16" t="n">
        <v>31.72</v>
      </c>
      <c r="N38" s="14" t="n">
        <v>1839</v>
      </c>
      <c r="O38" s="16" t="n">
        <v>34.27</v>
      </c>
      <c r="P38" s="14" t="n">
        <v>843</v>
      </c>
      <c r="Q38" s="16" t="n">
        <v>15.71</v>
      </c>
      <c r="R38" s="14" t="n">
        <v>31</v>
      </c>
      <c r="S38" s="16" t="n">
        <v>0.58</v>
      </c>
      <c r="T38" s="14" t="n">
        <v>0</v>
      </c>
      <c r="U38" s="14" t="n">
        <v>0</v>
      </c>
    </row>
    <row r="39" customFormat="false" ht="15" hidden="false" customHeight="true" outlineLevel="0" collapsed="false">
      <c r="A39" s="13" t="s">
        <v>653</v>
      </c>
      <c r="B39" s="13" t="s">
        <v>192</v>
      </c>
      <c r="C39" s="13" t="s">
        <v>125</v>
      </c>
      <c r="D39" s="14" t="n">
        <v>33297</v>
      </c>
      <c r="E39" s="14" t="n">
        <v>31920</v>
      </c>
      <c r="F39" s="14" t="n">
        <v>12658</v>
      </c>
      <c r="G39" s="16" t="n">
        <v>39.66</v>
      </c>
      <c r="H39" s="14" t="n">
        <v>116</v>
      </c>
      <c r="I39" s="16" t="n">
        <v>0.92</v>
      </c>
      <c r="J39" s="14" t="n">
        <v>1165</v>
      </c>
      <c r="K39" s="16" t="n">
        <v>9.2</v>
      </c>
      <c r="L39" s="14" t="n">
        <v>3190</v>
      </c>
      <c r="M39" s="16" t="n">
        <v>25.2</v>
      </c>
      <c r="N39" s="14" t="n">
        <v>4585</v>
      </c>
      <c r="O39" s="16" t="n">
        <v>36.22</v>
      </c>
      <c r="P39" s="14" t="n">
        <v>3297</v>
      </c>
      <c r="Q39" s="16" t="n">
        <v>26.05</v>
      </c>
      <c r="R39" s="14" t="n">
        <v>305</v>
      </c>
      <c r="S39" s="16" t="n">
        <v>2.41</v>
      </c>
      <c r="T39" s="14" t="n">
        <v>167</v>
      </c>
      <c r="U39" s="14" t="n">
        <v>58</v>
      </c>
    </row>
    <row r="40" customFormat="false" ht="15" hidden="false" customHeight="true" outlineLevel="0" collapsed="false">
      <c r="A40" s="13" t="s">
        <v>653</v>
      </c>
      <c r="B40" s="13" t="s">
        <v>192</v>
      </c>
      <c r="C40" s="13" t="s">
        <v>652</v>
      </c>
      <c r="D40" s="14" t="n">
        <v>64075</v>
      </c>
      <c r="E40" s="14" t="n">
        <v>62337</v>
      </c>
      <c r="F40" s="14" t="n">
        <v>29705</v>
      </c>
      <c r="G40" s="16" t="n">
        <v>47.65</v>
      </c>
      <c r="H40" s="14" t="n">
        <v>487</v>
      </c>
      <c r="I40" s="16" t="n">
        <v>1.64</v>
      </c>
      <c r="J40" s="14" t="n">
        <v>3527</v>
      </c>
      <c r="K40" s="16" t="n">
        <v>11.87</v>
      </c>
      <c r="L40" s="14" t="n">
        <v>8792</v>
      </c>
      <c r="M40" s="16" t="n">
        <v>29.6</v>
      </c>
      <c r="N40" s="14" t="n">
        <v>10751</v>
      </c>
      <c r="O40" s="16" t="n">
        <v>36.19</v>
      </c>
      <c r="P40" s="14" t="n">
        <v>5753</v>
      </c>
      <c r="Q40" s="16" t="n">
        <v>19.37</v>
      </c>
      <c r="R40" s="14" t="n">
        <v>395</v>
      </c>
      <c r="S40" s="16" t="n">
        <v>1.33</v>
      </c>
      <c r="T40" s="14" t="n">
        <v>167</v>
      </c>
      <c r="U40" s="14" t="n">
        <v>58</v>
      </c>
    </row>
    <row r="41" customFormat="false" ht="15" hidden="false" customHeight="true" outlineLevel="0" collapsed="false">
      <c r="A41" s="13" t="s">
        <v>202</v>
      </c>
      <c r="B41" s="13" t="s">
        <v>647</v>
      </c>
      <c r="C41" s="13" t="s">
        <v>648</v>
      </c>
      <c r="D41" s="14" t="n">
        <v>9457</v>
      </c>
      <c r="E41" s="14" t="n">
        <v>9390</v>
      </c>
      <c r="F41" s="14" t="n">
        <v>5035</v>
      </c>
      <c r="G41" s="16" t="n">
        <v>53.62</v>
      </c>
      <c r="H41" s="14" t="n">
        <v>430</v>
      </c>
      <c r="I41" s="16" t="n">
        <v>8.54</v>
      </c>
      <c r="J41" s="14" t="n">
        <v>850</v>
      </c>
      <c r="K41" s="16" t="n">
        <v>16.88</v>
      </c>
      <c r="L41" s="14" t="n">
        <v>1496</v>
      </c>
      <c r="M41" s="16" t="n">
        <v>29.71</v>
      </c>
      <c r="N41" s="14" t="n">
        <v>1746</v>
      </c>
      <c r="O41" s="16" t="n">
        <v>34.68</v>
      </c>
      <c r="P41" s="14" t="n">
        <v>507</v>
      </c>
      <c r="Q41" s="16" t="n">
        <v>10.07</v>
      </c>
      <c r="R41" s="14" t="n">
        <v>6</v>
      </c>
      <c r="S41" s="16" t="n">
        <v>0.12</v>
      </c>
      <c r="T41" s="14" t="n">
        <v>0</v>
      </c>
      <c r="U41" s="14" t="n">
        <v>0</v>
      </c>
    </row>
    <row r="42" customFormat="false" ht="15" hidden="false" customHeight="true" outlineLevel="0" collapsed="false">
      <c r="A42" s="13" t="s">
        <v>202</v>
      </c>
      <c r="B42" s="13" t="s">
        <v>647</v>
      </c>
      <c r="C42" s="13" t="s">
        <v>649</v>
      </c>
      <c r="D42" s="14" t="n">
        <v>16584</v>
      </c>
      <c r="E42" s="14" t="n">
        <v>16371</v>
      </c>
      <c r="F42" s="14" t="n">
        <v>9713</v>
      </c>
      <c r="G42" s="16" t="n">
        <v>59.33</v>
      </c>
      <c r="H42" s="14" t="n">
        <v>892</v>
      </c>
      <c r="I42" s="16" t="n">
        <v>9.18</v>
      </c>
      <c r="J42" s="14" t="n">
        <v>1818</v>
      </c>
      <c r="K42" s="16" t="n">
        <v>18.72</v>
      </c>
      <c r="L42" s="14" t="n">
        <v>2936</v>
      </c>
      <c r="M42" s="16" t="n">
        <v>30.23</v>
      </c>
      <c r="N42" s="14" t="n">
        <v>3176</v>
      </c>
      <c r="O42" s="16" t="n">
        <v>32.7</v>
      </c>
      <c r="P42" s="14" t="n">
        <v>877</v>
      </c>
      <c r="Q42" s="16" t="n">
        <v>9.03</v>
      </c>
      <c r="R42" s="14" t="n">
        <v>14</v>
      </c>
      <c r="S42" s="16" t="n">
        <v>0.14</v>
      </c>
      <c r="T42" s="14" t="n">
        <v>0</v>
      </c>
      <c r="U42" s="14" t="n">
        <v>0</v>
      </c>
    </row>
    <row r="43" customFormat="false" ht="15" hidden="false" customHeight="true" outlineLevel="0" collapsed="false">
      <c r="A43" s="13" t="s">
        <v>202</v>
      </c>
      <c r="B43" s="13" t="s">
        <v>647</v>
      </c>
      <c r="C43" s="13" t="s">
        <v>125</v>
      </c>
      <c r="D43" s="14" t="n">
        <v>6015</v>
      </c>
      <c r="E43" s="14" t="n">
        <v>5751</v>
      </c>
      <c r="F43" s="14" t="n">
        <v>1835</v>
      </c>
      <c r="G43" s="16" t="n">
        <v>31.91</v>
      </c>
      <c r="H43" s="14" t="n">
        <v>3</v>
      </c>
      <c r="I43" s="16" t="n">
        <v>0.16</v>
      </c>
      <c r="J43" s="14" t="n">
        <v>12</v>
      </c>
      <c r="K43" s="16" t="n">
        <v>0.65</v>
      </c>
      <c r="L43" s="14" t="n">
        <v>73</v>
      </c>
      <c r="M43" s="16" t="n">
        <v>3.98</v>
      </c>
      <c r="N43" s="14" t="n">
        <v>616</v>
      </c>
      <c r="O43" s="16" t="n">
        <v>33.57</v>
      </c>
      <c r="P43" s="14" t="n">
        <v>1087</v>
      </c>
      <c r="Q43" s="16" t="n">
        <v>59.24</v>
      </c>
      <c r="R43" s="14" t="n">
        <v>44</v>
      </c>
      <c r="S43" s="16" t="n">
        <v>2.4</v>
      </c>
      <c r="T43" s="14" t="n">
        <v>9</v>
      </c>
      <c r="U43" s="14" t="n">
        <v>4</v>
      </c>
    </row>
    <row r="44" customFormat="false" ht="15" hidden="false" customHeight="true" outlineLevel="0" collapsed="false">
      <c r="A44" s="13" t="s">
        <v>202</v>
      </c>
      <c r="B44" s="13" t="s">
        <v>647</v>
      </c>
      <c r="C44" s="13" t="s">
        <v>650</v>
      </c>
      <c r="D44" s="14" t="n">
        <v>32056</v>
      </c>
      <c r="E44" s="14" t="n">
        <v>31512</v>
      </c>
      <c r="F44" s="14" t="n">
        <v>16583</v>
      </c>
      <c r="G44" s="16" t="n">
        <v>52.62</v>
      </c>
      <c r="H44" s="14" t="n">
        <v>1325</v>
      </c>
      <c r="I44" s="16" t="n">
        <v>7.99</v>
      </c>
      <c r="J44" s="14" t="n">
        <v>2680</v>
      </c>
      <c r="K44" s="16" t="n">
        <v>16.16</v>
      </c>
      <c r="L44" s="14" t="n">
        <v>4505</v>
      </c>
      <c r="M44" s="16" t="n">
        <v>27.17</v>
      </c>
      <c r="N44" s="14" t="n">
        <v>5538</v>
      </c>
      <c r="O44" s="16" t="n">
        <v>33.4</v>
      </c>
      <c r="P44" s="14" t="n">
        <v>2471</v>
      </c>
      <c r="Q44" s="16" t="n">
        <v>14.9</v>
      </c>
      <c r="R44" s="14" t="n">
        <v>64</v>
      </c>
      <c r="S44" s="16" t="n">
        <v>0.39</v>
      </c>
      <c r="T44" s="14" t="n">
        <v>9</v>
      </c>
      <c r="U44" s="14" t="n">
        <v>4</v>
      </c>
    </row>
    <row r="45" customFormat="false" ht="15" hidden="false" customHeight="true" outlineLevel="0" collapsed="false">
      <c r="A45" s="13" t="s">
        <v>202</v>
      </c>
      <c r="B45" s="13" t="s">
        <v>651</v>
      </c>
      <c r="C45" s="13" t="s">
        <v>648</v>
      </c>
      <c r="D45" s="14" t="n">
        <v>10140</v>
      </c>
      <c r="E45" s="14" t="n">
        <v>10088</v>
      </c>
      <c r="F45" s="14" t="n">
        <v>7163</v>
      </c>
      <c r="G45" s="16" t="n">
        <v>71.01</v>
      </c>
      <c r="H45" s="14" t="n">
        <v>676</v>
      </c>
      <c r="I45" s="16" t="n">
        <v>9.44</v>
      </c>
      <c r="J45" s="14" t="n">
        <v>1563</v>
      </c>
      <c r="K45" s="16" t="n">
        <v>21.82</v>
      </c>
      <c r="L45" s="14" t="n">
        <v>2615</v>
      </c>
      <c r="M45" s="16" t="n">
        <v>36.51</v>
      </c>
      <c r="N45" s="14" t="n">
        <v>2020</v>
      </c>
      <c r="O45" s="16" t="n">
        <v>28.2</v>
      </c>
      <c r="P45" s="14" t="n">
        <v>289</v>
      </c>
      <c r="Q45" s="16" t="n">
        <v>4.03</v>
      </c>
      <c r="R45" s="14" t="n">
        <v>0</v>
      </c>
      <c r="S45" s="16" t="n">
        <v>0</v>
      </c>
      <c r="T45" s="14" t="n">
        <v>0</v>
      </c>
      <c r="U45" s="14" t="n">
        <v>0</v>
      </c>
    </row>
    <row r="46" customFormat="false" ht="15" hidden="false" customHeight="true" outlineLevel="0" collapsed="false">
      <c r="A46" s="13" t="s">
        <v>202</v>
      </c>
      <c r="B46" s="13" t="s">
        <v>651</v>
      </c>
      <c r="C46" s="13" t="s">
        <v>649</v>
      </c>
      <c r="D46" s="14" t="n">
        <v>13212</v>
      </c>
      <c r="E46" s="14" t="n">
        <v>13101</v>
      </c>
      <c r="F46" s="14" t="n">
        <v>9918</v>
      </c>
      <c r="G46" s="16" t="n">
        <v>75.7</v>
      </c>
      <c r="H46" s="14" t="n">
        <v>1499</v>
      </c>
      <c r="I46" s="16" t="n">
        <v>15.11</v>
      </c>
      <c r="J46" s="14" t="n">
        <v>2692</v>
      </c>
      <c r="K46" s="16" t="n">
        <v>27.14</v>
      </c>
      <c r="L46" s="14" t="n">
        <v>3514</v>
      </c>
      <c r="M46" s="16" t="n">
        <v>35.43</v>
      </c>
      <c r="N46" s="14" t="n">
        <v>1969</v>
      </c>
      <c r="O46" s="16" t="n">
        <v>19.85</v>
      </c>
      <c r="P46" s="14" t="n">
        <v>244</v>
      </c>
      <c r="Q46" s="16" t="n">
        <v>2.46</v>
      </c>
      <c r="R46" s="14" t="n">
        <v>0</v>
      </c>
      <c r="S46" s="16" t="n">
        <v>0</v>
      </c>
      <c r="T46" s="14" t="n">
        <v>0</v>
      </c>
      <c r="U46" s="14" t="n">
        <v>0</v>
      </c>
    </row>
    <row r="47" customFormat="false" ht="15" hidden="false" customHeight="true" outlineLevel="0" collapsed="false">
      <c r="A47" s="13" t="s">
        <v>202</v>
      </c>
      <c r="B47" s="13" t="s">
        <v>651</v>
      </c>
      <c r="C47" s="13" t="s">
        <v>125</v>
      </c>
      <c r="D47" s="14" t="n">
        <v>2358</v>
      </c>
      <c r="E47" s="14" t="n">
        <v>2296</v>
      </c>
      <c r="F47" s="14" t="n">
        <v>958</v>
      </c>
      <c r="G47" s="16" t="n">
        <v>41.72</v>
      </c>
      <c r="H47" s="14" t="n">
        <v>4</v>
      </c>
      <c r="I47" s="16" t="n">
        <v>0.42</v>
      </c>
      <c r="J47" s="14" t="n">
        <v>13</v>
      </c>
      <c r="K47" s="16" t="n">
        <v>1.36</v>
      </c>
      <c r="L47" s="14" t="n">
        <v>73</v>
      </c>
      <c r="M47" s="16" t="n">
        <v>7.62</v>
      </c>
      <c r="N47" s="14" t="n">
        <v>488</v>
      </c>
      <c r="O47" s="16" t="n">
        <v>50.94</v>
      </c>
      <c r="P47" s="14" t="n">
        <v>372</v>
      </c>
      <c r="Q47" s="16" t="n">
        <v>38.83</v>
      </c>
      <c r="R47" s="14" t="n">
        <v>8</v>
      </c>
      <c r="S47" s="16" t="n">
        <v>0.84</v>
      </c>
      <c r="T47" s="14" t="n">
        <v>5</v>
      </c>
      <c r="U47" s="14" t="n">
        <v>4</v>
      </c>
    </row>
    <row r="48" customFormat="false" ht="15" hidden="false" customHeight="true" outlineLevel="0" collapsed="false">
      <c r="A48" s="13" t="s">
        <v>202</v>
      </c>
      <c r="B48" s="13" t="s">
        <v>651</v>
      </c>
      <c r="C48" s="13" t="s">
        <v>650</v>
      </c>
      <c r="D48" s="14" t="n">
        <v>25710</v>
      </c>
      <c r="E48" s="14" t="n">
        <v>25485</v>
      </c>
      <c r="F48" s="14" t="n">
        <v>18039</v>
      </c>
      <c r="G48" s="16" t="n">
        <v>70.78</v>
      </c>
      <c r="H48" s="14" t="n">
        <v>2179</v>
      </c>
      <c r="I48" s="16" t="n">
        <v>12.08</v>
      </c>
      <c r="J48" s="14" t="n">
        <v>4268</v>
      </c>
      <c r="K48" s="16" t="n">
        <v>23.66</v>
      </c>
      <c r="L48" s="14" t="n">
        <v>6202</v>
      </c>
      <c r="M48" s="16" t="n">
        <v>34.38</v>
      </c>
      <c r="N48" s="14" t="n">
        <v>4477</v>
      </c>
      <c r="O48" s="16" t="n">
        <v>24.82</v>
      </c>
      <c r="P48" s="14" t="n">
        <v>905</v>
      </c>
      <c r="Q48" s="16" t="n">
        <v>5.02</v>
      </c>
      <c r="R48" s="14" t="n">
        <v>8</v>
      </c>
      <c r="S48" s="16" t="n">
        <v>0.04</v>
      </c>
      <c r="T48" s="14" t="n">
        <v>5</v>
      </c>
      <c r="U48" s="14" t="n">
        <v>4</v>
      </c>
    </row>
    <row r="49" customFormat="false" ht="15" hidden="false" customHeight="true" outlineLevel="0" collapsed="false">
      <c r="A49" s="13" t="s">
        <v>202</v>
      </c>
      <c r="B49" s="13" t="s">
        <v>192</v>
      </c>
      <c r="C49" s="13" t="s">
        <v>648</v>
      </c>
      <c r="D49" s="14" t="n">
        <v>19597</v>
      </c>
      <c r="E49" s="14" t="n">
        <v>19478</v>
      </c>
      <c r="F49" s="14" t="n">
        <v>12198</v>
      </c>
      <c r="G49" s="16" t="n">
        <v>62.62</v>
      </c>
      <c r="H49" s="14" t="n">
        <v>1106</v>
      </c>
      <c r="I49" s="16" t="n">
        <v>9.07</v>
      </c>
      <c r="J49" s="14" t="n">
        <v>2413</v>
      </c>
      <c r="K49" s="16" t="n">
        <v>19.78</v>
      </c>
      <c r="L49" s="14" t="n">
        <v>4111</v>
      </c>
      <c r="M49" s="16" t="n">
        <v>33.7</v>
      </c>
      <c r="N49" s="14" t="n">
        <v>3766</v>
      </c>
      <c r="O49" s="16" t="n">
        <v>30.87</v>
      </c>
      <c r="P49" s="14" t="n">
        <v>796</v>
      </c>
      <c r="Q49" s="16" t="n">
        <v>6.53</v>
      </c>
      <c r="R49" s="14" t="n">
        <v>6</v>
      </c>
      <c r="S49" s="16" t="n">
        <v>0.05</v>
      </c>
      <c r="T49" s="14" t="n">
        <v>0</v>
      </c>
      <c r="U49" s="14" t="n">
        <v>0</v>
      </c>
    </row>
    <row r="50" customFormat="false" ht="15" hidden="false" customHeight="true" outlineLevel="0" collapsed="false">
      <c r="A50" s="13" t="s">
        <v>202</v>
      </c>
      <c r="B50" s="13" t="s">
        <v>192</v>
      </c>
      <c r="C50" s="13" t="s">
        <v>649</v>
      </c>
      <c r="D50" s="14" t="n">
        <v>29796</v>
      </c>
      <c r="E50" s="14" t="n">
        <v>29472</v>
      </c>
      <c r="F50" s="14" t="n">
        <v>19631</v>
      </c>
      <c r="G50" s="16" t="n">
        <v>66.61</v>
      </c>
      <c r="H50" s="14" t="n">
        <v>2391</v>
      </c>
      <c r="I50" s="16" t="n">
        <v>12.18</v>
      </c>
      <c r="J50" s="14" t="n">
        <v>4510</v>
      </c>
      <c r="K50" s="16" t="n">
        <v>22.97</v>
      </c>
      <c r="L50" s="14" t="n">
        <v>6450</v>
      </c>
      <c r="M50" s="16" t="n">
        <v>32.86</v>
      </c>
      <c r="N50" s="14" t="n">
        <v>5145</v>
      </c>
      <c r="O50" s="16" t="n">
        <v>26.21</v>
      </c>
      <c r="P50" s="14" t="n">
        <v>1121</v>
      </c>
      <c r="Q50" s="16" t="n">
        <v>5.71</v>
      </c>
      <c r="R50" s="14" t="n">
        <v>14</v>
      </c>
      <c r="S50" s="16" t="n">
        <v>0.07</v>
      </c>
      <c r="T50" s="14" t="n">
        <v>0</v>
      </c>
      <c r="U50" s="14" t="n">
        <v>0</v>
      </c>
    </row>
    <row r="51" customFormat="false" ht="15" hidden="false" customHeight="true" outlineLevel="0" collapsed="false">
      <c r="A51" s="13" t="s">
        <v>202</v>
      </c>
      <c r="B51" s="13" t="s">
        <v>192</v>
      </c>
      <c r="C51" s="13" t="s">
        <v>125</v>
      </c>
      <c r="D51" s="14" t="n">
        <v>8373</v>
      </c>
      <c r="E51" s="14" t="n">
        <v>8047</v>
      </c>
      <c r="F51" s="14" t="n">
        <v>2793</v>
      </c>
      <c r="G51" s="16" t="n">
        <v>34.71</v>
      </c>
      <c r="H51" s="14" t="n">
        <v>7</v>
      </c>
      <c r="I51" s="16" t="n">
        <v>0.25</v>
      </c>
      <c r="J51" s="14" t="n">
        <v>25</v>
      </c>
      <c r="K51" s="16" t="n">
        <v>0.9</v>
      </c>
      <c r="L51" s="14" t="n">
        <v>146</v>
      </c>
      <c r="M51" s="16" t="n">
        <v>5.23</v>
      </c>
      <c r="N51" s="14" t="n">
        <v>1104</v>
      </c>
      <c r="O51" s="16" t="n">
        <v>39.53</v>
      </c>
      <c r="P51" s="14" t="n">
        <v>1459</v>
      </c>
      <c r="Q51" s="16" t="n">
        <v>52.24</v>
      </c>
      <c r="R51" s="14" t="n">
        <v>52</v>
      </c>
      <c r="S51" s="16" t="n">
        <v>1.86</v>
      </c>
      <c r="T51" s="14" t="n">
        <v>14</v>
      </c>
      <c r="U51" s="14" t="n">
        <v>8</v>
      </c>
    </row>
    <row r="52" customFormat="false" ht="15" hidden="false" customHeight="true" outlineLevel="0" collapsed="false">
      <c r="A52" s="13" t="s">
        <v>202</v>
      </c>
      <c r="B52" s="13" t="s">
        <v>192</v>
      </c>
      <c r="C52" s="13" t="s">
        <v>652</v>
      </c>
      <c r="D52" s="14" t="n">
        <v>57766</v>
      </c>
      <c r="E52" s="14" t="n">
        <v>56997</v>
      </c>
      <c r="F52" s="14" t="n">
        <v>34622</v>
      </c>
      <c r="G52" s="16" t="n">
        <v>60.74</v>
      </c>
      <c r="H52" s="14" t="n">
        <v>3504</v>
      </c>
      <c r="I52" s="16" t="n">
        <v>10.12</v>
      </c>
      <c r="J52" s="14" t="n">
        <v>6948</v>
      </c>
      <c r="K52" s="16" t="n">
        <v>20.07</v>
      </c>
      <c r="L52" s="14" t="n">
        <v>10707</v>
      </c>
      <c r="M52" s="16" t="n">
        <v>30.93</v>
      </c>
      <c r="N52" s="14" t="n">
        <v>10015</v>
      </c>
      <c r="O52" s="16" t="n">
        <v>28.93</v>
      </c>
      <c r="P52" s="14" t="n">
        <v>3376</v>
      </c>
      <c r="Q52" s="16" t="n">
        <v>9.75</v>
      </c>
      <c r="R52" s="14" t="n">
        <v>72</v>
      </c>
      <c r="S52" s="16" t="n">
        <v>0.21</v>
      </c>
      <c r="T52" s="14" t="n">
        <v>14</v>
      </c>
      <c r="U52" s="14" t="n">
        <v>8</v>
      </c>
    </row>
    <row r="53" customFormat="false" ht="15" hidden="false" customHeight="true" outlineLevel="0" collapsed="false">
      <c r="A53" s="13" t="s">
        <v>203</v>
      </c>
      <c r="B53" s="13" t="s">
        <v>647</v>
      </c>
      <c r="C53" s="13" t="s">
        <v>648</v>
      </c>
      <c r="D53" s="14" t="n">
        <v>1831</v>
      </c>
      <c r="E53" s="14" t="n">
        <v>1809</v>
      </c>
      <c r="F53" s="14" t="n">
        <v>965</v>
      </c>
      <c r="G53" s="16" t="n">
        <v>53.34</v>
      </c>
      <c r="H53" s="14" t="n">
        <v>15</v>
      </c>
      <c r="I53" s="16" t="n">
        <v>1.55</v>
      </c>
      <c r="J53" s="14" t="n">
        <v>57</v>
      </c>
      <c r="K53" s="16" t="n">
        <v>5.91</v>
      </c>
      <c r="L53" s="14" t="n">
        <v>189</v>
      </c>
      <c r="M53" s="16" t="n">
        <v>19.59</v>
      </c>
      <c r="N53" s="14" t="n">
        <v>360</v>
      </c>
      <c r="O53" s="16" t="n">
        <v>37.31</v>
      </c>
      <c r="P53" s="14" t="n">
        <v>328</v>
      </c>
      <c r="Q53" s="16" t="n">
        <v>33.99</v>
      </c>
      <c r="R53" s="14" t="n">
        <v>16</v>
      </c>
      <c r="S53" s="16" t="n">
        <v>1.66</v>
      </c>
      <c r="T53" s="14" t="n">
        <v>0</v>
      </c>
      <c r="U53" s="14" t="n">
        <v>0</v>
      </c>
    </row>
    <row r="54" customFormat="false" ht="15" hidden="false" customHeight="true" outlineLevel="0" collapsed="false">
      <c r="A54" s="13" t="s">
        <v>203</v>
      </c>
      <c r="B54" s="13" t="s">
        <v>647</v>
      </c>
      <c r="C54" s="13" t="s">
        <v>649</v>
      </c>
      <c r="D54" s="14" t="n">
        <v>1872</v>
      </c>
      <c r="E54" s="14" t="n">
        <v>1842</v>
      </c>
      <c r="F54" s="14" t="n">
        <v>1288</v>
      </c>
      <c r="G54" s="16" t="n">
        <v>69.92</v>
      </c>
      <c r="H54" s="14" t="n">
        <v>33</v>
      </c>
      <c r="I54" s="16" t="n">
        <v>2.56</v>
      </c>
      <c r="J54" s="14" t="n">
        <v>113</v>
      </c>
      <c r="K54" s="16" t="n">
        <v>8.77</v>
      </c>
      <c r="L54" s="14" t="n">
        <v>298</v>
      </c>
      <c r="M54" s="16" t="n">
        <v>23.14</v>
      </c>
      <c r="N54" s="14" t="n">
        <v>415</v>
      </c>
      <c r="O54" s="16" t="n">
        <v>32.22</v>
      </c>
      <c r="P54" s="14" t="n">
        <v>399</v>
      </c>
      <c r="Q54" s="16" t="n">
        <v>30.98</v>
      </c>
      <c r="R54" s="14" t="n">
        <v>30</v>
      </c>
      <c r="S54" s="16" t="n">
        <v>2.33</v>
      </c>
      <c r="T54" s="14" t="n">
        <v>0</v>
      </c>
      <c r="U54" s="14" t="n">
        <v>0</v>
      </c>
    </row>
    <row r="55" customFormat="false" ht="15" hidden="false" customHeight="true" outlineLevel="0" collapsed="false">
      <c r="A55" s="13" t="s">
        <v>203</v>
      </c>
      <c r="B55" s="13" t="s">
        <v>647</v>
      </c>
      <c r="C55" s="13" t="s">
        <v>125</v>
      </c>
      <c r="D55" s="14" t="n">
        <v>3168</v>
      </c>
      <c r="E55" s="14" t="n">
        <v>3043</v>
      </c>
      <c r="F55" s="14" t="n">
        <v>1181</v>
      </c>
      <c r="G55" s="16" t="n">
        <v>38.81</v>
      </c>
      <c r="H55" s="14" t="n">
        <v>3</v>
      </c>
      <c r="I55" s="16" t="n">
        <v>0.25</v>
      </c>
      <c r="J55" s="14" t="n">
        <v>35</v>
      </c>
      <c r="K55" s="16" t="n">
        <v>2.96</v>
      </c>
      <c r="L55" s="14" t="n">
        <v>121</v>
      </c>
      <c r="M55" s="16" t="n">
        <v>10.25</v>
      </c>
      <c r="N55" s="14" t="n">
        <v>355</v>
      </c>
      <c r="O55" s="16" t="n">
        <v>30.06</v>
      </c>
      <c r="P55" s="14" t="n">
        <v>599</v>
      </c>
      <c r="Q55" s="16" t="n">
        <v>50.72</v>
      </c>
      <c r="R55" s="14" t="n">
        <v>68</v>
      </c>
      <c r="S55" s="16" t="n">
        <v>5.76</v>
      </c>
      <c r="T55" s="14" t="n">
        <v>2</v>
      </c>
      <c r="U55" s="14" t="n">
        <v>1</v>
      </c>
    </row>
    <row r="56" customFormat="false" ht="15" hidden="false" customHeight="true" outlineLevel="0" collapsed="false">
      <c r="A56" s="13" t="s">
        <v>203</v>
      </c>
      <c r="B56" s="13" t="s">
        <v>647</v>
      </c>
      <c r="C56" s="13" t="s">
        <v>650</v>
      </c>
      <c r="D56" s="14" t="n">
        <v>6871</v>
      </c>
      <c r="E56" s="14" t="n">
        <v>6694</v>
      </c>
      <c r="F56" s="14" t="n">
        <v>3434</v>
      </c>
      <c r="G56" s="16" t="n">
        <v>51.3</v>
      </c>
      <c r="H56" s="14" t="n">
        <v>51</v>
      </c>
      <c r="I56" s="16" t="n">
        <v>1.49</v>
      </c>
      <c r="J56" s="14" t="n">
        <v>205</v>
      </c>
      <c r="K56" s="16" t="n">
        <v>5.97</v>
      </c>
      <c r="L56" s="14" t="n">
        <v>608</v>
      </c>
      <c r="M56" s="16" t="n">
        <v>17.71</v>
      </c>
      <c r="N56" s="14" t="n">
        <v>1130</v>
      </c>
      <c r="O56" s="16" t="n">
        <v>32.91</v>
      </c>
      <c r="P56" s="14" t="n">
        <v>1326</v>
      </c>
      <c r="Q56" s="16" t="n">
        <v>38.61</v>
      </c>
      <c r="R56" s="14" t="n">
        <v>114</v>
      </c>
      <c r="S56" s="16" t="n">
        <v>3.32</v>
      </c>
      <c r="T56" s="14" t="n">
        <v>2</v>
      </c>
      <c r="U56" s="14" t="n">
        <v>1</v>
      </c>
    </row>
    <row r="57" customFormat="false" ht="15" hidden="false" customHeight="true" outlineLevel="0" collapsed="false">
      <c r="A57" s="13" t="s">
        <v>203</v>
      </c>
      <c r="B57" s="13" t="s">
        <v>651</v>
      </c>
      <c r="C57" s="13" t="s">
        <v>648</v>
      </c>
      <c r="D57" s="14" t="n">
        <v>2155</v>
      </c>
      <c r="E57" s="14" t="n">
        <v>2141</v>
      </c>
      <c r="F57" s="14" t="n">
        <v>1643</v>
      </c>
      <c r="G57" s="16" t="n">
        <v>76.74</v>
      </c>
      <c r="H57" s="14" t="n">
        <v>50</v>
      </c>
      <c r="I57" s="16" t="n">
        <v>3.04</v>
      </c>
      <c r="J57" s="14" t="n">
        <v>194</v>
      </c>
      <c r="K57" s="16" t="n">
        <v>11.81</v>
      </c>
      <c r="L57" s="14" t="n">
        <v>463</v>
      </c>
      <c r="M57" s="16" t="n">
        <v>28.18</v>
      </c>
      <c r="N57" s="14" t="n">
        <v>576</v>
      </c>
      <c r="O57" s="16" t="n">
        <v>35.06</v>
      </c>
      <c r="P57" s="14" t="n">
        <v>356</v>
      </c>
      <c r="Q57" s="16" t="n">
        <v>21.67</v>
      </c>
      <c r="R57" s="14" t="n">
        <v>4</v>
      </c>
      <c r="S57" s="16" t="n">
        <v>0.24</v>
      </c>
      <c r="T57" s="14" t="n">
        <v>0</v>
      </c>
      <c r="U57" s="14" t="n">
        <v>0</v>
      </c>
    </row>
    <row r="58" customFormat="false" ht="15" hidden="false" customHeight="true" outlineLevel="0" collapsed="false">
      <c r="A58" s="13" t="s">
        <v>203</v>
      </c>
      <c r="B58" s="13" t="s">
        <v>651</v>
      </c>
      <c r="C58" s="13" t="s">
        <v>649</v>
      </c>
      <c r="D58" s="14" t="n">
        <v>1803</v>
      </c>
      <c r="E58" s="14" t="n">
        <v>1790</v>
      </c>
      <c r="F58" s="14" t="n">
        <v>1539</v>
      </c>
      <c r="G58" s="16" t="n">
        <v>85.98</v>
      </c>
      <c r="H58" s="14" t="n">
        <v>110</v>
      </c>
      <c r="I58" s="16" t="n">
        <v>7.15</v>
      </c>
      <c r="J58" s="14" t="n">
        <v>318</v>
      </c>
      <c r="K58" s="16" t="n">
        <v>20.66</v>
      </c>
      <c r="L58" s="14" t="n">
        <v>455</v>
      </c>
      <c r="M58" s="16" t="n">
        <v>29.56</v>
      </c>
      <c r="N58" s="14" t="n">
        <v>457</v>
      </c>
      <c r="O58" s="16" t="n">
        <v>29.69</v>
      </c>
      <c r="P58" s="14" t="n">
        <v>193</v>
      </c>
      <c r="Q58" s="16" t="n">
        <v>12.54</v>
      </c>
      <c r="R58" s="14" t="n">
        <v>6</v>
      </c>
      <c r="S58" s="16" t="n">
        <v>0.39</v>
      </c>
      <c r="T58" s="14" t="n">
        <v>0</v>
      </c>
      <c r="U58" s="14" t="n">
        <v>0</v>
      </c>
    </row>
    <row r="59" customFormat="false" ht="15" hidden="false" customHeight="true" outlineLevel="0" collapsed="false">
      <c r="A59" s="13" t="s">
        <v>203</v>
      </c>
      <c r="B59" s="13" t="s">
        <v>651</v>
      </c>
      <c r="C59" s="13" t="s">
        <v>125</v>
      </c>
      <c r="D59" s="14" t="n">
        <v>2397</v>
      </c>
      <c r="E59" s="14" t="n">
        <v>2351</v>
      </c>
      <c r="F59" s="14" t="n">
        <v>1425</v>
      </c>
      <c r="G59" s="16" t="n">
        <v>60.61</v>
      </c>
      <c r="H59" s="14" t="n">
        <v>27</v>
      </c>
      <c r="I59" s="16" t="n">
        <v>1.89</v>
      </c>
      <c r="J59" s="14" t="n">
        <v>158</v>
      </c>
      <c r="K59" s="16" t="n">
        <v>11.09</v>
      </c>
      <c r="L59" s="14" t="n">
        <v>322</v>
      </c>
      <c r="M59" s="16" t="n">
        <v>22.6</v>
      </c>
      <c r="N59" s="14" t="n">
        <v>549</v>
      </c>
      <c r="O59" s="16" t="n">
        <v>38.53</v>
      </c>
      <c r="P59" s="14" t="n">
        <v>342</v>
      </c>
      <c r="Q59" s="16" t="n">
        <v>24</v>
      </c>
      <c r="R59" s="14" t="n">
        <v>27</v>
      </c>
      <c r="S59" s="16" t="n">
        <v>1.89</v>
      </c>
      <c r="T59" s="14" t="n">
        <v>0</v>
      </c>
      <c r="U59" s="14" t="n">
        <v>0</v>
      </c>
    </row>
    <row r="60" customFormat="false" ht="15" hidden="false" customHeight="true" outlineLevel="0" collapsed="false">
      <c r="A60" s="13" t="s">
        <v>203</v>
      </c>
      <c r="B60" s="13" t="s">
        <v>651</v>
      </c>
      <c r="C60" s="13" t="s">
        <v>650</v>
      </c>
      <c r="D60" s="14" t="n">
        <v>6355</v>
      </c>
      <c r="E60" s="14" t="n">
        <v>6282</v>
      </c>
      <c r="F60" s="14" t="n">
        <v>4607</v>
      </c>
      <c r="G60" s="16" t="n">
        <v>73.34</v>
      </c>
      <c r="H60" s="14" t="n">
        <v>187</v>
      </c>
      <c r="I60" s="16" t="n">
        <v>4.06</v>
      </c>
      <c r="J60" s="14" t="n">
        <v>670</v>
      </c>
      <c r="K60" s="16" t="n">
        <v>14.54</v>
      </c>
      <c r="L60" s="14" t="n">
        <v>1240</v>
      </c>
      <c r="M60" s="16" t="n">
        <v>26.92</v>
      </c>
      <c r="N60" s="14" t="n">
        <v>1582</v>
      </c>
      <c r="O60" s="16" t="n">
        <v>34.34</v>
      </c>
      <c r="P60" s="14" t="n">
        <v>891</v>
      </c>
      <c r="Q60" s="16" t="n">
        <v>19.34</v>
      </c>
      <c r="R60" s="14" t="n">
        <v>37</v>
      </c>
      <c r="S60" s="16" t="n">
        <v>0.8</v>
      </c>
      <c r="T60" s="14" t="n">
        <v>0</v>
      </c>
      <c r="U60" s="14" t="n">
        <v>0</v>
      </c>
    </row>
    <row r="61" customFormat="false" ht="15" hidden="false" customHeight="true" outlineLevel="0" collapsed="false">
      <c r="A61" s="13" t="s">
        <v>203</v>
      </c>
      <c r="B61" s="13" t="s">
        <v>192</v>
      </c>
      <c r="C61" s="13" t="s">
        <v>648</v>
      </c>
      <c r="D61" s="14" t="n">
        <v>3986</v>
      </c>
      <c r="E61" s="14" t="n">
        <v>3950</v>
      </c>
      <c r="F61" s="14" t="n">
        <v>2608</v>
      </c>
      <c r="G61" s="16" t="n">
        <v>66.03</v>
      </c>
      <c r="H61" s="14" t="n">
        <v>65</v>
      </c>
      <c r="I61" s="16" t="n">
        <v>2.49</v>
      </c>
      <c r="J61" s="14" t="n">
        <v>251</v>
      </c>
      <c r="K61" s="16" t="n">
        <v>9.62</v>
      </c>
      <c r="L61" s="14" t="n">
        <v>652</v>
      </c>
      <c r="M61" s="16" t="n">
        <v>25</v>
      </c>
      <c r="N61" s="14" t="n">
        <v>936</v>
      </c>
      <c r="O61" s="16" t="n">
        <v>35.89</v>
      </c>
      <c r="P61" s="14" t="n">
        <v>684</v>
      </c>
      <c r="Q61" s="16" t="n">
        <v>26.23</v>
      </c>
      <c r="R61" s="14" t="n">
        <v>20</v>
      </c>
      <c r="S61" s="16" t="n">
        <v>0.77</v>
      </c>
      <c r="T61" s="14" t="n">
        <v>0</v>
      </c>
      <c r="U61" s="14" t="n">
        <v>0</v>
      </c>
    </row>
    <row r="62" customFormat="false" ht="15" hidden="false" customHeight="true" outlineLevel="0" collapsed="false">
      <c r="A62" s="13" t="s">
        <v>203</v>
      </c>
      <c r="B62" s="13" t="s">
        <v>192</v>
      </c>
      <c r="C62" s="13" t="s">
        <v>649</v>
      </c>
      <c r="D62" s="14" t="n">
        <v>3675</v>
      </c>
      <c r="E62" s="14" t="n">
        <v>3632</v>
      </c>
      <c r="F62" s="14" t="n">
        <v>2827</v>
      </c>
      <c r="G62" s="16" t="n">
        <v>77.84</v>
      </c>
      <c r="H62" s="14" t="n">
        <v>143</v>
      </c>
      <c r="I62" s="16" t="n">
        <v>5.06</v>
      </c>
      <c r="J62" s="14" t="n">
        <v>431</v>
      </c>
      <c r="K62" s="16" t="n">
        <v>15.25</v>
      </c>
      <c r="L62" s="14" t="n">
        <v>753</v>
      </c>
      <c r="M62" s="16" t="n">
        <v>26.64</v>
      </c>
      <c r="N62" s="14" t="n">
        <v>872</v>
      </c>
      <c r="O62" s="16" t="n">
        <v>30.85</v>
      </c>
      <c r="P62" s="14" t="n">
        <v>592</v>
      </c>
      <c r="Q62" s="16" t="n">
        <v>20.94</v>
      </c>
      <c r="R62" s="14" t="n">
        <v>36</v>
      </c>
      <c r="S62" s="16" t="n">
        <v>1.27</v>
      </c>
      <c r="T62" s="14" t="n">
        <v>0</v>
      </c>
      <c r="U62" s="14" t="n">
        <v>0</v>
      </c>
    </row>
    <row r="63" customFormat="false" ht="15" hidden="false" customHeight="true" outlineLevel="0" collapsed="false">
      <c r="A63" s="13" t="s">
        <v>203</v>
      </c>
      <c r="B63" s="13" t="s">
        <v>192</v>
      </c>
      <c r="C63" s="13" t="s">
        <v>125</v>
      </c>
      <c r="D63" s="14" t="n">
        <v>5565</v>
      </c>
      <c r="E63" s="14" t="n">
        <v>5394</v>
      </c>
      <c r="F63" s="14" t="n">
        <v>2606</v>
      </c>
      <c r="G63" s="16" t="n">
        <v>48.31</v>
      </c>
      <c r="H63" s="14" t="n">
        <v>30</v>
      </c>
      <c r="I63" s="16" t="n">
        <v>1.15</v>
      </c>
      <c r="J63" s="14" t="n">
        <v>193</v>
      </c>
      <c r="K63" s="16" t="n">
        <v>7.41</v>
      </c>
      <c r="L63" s="14" t="n">
        <v>443</v>
      </c>
      <c r="M63" s="16" t="n">
        <v>17</v>
      </c>
      <c r="N63" s="14" t="n">
        <v>904</v>
      </c>
      <c r="O63" s="16" t="n">
        <v>34.69</v>
      </c>
      <c r="P63" s="14" t="n">
        <v>941</v>
      </c>
      <c r="Q63" s="16" t="n">
        <v>36.11</v>
      </c>
      <c r="R63" s="14" t="n">
        <v>95</v>
      </c>
      <c r="S63" s="16" t="n">
        <v>3.65</v>
      </c>
      <c r="T63" s="14" t="n">
        <v>2</v>
      </c>
      <c r="U63" s="14" t="n">
        <v>1</v>
      </c>
    </row>
    <row r="64" customFormat="false" ht="15" hidden="false" customHeight="true" outlineLevel="0" collapsed="false">
      <c r="A64" s="13" t="s">
        <v>203</v>
      </c>
      <c r="B64" s="13" t="s">
        <v>192</v>
      </c>
      <c r="C64" s="13" t="s">
        <v>652</v>
      </c>
      <c r="D64" s="14" t="n">
        <v>13226</v>
      </c>
      <c r="E64" s="14" t="n">
        <v>12976</v>
      </c>
      <c r="F64" s="14" t="n">
        <v>8041</v>
      </c>
      <c r="G64" s="16" t="n">
        <v>61.97</v>
      </c>
      <c r="H64" s="14" t="n">
        <v>238</v>
      </c>
      <c r="I64" s="16" t="n">
        <v>2.96</v>
      </c>
      <c r="J64" s="14" t="n">
        <v>875</v>
      </c>
      <c r="K64" s="16" t="n">
        <v>10.88</v>
      </c>
      <c r="L64" s="14" t="n">
        <v>1848</v>
      </c>
      <c r="M64" s="16" t="n">
        <v>22.98</v>
      </c>
      <c r="N64" s="14" t="n">
        <v>2712</v>
      </c>
      <c r="O64" s="16" t="n">
        <v>33.73</v>
      </c>
      <c r="P64" s="14" t="n">
        <v>2217</v>
      </c>
      <c r="Q64" s="16" t="n">
        <v>27.57</v>
      </c>
      <c r="R64" s="14" t="n">
        <v>151</v>
      </c>
      <c r="S64" s="16" t="n">
        <v>1.88</v>
      </c>
      <c r="T64" s="14" t="n">
        <v>2</v>
      </c>
      <c r="U64" s="14" t="n">
        <v>1</v>
      </c>
    </row>
    <row r="65" customFormat="false" ht="15" hidden="false" customHeight="true" outlineLevel="0" collapsed="false">
      <c r="A65" s="13" t="s">
        <v>654</v>
      </c>
      <c r="B65" s="13" t="s">
        <v>647</v>
      </c>
      <c r="C65" s="13" t="s">
        <v>648</v>
      </c>
      <c r="D65" s="14" t="n">
        <v>20886</v>
      </c>
      <c r="E65" s="14" t="n">
        <v>20735</v>
      </c>
      <c r="F65" s="14" t="n">
        <v>10558</v>
      </c>
      <c r="G65" s="16" t="n">
        <v>50.92</v>
      </c>
      <c r="H65" s="14" t="n">
        <v>1220</v>
      </c>
      <c r="I65" s="16" t="n">
        <v>11.56</v>
      </c>
      <c r="J65" s="14" t="n">
        <v>1724</v>
      </c>
      <c r="K65" s="16" t="n">
        <v>16.33</v>
      </c>
      <c r="L65" s="14" t="n">
        <v>2846</v>
      </c>
      <c r="M65" s="16" t="n">
        <v>26.96</v>
      </c>
      <c r="N65" s="14" t="n">
        <v>3343</v>
      </c>
      <c r="O65" s="16" t="n">
        <v>31.66</v>
      </c>
      <c r="P65" s="14" t="n">
        <v>1383</v>
      </c>
      <c r="Q65" s="16" t="n">
        <v>13.1</v>
      </c>
      <c r="R65" s="14" t="n">
        <v>42</v>
      </c>
      <c r="S65" s="16" t="n">
        <v>0.4</v>
      </c>
      <c r="T65" s="14" t="n">
        <v>0</v>
      </c>
      <c r="U65" s="14" t="n">
        <v>0</v>
      </c>
    </row>
    <row r="66" customFormat="false" ht="15" hidden="false" customHeight="true" outlineLevel="0" collapsed="false">
      <c r="A66" s="13" t="s">
        <v>654</v>
      </c>
      <c r="B66" s="13" t="s">
        <v>647</v>
      </c>
      <c r="C66" s="13" t="s">
        <v>649</v>
      </c>
      <c r="D66" s="14" t="n">
        <v>30336</v>
      </c>
      <c r="E66" s="14" t="n">
        <v>29914</v>
      </c>
      <c r="F66" s="14" t="n">
        <v>18565</v>
      </c>
      <c r="G66" s="16" t="n">
        <v>62.06</v>
      </c>
      <c r="H66" s="14" t="n">
        <v>2136</v>
      </c>
      <c r="I66" s="16" t="n">
        <v>11.51</v>
      </c>
      <c r="J66" s="14" t="n">
        <v>3510</v>
      </c>
      <c r="K66" s="16" t="n">
        <v>18.91</v>
      </c>
      <c r="L66" s="14" t="n">
        <v>5378</v>
      </c>
      <c r="M66" s="16" t="n">
        <v>28.97</v>
      </c>
      <c r="N66" s="14" t="n">
        <v>5577</v>
      </c>
      <c r="O66" s="16" t="n">
        <v>30.04</v>
      </c>
      <c r="P66" s="14" t="n">
        <v>1901</v>
      </c>
      <c r="Q66" s="16" t="n">
        <v>10.24</v>
      </c>
      <c r="R66" s="14" t="n">
        <v>63</v>
      </c>
      <c r="S66" s="16" t="n">
        <v>0.34</v>
      </c>
      <c r="T66" s="14" t="n">
        <v>0</v>
      </c>
      <c r="U66" s="14" t="n">
        <v>0</v>
      </c>
    </row>
    <row r="67" customFormat="false" ht="15" hidden="false" customHeight="true" outlineLevel="0" collapsed="false">
      <c r="A67" s="13" t="s">
        <v>654</v>
      </c>
      <c r="B67" s="13" t="s">
        <v>647</v>
      </c>
      <c r="C67" s="13" t="s">
        <v>125</v>
      </c>
      <c r="D67" s="14" t="n">
        <v>28492</v>
      </c>
      <c r="E67" s="14" t="n">
        <v>26791</v>
      </c>
      <c r="F67" s="14" t="n">
        <v>8054</v>
      </c>
      <c r="G67" s="16" t="n">
        <v>30.06</v>
      </c>
      <c r="H67" s="14" t="n">
        <v>563</v>
      </c>
      <c r="I67" s="16" t="n">
        <v>6.99</v>
      </c>
      <c r="J67" s="14" t="n">
        <v>333</v>
      </c>
      <c r="K67" s="16" t="n">
        <v>4.13</v>
      </c>
      <c r="L67" s="14" t="n">
        <v>887</v>
      </c>
      <c r="M67" s="16" t="n">
        <v>11.01</v>
      </c>
      <c r="N67" s="14" t="n">
        <v>2512</v>
      </c>
      <c r="O67" s="16" t="n">
        <v>31.19</v>
      </c>
      <c r="P67" s="14" t="n">
        <v>3450</v>
      </c>
      <c r="Q67" s="16" t="n">
        <v>42.84</v>
      </c>
      <c r="R67" s="14" t="n">
        <v>309</v>
      </c>
      <c r="S67" s="16" t="n">
        <v>3.84</v>
      </c>
      <c r="T67" s="14" t="n">
        <v>245</v>
      </c>
      <c r="U67" s="14" t="n">
        <v>114</v>
      </c>
    </row>
    <row r="68" customFormat="false" ht="15" hidden="false" customHeight="true" outlineLevel="0" collapsed="false">
      <c r="A68" s="13" t="s">
        <v>654</v>
      </c>
      <c r="B68" s="13" t="s">
        <v>647</v>
      </c>
      <c r="C68" s="13" t="s">
        <v>192</v>
      </c>
      <c r="D68" s="14" t="n">
        <v>79714</v>
      </c>
      <c r="E68" s="14" t="n">
        <v>77440</v>
      </c>
      <c r="F68" s="14" t="n">
        <v>37177</v>
      </c>
      <c r="G68" s="16" t="n">
        <v>48.01</v>
      </c>
      <c r="H68" s="14" t="n">
        <v>3919</v>
      </c>
      <c r="I68" s="16" t="n">
        <v>10.54</v>
      </c>
      <c r="J68" s="14" t="n">
        <v>5567</v>
      </c>
      <c r="K68" s="16" t="n">
        <v>14.97</v>
      </c>
      <c r="L68" s="14" t="n">
        <v>9111</v>
      </c>
      <c r="M68" s="16" t="n">
        <v>24.51</v>
      </c>
      <c r="N68" s="14" t="n">
        <v>11432</v>
      </c>
      <c r="O68" s="16" t="n">
        <v>30.75</v>
      </c>
      <c r="P68" s="14" t="n">
        <v>6734</v>
      </c>
      <c r="Q68" s="16" t="n">
        <v>18.11</v>
      </c>
      <c r="R68" s="14" t="n">
        <v>414</v>
      </c>
      <c r="S68" s="16" t="n">
        <v>1.11</v>
      </c>
      <c r="T68" s="14" t="n">
        <v>245</v>
      </c>
      <c r="U68" s="14" t="n">
        <v>114</v>
      </c>
    </row>
    <row r="69" customFormat="false" ht="15" hidden="false" customHeight="true" outlineLevel="0" collapsed="false">
      <c r="A69" s="13" t="s">
        <v>654</v>
      </c>
      <c r="B69" s="13" t="s">
        <v>651</v>
      </c>
      <c r="C69" s="13" t="s">
        <v>648</v>
      </c>
      <c r="D69" s="14" t="n">
        <v>37750</v>
      </c>
      <c r="E69" s="14" t="n">
        <v>37508</v>
      </c>
      <c r="F69" s="14" t="n">
        <v>27039</v>
      </c>
      <c r="G69" s="16" t="n">
        <v>72.09</v>
      </c>
      <c r="H69" s="14" t="n">
        <v>2591</v>
      </c>
      <c r="I69" s="16" t="n">
        <v>9.58</v>
      </c>
      <c r="J69" s="14" t="n">
        <v>5191</v>
      </c>
      <c r="K69" s="16" t="n">
        <v>19.2</v>
      </c>
      <c r="L69" s="14" t="n">
        <v>9023</v>
      </c>
      <c r="M69" s="16" t="n">
        <v>33.37</v>
      </c>
      <c r="N69" s="14" t="n">
        <v>8166</v>
      </c>
      <c r="O69" s="16" t="n">
        <v>30.2</v>
      </c>
      <c r="P69" s="14" t="n">
        <v>2025</v>
      </c>
      <c r="Q69" s="16" t="n">
        <v>7.49</v>
      </c>
      <c r="R69" s="14" t="n">
        <v>43</v>
      </c>
      <c r="S69" s="16" t="n">
        <v>0.16</v>
      </c>
      <c r="T69" s="14" t="n">
        <v>0</v>
      </c>
      <c r="U69" s="14" t="n">
        <v>0</v>
      </c>
    </row>
    <row r="70" customFormat="false" ht="15" hidden="false" customHeight="true" outlineLevel="0" collapsed="false">
      <c r="A70" s="13" t="s">
        <v>654</v>
      </c>
      <c r="B70" s="13" t="s">
        <v>651</v>
      </c>
      <c r="C70" s="13" t="s">
        <v>649</v>
      </c>
      <c r="D70" s="14" t="n">
        <v>38576</v>
      </c>
      <c r="E70" s="14" t="n">
        <v>38247</v>
      </c>
      <c r="F70" s="14" t="n">
        <v>30521</v>
      </c>
      <c r="G70" s="16" t="n">
        <v>79.8</v>
      </c>
      <c r="H70" s="14" t="n">
        <v>5631</v>
      </c>
      <c r="I70" s="16" t="n">
        <v>18.45</v>
      </c>
      <c r="J70" s="14" t="n">
        <v>7942</v>
      </c>
      <c r="K70" s="16" t="n">
        <v>26.02</v>
      </c>
      <c r="L70" s="14" t="n">
        <v>9542</v>
      </c>
      <c r="M70" s="16" t="n">
        <v>31.26</v>
      </c>
      <c r="N70" s="14" t="n">
        <v>6249</v>
      </c>
      <c r="O70" s="16" t="n">
        <v>20.47</v>
      </c>
      <c r="P70" s="14" t="n">
        <v>1139</v>
      </c>
      <c r="Q70" s="16" t="n">
        <v>3.73</v>
      </c>
      <c r="R70" s="14" t="n">
        <v>18</v>
      </c>
      <c r="S70" s="16" t="n">
        <v>0.06</v>
      </c>
      <c r="T70" s="14" t="n">
        <v>0</v>
      </c>
      <c r="U70" s="14" t="n">
        <v>0</v>
      </c>
    </row>
    <row r="71" customFormat="false" ht="15" hidden="false" customHeight="true" outlineLevel="0" collapsed="false">
      <c r="A71" s="13" t="s">
        <v>654</v>
      </c>
      <c r="B71" s="13" t="s">
        <v>651</v>
      </c>
      <c r="C71" s="13" t="s">
        <v>125</v>
      </c>
      <c r="D71" s="14" t="n">
        <v>27960</v>
      </c>
      <c r="E71" s="14" t="n">
        <v>27134</v>
      </c>
      <c r="F71" s="14" t="n">
        <v>15004</v>
      </c>
      <c r="G71" s="16" t="n">
        <v>55.3</v>
      </c>
      <c r="H71" s="14" t="n">
        <v>1532</v>
      </c>
      <c r="I71" s="16" t="n">
        <v>10.21</v>
      </c>
      <c r="J71" s="14" t="n">
        <v>1499</v>
      </c>
      <c r="K71" s="16" t="n">
        <v>9.99</v>
      </c>
      <c r="L71" s="14" t="n">
        <v>3349</v>
      </c>
      <c r="M71" s="16" t="n">
        <v>22.32</v>
      </c>
      <c r="N71" s="14" t="n">
        <v>5317</v>
      </c>
      <c r="O71" s="16" t="n">
        <v>35.44</v>
      </c>
      <c r="P71" s="14" t="n">
        <v>3133</v>
      </c>
      <c r="Q71" s="16" t="n">
        <v>20.88</v>
      </c>
      <c r="R71" s="14" t="n">
        <v>174</v>
      </c>
      <c r="S71" s="16" t="n">
        <v>1.16</v>
      </c>
      <c r="T71" s="14" t="n">
        <v>197</v>
      </c>
      <c r="U71" s="14" t="n">
        <v>136</v>
      </c>
    </row>
    <row r="72" customFormat="false" ht="15" hidden="false" customHeight="true" outlineLevel="0" collapsed="false">
      <c r="A72" s="13" t="s">
        <v>654</v>
      </c>
      <c r="B72" s="13" t="s">
        <v>651</v>
      </c>
      <c r="C72" s="13" t="s">
        <v>192</v>
      </c>
      <c r="D72" s="14" t="n">
        <v>104286</v>
      </c>
      <c r="E72" s="14" t="n">
        <v>102889</v>
      </c>
      <c r="F72" s="14" t="n">
        <v>72564</v>
      </c>
      <c r="G72" s="16" t="n">
        <v>70.53</v>
      </c>
      <c r="H72" s="14" t="n">
        <v>9754</v>
      </c>
      <c r="I72" s="16" t="n">
        <v>13.44</v>
      </c>
      <c r="J72" s="14" t="n">
        <v>14632</v>
      </c>
      <c r="K72" s="16" t="n">
        <v>20.16</v>
      </c>
      <c r="L72" s="14" t="n">
        <v>21914</v>
      </c>
      <c r="M72" s="16" t="n">
        <v>30.2</v>
      </c>
      <c r="N72" s="14" t="n">
        <v>19732</v>
      </c>
      <c r="O72" s="16" t="n">
        <v>27.19</v>
      </c>
      <c r="P72" s="14" t="n">
        <v>6297</v>
      </c>
      <c r="Q72" s="16" t="n">
        <v>8.68</v>
      </c>
      <c r="R72" s="14" t="n">
        <v>235</v>
      </c>
      <c r="S72" s="16" t="n">
        <v>0.32</v>
      </c>
      <c r="T72" s="14" t="n">
        <v>197</v>
      </c>
      <c r="U72" s="14" t="n">
        <v>136</v>
      </c>
    </row>
    <row r="73" customFormat="false" ht="15" hidden="false" customHeight="true" outlineLevel="0" collapsed="false">
      <c r="A73" s="13" t="s">
        <v>654</v>
      </c>
      <c r="B73" s="13" t="s">
        <v>192</v>
      </c>
      <c r="C73" s="13" t="s">
        <v>137</v>
      </c>
      <c r="D73" s="14" t="n">
        <v>184000</v>
      </c>
      <c r="E73" s="14" t="n">
        <v>180329</v>
      </c>
      <c r="F73" s="14" t="n">
        <v>109741</v>
      </c>
      <c r="G73" s="16" t="n">
        <v>60.86</v>
      </c>
      <c r="H73" s="14" t="n">
        <v>13673</v>
      </c>
      <c r="I73" s="16" t="n">
        <v>12.46</v>
      </c>
      <c r="J73" s="14" t="n">
        <v>20199</v>
      </c>
      <c r="K73" s="16" t="n">
        <v>18.41</v>
      </c>
      <c r="L73" s="14" t="n">
        <v>31025</v>
      </c>
      <c r="M73" s="16" t="n">
        <v>28.27</v>
      </c>
      <c r="N73" s="14" t="n">
        <v>31164</v>
      </c>
      <c r="O73" s="16" t="n">
        <v>28.4</v>
      </c>
      <c r="P73" s="14" t="n">
        <v>13031</v>
      </c>
      <c r="Q73" s="16" t="n">
        <v>11.87</v>
      </c>
      <c r="R73" s="14" t="n">
        <v>649</v>
      </c>
      <c r="S73" s="16" t="n">
        <v>0.59</v>
      </c>
      <c r="T73" s="14" t="n">
        <v>442</v>
      </c>
      <c r="U73" s="14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0"/>
    <col collapsed="false" customWidth="true" hidden="false" outlineLevel="0" max="2" min="2" style="13" width="6"/>
    <col collapsed="false" customWidth="true" hidden="false" outlineLevel="0" max="3" min="3" style="13" width="50"/>
    <col collapsed="false" customWidth="true" hidden="false" outlineLevel="0" max="12" min="4" style="13" width="13"/>
  </cols>
  <sheetData>
    <row r="1" customFormat="false" ht="15" hidden="false" customHeight="true" outlineLevel="0" collapsed="false">
      <c r="A1" s="13" t="s">
        <v>731</v>
      </c>
    </row>
    <row r="2" customFormat="false" ht="15" hidden="false" customHeight="true" outlineLevel="0" collapsed="false">
      <c r="A2" s="13" t="s">
        <v>732</v>
      </c>
    </row>
    <row r="4" customFormat="false" ht="15" hidden="false" customHeight="true" outlineLevel="0" collapsed="false">
      <c r="A4" s="13" t="s">
        <v>114</v>
      </c>
      <c r="B4" s="13" t="s">
        <v>657</v>
      </c>
      <c r="C4" s="13" t="s">
        <v>658</v>
      </c>
      <c r="D4" s="13" t="s">
        <v>175</v>
      </c>
      <c r="E4" s="13" t="s">
        <v>176</v>
      </c>
      <c r="F4" s="13" t="s">
        <v>177</v>
      </c>
      <c r="G4" s="13" t="s">
        <v>178</v>
      </c>
      <c r="H4" s="13" t="s">
        <v>179</v>
      </c>
      <c r="I4" s="13" t="s">
        <v>180</v>
      </c>
      <c r="J4" s="13" t="s">
        <v>659</v>
      </c>
      <c r="K4" s="13" t="s">
        <v>660</v>
      </c>
      <c r="L4" s="13" t="s">
        <v>183</v>
      </c>
    </row>
    <row r="5" customFormat="false" ht="15" hidden="false" customHeight="true" outlineLevel="0" collapsed="false">
      <c r="A5" s="13" t="s">
        <v>202</v>
      </c>
      <c r="B5" s="13" t="n">
        <v>1</v>
      </c>
      <c r="C5" s="13" t="s">
        <v>661</v>
      </c>
      <c r="D5" s="14" t="n">
        <v>47984</v>
      </c>
      <c r="E5" s="14" t="n">
        <v>47854</v>
      </c>
      <c r="F5" s="16" t="n">
        <v>99.73</v>
      </c>
      <c r="G5" s="14" t="n">
        <v>431</v>
      </c>
      <c r="H5" s="14" t="n">
        <v>397</v>
      </c>
      <c r="I5" s="16" t="n">
        <v>92.11</v>
      </c>
      <c r="J5" s="14" t="n">
        <v>48415</v>
      </c>
      <c r="K5" s="14" t="n">
        <v>48251</v>
      </c>
      <c r="L5" s="16" t="n">
        <v>99.66</v>
      </c>
    </row>
    <row r="6" customFormat="false" ht="15" hidden="false" customHeight="true" outlineLevel="0" collapsed="false">
      <c r="A6" s="13" t="s">
        <v>202</v>
      </c>
      <c r="B6" s="13" t="n">
        <v>2</v>
      </c>
      <c r="C6" s="13" t="s">
        <v>410</v>
      </c>
      <c r="D6" s="14" t="n">
        <v>48580</v>
      </c>
      <c r="E6" s="14" t="n">
        <v>47299</v>
      </c>
      <c r="F6" s="16" t="n">
        <v>97.36</v>
      </c>
      <c r="G6" s="14" t="n">
        <v>913</v>
      </c>
      <c r="H6" s="14" t="n">
        <v>633</v>
      </c>
      <c r="I6" s="16" t="n">
        <v>69.33</v>
      </c>
      <c r="J6" s="14" t="n">
        <v>49493</v>
      </c>
      <c r="K6" s="14" t="n">
        <v>47932</v>
      </c>
      <c r="L6" s="16" t="n">
        <v>96.85</v>
      </c>
    </row>
    <row r="7" customFormat="false" ht="15" hidden="false" customHeight="true" outlineLevel="0" collapsed="false">
      <c r="A7" s="13" t="s">
        <v>202</v>
      </c>
      <c r="B7" s="13" t="n">
        <v>3</v>
      </c>
      <c r="C7" s="13" t="s">
        <v>145</v>
      </c>
      <c r="D7" s="14" t="n">
        <v>2</v>
      </c>
      <c r="E7" s="14" t="n">
        <v>2</v>
      </c>
      <c r="F7" s="16" t="n">
        <v>100</v>
      </c>
      <c r="G7" s="14" t="n">
        <v>0</v>
      </c>
      <c r="H7" s="14" t="n">
        <v>0</v>
      </c>
      <c r="I7" s="16" t="n">
        <v>0</v>
      </c>
      <c r="J7" s="14" t="n">
        <v>2</v>
      </c>
      <c r="K7" s="14" t="n">
        <v>2</v>
      </c>
      <c r="L7" s="16" t="n">
        <v>100</v>
      </c>
    </row>
    <row r="8" customFormat="false" ht="15" hidden="false" customHeight="true" outlineLevel="0" collapsed="false">
      <c r="A8" s="13" t="s">
        <v>202</v>
      </c>
      <c r="B8" s="13" t="n">
        <v>4</v>
      </c>
      <c r="C8" s="13" t="s">
        <v>142</v>
      </c>
      <c r="D8" s="14" t="n">
        <v>48655</v>
      </c>
      <c r="E8" s="14" t="n">
        <v>45085</v>
      </c>
      <c r="F8" s="16" t="n">
        <v>92.66</v>
      </c>
      <c r="G8" s="14" t="n">
        <v>1712</v>
      </c>
      <c r="H8" s="14" t="n">
        <v>960</v>
      </c>
      <c r="I8" s="16" t="n">
        <v>56.07</v>
      </c>
      <c r="J8" s="14" t="n">
        <v>50367</v>
      </c>
      <c r="K8" s="14" t="n">
        <v>46045</v>
      </c>
      <c r="L8" s="16" t="n">
        <v>91.42</v>
      </c>
    </row>
    <row r="9" customFormat="false" ht="15" hidden="false" customHeight="true" outlineLevel="0" collapsed="false">
      <c r="A9" s="13" t="s">
        <v>202</v>
      </c>
      <c r="B9" s="13" t="n">
        <v>5</v>
      </c>
      <c r="C9" s="13" t="s">
        <v>149</v>
      </c>
      <c r="D9" s="14" t="n">
        <v>48612</v>
      </c>
      <c r="E9" s="14" t="n">
        <v>48319</v>
      </c>
      <c r="F9" s="16" t="n">
        <v>99.4</v>
      </c>
      <c r="G9" s="14" t="n">
        <v>556</v>
      </c>
      <c r="H9" s="14" t="n">
        <v>526</v>
      </c>
      <c r="I9" s="16" t="n">
        <v>94.6</v>
      </c>
      <c r="J9" s="14" t="n">
        <v>49168</v>
      </c>
      <c r="K9" s="14" t="n">
        <v>48845</v>
      </c>
      <c r="L9" s="16" t="n">
        <v>99.34</v>
      </c>
    </row>
    <row r="10" customFormat="false" ht="15" hidden="false" customHeight="true" outlineLevel="0" collapsed="false">
      <c r="A10" s="13" t="s">
        <v>202</v>
      </c>
      <c r="B10" s="13" t="n">
        <v>6</v>
      </c>
      <c r="C10" s="13" t="s">
        <v>662</v>
      </c>
      <c r="D10" s="14" t="n">
        <v>36</v>
      </c>
      <c r="E10" s="14" t="n">
        <v>36</v>
      </c>
      <c r="F10" s="16" t="n">
        <v>100</v>
      </c>
      <c r="G10" s="14" t="n">
        <v>2</v>
      </c>
      <c r="H10" s="14" t="n">
        <v>2</v>
      </c>
      <c r="I10" s="16" t="n">
        <v>100</v>
      </c>
      <c r="J10" s="14" t="n">
        <v>38</v>
      </c>
      <c r="K10" s="14" t="n">
        <v>38</v>
      </c>
      <c r="L10" s="16" t="n">
        <v>100</v>
      </c>
    </row>
    <row r="11" customFormat="false" ht="15" hidden="false" customHeight="true" outlineLevel="0" collapsed="false">
      <c r="A11" s="13" t="s">
        <v>202</v>
      </c>
      <c r="B11" s="13" t="n">
        <v>7</v>
      </c>
      <c r="C11" s="13" t="s">
        <v>156</v>
      </c>
      <c r="D11" s="14" t="n">
        <v>48533</v>
      </c>
      <c r="E11" s="14" t="n">
        <v>30765</v>
      </c>
      <c r="F11" s="16" t="n">
        <v>63.39</v>
      </c>
      <c r="G11" s="14" t="n">
        <v>6223</v>
      </c>
      <c r="H11" s="14" t="n">
        <v>1526</v>
      </c>
      <c r="I11" s="16" t="n">
        <v>24.52</v>
      </c>
      <c r="J11" s="14" t="n">
        <v>54756</v>
      </c>
      <c r="K11" s="14" t="n">
        <v>32291</v>
      </c>
      <c r="L11" s="16" t="n">
        <v>58.97</v>
      </c>
    </row>
    <row r="12" customFormat="false" ht="15" hidden="false" customHeight="true" outlineLevel="0" collapsed="false">
      <c r="A12" s="13" t="s">
        <v>202</v>
      </c>
      <c r="B12" s="13" t="n">
        <v>8</v>
      </c>
      <c r="C12" s="13" t="s">
        <v>663</v>
      </c>
      <c r="D12" s="14" t="n">
        <v>37295</v>
      </c>
      <c r="E12" s="14" t="n">
        <v>30370</v>
      </c>
      <c r="F12" s="16" t="n">
        <v>81.43</v>
      </c>
      <c r="G12" s="14" t="n">
        <v>2934</v>
      </c>
      <c r="H12" s="14" t="n">
        <v>1254</v>
      </c>
      <c r="I12" s="16" t="n">
        <v>42.74</v>
      </c>
      <c r="J12" s="14" t="n">
        <v>40229</v>
      </c>
      <c r="K12" s="14" t="n">
        <v>31624</v>
      </c>
      <c r="L12" s="16" t="n">
        <v>78.61</v>
      </c>
    </row>
    <row r="13" customFormat="false" ht="15" hidden="false" customHeight="true" outlineLevel="0" collapsed="false">
      <c r="A13" s="13" t="s">
        <v>202</v>
      </c>
      <c r="B13" s="13" t="n">
        <v>9</v>
      </c>
      <c r="C13" s="13" t="s">
        <v>664</v>
      </c>
      <c r="D13" s="14" t="n">
        <v>36916</v>
      </c>
      <c r="E13" s="14" t="n">
        <v>36387</v>
      </c>
      <c r="F13" s="16" t="n">
        <v>98.57</v>
      </c>
      <c r="G13" s="14" t="n">
        <v>352</v>
      </c>
      <c r="H13" s="14" t="n">
        <v>348</v>
      </c>
      <c r="I13" s="16" t="n">
        <v>98.86</v>
      </c>
      <c r="J13" s="14" t="n">
        <v>37268</v>
      </c>
      <c r="K13" s="14" t="n">
        <v>36735</v>
      </c>
      <c r="L13" s="16" t="n">
        <v>98.57</v>
      </c>
    </row>
    <row r="14" customFormat="false" ht="15" hidden="false" customHeight="true" outlineLevel="0" collapsed="false">
      <c r="A14" s="13" t="s">
        <v>202</v>
      </c>
      <c r="B14" s="13" t="n">
        <v>10</v>
      </c>
      <c r="C14" s="13" t="s">
        <v>670</v>
      </c>
      <c r="D14" s="14" t="n">
        <v>48392</v>
      </c>
      <c r="E14" s="14" t="n">
        <v>45164</v>
      </c>
      <c r="F14" s="16" t="n">
        <v>93.33</v>
      </c>
      <c r="G14" s="14" t="n">
        <v>1614</v>
      </c>
      <c r="H14" s="14" t="n">
        <v>895</v>
      </c>
      <c r="I14" s="16" t="n">
        <v>55.45</v>
      </c>
      <c r="J14" s="14" t="n">
        <v>50006</v>
      </c>
      <c r="K14" s="14" t="n">
        <v>46059</v>
      </c>
      <c r="L14" s="16" t="n">
        <v>92.11</v>
      </c>
    </row>
    <row r="15" customFormat="false" ht="15" hidden="false" customHeight="true" outlineLevel="0" collapsed="false">
      <c r="A15" s="13" t="s">
        <v>202</v>
      </c>
      <c r="B15" s="13" t="n">
        <v>11</v>
      </c>
      <c r="C15" s="13" t="s">
        <v>671</v>
      </c>
      <c r="D15" s="14" t="n">
        <v>47981</v>
      </c>
      <c r="E15" s="14" t="n">
        <v>47803</v>
      </c>
      <c r="F15" s="16" t="n">
        <v>99.63</v>
      </c>
      <c r="G15" s="14" t="n">
        <v>464</v>
      </c>
      <c r="H15" s="14" t="n">
        <v>462</v>
      </c>
      <c r="I15" s="16" t="n">
        <v>99.57</v>
      </c>
      <c r="J15" s="14" t="n">
        <v>48445</v>
      </c>
      <c r="K15" s="14" t="n">
        <v>48265</v>
      </c>
      <c r="L15" s="16" t="n">
        <v>99.63</v>
      </c>
    </row>
    <row r="16" customFormat="false" ht="15" hidden="false" customHeight="true" outlineLevel="0" collapsed="false">
      <c r="A16" s="13" t="s">
        <v>202</v>
      </c>
      <c r="B16" s="13" t="n">
        <v>12</v>
      </c>
      <c r="C16" s="13" t="s">
        <v>152</v>
      </c>
      <c r="D16" s="14" t="n">
        <v>3820</v>
      </c>
      <c r="E16" s="14" t="n">
        <v>3590</v>
      </c>
      <c r="F16" s="16" t="n">
        <v>93.98</v>
      </c>
      <c r="G16" s="14" t="n">
        <v>80</v>
      </c>
      <c r="H16" s="14" t="n">
        <v>47</v>
      </c>
      <c r="I16" s="16" t="n">
        <v>58.75</v>
      </c>
      <c r="J16" s="14" t="n">
        <v>3900</v>
      </c>
      <c r="K16" s="14" t="n">
        <v>3637</v>
      </c>
      <c r="L16" s="16" t="n">
        <v>93.26</v>
      </c>
    </row>
    <row r="17" customFormat="false" ht="15" hidden="false" customHeight="true" outlineLevel="0" collapsed="false">
      <c r="A17" s="13" t="s">
        <v>202</v>
      </c>
      <c r="B17" s="13" t="n">
        <v>13</v>
      </c>
      <c r="C17" s="13" t="s">
        <v>669</v>
      </c>
      <c r="D17" s="14" t="n">
        <v>451</v>
      </c>
      <c r="E17" s="14" t="n">
        <v>448</v>
      </c>
      <c r="F17" s="16" t="n">
        <v>99.33</v>
      </c>
      <c r="G17" s="14" t="n">
        <v>6</v>
      </c>
      <c r="H17" s="14" t="n">
        <v>6</v>
      </c>
      <c r="I17" s="16" t="n">
        <v>100</v>
      </c>
      <c r="J17" s="14" t="n">
        <v>457</v>
      </c>
      <c r="K17" s="14" t="n">
        <v>454</v>
      </c>
      <c r="L17" s="16" t="n">
        <v>99.34</v>
      </c>
    </row>
    <row r="18" customFormat="false" ht="15" hidden="false" customHeight="true" outlineLevel="0" collapsed="false">
      <c r="A18" s="13" t="s">
        <v>202</v>
      </c>
      <c r="B18" s="13" t="n">
        <v>14</v>
      </c>
      <c r="C18" s="13" t="s">
        <v>672</v>
      </c>
      <c r="D18" s="14" t="n">
        <v>7597</v>
      </c>
      <c r="E18" s="14" t="n">
        <v>6739</v>
      </c>
      <c r="F18" s="16" t="n">
        <v>88.71</v>
      </c>
      <c r="G18" s="14" t="n">
        <v>384</v>
      </c>
      <c r="H18" s="14" t="n">
        <v>209</v>
      </c>
      <c r="I18" s="16" t="n">
        <v>54.43</v>
      </c>
      <c r="J18" s="14" t="n">
        <v>7981</v>
      </c>
      <c r="K18" s="14" t="n">
        <v>6948</v>
      </c>
      <c r="L18" s="16" t="n">
        <v>87.06</v>
      </c>
    </row>
    <row r="19" customFormat="false" ht="15" hidden="false" customHeight="true" outlineLevel="0" collapsed="false">
      <c r="A19" s="13" t="s">
        <v>202</v>
      </c>
      <c r="B19" s="13" t="n">
        <v>15</v>
      </c>
      <c r="C19" s="13" t="s">
        <v>673</v>
      </c>
      <c r="D19" s="14" t="n">
        <v>7497</v>
      </c>
      <c r="E19" s="14" t="n">
        <v>7293</v>
      </c>
      <c r="F19" s="16" t="n">
        <v>97.28</v>
      </c>
      <c r="G19" s="14" t="n">
        <v>101</v>
      </c>
      <c r="H19" s="14" t="n">
        <v>88</v>
      </c>
      <c r="I19" s="16" t="n">
        <v>87.13</v>
      </c>
      <c r="J19" s="14" t="n">
        <v>7598</v>
      </c>
      <c r="K19" s="14" t="n">
        <v>7381</v>
      </c>
      <c r="L19" s="16" t="n">
        <v>97.14</v>
      </c>
    </row>
    <row r="20" customFormat="false" ht="15" hidden="false" customHeight="true" outlineLevel="0" collapsed="false">
      <c r="A20" s="13" t="s">
        <v>203</v>
      </c>
      <c r="B20" s="13" t="n">
        <v>1</v>
      </c>
      <c r="C20" s="13" t="s">
        <v>661</v>
      </c>
      <c r="D20" s="14" t="n">
        <v>7309</v>
      </c>
      <c r="E20" s="14" t="n">
        <v>7233</v>
      </c>
      <c r="F20" s="16" t="n">
        <v>98.96</v>
      </c>
      <c r="G20" s="14" t="n">
        <v>3693</v>
      </c>
      <c r="H20" s="14" t="n">
        <v>3564</v>
      </c>
      <c r="I20" s="16" t="n">
        <v>96.51</v>
      </c>
      <c r="J20" s="14" t="n">
        <v>11002</v>
      </c>
      <c r="K20" s="14" t="n">
        <v>10797</v>
      </c>
      <c r="L20" s="16" t="n">
        <v>98.14</v>
      </c>
    </row>
    <row r="21" customFormat="false" ht="15" hidden="false" customHeight="true" outlineLevel="0" collapsed="false">
      <c r="A21" s="13" t="s">
        <v>203</v>
      </c>
      <c r="B21" s="13" t="n">
        <v>2</v>
      </c>
      <c r="C21" s="13" t="s">
        <v>410</v>
      </c>
      <c r="D21" s="14" t="n">
        <v>7551</v>
      </c>
      <c r="E21" s="14" t="n">
        <v>7012</v>
      </c>
      <c r="F21" s="16" t="n">
        <v>92.86</v>
      </c>
      <c r="G21" s="14" t="n">
        <v>4096</v>
      </c>
      <c r="H21" s="14" t="n">
        <v>3370</v>
      </c>
      <c r="I21" s="16" t="n">
        <v>82.28</v>
      </c>
      <c r="J21" s="14" t="n">
        <v>11647</v>
      </c>
      <c r="K21" s="14" t="n">
        <v>10382</v>
      </c>
      <c r="L21" s="16" t="n">
        <v>89.14</v>
      </c>
    </row>
    <row r="22" customFormat="false" ht="15" hidden="false" customHeight="true" outlineLevel="0" collapsed="false">
      <c r="A22" s="13" t="s">
        <v>203</v>
      </c>
      <c r="B22" s="13" t="n">
        <v>3</v>
      </c>
      <c r="C22" s="13" t="s">
        <v>142</v>
      </c>
      <c r="D22" s="14" t="n">
        <v>7563</v>
      </c>
      <c r="E22" s="14" t="n">
        <v>5215</v>
      </c>
      <c r="F22" s="16" t="n">
        <v>68.95</v>
      </c>
      <c r="G22" s="14" t="n">
        <v>4932</v>
      </c>
      <c r="H22" s="14" t="n">
        <v>2383</v>
      </c>
      <c r="I22" s="16" t="n">
        <v>48.32</v>
      </c>
      <c r="J22" s="14" t="n">
        <v>12495</v>
      </c>
      <c r="K22" s="14" t="n">
        <v>7598</v>
      </c>
      <c r="L22" s="16" t="n">
        <v>60.81</v>
      </c>
    </row>
    <row r="23" customFormat="false" ht="15" hidden="false" customHeight="true" outlineLevel="0" collapsed="false">
      <c r="A23" s="13" t="s">
        <v>203</v>
      </c>
      <c r="B23" s="13" t="n">
        <v>4</v>
      </c>
      <c r="C23" s="13" t="s">
        <v>149</v>
      </c>
      <c r="D23" s="14" t="n">
        <v>7570</v>
      </c>
      <c r="E23" s="14" t="n">
        <v>7340</v>
      </c>
      <c r="F23" s="16" t="n">
        <v>96.96</v>
      </c>
      <c r="G23" s="14" t="n">
        <v>3896</v>
      </c>
      <c r="H23" s="14" t="n">
        <v>3635</v>
      </c>
      <c r="I23" s="16" t="n">
        <v>93.3</v>
      </c>
      <c r="J23" s="14" t="n">
        <v>11466</v>
      </c>
      <c r="K23" s="14" t="n">
        <v>10975</v>
      </c>
      <c r="L23" s="16" t="n">
        <v>95.72</v>
      </c>
    </row>
    <row r="24" customFormat="false" ht="15" hidden="false" customHeight="true" outlineLevel="0" collapsed="false">
      <c r="A24" s="13" t="s">
        <v>203</v>
      </c>
      <c r="B24" s="13" t="n">
        <v>5</v>
      </c>
      <c r="C24" s="13" t="s">
        <v>662</v>
      </c>
      <c r="D24" s="14" t="n">
        <v>16</v>
      </c>
      <c r="E24" s="14" t="n">
        <v>16</v>
      </c>
      <c r="F24" s="16" t="n">
        <v>100</v>
      </c>
      <c r="G24" s="14" t="n">
        <v>3</v>
      </c>
      <c r="H24" s="14" t="n">
        <v>3</v>
      </c>
      <c r="I24" s="16" t="n">
        <v>100</v>
      </c>
      <c r="J24" s="14" t="n">
        <v>19</v>
      </c>
      <c r="K24" s="14" t="n">
        <v>19</v>
      </c>
      <c r="L24" s="16" t="n">
        <v>100</v>
      </c>
    </row>
    <row r="25" customFormat="false" ht="15" hidden="false" customHeight="true" outlineLevel="0" collapsed="false">
      <c r="A25" s="13" t="s">
        <v>203</v>
      </c>
      <c r="B25" s="13" t="n">
        <v>6</v>
      </c>
      <c r="C25" s="13" t="s">
        <v>674</v>
      </c>
      <c r="D25" s="14" t="n">
        <v>7563</v>
      </c>
      <c r="E25" s="14" t="n">
        <v>6936</v>
      </c>
      <c r="F25" s="16" t="n">
        <v>91.71</v>
      </c>
      <c r="G25" s="14" t="n">
        <v>3953</v>
      </c>
      <c r="H25" s="14" t="n">
        <v>3322</v>
      </c>
      <c r="I25" s="16" t="n">
        <v>84.04</v>
      </c>
      <c r="J25" s="14" t="n">
        <v>11516</v>
      </c>
      <c r="K25" s="14" t="n">
        <v>10258</v>
      </c>
      <c r="L25" s="16" t="n">
        <v>89.08</v>
      </c>
    </row>
    <row r="26" customFormat="false" ht="15" hidden="false" customHeight="true" outlineLevel="0" collapsed="false">
      <c r="A26" s="13" t="s">
        <v>203</v>
      </c>
      <c r="B26" s="13" t="n">
        <v>7</v>
      </c>
      <c r="C26" s="13" t="s">
        <v>675</v>
      </c>
      <c r="D26" s="14" t="n">
        <v>87</v>
      </c>
      <c r="E26" s="14" t="n">
        <v>86</v>
      </c>
      <c r="F26" s="16" t="n">
        <v>98.85</v>
      </c>
      <c r="G26" s="14" t="n">
        <v>0</v>
      </c>
      <c r="H26" s="14" t="n">
        <v>0</v>
      </c>
      <c r="I26" s="16" t="n">
        <v>0</v>
      </c>
      <c r="J26" s="14" t="n">
        <v>87</v>
      </c>
      <c r="K26" s="14" t="n">
        <v>86</v>
      </c>
      <c r="L26" s="16" t="n">
        <v>98.85</v>
      </c>
    </row>
    <row r="27" customFormat="false" ht="15" hidden="false" customHeight="true" outlineLevel="0" collapsed="false">
      <c r="A27" s="13" t="s">
        <v>203</v>
      </c>
      <c r="B27" s="13" t="n">
        <v>8</v>
      </c>
      <c r="C27" s="13" t="s">
        <v>676</v>
      </c>
      <c r="D27" s="14" t="n">
        <v>87</v>
      </c>
      <c r="E27" s="14" t="n">
        <v>87</v>
      </c>
      <c r="F27" s="16" t="n">
        <v>100</v>
      </c>
      <c r="G27" s="14" t="n">
        <v>0</v>
      </c>
      <c r="H27" s="14" t="n">
        <v>0</v>
      </c>
      <c r="I27" s="16" t="n">
        <v>0</v>
      </c>
      <c r="J27" s="14" t="n">
        <v>87</v>
      </c>
      <c r="K27" s="14" t="n">
        <v>87</v>
      </c>
      <c r="L27" s="16" t="n">
        <v>100</v>
      </c>
    </row>
    <row r="28" customFormat="false" ht="15" hidden="false" customHeight="true" outlineLevel="0" collapsed="false">
      <c r="A28" s="13" t="s">
        <v>203</v>
      </c>
      <c r="B28" s="13" t="n">
        <v>9</v>
      </c>
      <c r="C28" s="13" t="s">
        <v>677</v>
      </c>
      <c r="D28" s="14" t="n">
        <v>7508</v>
      </c>
      <c r="E28" s="14" t="n">
        <v>7014</v>
      </c>
      <c r="F28" s="16" t="n">
        <v>93.42</v>
      </c>
      <c r="G28" s="14" t="n">
        <v>3846</v>
      </c>
      <c r="H28" s="14" t="n">
        <v>3311</v>
      </c>
      <c r="I28" s="16" t="n">
        <v>86.09</v>
      </c>
      <c r="J28" s="14" t="n">
        <v>11354</v>
      </c>
      <c r="K28" s="14" t="n">
        <v>10325</v>
      </c>
      <c r="L28" s="16" t="n">
        <v>90.94</v>
      </c>
    </row>
    <row r="29" customFormat="false" ht="15" hidden="false" customHeight="true" outlineLevel="0" collapsed="false">
      <c r="A29" s="13" t="s">
        <v>203</v>
      </c>
      <c r="B29" s="13" t="n">
        <v>10</v>
      </c>
      <c r="C29" s="13" t="s">
        <v>678</v>
      </c>
      <c r="D29" s="14" t="n">
        <v>7467</v>
      </c>
      <c r="E29" s="14" t="n">
        <v>7286</v>
      </c>
      <c r="F29" s="16" t="n">
        <v>97.58</v>
      </c>
      <c r="G29" s="14" t="n">
        <v>3899</v>
      </c>
      <c r="H29" s="14" t="n">
        <v>3687</v>
      </c>
      <c r="I29" s="16" t="n">
        <v>94.56</v>
      </c>
      <c r="J29" s="14" t="n">
        <v>11366</v>
      </c>
      <c r="K29" s="14" t="n">
        <v>10973</v>
      </c>
      <c r="L29" s="16" t="n">
        <v>96.54</v>
      </c>
    </row>
    <row r="30" customFormat="false" ht="15" hidden="false" customHeight="true" outlineLevel="0" collapsed="false">
      <c r="A30" s="13" t="s">
        <v>203</v>
      </c>
      <c r="B30" s="13" t="n">
        <v>11</v>
      </c>
      <c r="C30" s="13" t="s">
        <v>411</v>
      </c>
      <c r="D30" s="14" t="n">
        <v>7563</v>
      </c>
      <c r="E30" s="14" t="n">
        <v>6834</v>
      </c>
      <c r="F30" s="16" t="n">
        <v>90.36</v>
      </c>
      <c r="G30" s="14" t="n">
        <v>4229</v>
      </c>
      <c r="H30" s="14" t="n">
        <v>3220</v>
      </c>
      <c r="I30" s="16" t="n">
        <v>76.14</v>
      </c>
      <c r="J30" s="14" t="n">
        <v>11792</v>
      </c>
      <c r="K30" s="14" t="n">
        <v>10054</v>
      </c>
      <c r="L30" s="16" t="n">
        <v>85.26</v>
      </c>
    </row>
    <row r="31" customFormat="false" ht="15" hidden="false" customHeight="true" outlineLevel="0" collapsed="false">
      <c r="A31" s="13" t="s">
        <v>203</v>
      </c>
      <c r="B31" s="13" t="n">
        <v>12</v>
      </c>
      <c r="C31" s="13" t="s">
        <v>669</v>
      </c>
      <c r="D31" s="14" t="n">
        <v>204</v>
      </c>
      <c r="E31" s="14" t="n">
        <v>197</v>
      </c>
      <c r="F31" s="16" t="n">
        <v>96.57</v>
      </c>
      <c r="G31" s="14" t="n">
        <v>92</v>
      </c>
      <c r="H31" s="14" t="n">
        <v>90</v>
      </c>
      <c r="I31" s="16" t="n">
        <v>97.83</v>
      </c>
      <c r="J31" s="14" t="n">
        <v>296</v>
      </c>
      <c r="K31" s="14" t="n">
        <v>287</v>
      </c>
      <c r="L31" s="16" t="n">
        <v>96.96</v>
      </c>
    </row>
    <row r="32" customFormat="false" ht="15" hidden="false" customHeight="true" outlineLevel="0" collapsed="false">
      <c r="A32" s="13" t="s">
        <v>653</v>
      </c>
      <c r="B32" s="13" t="n">
        <v>1</v>
      </c>
      <c r="C32" s="13" t="s">
        <v>661</v>
      </c>
      <c r="D32" s="14" t="n">
        <v>29382</v>
      </c>
      <c r="E32" s="14" t="n">
        <v>29112</v>
      </c>
      <c r="F32" s="16" t="n">
        <v>99.08</v>
      </c>
      <c r="G32" s="14" t="n">
        <v>21633</v>
      </c>
      <c r="H32" s="14" t="n">
        <v>20813</v>
      </c>
      <c r="I32" s="16" t="n">
        <v>96.21</v>
      </c>
      <c r="J32" s="14" t="n">
        <v>51015</v>
      </c>
      <c r="K32" s="14" t="n">
        <v>49925</v>
      </c>
      <c r="L32" s="16" t="n">
        <v>97.86</v>
      </c>
    </row>
    <row r="33" customFormat="false" ht="15" hidden="false" customHeight="true" outlineLevel="0" collapsed="false">
      <c r="A33" s="13" t="s">
        <v>653</v>
      </c>
      <c r="B33" s="13" t="n">
        <v>2</v>
      </c>
      <c r="C33" s="13" t="s">
        <v>410</v>
      </c>
      <c r="D33" s="14" t="n">
        <v>30067</v>
      </c>
      <c r="E33" s="14" t="n">
        <v>28177</v>
      </c>
      <c r="F33" s="16" t="n">
        <v>93.71</v>
      </c>
      <c r="G33" s="14" t="n">
        <v>23478</v>
      </c>
      <c r="H33" s="14" t="n">
        <v>20194</v>
      </c>
      <c r="I33" s="16" t="n">
        <v>86.01</v>
      </c>
      <c r="J33" s="14" t="n">
        <v>53545</v>
      </c>
      <c r="K33" s="14" t="n">
        <v>48371</v>
      </c>
      <c r="L33" s="16" t="n">
        <v>90.34</v>
      </c>
    </row>
    <row r="34" customFormat="false" ht="15" hidden="false" customHeight="true" outlineLevel="0" collapsed="false">
      <c r="A34" s="13" t="s">
        <v>653</v>
      </c>
      <c r="B34" s="13" t="n">
        <v>3</v>
      </c>
      <c r="C34" s="13" t="s">
        <v>145</v>
      </c>
      <c r="D34" s="14" t="n">
        <v>1</v>
      </c>
      <c r="E34" s="14" t="n">
        <v>1</v>
      </c>
      <c r="F34" s="16" t="n">
        <v>100</v>
      </c>
      <c r="G34" s="14" t="n">
        <v>1</v>
      </c>
      <c r="H34" s="14" t="n">
        <v>1</v>
      </c>
      <c r="I34" s="16" t="n">
        <v>100</v>
      </c>
      <c r="J34" s="14" t="n">
        <v>2</v>
      </c>
      <c r="K34" s="14" t="n">
        <v>2</v>
      </c>
      <c r="L34" s="16" t="n">
        <v>100</v>
      </c>
    </row>
    <row r="35" customFormat="false" ht="15" hidden="false" customHeight="true" outlineLevel="0" collapsed="false">
      <c r="A35" s="13" t="s">
        <v>653</v>
      </c>
      <c r="B35" s="13" t="n">
        <v>4</v>
      </c>
      <c r="C35" s="13" t="s">
        <v>142</v>
      </c>
      <c r="D35" s="14" t="n">
        <v>30133</v>
      </c>
      <c r="E35" s="14" t="n">
        <v>16385</v>
      </c>
      <c r="F35" s="16" t="n">
        <v>54.38</v>
      </c>
      <c r="G35" s="14" t="n">
        <v>29436</v>
      </c>
      <c r="H35" s="14" t="n">
        <v>11291</v>
      </c>
      <c r="I35" s="16" t="n">
        <v>38.36</v>
      </c>
      <c r="J35" s="14" t="n">
        <v>59569</v>
      </c>
      <c r="K35" s="14" t="n">
        <v>27676</v>
      </c>
      <c r="L35" s="16" t="n">
        <v>46.46</v>
      </c>
    </row>
    <row r="36" customFormat="false" ht="15" hidden="false" customHeight="true" outlineLevel="0" collapsed="false">
      <c r="A36" s="13" t="s">
        <v>653</v>
      </c>
      <c r="B36" s="13" t="n">
        <v>5</v>
      </c>
      <c r="C36" s="13" t="s">
        <v>149</v>
      </c>
      <c r="D36" s="14" t="n">
        <v>30114</v>
      </c>
      <c r="E36" s="14" t="n">
        <v>28976</v>
      </c>
      <c r="F36" s="16" t="n">
        <v>96.22</v>
      </c>
      <c r="G36" s="14" t="n">
        <v>22912</v>
      </c>
      <c r="H36" s="14" t="n">
        <v>21162</v>
      </c>
      <c r="I36" s="16" t="n">
        <v>92.36</v>
      </c>
      <c r="J36" s="14" t="n">
        <v>53026</v>
      </c>
      <c r="K36" s="14" t="n">
        <v>50138</v>
      </c>
      <c r="L36" s="16" t="n">
        <v>94.55</v>
      </c>
    </row>
    <row r="37" customFormat="false" ht="15" hidden="false" customHeight="true" outlineLevel="0" collapsed="false">
      <c r="A37" s="13" t="s">
        <v>653</v>
      </c>
      <c r="B37" s="13" t="n">
        <v>6</v>
      </c>
      <c r="C37" s="13" t="s">
        <v>662</v>
      </c>
      <c r="D37" s="14" t="n">
        <v>29</v>
      </c>
      <c r="E37" s="14" t="n">
        <v>29</v>
      </c>
      <c r="F37" s="16" t="n">
        <v>100</v>
      </c>
      <c r="G37" s="14" t="n">
        <v>17</v>
      </c>
      <c r="H37" s="14" t="n">
        <v>17</v>
      </c>
      <c r="I37" s="16" t="n">
        <v>100</v>
      </c>
      <c r="J37" s="14" t="n">
        <v>46</v>
      </c>
      <c r="K37" s="14" t="n">
        <v>46</v>
      </c>
      <c r="L37" s="16" t="n">
        <v>100</v>
      </c>
    </row>
    <row r="38" customFormat="false" ht="15" hidden="false" customHeight="true" outlineLevel="0" collapsed="false">
      <c r="A38" s="13" t="s">
        <v>653</v>
      </c>
      <c r="B38" s="13" t="n">
        <v>7</v>
      </c>
      <c r="C38" s="13" t="s">
        <v>669</v>
      </c>
      <c r="D38" s="14" t="n">
        <v>536</v>
      </c>
      <c r="E38" s="14" t="n">
        <v>532</v>
      </c>
      <c r="F38" s="16" t="n">
        <v>99.25</v>
      </c>
      <c r="G38" s="14" t="n">
        <v>564</v>
      </c>
      <c r="H38" s="14" t="n">
        <v>552</v>
      </c>
      <c r="I38" s="16" t="n">
        <v>97.87</v>
      </c>
      <c r="J38" s="14" t="n">
        <v>1100</v>
      </c>
      <c r="K38" s="14" t="n">
        <v>1084</v>
      </c>
      <c r="L38" s="16" t="n">
        <v>98.55</v>
      </c>
    </row>
    <row r="39" customFormat="false" ht="15" hidden="false" customHeight="true" outlineLevel="0" collapsed="false">
      <c r="A39" s="13" t="s">
        <v>653</v>
      </c>
      <c r="B39" s="13" t="n">
        <v>8</v>
      </c>
      <c r="C39" s="13" t="s">
        <v>156</v>
      </c>
      <c r="D39" s="14" t="n">
        <v>137</v>
      </c>
      <c r="E39" s="14" t="n">
        <v>70</v>
      </c>
      <c r="F39" s="16" t="n">
        <v>51.09</v>
      </c>
      <c r="G39" s="14" t="n">
        <v>211</v>
      </c>
      <c r="H39" s="14" t="n">
        <v>57</v>
      </c>
      <c r="I39" s="16" t="n">
        <v>27.01</v>
      </c>
      <c r="J39" s="14" t="n">
        <v>348</v>
      </c>
      <c r="K39" s="14" t="n">
        <v>127</v>
      </c>
      <c r="L39" s="16" t="n">
        <v>36.49</v>
      </c>
    </row>
    <row r="40" customFormat="false" ht="15" hidden="false" customHeight="true" outlineLevel="0" collapsed="false">
      <c r="A40" s="13" t="s">
        <v>653</v>
      </c>
      <c r="B40" s="13" t="n">
        <v>9</v>
      </c>
      <c r="C40" s="13" t="s">
        <v>427</v>
      </c>
      <c r="D40" s="14" t="n">
        <v>4816</v>
      </c>
      <c r="E40" s="14" t="n">
        <v>4743</v>
      </c>
      <c r="F40" s="16" t="n">
        <v>98.48</v>
      </c>
      <c r="G40" s="14" t="n">
        <v>6438</v>
      </c>
      <c r="H40" s="14" t="n">
        <v>6094</v>
      </c>
      <c r="I40" s="16" t="n">
        <v>94.66</v>
      </c>
      <c r="J40" s="14" t="n">
        <v>11254</v>
      </c>
      <c r="K40" s="14" t="n">
        <v>10837</v>
      </c>
      <c r="L40" s="16" t="n">
        <v>96.29</v>
      </c>
    </row>
    <row r="41" customFormat="false" ht="15" hidden="false" customHeight="true" outlineLevel="0" collapsed="false">
      <c r="A41" s="13" t="s">
        <v>653</v>
      </c>
      <c r="B41" s="13" t="n">
        <v>10</v>
      </c>
      <c r="C41" s="13" t="s">
        <v>670</v>
      </c>
      <c r="D41" s="14" t="n">
        <v>12637</v>
      </c>
      <c r="E41" s="14" t="n">
        <v>7340</v>
      </c>
      <c r="F41" s="16" t="n">
        <v>58.08</v>
      </c>
      <c r="G41" s="14" t="n">
        <v>1358</v>
      </c>
      <c r="H41" s="14" t="n">
        <v>358</v>
      </c>
      <c r="I41" s="16" t="n">
        <v>26.36</v>
      </c>
      <c r="J41" s="14" t="n">
        <v>13995</v>
      </c>
      <c r="K41" s="14" t="n">
        <v>7698</v>
      </c>
      <c r="L41" s="16" t="n">
        <v>55.01</v>
      </c>
    </row>
    <row r="42" customFormat="false" ht="15" hidden="false" customHeight="true" outlineLevel="0" collapsed="false">
      <c r="A42" s="13" t="s">
        <v>653</v>
      </c>
      <c r="B42" s="13" t="n">
        <v>11</v>
      </c>
      <c r="C42" s="13" t="s">
        <v>671</v>
      </c>
      <c r="D42" s="14" t="n">
        <v>12404</v>
      </c>
      <c r="E42" s="14" t="n">
        <v>12076</v>
      </c>
      <c r="F42" s="16" t="n">
        <v>97.36</v>
      </c>
      <c r="G42" s="14" t="n">
        <v>345</v>
      </c>
      <c r="H42" s="14" t="n">
        <v>337</v>
      </c>
      <c r="I42" s="16" t="n">
        <v>97.68</v>
      </c>
      <c r="J42" s="14" t="n">
        <v>12749</v>
      </c>
      <c r="K42" s="14" t="n">
        <v>12413</v>
      </c>
      <c r="L42" s="16" t="n">
        <v>97.36</v>
      </c>
    </row>
    <row r="43" customFormat="false" ht="15" hidden="false" customHeight="true" outlineLevel="0" collapsed="false">
      <c r="A43" s="13" t="s">
        <v>653</v>
      </c>
      <c r="B43" s="13" t="n">
        <v>12</v>
      </c>
      <c r="C43" s="13" t="s">
        <v>679</v>
      </c>
      <c r="D43" s="14" t="n">
        <v>33</v>
      </c>
      <c r="E43" s="14" t="n">
        <v>32</v>
      </c>
      <c r="F43" s="16" t="n">
        <v>96.97</v>
      </c>
      <c r="G43" s="14" t="n">
        <v>4</v>
      </c>
      <c r="H43" s="14" t="n">
        <v>3</v>
      </c>
      <c r="I43" s="16" t="n">
        <v>75</v>
      </c>
      <c r="J43" s="14" t="n">
        <v>37</v>
      </c>
      <c r="K43" s="14" t="n">
        <v>35</v>
      </c>
      <c r="L43" s="16" t="n">
        <v>94.59</v>
      </c>
    </row>
    <row r="44" customFormat="false" ht="15" hidden="false" customHeight="true" outlineLevel="0" collapsed="false">
      <c r="A44" s="13" t="s">
        <v>653</v>
      </c>
      <c r="B44" s="13" t="n">
        <v>13</v>
      </c>
      <c r="C44" s="13" t="s">
        <v>733</v>
      </c>
      <c r="D44" s="14" t="n">
        <v>1594</v>
      </c>
      <c r="E44" s="14" t="n">
        <v>1583</v>
      </c>
      <c r="F44" s="16" t="n">
        <v>99.31</v>
      </c>
      <c r="G44" s="14" t="n">
        <v>22</v>
      </c>
      <c r="H44" s="14" t="n">
        <v>20</v>
      </c>
      <c r="I44" s="16" t="n">
        <v>90.91</v>
      </c>
      <c r="J44" s="14" t="n">
        <v>1616</v>
      </c>
      <c r="K44" s="14" t="n">
        <v>1603</v>
      </c>
      <c r="L44" s="16" t="n">
        <v>99.2</v>
      </c>
    </row>
    <row r="45" customFormat="false" ht="15" hidden="false" customHeight="true" outlineLevel="0" collapsed="false">
      <c r="A45" s="13" t="s">
        <v>653</v>
      </c>
      <c r="B45" s="13" t="n">
        <v>14</v>
      </c>
      <c r="C45" s="13" t="s">
        <v>734</v>
      </c>
      <c r="D45" s="14" t="n">
        <v>1566</v>
      </c>
      <c r="E45" s="14" t="n">
        <v>1565</v>
      </c>
      <c r="F45" s="16" t="n">
        <v>99.94</v>
      </c>
      <c r="G45" s="14" t="n">
        <v>19</v>
      </c>
      <c r="H45" s="14" t="n">
        <v>19</v>
      </c>
      <c r="I45" s="16" t="n">
        <v>100</v>
      </c>
      <c r="J45" s="14" t="n">
        <v>1585</v>
      </c>
      <c r="K45" s="14" t="n">
        <v>1584</v>
      </c>
      <c r="L45" s="16" t="n">
        <v>99.94</v>
      </c>
    </row>
    <row r="46" customFormat="false" ht="15" hidden="false" customHeight="true" outlineLevel="0" collapsed="false">
      <c r="A46" s="13" t="s">
        <v>653</v>
      </c>
      <c r="B46" s="13" t="n">
        <v>15</v>
      </c>
      <c r="C46" s="13" t="s">
        <v>682</v>
      </c>
      <c r="D46" s="14" t="n">
        <v>36</v>
      </c>
      <c r="E46" s="14" t="n">
        <v>35</v>
      </c>
      <c r="F46" s="16" t="n">
        <v>97.22</v>
      </c>
      <c r="G46" s="14" t="n">
        <v>0</v>
      </c>
      <c r="H46" s="14" t="n">
        <v>0</v>
      </c>
      <c r="I46" s="16" t="n">
        <v>0</v>
      </c>
      <c r="J46" s="14" t="n">
        <v>36</v>
      </c>
      <c r="K46" s="14" t="n">
        <v>35</v>
      </c>
      <c r="L46" s="16" t="n">
        <v>97.22</v>
      </c>
    </row>
    <row r="47" customFormat="false" ht="15" hidden="false" customHeight="true" outlineLevel="0" collapsed="false">
      <c r="A47" s="13" t="s">
        <v>653</v>
      </c>
      <c r="B47" s="13" t="n">
        <v>16</v>
      </c>
      <c r="C47" s="13" t="s">
        <v>683</v>
      </c>
      <c r="D47" s="14" t="n">
        <v>37</v>
      </c>
      <c r="E47" s="14" t="n">
        <v>37</v>
      </c>
      <c r="F47" s="16" t="n">
        <v>100</v>
      </c>
      <c r="G47" s="14" t="n">
        <v>0</v>
      </c>
      <c r="H47" s="14" t="n">
        <v>0</v>
      </c>
      <c r="I47" s="16" t="n">
        <v>0</v>
      </c>
      <c r="J47" s="14" t="n">
        <v>37</v>
      </c>
      <c r="K47" s="14" t="n">
        <v>37</v>
      </c>
      <c r="L47" s="16" t="n">
        <v>100</v>
      </c>
    </row>
    <row r="48" customFormat="false" ht="15" hidden="false" customHeight="true" outlineLevel="0" collapsed="false">
      <c r="A48" s="13" t="s">
        <v>653</v>
      </c>
      <c r="B48" s="13" t="n">
        <v>17</v>
      </c>
      <c r="C48" s="13" t="s">
        <v>419</v>
      </c>
      <c r="D48" s="14" t="n">
        <v>12557</v>
      </c>
      <c r="E48" s="14" t="n">
        <v>11981</v>
      </c>
      <c r="F48" s="16" t="n">
        <v>95.41</v>
      </c>
      <c r="G48" s="14" t="n">
        <v>16005</v>
      </c>
      <c r="H48" s="14" t="n">
        <v>14519</v>
      </c>
      <c r="I48" s="16" t="n">
        <v>90.72</v>
      </c>
      <c r="J48" s="14" t="n">
        <v>28562</v>
      </c>
      <c r="K48" s="14" t="n">
        <v>26500</v>
      </c>
      <c r="L48" s="16" t="n">
        <v>92.78</v>
      </c>
    </row>
    <row r="49" customFormat="false" ht="15" hidden="false" customHeight="true" outlineLevel="0" collapsed="false">
      <c r="A49" s="13" t="s">
        <v>653</v>
      </c>
      <c r="B49" s="13" t="n">
        <v>18</v>
      </c>
      <c r="C49" s="13" t="s">
        <v>426</v>
      </c>
      <c r="D49" s="14" t="n">
        <v>3428</v>
      </c>
      <c r="E49" s="14" t="n">
        <v>3345</v>
      </c>
      <c r="F49" s="16" t="n">
        <v>97.58</v>
      </c>
      <c r="G49" s="14" t="n">
        <v>8051</v>
      </c>
      <c r="H49" s="14" t="n">
        <v>7583</v>
      </c>
      <c r="I49" s="16" t="n">
        <v>94.19</v>
      </c>
      <c r="J49" s="14" t="n">
        <v>11479</v>
      </c>
      <c r="K49" s="14" t="n">
        <v>10928</v>
      </c>
      <c r="L49" s="16" t="n">
        <v>95.2</v>
      </c>
    </row>
    <row r="50" customFormat="false" ht="15" hidden="false" customHeight="true" outlineLevel="0" collapsed="false">
      <c r="A50" s="13" t="s">
        <v>653</v>
      </c>
      <c r="B50" s="13" t="n">
        <v>19</v>
      </c>
      <c r="C50" s="13" t="s">
        <v>150</v>
      </c>
      <c r="D50" s="14" t="n">
        <v>15478</v>
      </c>
      <c r="E50" s="14" t="n">
        <v>14394</v>
      </c>
      <c r="F50" s="16" t="n">
        <v>93</v>
      </c>
      <c r="G50" s="14" t="n">
        <v>19628</v>
      </c>
      <c r="H50" s="14" t="n">
        <v>16221</v>
      </c>
      <c r="I50" s="16" t="n">
        <v>82.64</v>
      </c>
      <c r="J50" s="14" t="n">
        <v>35106</v>
      </c>
      <c r="K50" s="14" t="n">
        <v>30615</v>
      </c>
      <c r="L50" s="16" t="n">
        <v>87.21</v>
      </c>
    </row>
    <row r="51" customFormat="false" ht="15" hidden="false" customHeight="true" outlineLevel="0" collapsed="false">
      <c r="A51" s="13" t="s">
        <v>653</v>
      </c>
      <c r="B51" s="13" t="n">
        <v>20</v>
      </c>
      <c r="C51" s="13" t="s">
        <v>154</v>
      </c>
      <c r="D51" s="14" t="n">
        <v>10667</v>
      </c>
      <c r="E51" s="14" t="n">
        <v>10221</v>
      </c>
      <c r="F51" s="16" t="n">
        <v>95.82</v>
      </c>
      <c r="G51" s="14" t="n">
        <v>12072</v>
      </c>
      <c r="H51" s="14" t="n">
        <v>10461</v>
      </c>
      <c r="I51" s="16" t="n">
        <v>86.66</v>
      </c>
      <c r="J51" s="14" t="n">
        <v>22739</v>
      </c>
      <c r="K51" s="14" t="n">
        <v>20682</v>
      </c>
      <c r="L51" s="16" t="n">
        <v>90.95</v>
      </c>
    </row>
    <row r="52" customFormat="false" ht="15" hidden="false" customHeight="true" outlineLevel="0" collapsed="false">
      <c r="A52" s="13" t="s">
        <v>653</v>
      </c>
      <c r="B52" s="13" t="n">
        <v>21</v>
      </c>
      <c r="C52" s="13" t="s">
        <v>684</v>
      </c>
      <c r="D52" s="14" t="n">
        <v>1213</v>
      </c>
      <c r="E52" s="14" t="n">
        <v>1143</v>
      </c>
      <c r="F52" s="16" t="n">
        <v>94.23</v>
      </c>
      <c r="G52" s="14" t="n">
        <v>1337</v>
      </c>
      <c r="H52" s="14" t="n">
        <v>1190</v>
      </c>
      <c r="I52" s="16" t="n">
        <v>89.01</v>
      </c>
      <c r="J52" s="14" t="n">
        <v>2550</v>
      </c>
      <c r="K52" s="14" t="n">
        <v>2333</v>
      </c>
      <c r="L52" s="16" t="n">
        <v>91.49</v>
      </c>
    </row>
    <row r="53" customFormat="false" ht="15" hidden="false" customHeight="true" outlineLevel="0" collapsed="false">
      <c r="A53" s="13" t="s">
        <v>653</v>
      </c>
      <c r="B53" s="13" t="n">
        <v>22</v>
      </c>
      <c r="C53" s="13" t="s">
        <v>162</v>
      </c>
      <c r="D53" s="14" t="n">
        <v>1348</v>
      </c>
      <c r="E53" s="14" t="n">
        <v>1321</v>
      </c>
      <c r="F53" s="16" t="n">
        <v>98</v>
      </c>
      <c r="G53" s="14" t="n">
        <v>1710</v>
      </c>
      <c r="H53" s="14" t="n">
        <v>1680</v>
      </c>
      <c r="I53" s="16" t="n">
        <v>98.25</v>
      </c>
      <c r="J53" s="14" t="n">
        <v>3058</v>
      </c>
      <c r="K53" s="14" t="n">
        <v>3001</v>
      </c>
      <c r="L53" s="16" t="n">
        <v>98.14</v>
      </c>
    </row>
    <row r="54" customFormat="false" ht="15" hidden="false" customHeight="true" outlineLevel="0" collapsed="false">
      <c r="A54" s="13" t="s">
        <v>653</v>
      </c>
      <c r="B54" s="13" t="n">
        <v>23</v>
      </c>
      <c r="C54" s="13" t="s">
        <v>424</v>
      </c>
      <c r="D54" s="14" t="n">
        <v>3201</v>
      </c>
      <c r="E54" s="14" t="n">
        <v>3155</v>
      </c>
      <c r="F54" s="16" t="n">
        <v>98.56</v>
      </c>
      <c r="G54" s="14" t="n">
        <v>1612</v>
      </c>
      <c r="H54" s="14" t="n">
        <v>1511</v>
      </c>
      <c r="I54" s="16" t="n">
        <v>93.73</v>
      </c>
      <c r="J54" s="14" t="n">
        <v>4813</v>
      </c>
      <c r="K54" s="14" t="n">
        <v>4666</v>
      </c>
      <c r="L54" s="16" t="n">
        <v>96.95</v>
      </c>
    </row>
    <row r="55" customFormat="false" ht="15" hidden="false" customHeight="true" outlineLevel="0" collapsed="false">
      <c r="A55" s="13" t="s">
        <v>653</v>
      </c>
      <c r="B55" s="13" t="n">
        <v>24</v>
      </c>
      <c r="C55" s="13" t="s">
        <v>685</v>
      </c>
      <c r="D55" s="14" t="n">
        <v>784</v>
      </c>
      <c r="E55" s="14" t="n">
        <v>721</v>
      </c>
      <c r="F55" s="16" t="n">
        <v>91.96</v>
      </c>
      <c r="G55" s="14" t="n">
        <v>16</v>
      </c>
      <c r="H55" s="14" t="n">
        <v>6</v>
      </c>
      <c r="I55" s="16" t="n">
        <v>37.5</v>
      </c>
      <c r="J55" s="14" t="n">
        <v>800</v>
      </c>
      <c r="K55" s="14" t="n">
        <v>727</v>
      </c>
      <c r="L55" s="16" t="n">
        <v>90.88</v>
      </c>
    </row>
    <row r="56" customFormat="false" ht="15" hidden="false" customHeight="true" outlineLevel="0" collapsed="false">
      <c r="A56" s="13" t="s">
        <v>653</v>
      </c>
      <c r="B56" s="13" t="n">
        <v>25</v>
      </c>
      <c r="C56" s="13" t="s">
        <v>686</v>
      </c>
      <c r="D56" s="14" t="n">
        <v>761</v>
      </c>
      <c r="E56" s="14" t="n">
        <v>761</v>
      </c>
      <c r="F56" s="16" t="n">
        <v>100</v>
      </c>
      <c r="G56" s="14" t="n">
        <v>4</v>
      </c>
      <c r="H56" s="14" t="n">
        <v>4</v>
      </c>
      <c r="I56" s="16" t="n">
        <v>100</v>
      </c>
      <c r="J56" s="14" t="n">
        <v>765</v>
      </c>
      <c r="K56" s="14" t="n">
        <v>765</v>
      </c>
      <c r="L56" s="16" t="n">
        <v>100</v>
      </c>
    </row>
    <row r="57" customFormat="false" ht="15" hidden="false" customHeight="true" outlineLevel="0" collapsed="false">
      <c r="A57" s="13" t="s">
        <v>653</v>
      </c>
      <c r="B57" s="13" t="n">
        <v>26</v>
      </c>
      <c r="C57" s="13" t="s">
        <v>687</v>
      </c>
      <c r="D57" s="14" t="n">
        <v>1286</v>
      </c>
      <c r="E57" s="14" t="n">
        <v>1274</v>
      </c>
      <c r="F57" s="16" t="n">
        <v>99.07</v>
      </c>
      <c r="G57" s="14" t="n">
        <v>12</v>
      </c>
      <c r="H57" s="14" t="n">
        <v>12</v>
      </c>
      <c r="I57" s="16" t="n">
        <v>100</v>
      </c>
      <c r="J57" s="14" t="n">
        <v>1298</v>
      </c>
      <c r="K57" s="14" t="n">
        <v>1286</v>
      </c>
      <c r="L57" s="16" t="n">
        <v>99.08</v>
      </c>
    </row>
    <row r="58" customFormat="false" ht="15" hidden="false" customHeight="true" outlineLevel="0" collapsed="false">
      <c r="A58" s="13" t="s">
        <v>653</v>
      </c>
      <c r="B58" s="13" t="n">
        <v>27</v>
      </c>
      <c r="C58" s="13" t="s">
        <v>688</v>
      </c>
      <c r="D58" s="14" t="n">
        <v>1244</v>
      </c>
      <c r="E58" s="14" t="n">
        <v>1244</v>
      </c>
      <c r="F58" s="16" t="n">
        <v>100</v>
      </c>
      <c r="G58" s="14" t="n">
        <v>9</v>
      </c>
      <c r="H58" s="14" t="n">
        <v>9</v>
      </c>
      <c r="I58" s="16" t="n">
        <v>100</v>
      </c>
      <c r="J58" s="14" t="n">
        <v>1253</v>
      </c>
      <c r="K58" s="14" t="n">
        <v>1253</v>
      </c>
      <c r="L58" s="16" t="n">
        <v>100</v>
      </c>
    </row>
    <row r="59" customFormat="false" ht="15" hidden="false" customHeight="true" outlineLevel="0" collapsed="false">
      <c r="A59" s="13" t="s">
        <v>653</v>
      </c>
      <c r="B59" s="13" t="n">
        <v>28</v>
      </c>
      <c r="C59" s="13" t="s">
        <v>152</v>
      </c>
      <c r="D59" s="14" t="n">
        <v>3559</v>
      </c>
      <c r="E59" s="14" t="n">
        <v>3290</v>
      </c>
      <c r="F59" s="16" t="n">
        <v>92.44</v>
      </c>
      <c r="G59" s="14" t="n">
        <v>1342</v>
      </c>
      <c r="H59" s="14" t="n">
        <v>1098</v>
      </c>
      <c r="I59" s="16" t="n">
        <v>81.82</v>
      </c>
      <c r="J59" s="14" t="n">
        <v>4901</v>
      </c>
      <c r="K59" s="14" t="n">
        <v>4388</v>
      </c>
      <c r="L59" s="16" t="n">
        <v>89.53</v>
      </c>
    </row>
    <row r="60" customFormat="false" ht="15" hidden="false" customHeight="true" outlineLevel="0" collapsed="false">
      <c r="A60" s="13" t="s">
        <v>653</v>
      </c>
      <c r="B60" s="13" t="n">
        <v>29</v>
      </c>
      <c r="C60" s="13" t="s">
        <v>689</v>
      </c>
      <c r="D60" s="14" t="n">
        <v>27</v>
      </c>
      <c r="E60" s="14" t="n">
        <v>27</v>
      </c>
      <c r="F60" s="16" t="n">
        <v>100</v>
      </c>
      <c r="G60" s="14" t="n">
        <v>12</v>
      </c>
      <c r="H60" s="14" t="n">
        <v>12</v>
      </c>
      <c r="I60" s="16" t="n">
        <v>100</v>
      </c>
      <c r="J60" s="14" t="n">
        <v>39</v>
      </c>
      <c r="K60" s="14" t="n">
        <v>39</v>
      </c>
      <c r="L60" s="16" t="n">
        <v>100</v>
      </c>
    </row>
    <row r="61" customFormat="false" ht="15" hidden="false" customHeight="true" outlineLevel="0" collapsed="false">
      <c r="A61" s="13" t="s">
        <v>653</v>
      </c>
      <c r="B61" s="13" t="n">
        <v>30</v>
      </c>
      <c r="C61" s="13" t="s">
        <v>690</v>
      </c>
      <c r="D61" s="14" t="n">
        <v>824</v>
      </c>
      <c r="E61" s="14" t="n">
        <v>805</v>
      </c>
      <c r="F61" s="16" t="n">
        <v>97.69</v>
      </c>
      <c r="G61" s="14" t="n">
        <v>12</v>
      </c>
      <c r="H61" s="14" t="n">
        <v>10</v>
      </c>
      <c r="I61" s="16" t="n">
        <v>83.33</v>
      </c>
      <c r="J61" s="14" t="n">
        <v>836</v>
      </c>
      <c r="K61" s="14" t="n">
        <v>815</v>
      </c>
      <c r="L61" s="16" t="n">
        <v>97.49</v>
      </c>
    </row>
    <row r="62" customFormat="false" ht="15" hidden="false" customHeight="true" outlineLevel="0" collapsed="false">
      <c r="A62" s="13" t="s">
        <v>653</v>
      </c>
      <c r="B62" s="13" t="n">
        <v>31</v>
      </c>
      <c r="C62" s="13" t="s">
        <v>691</v>
      </c>
      <c r="D62" s="14" t="n">
        <v>819</v>
      </c>
      <c r="E62" s="14" t="n">
        <v>804</v>
      </c>
      <c r="F62" s="16" t="n">
        <v>98.17</v>
      </c>
      <c r="G62" s="14" t="n">
        <v>10</v>
      </c>
      <c r="H62" s="14" t="n">
        <v>10</v>
      </c>
      <c r="I62" s="16" t="n">
        <v>100</v>
      </c>
      <c r="J62" s="14" t="n">
        <v>829</v>
      </c>
      <c r="K62" s="14" t="n">
        <v>814</v>
      </c>
      <c r="L62" s="16" t="n">
        <v>98.19</v>
      </c>
    </row>
    <row r="63" customFormat="false" ht="15" hidden="false" customHeight="true" outlineLevel="0" collapsed="false">
      <c r="A63" s="13" t="s">
        <v>653</v>
      </c>
      <c r="B63" s="13" t="n">
        <v>32</v>
      </c>
      <c r="C63" s="13" t="s">
        <v>692</v>
      </c>
      <c r="D63" s="14" t="n">
        <v>4218</v>
      </c>
      <c r="E63" s="14" t="n">
        <v>4139</v>
      </c>
      <c r="F63" s="16" t="n">
        <v>98.13</v>
      </c>
      <c r="G63" s="14" t="n">
        <v>56</v>
      </c>
      <c r="H63" s="14" t="n">
        <v>47</v>
      </c>
      <c r="I63" s="16" t="n">
        <v>83.93</v>
      </c>
      <c r="J63" s="14" t="n">
        <v>4274</v>
      </c>
      <c r="K63" s="14" t="n">
        <v>4186</v>
      </c>
      <c r="L63" s="16" t="n">
        <v>97.94</v>
      </c>
    </row>
    <row r="64" customFormat="false" ht="15" hidden="false" customHeight="true" outlineLevel="0" collapsed="false">
      <c r="A64" s="13" t="s">
        <v>653</v>
      </c>
      <c r="B64" s="13" t="n">
        <v>33</v>
      </c>
      <c r="C64" s="13" t="s">
        <v>693</v>
      </c>
      <c r="D64" s="14" t="n">
        <v>4154</v>
      </c>
      <c r="E64" s="14" t="n">
        <v>4152</v>
      </c>
      <c r="F64" s="16" t="n">
        <v>99.95</v>
      </c>
      <c r="G64" s="14" t="n">
        <v>45</v>
      </c>
      <c r="H64" s="14" t="n">
        <v>45</v>
      </c>
      <c r="I64" s="16" t="n">
        <v>100</v>
      </c>
      <c r="J64" s="14" t="n">
        <v>4199</v>
      </c>
      <c r="K64" s="14" t="n">
        <v>4197</v>
      </c>
      <c r="L64" s="16" t="n">
        <v>99.95</v>
      </c>
    </row>
    <row r="65" customFormat="false" ht="15" hidden="false" customHeight="true" outlineLevel="0" collapsed="false">
      <c r="A65" s="13" t="s">
        <v>653</v>
      </c>
      <c r="B65" s="13" t="n">
        <v>34</v>
      </c>
      <c r="C65" s="13" t="s">
        <v>735</v>
      </c>
      <c r="D65" s="14" t="n">
        <v>668</v>
      </c>
      <c r="E65" s="14" t="n">
        <v>650</v>
      </c>
      <c r="F65" s="16" t="n">
        <v>97.31</v>
      </c>
      <c r="G65" s="14" t="n">
        <v>112</v>
      </c>
      <c r="H65" s="14" t="n">
        <v>87</v>
      </c>
      <c r="I65" s="16" t="n">
        <v>77.68</v>
      </c>
      <c r="J65" s="14" t="n">
        <v>780</v>
      </c>
      <c r="K65" s="14" t="n">
        <v>737</v>
      </c>
      <c r="L65" s="16" t="n">
        <v>94.49</v>
      </c>
    </row>
    <row r="66" customFormat="false" ht="15" hidden="false" customHeight="true" outlineLevel="0" collapsed="false">
      <c r="A66" s="13" t="s">
        <v>653</v>
      </c>
      <c r="B66" s="13" t="n">
        <v>35</v>
      </c>
      <c r="C66" s="13" t="s">
        <v>505</v>
      </c>
      <c r="D66" s="14" t="n">
        <v>502</v>
      </c>
      <c r="E66" s="14" t="n">
        <v>502</v>
      </c>
      <c r="F66" s="16" t="n">
        <v>100</v>
      </c>
      <c r="G66" s="14" t="n">
        <v>137</v>
      </c>
      <c r="H66" s="14" t="n">
        <v>133</v>
      </c>
      <c r="I66" s="16" t="n">
        <v>97.08</v>
      </c>
      <c r="J66" s="14" t="n">
        <v>639</v>
      </c>
      <c r="K66" s="14" t="n">
        <v>635</v>
      </c>
      <c r="L66" s="16" t="n">
        <v>99.37</v>
      </c>
    </row>
    <row r="67" customFormat="false" ht="15" hidden="false" customHeight="true" outlineLevel="0" collapsed="false">
      <c r="A67" s="13" t="s">
        <v>653</v>
      </c>
      <c r="B67" s="13" t="n">
        <v>36</v>
      </c>
      <c r="C67" s="13" t="s">
        <v>694</v>
      </c>
      <c r="D67" s="14" t="n">
        <v>275</v>
      </c>
      <c r="E67" s="14" t="n">
        <v>269</v>
      </c>
      <c r="F67" s="16" t="n">
        <v>97.82</v>
      </c>
      <c r="G67" s="14" t="n">
        <v>4</v>
      </c>
      <c r="H67" s="14" t="n">
        <v>2</v>
      </c>
      <c r="I67" s="16" t="n">
        <v>50</v>
      </c>
      <c r="J67" s="14" t="n">
        <v>279</v>
      </c>
      <c r="K67" s="14" t="n">
        <v>271</v>
      </c>
      <c r="L67" s="16" t="n">
        <v>97.13</v>
      </c>
    </row>
    <row r="68" customFormat="false" ht="15" hidden="false" customHeight="true" outlineLevel="0" collapsed="false">
      <c r="A68" s="13" t="s">
        <v>653</v>
      </c>
      <c r="B68" s="13" t="n">
        <v>37</v>
      </c>
      <c r="C68" s="13" t="s">
        <v>695</v>
      </c>
      <c r="D68" s="14" t="n">
        <v>274</v>
      </c>
      <c r="E68" s="14" t="n">
        <v>274</v>
      </c>
      <c r="F68" s="16" t="n">
        <v>100</v>
      </c>
      <c r="G68" s="14" t="n">
        <v>1</v>
      </c>
      <c r="H68" s="14" t="n">
        <v>1</v>
      </c>
      <c r="I68" s="16" t="n">
        <v>100</v>
      </c>
      <c r="J68" s="14" t="n">
        <v>275</v>
      </c>
      <c r="K68" s="14" t="n">
        <v>275</v>
      </c>
      <c r="L68" s="16" t="n">
        <v>100</v>
      </c>
    </row>
    <row r="69" customFormat="false" ht="15" hidden="false" customHeight="true" outlineLevel="0" collapsed="false">
      <c r="A69" s="13" t="s">
        <v>653</v>
      </c>
      <c r="B69" s="13" t="n">
        <v>38</v>
      </c>
      <c r="C69" s="13" t="s">
        <v>696</v>
      </c>
      <c r="D69" s="14" t="n">
        <v>275</v>
      </c>
      <c r="E69" s="14" t="n">
        <v>273</v>
      </c>
      <c r="F69" s="16" t="n">
        <v>99.27</v>
      </c>
      <c r="G69" s="14" t="n">
        <v>1</v>
      </c>
      <c r="H69" s="14" t="n">
        <v>1</v>
      </c>
      <c r="I69" s="16" t="n">
        <v>100</v>
      </c>
      <c r="J69" s="14" t="n">
        <v>276</v>
      </c>
      <c r="K69" s="14" t="n">
        <v>274</v>
      </c>
      <c r="L69" s="16" t="n">
        <v>99.28</v>
      </c>
    </row>
    <row r="70" customFormat="false" ht="15" hidden="false" customHeight="true" outlineLevel="0" collapsed="false">
      <c r="A70" s="13" t="s">
        <v>653</v>
      </c>
      <c r="B70" s="13" t="n">
        <v>39</v>
      </c>
      <c r="C70" s="13" t="s">
        <v>697</v>
      </c>
      <c r="D70" s="14" t="n">
        <v>275</v>
      </c>
      <c r="E70" s="14" t="n">
        <v>268</v>
      </c>
      <c r="F70" s="16" t="n">
        <v>97.45</v>
      </c>
      <c r="G70" s="14" t="n">
        <v>1</v>
      </c>
      <c r="H70" s="14" t="n">
        <v>1</v>
      </c>
      <c r="I70" s="16" t="n">
        <v>100</v>
      </c>
      <c r="J70" s="14" t="n">
        <v>276</v>
      </c>
      <c r="K70" s="14" t="n">
        <v>269</v>
      </c>
      <c r="L70" s="16" t="n">
        <v>97.46</v>
      </c>
    </row>
    <row r="71" customFormat="false" ht="15" hidden="false" customHeight="true" outlineLevel="0" collapsed="false">
      <c r="A71" s="13" t="s">
        <v>653</v>
      </c>
      <c r="B71" s="13" t="n">
        <v>40</v>
      </c>
      <c r="C71" s="13" t="s">
        <v>698</v>
      </c>
      <c r="D71" s="14" t="n">
        <v>275</v>
      </c>
      <c r="E71" s="14" t="n">
        <v>272</v>
      </c>
      <c r="F71" s="16" t="n">
        <v>98.91</v>
      </c>
      <c r="G71" s="14" t="n">
        <v>2</v>
      </c>
      <c r="H71" s="14" t="n">
        <v>2</v>
      </c>
      <c r="I71" s="16" t="n">
        <v>100</v>
      </c>
      <c r="J71" s="14" t="n">
        <v>277</v>
      </c>
      <c r="K71" s="14" t="n">
        <v>274</v>
      </c>
      <c r="L71" s="16" t="n">
        <v>98.92</v>
      </c>
    </row>
    <row r="72" customFormat="false" ht="15" hidden="false" customHeight="true" outlineLevel="0" collapsed="false">
      <c r="A72" s="13" t="s">
        <v>653</v>
      </c>
      <c r="B72" s="13" t="n">
        <v>41</v>
      </c>
      <c r="C72" s="13" t="s">
        <v>699</v>
      </c>
      <c r="D72" s="14" t="n">
        <v>275</v>
      </c>
      <c r="E72" s="14" t="n">
        <v>275</v>
      </c>
      <c r="F72" s="16" t="n">
        <v>100</v>
      </c>
      <c r="G72" s="14" t="n">
        <v>1</v>
      </c>
      <c r="H72" s="14" t="n">
        <v>1</v>
      </c>
      <c r="I72" s="16" t="n">
        <v>100</v>
      </c>
      <c r="J72" s="14" t="n">
        <v>276</v>
      </c>
      <c r="K72" s="14" t="n">
        <v>276</v>
      </c>
      <c r="L72" s="16" t="n">
        <v>100</v>
      </c>
    </row>
    <row r="73" customFormat="false" ht="15" hidden="false" customHeight="true" outlineLevel="0" collapsed="false">
      <c r="A73" s="13" t="s">
        <v>653</v>
      </c>
      <c r="B73" s="13" t="n">
        <v>42</v>
      </c>
      <c r="C73" s="13" t="s">
        <v>700</v>
      </c>
      <c r="D73" s="14" t="n">
        <v>7589</v>
      </c>
      <c r="E73" s="14" t="n">
        <v>7294</v>
      </c>
      <c r="F73" s="16" t="n">
        <v>96.11</v>
      </c>
      <c r="G73" s="14" t="n">
        <v>129</v>
      </c>
      <c r="H73" s="14" t="n">
        <v>102</v>
      </c>
      <c r="I73" s="16" t="n">
        <v>79.07</v>
      </c>
      <c r="J73" s="14" t="n">
        <v>7718</v>
      </c>
      <c r="K73" s="14" t="n">
        <v>7396</v>
      </c>
      <c r="L73" s="16" t="n">
        <v>95.83</v>
      </c>
    </row>
    <row r="74" customFormat="false" ht="15" hidden="false" customHeight="true" outlineLevel="0" collapsed="false">
      <c r="A74" s="13" t="s">
        <v>653</v>
      </c>
      <c r="B74" s="13" t="n">
        <v>43</v>
      </c>
      <c r="C74" s="13" t="s">
        <v>701</v>
      </c>
      <c r="D74" s="14" t="n">
        <v>7446</v>
      </c>
      <c r="E74" s="14" t="n">
        <v>7437</v>
      </c>
      <c r="F74" s="16" t="n">
        <v>99.88</v>
      </c>
      <c r="G74" s="14" t="n">
        <v>108</v>
      </c>
      <c r="H74" s="14" t="n">
        <v>108</v>
      </c>
      <c r="I74" s="16" t="n">
        <v>100</v>
      </c>
      <c r="J74" s="14" t="n">
        <v>7554</v>
      </c>
      <c r="K74" s="14" t="n">
        <v>7545</v>
      </c>
      <c r="L74" s="16" t="n">
        <v>99.88</v>
      </c>
    </row>
    <row r="75" customFormat="false" ht="15" hidden="false" customHeight="true" outlineLevel="0" collapsed="false">
      <c r="A75" s="13" t="s">
        <v>653</v>
      </c>
      <c r="B75" s="13" t="n">
        <v>44</v>
      </c>
      <c r="C75" s="13" t="s">
        <v>702</v>
      </c>
      <c r="D75" s="14" t="n">
        <v>0</v>
      </c>
      <c r="E75" s="14" t="n">
        <v>0</v>
      </c>
      <c r="F75" s="16" t="n">
        <v>0</v>
      </c>
      <c r="G75" s="14" t="n">
        <v>10</v>
      </c>
      <c r="H75" s="14" t="n">
        <v>10</v>
      </c>
      <c r="I75" s="16" t="n">
        <v>100</v>
      </c>
      <c r="J75" s="14" t="n">
        <v>10</v>
      </c>
      <c r="K75" s="14" t="n">
        <v>10</v>
      </c>
      <c r="L75" s="16" t="n">
        <v>100</v>
      </c>
    </row>
    <row r="76" customFormat="false" ht="15" hidden="false" customHeight="true" outlineLevel="0" collapsed="false">
      <c r="A76" s="13" t="s">
        <v>653</v>
      </c>
      <c r="B76" s="13" t="n">
        <v>45</v>
      </c>
      <c r="C76" s="13" t="s">
        <v>703</v>
      </c>
      <c r="D76" s="14" t="n">
        <v>43</v>
      </c>
      <c r="E76" s="14" t="n">
        <v>31</v>
      </c>
      <c r="F76" s="16" t="n">
        <v>72.09</v>
      </c>
      <c r="G76" s="14" t="n">
        <v>1</v>
      </c>
      <c r="H76" s="14" t="n">
        <v>0</v>
      </c>
      <c r="I76" s="16" t="n">
        <v>0</v>
      </c>
      <c r="J76" s="14" t="n">
        <v>44</v>
      </c>
      <c r="K76" s="14" t="n">
        <v>31</v>
      </c>
      <c r="L76" s="16" t="n">
        <v>70.45</v>
      </c>
    </row>
    <row r="77" customFormat="false" ht="15" hidden="false" customHeight="true" outlineLevel="0" collapsed="false">
      <c r="A77" s="13" t="s">
        <v>653</v>
      </c>
      <c r="B77" s="13" t="n">
        <v>46</v>
      </c>
      <c r="C77" s="13" t="s">
        <v>704</v>
      </c>
      <c r="D77" s="14" t="n">
        <v>42</v>
      </c>
      <c r="E77" s="14" t="n">
        <v>42</v>
      </c>
      <c r="F77" s="16" t="n">
        <v>100</v>
      </c>
      <c r="G77" s="14" t="n">
        <v>0</v>
      </c>
      <c r="H77" s="14" t="n">
        <v>0</v>
      </c>
      <c r="I77" s="16" t="n">
        <v>0</v>
      </c>
      <c r="J77" s="14" t="n">
        <v>42</v>
      </c>
      <c r="K77" s="14" t="n">
        <v>42</v>
      </c>
      <c r="L77" s="16" t="n">
        <v>100</v>
      </c>
    </row>
    <row r="78" customFormat="false" ht="15" hidden="false" customHeight="true" outlineLevel="0" collapsed="false">
      <c r="A78" s="13" t="s">
        <v>653</v>
      </c>
      <c r="B78" s="13" t="n">
        <v>47</v>
      </c>
      <c r="C78" s="13" t="s">
        <v>705</v>
      </c>
      <c r="D78" s="14" t="n">
        <v>71</v>
      </c>
      <c r="E78" s="14" t="n">
        <v>66</v>
      </c>
      <c r="F78" s="16" t="n">
        <v>92.96</v>
      </c>
      <c r="G78" s="14" t="n">
        <v>0</v>
      </c>
      <c r="H78" s="14" t="n">
        <v>0</v>
      </c>
      <c r="I78" s="16" t="n">
        <v>0</v>
      </c>
      <c r="J78" s="14" t="n">
        <v>71</v>
      </c>
      <c r="K78" s="14" t="n">
        <v>66</v>
      </c>
      <c r="L78" s="16" t="n">
        <v>92.96</v>
      </c>
    </row>
    <row r="79" customFormat="false" ht="15" hidden="false" customHeight="true" outlineLevel="0" collapsed="false">
      <c r="A79" s="13" t="s">
        <v>653</v>
      </c>
      <c r="B79" s="13" t="n">
        <v>48</v>
      </c>
      <c r="C79" s="13" t="s">
        <v>706</v>
      </c>
      <c r="D79" s="14" t="n">
        <v>71</v>
      </c>
      <c r="E79" s="14" t="n">
        <v>40</v>
      </c>
      <c r="F79" s="16" t="n">
        <v>56.34</v>
      </c>
      <c r="G79" s="14" t="n">
        <v>0</v>
      </c>
      <c r="H79" s="14" t="n">
        <v>0</v>
      </c>
      <c r="I79" s="16" t="n">
        <v>0</v>
      </c>
      <c r="J79" s="14" t="n">
        <v>71</v>
      </c>
      <c r="K79" s="14" t="n">
        <v>40</v>
      </c>
      <c r="L79" s="16" t="n">
        <v>56.34</v>
      </c>
    </row>
    <row r="80" customFormat="false" ht="15" hidden="false" customHeight="true" outlineLevel="0" collapsed="false">
      <c r="A80" s="13" t="s">
        <v>653</v>
      </c>
      <c r="B80" s="13" t="n">
        <v>49</v>
      </c>
      <c r="C80" s="13" t="s">
        <v>425</v>
      </c>
      <c r="D80" s="14" t="n">
        <v>454</v>
      </c>
      <c r="E80" s="14" t="n">
        <v>438</v>
      </c>
      <c r="F80" s="16" t="n">
        <v>96.48</v>
      </c>
      <c r="G80" s="14" t="n">
        <v>72</v>
      </c>
      <c r="H80" s="14" t="n">
        <v>60</v>
      </c>
      <c r="I80" s="16" t="n">
        <v>83.33</v>
      </c>
      <c r="J80" s="14" t="n">
        <v>526</v>
      </c>
      <c r="K80" s="14" t="n">
        <v>498</v>
      </c>
      <c r="L80" s="16" t="n">
        <v>94.68</v>
      </c>
    </row>
    <row r="81" customFormat="false" ht="15" hidden="false" customHeight="true" outlineLevel="0" collapsed="false">
      <c r="A81" s="13" t="s">
        <v>653</v>
      </c>
      <c r="B81" s="13" t="n">
        <v>50</v>
      </c>
      <c r="C81" s="13" t="s">
        <v>672</v>
      </c>
      <c r="D81" s="14" t="n">
        <v>664</v>
      </c>
      <c r="E81" s="14" t="n">
        <v>542</v>
      </c>
      <c r="F81" s="16" t="n">
        <v>81.63</v>
      </c>
      <c r="G81" s="14" t="n">
        <v>63</v>
      </c>
      <c r="H81" s="14" t="n">
        <v>29</v>
      </c>
      <c r="I81" s="16" t="n">
        <v>46.03</v>
      </c>
      <c r="J81" s="14" t="n">
        <v>727</v>
      </c>
      <c r="K81" s="14" t="n">
        <v>571</v>
      </c>
      <c r="L81" s="16" t="n">
        <v>78.54</v>
      </c>
    </row>
    <row r="82" customFormat="false" ht="15" hidden="false" customHeight="true" outlineLevel="0" collapsed="false">
      <c r="A82" s="13" t="s">
        <v>653</v>
      </c>
      <c r="B82" s="13" t="n">
        <v>51</v>
      </c>
      <c r="C82" s="13" t="s">
        <v>673</v>
      </c>
      <c r="D82" s="14" t="n">
        <v>654</v>
      </c>
      <c r="E82" s="14" t="n">
        <v>643</v>
      </c>
      <c r="F82" s="16" t="n">
        <v>98.32</v>
      </c>
      <c r="G82" s="14" t="n">
        <v>15</v>
      </c>
      <c r="H82" s="14" t="n">
        <v>15</v>
      </c>
      <c r="I82" s="16" t="n">
        <v>100</v>
      </c>
      <c r="J82" s="14" t="n">
        <v>669</v>
      </c>
      <c r="K82" s="14" t="n">
        <v>658</v>
      </c>
      <c r="L82" s="16" t="n">
        <v>98.36</v>
      </c>
    </row>
    <row r="83" customFormat="false" ht="15" hidden="false" customHeight="true" outlineLevel="0" collapsed="false">
      <c r="A83" s="13" t="s">
        <v>653</v>
      </c>
      <c r="B83" s="13" t="n">
        <v>52</v>
      </c>
      <c r="C83" s="13" t="s">
        <v>707</v>
      </c>
      <c r="D83" s="14" t="n">
        <v>1146</v>
      </c>
      <c r="E83" s="14" t="n">
        <v>985</v>
      </c>
      <c r="F83" s="16" t="n">
        <v>85.95</v>
      </c>
      <c r="G83" s="14" t="n">
        <v>456</v>
      </c>
      <c r="H83" s="14" t="n">
        <v>323</v>
      </c>
      <c r="I83" s="16" t="n">
        <v>70.83</v>
      </c>
      <c r="J83" s="14" t="n">
        <v>1602</v>
      </c>
      <c r="K83" s="14" t="n">
        <v>1308</v>
      </c>
      <c r="L83" s="16" t="n">
        <v>81.65</v>
      </c>
    </row>
    <row r="84" customFormat="false" ht="15" hidden="false" customHeight="true" outlineLevel="0" collapsed="false">
      <c r="A84" s="13" t="s">
        <v>653</v>
      </c>
      <c r="B84" s="13" t="n">
        <v>53</v>
      </c>
      <c r="C84" s="13" t="s">
        <v>708</v>
      </c>
      <c r="D84" s="14" t="n">
        <v>19</v>
      </c>
      <c r="E84" s="14" t="n">
        <v>19</v>
      </c>
      <c r="F84" s="16" t="n">
        <v>100</v>
      </c>
      <c r="G84" s="14" t="n">
        <v>0</v>
      </c>
      <c r="H84" s="14" t="n">
        <v>0</v>
      </c>
      <c r="I84" s="16" t="n">
        <v>0</v>
      </c>
      <c r="J84" s="14" t="n">
        <v>19</v>
      </c>
      <c r="K84" s="14" t="n">
        <v>19</v>
      </c>
      <c r="L84" s="16" t="n">
        <v>100</v>
      </c>
    </row>
    <row r="85" customFormat="false" ht="15" hidden="false" customHeight="true" outlineLevel="0" collapsed="false">
      <c r="A85" s="13" t="s">
        <v>653</v>
      </c>
      <c r="B85" s="13" t="n">
        <v>54</v>
      </c>
      <c r="C85" s="13" t="s">
        <v>709</v>
      </c>
      <c r="D85" s="14" t="n">
        <v>19</v>
      </c>
      <c r="E85" s="14" t="n">
        <v>19</v>
      </c>
      <c r="F85" s="16" t="n">
        <v>100</v>
      </c>
      <c r="G85" s="14" t="n">
        <v>0</v>
      </c>
      <c r="H85" s="14" t="n">
        <v>0</v>
      </c>
      <c r="I85" s="16" t="n">
        <v>0</v>
      </c>
      <c r="J85" s="14" t="n">
        <v>19</v>
      </c>
      <c r="K85" s="14" t="n">
        <v>19</v>
      </c>
      <c r="L85" s="16" t="n">
        <v>100</v>
      </c>
    </row>
    <row r="86" customFormat="false" ht="15" hidden="false" customHeight="true" outlineLevel="0" collapsed="false">
      <c r="A86" s="13" t="s">
        <v>653</v>
      </c>
      <c r="B86" s="13" t="n">
        <v>55</v>
      </c>
      <c r="C86" s="13" t="s">
        <v>710</v>
      </c>
      <c r="D86" s="14" t="n">
        <v>5</v>
      </c>
      <c r="E86" s="14" t="n">
        <v>5</v>
      </c>
      <c r="F86" s="16" t="n">
        <v>100</v>
      </c>
      <c r="G86" s="14" t="n">
        <v>0</v>
      </c>
      <c r="H86" s="14" t="n">
        <v>0</v>
      </c>
      <c r="I86" s="16" t="n">
        <v>0</v>
      </c>
      <c r="J86" s="14" t="n">
        <v>5</v>
      </c>
      <c r="K86" s="14" t="n">
        <v>5</v>
      </c>
      <c r="L86" s="16" t="n">
        <v>100</v>
      </c>
    </row>
    <row r="87" customFormat="false" ht="15" hidden="false" customHeight="true" outlineLevel="0" collapsed="false">
      <c r="A87" s="13" t="s">
        <v>653</v>
      </c>
      <c r="B87" s="13" t="n">
        <v>56</v>
      </c>
      <c r="C87" s="13" t="s">
        <v>711</v>
      </c>
      <c r="D87" s="14" t="n">
        <v>5</v>
      </c>
      <c r="E87" s="14" t="n">
        <v>5</v>
      </c>
      <c r="F87" s="16" t="n">
        <v>100</v>
      </c>
      <c r="G87" s="14" t="n">
        <v>0</v>
      </c>
      <c r="H87" s="14" t="n">
        <v>0</v>
      </c>
      <c r="I87" s="16" t="n">
        <v>0</v>
      </c>
      <c r="J87" s="14" t="n">
        <v>5</v>
      </c>
      <c r="K87" s="14" t="n">
        <v>5</v>
      </c>
      <c r="L87" s="16" t="n">
        <v>100</v>
      </c>
    </row>
    <row r="88" customFormat="false" ht="15" hidden="false" customHeight="true" outlineLevel="0" collapsed="false">
      <c r="A88" s="13" t="s">
        <v>653</v>
      </c>
      <c r="B88" s="13" t="n">
        <v>57</v>
      </c>
      <c r="C88" s="13" t="s">
        <v>712</v>
      </c>
      <c r="D88" s="14" t="n">
        <v>33</v>
      </c>
      <c r="E88" s="14" t="n">
        <v>30</v>
      </c>
      <c r="F88" s="16" t="n">
        <v>90.91</v>
      </c>
      <c r="G88" s="14" t="n">
        <v>0</v>
      </c>
      <c r="H88" s="14" t="n">
        <v>0</v>
      </c>
      <c r="I88" s="16" t="n">
        <v>0</v>
      </c>
      <c r="J88" s="14" t="n">
        <v>33</v>
      </c>
      <c r="K88" s="14" t="n">
        <v>30</v>
      </c>
      <c r="L88" s="16" t="n">
        <v>90.91</v>
      </c>
    </row>
    <row r="89" customFormat="false" ht="15" hidden="false" customHeight="true" outlineLevel="0" collapsed="false">
      <c r="A89" s="13" t="s">
        <v>653</v>
      </c>
      <c r="B89" s="13" t="n">
        <v>58</v>
      </c>
      <c r="C89" s="13" t="s">
        <v>713</v>
      </c>
      <c r="D89" s="14" t="n">
        <v>33</v>
      </c>
      <c r="E89" s="14" t="n">
        <v>33</v>
      </c>
      <c r="F89" s="16" t="n">
        <v>100</v>
      </c>
      <c r="G89" s="14" t="n">
        <v>0</v>
      </c>
      <c r="H89" s="14" t="n">
        <v>0</v>
      </c>
      <c r="I89" s="16" t="n">
        <v>0</v>
      </c>
      <c r="J89" s="14" t="n">
        <v>33</v>
      </c>
      <c r="K89" s="14" t="n">
        <v>33</v>
      </c>
      <c r="L89" s="16" t="n">
        <v>100</v>
      </c>
    </row>
    <row r="90" customFormat="false" ht="15" hidden="false" customHeight="true" outlineLevel="0" collapsed="false">
      <c r="A90" s="13" t="s">
        <v>653</v>
      </c>
      <c r="B90" s="13" t="n">
        <v>59</v>
      </c>
      <c r="C90" s="13" t="s">
        <v>714</v>
      </c>
      <c r="D90" s="14" t="n">
        <v>5</v>
      </c>
      <c r="E90" s="14" t="n">
        <v>5</v>
      </c>
      <c r="F90" s="16" t="n">
        <v>100</v>
      </c>
      <c r="G90" s="14" t="n">
        <v>0</v>
      </c>
      <c r="H90" s="14" t="n">
        <v>0</v>
      </c>
      <c r="I90" s="16" t="n">
        <v>0</v>
      </c>
      <c r="J90" s="14" t="n">
        <v>5</v>
      </c>
      <c r="K90" s="14" t="n">
        <v>5</v>
      </c>
      <c r="L90" s="16" t="n">
        <v>100</v>
      </c>
    </row>
    <row r="91" customFormat="false" ht="15" hidden="false" customHeight="true" outlineLevel="0" collapsed="false">
      <c r="A91" s="13" t="s">
        <v>653</v>
      </c>
      <c r="B91" s="13" t="n">
        <v>60</v>
      </c>
      <c r="C91" s="13" t="s">
        <v>715</v>
      </c>
      <c r="D91" s="14" t="n">
        <v>5</v>
      </c>
      <c r="E91" s="14" t="n">
        <v>5</v>
      </c>
      <c r="F91" s="16" t="n">
        <v>100</v>
      </c>
      <c r="G91" s="14" t="n">
        <v>0</v>
      </c>
      <c r="H91" s="14" t="n">
        <v>0</v>
      </c>
      <c r="I91" s="16" t="n">
        <v>0</v>
      </c>
      <c r="J91" s="14" t="n">
        <v>5</v>
      </c>
      <c r="K91" s="14" t="n">
        <v>5</v>
      </c>
      <c r="L91" s="16" t="n">
        <v>100</v>
      </c>
    </row>
    <row r="92" customFormat="false" ht="15" hidden="false" customHeight="true" outlineLevel="0" collapsed="false">
      <c r="A92" s="13" t="s">
        <v>653</v>
      </c>
      <c r="B92" s="13" t="n">
        <v>61</v>
      </c>
      <c r="C92" s="13" t="s">
        <v>716</v>
      </c>
      <c r="D92" s="14" t="n">
        <v>5</v>
      </c>
      <c r="E92" s="14" t="n">
        <v>5</v>
      </c>
      <c r="F92" s="16" t="n">
        <v>100</v>
      </c>
      <c r="G92" s="14" t="n">
        <v>0</v>
      </c>
      <c r="H92" s="14" t="n">
        <v>0</v>
      </c>
      <c r="I92" s="16" t="n">
        <v>0</v>
      </c>
      <c r="J92" s="14" t="n">
        <v>5</v>
      </c>
      <c r="K92" s="14" t="n">
        <v>5</v>
      </c>
      <c r="L92" s="16" t="n">
        <v>100</v>
      </c>
    </row>
    <row r="93" customFormat="false" ht="15" hidden="false" customHeight="true" outlineLevel="0" collapsed="false">
      <c r="A93" s="13" t="s">
        <v>653</v>
      </c>
      <c r="B93" s="13" t="n">
        <v>62</v>
      </c>
      <c r="C93" s="13" t="s">
        <v>717</v>
      </c>
      <c r="D93" s="14" t="n">
        <v>5</v>
      </c>
      <c r="E93" s="14" t="n">
        <v>5</v>
      </c>
      <c r="F93" s="16" t="n">
        <v>100</v>
      </c>
      <c r="G93" s="14" t="n">
        <v>0</v>
      </c>
      <c r="H93" s="14" t="n">
        <v>0</v>
      </c>
      <c r="I93" s="16" t="n">
        <v>0</v>
      </c>
      <c r="J93" s="14" t="n">
        <v>5</v>
      </c>
      <c r="K93" s="14" t="n">
        <v>5</v>
      </c>
      <c r="L93" s="16" t="n">
        <v>100</v>
      </c>
    </row>
    <row r="94" customFormat="false" ht="15" hidden="false" customHeight="true" outlineLevel="0" collapsed="false">
      <c r="A94" s="13" t="s">
        <v>653</v>
      </c>
      <c r="B94" s="13" t="n">
        <v>63</v>
      </c>
      <c r="C94" s="13" t="s">
        <v>718</v>
      </c>
      <c r="D94" s="14" t="n">
        <v>33</v>
      </c>
      <c r="E94" s="14" t="n">
        <v>33</v>
      </c>
      <c r="F94" s="16" t="n">
        <v>100</v>
      </c>
      <c r="G94" s="14" t="n">
        <v>0</v>
      </c>
      <c r="H94" s="14" t="n">
        <v>0</v>
      </c>
      <c r="I94" s="16" t="n">
        <v>0</v>
      </c>
      <c r="J94" s="14" t="n">
        <v>33</v>
      </c>
      <c r="K94" s="14" t="n">
        <v>33</v>
      </c>
      <c r="L94" s="16" t="n">
        <v>100</v>
      </c>
    </row>
    <row r="95" customFormat="false" ht="15" hidden="false" customHeight="true" outlineLevel="0" collapsed="false">
      <c r="A95" s="13" t="s">
        <v>653</v>
      </c>
      <c r="B95" s="13" t="n">
        <v>64</v>
      </c>
      <c r="C95" s="13" t="s">
        <v>719</v>
      </c>
      <c r="D95" s="14" t="n">
        <v>33</v>
      </c>
      <c r="E95" s="14" t="n">
        <v>33</v>
      </c>
      <c r="F95" s="16" t="n">
        <v>100</v>
      </c>
      <c r="G95" s="14" t="n">
        <v>0</v>
      </c>
      <c r="H95" s="14" t="n">
        <v>0</v>
      </c>
      <c r="I95" s="16" t="n">
        <v>0</v>
      </c>
      <c r="J95" s="14" t="n">
        <v>33</v>
      </c>
      <c r="K95" s="14" t="n">
        <v>33</v>
      </c>
      <c r="L95" s="16" t="n">
        <v>100</v>
      </c>
    </row>
    <row r="96" customFormat="false" ht="15" hidden="false" customHeight="true" outlineLevel="0" collapsed="false">
      <c r="A96" s="13" t="s">
        <v>653</v>
      </c>
      <c r="B96" s="13" t="n">
        <v>65</v>
      </c>
      <c r="C96" s="13" t="s">
        <v>720</v>
      </c>
      <c r="D96" s="14" t="n">
        <v>33</v>
      </c>
      <c r="E96" s="14" t="n">
        <v>33</v>
      </c>
      <c r="F96" s="16" t="n">
        <v>100</v>
      </c>
      <c r="G96" s="14" t="n">
        <v>0</v>
      </c>
      <c r="H96" s="14" t="n">
        <v>0</v>
      </c>
      <c r="I96" s="16" t="n">
        <v>0</v>
      </c>
      <c r="J96" s="14" t="n">
        <v>33</v>
      </c>
      <c r="K96" s="14" t="n">
        <v>33</v>
      </c>
      <c r="L96" s="16" t="n">
        <v>100</v>
      </c>
    </row>
    <row r="97" customFormat="false" ht="15" hidden="false" customHeight="true" outlineLevel="0" collapsed="false">
      <c r="A97" s="13" t="s">
        <v>653</v>
      </c>
      <c r="B97" s="13" t="n">
        <v>66</v>
      </c>
      <c r="C97" s="13" t="s">
        <v>721</v>
      </c>
      <c r="D97" s="14" t="n">
        <v>33</v>
      </c>
      <c r="E97" s="14" t="n">
        <v>33</v>
      </c>
      <c r="F97" s="16" t="n">
        <v>100</v>
      </c>
      <c r="G97" s="14" t="n">
        <v>0</v>
      </c>
      <c r="H97" s="14" t="n">
        <v>0</v>
      </c>
      <c r="I97" s="16" t="n">
        <v>0</v>
      </c>
      <c r="J97" s="14" t="n">
        <v>33</v>
      </c>
      <c r="K97" s="14" t="n">
        <v>33</v>
      </c>
      <c r="L97" s="16" t="n">
        <v>100</v>
      </c>
    </row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32"/>
    <col collapsed="false" customWidth="true" hidden="false" outlineLevel="0" max="2" min="2" style="13" width="110"/>
  </cols>
  <sheetData>
    <row r="1" customFormat="false" ht="15" hidden="false" customHeight="true" outlineLevel="0" collapsed="false">
      <c r="A1" s="13" t="s">
        <v>736</v>
      </c>
    </row>
    <row r="2" customFormat="false" ht="15" hidden="false" customHeight="true" outlineLevel="0" collapsed="false">
      <c r="A2" s="13" t="s">
        <v>610</v>
      </c>
    </row>
    <row r="4" customFormat="false" ht="15" hidden="false" customHeight="true" outlineLevel="0" collapsed="false">
      <c r="A4" s="13" t="s">
        <v>186</v>
      </c>
      <c r="B4" s="13" t="s">
        <v>357</v>
      </c>
    </row>
    <row r="5" customFormat="false" ht="15" hidden="false" customHeight="true" outlineLevel="0" collapsed="false">
      <c r="A5" s="13" t="s">
        <v>611</v>
      </c>
      <c r="B5" s="13" t="s">
        <v>737</v>
      </c>
    </row>
    <row r="6" customFormat="false" ht="15" hidden="false" customHeight="true" outlineLevel="0" collapsed="false">
      <c r="A6" s="13" t="s">
        <v>613</v>
      </c>
      <c r="B6" s="13" t="s">
        <v>738</v>
      </c>
    </row>
    <row r="7" customFormat="false" ht="15" hidden="false" customHeight="true" outlineLevel="0" collapsed="false">
      <c r="A7" s="13" t="s">
        <v>615</v>
      </c>
      <c r="B7" s="13" t="s">
        <v>739</v>
      </c>
    </row>
    <row r="8" customFormat="false" ht="15" hidden="false" customHeight="true" outlineLevel="0" collapsed="false">
      <c r="A8" s="13" t="s">
        <v>617</v>
      </c>
      <c r="B8" s="13" t="s">
        <v>740</v>
      </c>
    </row>
    <row r="9" customFormat="false" ht="15" hidden="false" customHeight="true" outlineLevel="0" collapsed="false">
      <c r="A9" s="13" t="s">
        <v>619</v>
      </c>
      <c r="B9" s="13" t="s">
        <v>727</v>
      </c>
    </row>
    <row r="10" customFormat="false" ht="15" hidden="false" customHeight="true" outlineLevel="0" collapsed="false">
      <c r="A10" s="13" t="s">
        <v>621</v>
      </c>
      <c r="B10" s="13" t="s">
        <v>622</v>
      </c>
    </row>
    <row r="11" customFormat="false" ht="15" hidden="false" customHeight="true" outlineLevel="0" collapsed="false">
      <c r="A11" s="13" t="s">
        <v>623</v>
      </c>
      <c r="B11" s="13" t="s">
        <v>624</v>
      </c>
    </row>
    <row r="12" customFormat="false" ht="15" hidden="false" customHeight="true" outlineLevel="0" collapsed="false">
      <c r="A12" s="13" t="s">
        <v>625</v>
      </c>
      <c r="B12" s="13" t="s">
        <v>626</v>
      </c>
    </row>
    <row r="13" customFormat="false" ht="15" hidden="false" customHeight="true" outlineLevel="0" collapsed="false">
      <c r="A13" s="13" t="s">
        <v>627</v>
      </c>
      <c r="B13" s="13" t="s">
        <v>741</v>
      </c>
    </row>
    <row r="14" customFormat="false" ht="15" hidden="false" customHeight="true" outlineLevel="0" collapsed="false">
      <c r="A14" s="13" t="s">
        <v>629</v>
      </c>
      <c r="B14" s="13" t="s">
        <v>630</v>
      </c>
    </row>
    <row r="15" customFormat="false" ht="15" hidden="false" customHeight="true" outlineLevel="0" collapsed="false">
      <c r="A15" s="13" t="s">
        <v>742</v>
      </c>
      <c r="B15" s="13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6"/>
    <col collapsed="false" customWidth="true" hidden="false" outlineLevel="0" max="2" min="2" style="13" width="12"/>
    <col collapsed="false" customWidth="true" hidden="false" outlineLevel="0" max="3" min="3" style="13" width="18"/>
    <col collapsed="false" customWidth="true" hidden="false" outlineLevel="0" max="4" min="4" style="13" width="12"/>
  </cols>
  <sheetData>
    <row r="1" customFormat="false" ht="15" hidden="false" customHeight="true" outlineLevel="0" collapsed="false">
      <c r="A1" s="13" t="s">
        <v>744</v>
      </c>
    </row>
    <row r="2" customFormat="false" ht="15" hidden="false" customHeight="true" outlineLevel="0" collapsed="false">
      <c r="A2" s="13" t="s">
        <v>745</v>
      </c>
    </row>
    <row r="4" customFormat="false" ht="15" hidden="false" customHeight="true" outlineLevel="0" collapsed="false">
      <c r="A4" s="13" t="s">
        <v>114</v>
      </c>
      <c r="B4" s="13" t="s">
        <v>113</v>
      </c>
      <c r="C4" s="13" t="s">
        <v>187</v>
      </c>
      <c r="D4" s="13" t="s">
        <v>373</v>
      </c>
      <c r="E4" s="13" t="s">
        <v>4</v>
      </c>
      <c r="F4" s="13" t="s">
        <v>5</v>
      </c>
      <c r="G4" s="13" t="s">
        <v>6</v>
      </c>
      <c r="H4" s="13" t="s">
        <v>633</v>
      </c>
      <c r="I4" s="13" t="s">
        <v>634</v>
      </c>
      <c r="J4" s="13" t="s">
        <v>635</v>
      </c>
      <c r="K4" s="13" t="s">
        <v>636</v>
      </c>
      <c r="L4" s="13" t="s">
        <v>637</v>
      </c>
      <c r="M4" s="13" t="s">
        <v>638</v>
      </c>
      <c r="N4" s="13" t="s">
        <v>639</v>
      </c>
      <c r="O4" s="13" t="s">
        <v>640</v>
      </c>
      <c r="P4" s="13" t="s">
        <v>641</v>
      </c>
      <c r="Q4" s="13" t="s">
        <v>642</v>
      </c>
      <c r="R4" s="13" t="s">
        <v>643</v>
      </c>
      <c r="S4" s="13" t="s">
        <v>644</v>
      </c>
      <c r="T4" s="13" t="s">
        <v>645</v>
      </c>
      <c r="U4" s="13" t="s">
        <v>646</v>
      </c>
    </row>
    <row r="5" customFormat="false" ht="15" hidden="false" customHeight="true" outlineLevel="0" collapsed="false">
      <c r="A5" s="13" t="s">
        <v>123</v>
      </c>
      <c r="B5" s="13" t="s">
        <v>647</v>
      </c>
      <c r="C5" s="13" t="s">
        <v>648</v>
      </c>
      <c r="D5" s="14" t="n">
        <v>2534</v>
      </c>
      <c r="E5" s="14" t="n">
        <v>2525</v>
      </c>
      <c r="F5" s="14" t="n">
        <v>1944</v>
      </c>
      <c r="G5" s="16" t="n">
        <v>76.99</v>
      </c>
      <c r="H5" s="14" t="n">
        <v>511</v>
      </c>
      <c r="I5" s="16" t="n">
        <v>26.29</v>
      </c>
      <c r="J5" s="14" t="n">
        <v>386</v>
      </c>
      <c r="K5" s="16" t="n">
        <v>19.86</v>
      </c>
      <c r="L5" s="14" t="n">
        <v>448</v>
      </c>
      <c r="M5" s="16" t="n">
        <v>23.05</v>
      </c>
      <c r="N5" s="14" t="n">
        <v>492</v>
      </c>
      <c r="O5" s="16" t="n">
        <v>25.31</v>
      </c>
      <c r="P5" s="14" t="n">
        <v>107</v>
      </c>
      <c r="Q5" s="16" t="n">
        <v>5.5</v>
      </c>
      <c r="R5" s="14" t="n">
        <v>0</v>
      </c>
      <c r="S5" s="16" t="n">
        <v>0</v>
      </c>
      <c r="T5" s="14" t="n">
        <v>0</v>
      </c>
      <c r="U5" s="14" t="n">
        <v>0</v>
      </c>
    </row>
    <row r="6" customFormat="false" ht="15" hidden="false" customHeight="true" outlineLevel="0" collapsed="false">
      <c r="A6" s="13" t="s">
        <v>123</v>
      </c>
      <c r="B6" s="13" t="s">
        <v>647</v>
      </c>
      <c r="C6" s="13" t="s">
        <v>649</v>
      </c>
      <c r="D6" s="14" t="n">
        <v>4495</v>
      </c>
      <c r="E6" s="14" t="n">
        <v>4446</v>
      </c>
      <c r="F6" s="14" t="n">
        <v>3566</v>
      </c>
      <c r="G6" s="16" t="n">
        <v>80.21</v>
      </c>
      <c r="H6" s="14" t="n">
        <v>816</v>
      </c>
      <c r="I6" s="16" t="n">
        <v>22.88</v>
      </c>
      <c r="J6" s="14" t="n">
        <v>805</v>
      </c>
      <c r="K6" s="16" t="n">
        <v>22.57</v>
      </c>
      <c r="L6" s="14" t="n">
        <v>955</v>
      </c>
      <c r="M6" s="16" t="n">
        <v>26.78</v>
      </c>
      <c r="N6" s="14" t="n">
        <v>816</v>
      </c>
      <c r="O6" s="16" t="n">
        <v>22.88</v>
      </c>
      <c r="P6" s="14" t="n">
        <v>173</v>
      </c>
      <c r="Q6" s="16" t="n">
        <v>4.85</v>
      </c>
      <c r="R6" s="14" t="n">
        <v>1</v>
      </c>
      <c r="S6" s="16" t="n">
        <v>0.03</v>
      </c>
      <c r="T6" s="14" t="n">
        <v>0</v>
      </c>
      <c r="U6" s="14" t="n">
        <v>0</v>
      </c>
    </row>
    <row r="7" customFormat="false" ht="15" hidden="false" customHeight="true" outlineLevel="0" collapsed="false">
      <c r="A7" s="13" t="s">
        <v>123</v>
      </c>
      <c r="B7" s="13" t="s">
        <v>647</v>
      </c>
      <c r="C7" s="13" t="s">
        <v>125</v>
      </c>
      <c r="D7" s="14" t="n">
        <v>1791</v>
      </c>
      <c r="E7" s="14" t="n">
        <v>1667</v>
      </c>
      <c r="F7" s="14" t="n">
        <v>1020</v>
      </c>
      <c r="G7" s="16" t="n">
        <v>61.19</v>
      </c>
      <c r="H7" s="14" t="n">
        <v>314</v>
      </c>
      <c r="I7" s="16" t="n">
        <v>30.78</v>
      </c>
      <c r="J7" s="14" t="n">
        <v>52</v>
      </c>
      <c r="K7" s="16" t="n">
        <v>5.1</v>
      </c>
      <c r="L7" s="14" t="n">
        <v>91</v>
      </c>
      <c r="M7" s="16" t="n">
        <v>8.92</v>
      </c>
      <c r="N7" s="14" t="n">
        <v>322</v>
      </c>
      <c r="O7" s="16" t="n">
        <v>31.57</v>
      </c>
      <c r="P7" s="14" t="n">
        <v>237</v>
      </c>
      <c r="Q7" s="16" t="n">
        <v>23.24</v>
      </c>
      <c r="R7" s="14" t="n">
        <v>4</v>
      </c>
      <c r="S7" s="16" t="n">
        <v>0.39</v>
      </c>
      <c r="T7" s="14" t="n">
        <v>37</v>
      </c>
      <c r="U7" s="14" t="n">
        <v>10</v>
      </c>
    </row>
    <row r="8" customFormat="false" ht="15" hidden="false" customHeight="true" outlineLevel="0" collapsed="false">
      <c r="A8" s="13" t="s">
        <v>123</v>
      </c>
      <c r="B8" s="13" t="s">
        <v>647</v>
      </c>
      <c r="C8" s="13" t="s">
        <v>650</v>
      </c>
      <c r="D8" s="14" t="n">
        <v>8820</v>
      </c>
      <c r="E8" s="14" t="n">
        <v>8638</v>
      </c>
      <c r="F8" s="14" t="n">
        <v>6530</v>
      </c>
      <c r="G8" s="16" t="n">
        <v>75.6</v>
      </c>
      <c r="H8" s="14" t="n">
        <v>1641</v>
      </c>
      <c r="I8" s="16" t="n">
        <v>25.13</v>
      </c>
      <c r="J8" s="14" t="n">
        <v>1243</v>
      </c>
      <c r="K8" s="16" t="n">
        <v>19.04</v>
      </c>
      <c r="L8" s="14" t="n">
        <v>1494</v>
      </c>
      <c r="M8" s="16" t="n">
        <v>22.88</v>
      </c>
      <c r="N8" s="14" t="n">
        <v>1630</v>
      </c>
      <c r="O8" s="16" t="n">
        <v>24.96</v>
      </c>
      <c r="P8" s="14" t="n">
        <v>517</v>
      </c>
      <c r="Q8" s="16" t="n">
        <v>7.92</v>
      </c>
      <c r="R8" s="14" t="n">
        <v>5</v>
      </c>
      <c r="S8" s="16" t="n">
        <v>0.08</v>
      </c>
      <c r="T8" s="14" t="n">
        <v>37</v>
      </c>
      <c r="U8" s="14" t="n">
        <v>10</v>
      </c>
    </row>
    <row r="9" customFormat="false" ht="15" hidden="false" customHeight="true" outlineLevel="0" collapsed="false">
      <c r="A9" s="13" t="s">
        <v>123</v>
      </c>
      <c r="B9" s="13" t="s">
        <v>651</v>
      </c>
      <c r="C9" s="13" t="s">
        <v>648</v>
      </c>
      <c r="D9" s="14" t="n">
        <v>10619</v>
      </c>
      <c r="E9" s="14" t="n">
        <v>10565</v>
      </c>
      <c r="F9" s="14" t="n">
        <v>8849</v>
      </c>
      <c r="G9" s="16" t="n">
        <v>83.76</v>
      </c>
      <c r="H9" s="14" t="n">
        <v>1822</v>
      </c>
      <c r="I9" s="16" t="n">
        <v>20.59</v>
      </c>
      <c r="J9" s="14" t="n">
        <v>2175</v>
      </c>
      <c r="K9" s="16" t="n">
        <v>24.58</v>
      </c>
      <c r="L9" s="14" t="n">
        <v>2777</v>
      </c>
      <c r="M9" s="16" t="n">
        <v>31.38</v>
      </c>
      <c r="N9" s="14" t="n">
        <v>1881</v>
      </c>
      <c r="O9" s="16" t="n">
        <v>21.26</v>
      </c>
      <c r="P9" s="14" t="n">
        <v>194</v>
      </c>
      <c r="Q9" s="16" t="n">
        <v>2.19</v>
      </c>
      <c r="R9" s="14" t="n">
        <v>0</v>
      </c>
      <c r="S9" s="16" t="n">
        <v>0</v>
      </c>
      <c r="T9" s="14" t="n">
        <v>0</v>
      </c>
      <c r="U9" s="14" t="n">
        <v>0</v>
      </c>
    </row>
    <row r="10" customFormat="false" ht="15" hidden="false" customHeight="true" outlineLevel="0" collapsed="false">
      <c r="A10" s="13" t="s">
        <v>123</v>
      </c>
      <c r="B10" s="13" t="s">
        <v>651</v>
      </c>
      <c r="C10" s="13" t="s">
        <v>649</v>
      </c>
      <c r="D10" s="14" t="n">
        <v>16724</v>
      </c>
      <c r="E10" s="14" t="n">
        <v>16647</v>
      </c>
      <c r="F10" s="14" t="n">
        <v>14998</v>
      </c>
      <c r="G10" s="16" t="n">
        <v>90.09</v>
      </c>
      <c r="H10" s="14" t="n">
        <v>4228</v>
      </c>
      <c r="I10" s="16" t="n">
        <v>28.19</v>
      </c>
      <c r="J10" s="14" t="n">
        <v>4159</v>
      </c>
      <c r="K10" s="16" t="n">
        <v>27.73</v>
      </c>
      <c r="L10" s="14" t="n">
        <v>4141</v>
      </c>
      <c r="M10" s="16" t="n">
        <v>27.61</v>
      </c>
      <c r="N10" s="14" t="n">
        <v>2236</v>
      </c>
      <c r="O10" s="16" t="n">
        <v>14.91</v>
      </c>
      <c r="P10" s="14" t="n">
        <v>234</v>
      </c>
      <c r="Q10" s="16" t="n">
        <v>1.56</v>
      </c>
      <c r="R10" s="14" t="n">
        <v>0</v>
      </c>
      <c r="S10" s="16" t="n">
        <v>0</v>
      </c>
      <c r="T10" s="14" t="n">
        <v>0</v>
      </c>
      <c r="U10" s="14" t="n">
        <v>0</v>
      </c>
    </row>
    <row r="11" customFormat="false" ht="15" hidden="false" customHeight="true" outlineLevel="0" collapsed="false">
      <c r="A11" s="13" t="s">
        <v>123</v>
      </c>
      <c r="B11" s="13" t="s">
        <v>651</v>
      </c>
      <c r="C11" s="13" t="s">
        <v>125</v>
      </c>
      <c r="D11" s="14" t="n">
        <v>3853</v>
      </c>
      <c r="E11" s="14" t="n">
        <v>3627</v>
      </c>
      <c r="F11" s="14" t="n">
        <v>2501</v>
      </c>
      <c r="G11" s="16" t="n">
        <v>68.96</v>
      </c>
      <c r="H11" s="14" t="n">
        <v>991</v>
      </c>
      <c r="I11" s="16" t="n">
        <v>39.62</v>
      </c>
      <c r="J11" s="14" t="n">
        <v>189</v>
      </c>
      <c r="K11" s="16" t="n">
        <v>7.56</v>
      </c>
      <c r="L11" s="14" t="n">
        <v>233</v>
      </c>
      <c r="M11" s="16" t="n">
        <v>9.32</v>
      </c>
      <c r="N11" s="14" t="n">
        <v>709</v>
      </c>
      <c r="O11" s="16" t="n">
        <v>28.35</v>
      </c>
      <c r="P11" s="14" t="n">
        <v>373</v>
      </c>
      <c r="Q11" s="16" t="n">
        <v>14.91</v>
      </c>
      <c r="R11" s="14" t="n">
        <v>6</v>
      </c>
      <c r="S11" s="16" t="n">
        <v>0.24</v>
      </c>
      <c r="T11" s="14" t="n">
        <v>46</v>
      </c>
      <c r="U11" s="14" t="n">
        <v>22</v>
      </c>
    </row>
    <row r="12" customFormat="false" ht="15" hidden="false" customHeight="true" outlineLevel="0" collapsed="false">
      <c r="A12" s="13" t="s">
        <v>123</v>
      </c>
      <c r="B12" s="13" t="s">
        <v>651</v>
      </c>
      <c r="C12" s="13" t="s">
        <v>650</v>
      </c>
      <c r="D12" s="14" t="n">
        <v>31196</v>
      </c>
      <c r="E12" s="14" t="n">
        <v>30839</v>
      </c>
      <c r="F12" s="14" t="n">
        <v>26348</v>
      </c>
      <c r="G12" s="16" t="n">
        <v>85.44</v>
      </c>
      <c r="H12" s="14" t="n">
        <v>7041</v>
      </c>
      <c r="I12" s="16" t="n">
        <v>26.72</v>
      </c>
      <c r="J12" s="14" t="n">
        <v>6523</v>
      </c>
      <c r="K12" s="16" t="n">
        <v>24.76</v>
      </c>
      <c r="L12" s="14" t="n">
        <v>7151</v>
      </c>
      <c r="M12" s="16" t="n">
        <v>27.14</v>
      </c>
      <c r="N12" s="14" t="n">
        <v>4826</v>
      </c>
      <c r="O12" s="16" t="n">
        <v>18.32</v>
      </c>
      <c r="P12" s="14" t="n">
        <v>801</v>
      </c>
      <c r="Q12" s="16" t="n">
        <v>3.04</v>
      </c>
      <c r="R12" s="14" t="n">
        <v>6</v>
      </c>
      <c r="S12" s="16" t="n">
        <v>0.02</v>
      </c>
      <c r="T12" s="14" t="n">
        <v>46</v>
      </c>
      <c r="U12" s="14" t="n">
        <v>22</v>
      </c>
    </row>
    <row r="13" customFormat="false" ht="15" hidden="false" customHeight="true" outlineLevel="0" collapsed="false">
      <c r="A13" s="13" t="s">
        <v>123</v>
      </c>
      <c r="B13" s="13" t="s">
        <v>192</v>
      </c>
      <c r="C13" s="13" t="s">
        <v>648</v>
      </c>
      <c r="D13" s="14" t="n">
        <v>13153</v>
      </c>
      <c r="E13" s="14" t="n">
        <v>13090</v>
      </c>
      <c r="F13" s="14" t="n">
        <v>10793</v>
      </c>
      <c r="G13" s="16" t="n">
        <v>82.45</v>
      </c>
      <c r="H13" s="14" t="n">
        <v>2333</v>
      </c>
      <c r="I13" s="16" t="n">
        <v>21.62</v>
      </c>
      <c r="J13" s="14" t="n">
        <v>2561</v>
      </c>
      <c r="K13" s="16" t="n">
        <v>23.73</v>
      </c>
      <c r="L13" s="14" t="n">
        <v>3225</v>
      </c>
      <c r="M13" s="16" t="n">
        <v>29.88</v>
      </c>
      <c r="N13" s="14" t="n">
        <v>2373</v>
      </c>
      <c r="O13" s="16" t="n">
        <v>21.99</v>
      </c>
      <c r="P13" s="14" t="n">
        <v>301</v>
      </c>
      <c r="Q13" s="16" t="n">
        <v>2.79</v>
      </c>
      <c r="R13" s="14" t="n">
        <v>0</v>
      </c>
      <c r="S13" s="16" t="n">
        <v>0</v>
      </c>
      <c r="T13" s="14" t="n">
        <v>0</v>
      </c>
      <c r="U13" s="14" t="n">
        <v>0</v>
      </c>
    </row>
    <row r="14" customFormat="false" ht="15" hidden="false" customHeight="true" outlineLevel="0" collapsed="false">
      <c r="A14" s="13" t="s">
        <v>123</v>
      </c>
      <c r="B14" s="13" t="s">
        <v>192</v>
      </c>
      <c r="C14" s="13" t="s">
        <v>649</v>
      </c>
      <c r="D14" s="14" t="n">
        <v>21219</v>
      </c>
      <c r="E14" s="14" t="n">
        <v>21093</v>
      </c>
      <c r="F14" s="14" t="n">
        <v>18564</v>
      </c>
      <c r="G14" s="16" t="n">
        <v>88.01</v>
      </c>
      <c r="H14" s="14" t="n">
        <v>5044</v>
      </c>
      <c r="I14" s="16" t="n">
        <v>27.17</v>
      </c>
      <c r="J14" s="14" t="n">
        <v>4964</v>
      </c>
      <c r="K14" s="16" t="n">
        <v>26.74</v>
      </c>
      <c r="L14" s="14" t="n">
        <v>5096</v>
      </c>
      <c r="M14" s="16" t="n">
        <v>27.45</v>
      </c>
      <c r="N14" s="14" t="n">
        <v>3052</v>
      </c>
      <c r="O14" s="16" t="n">
        <v>16.44</v>
      </c>
      <c r="P14" s="14" t="n">
        <v>407</v>
      </c>
      <c r="Q14" s="16" t="n">
        <v>2.19</v>
      </c>
      <c r="R14" s="14" t="n">
        <v>1</v>
      </c>
      <c r="S14" s="16" t="n">
        <v>0.01</v>
      </c>
      <c r="T14" s="14" t="n">
        <v>0</v>
      </c>
      <c r="U14" s="14" t="n">
        <v>0</v>
      </c>
    </row>
    <row r="15" customFormat="false" ht="15" hidden="false" customHeight="true" outlineLevel="0" collapsed="false">
      <c r="A15" s="13" t="s">
        <v>123</v>
      </c>
      <c r="B15" s="13" t="s">
        <v>192</v>
      </c>
      <c r="C15" s="13" t="s">
        <v>125</v>
      </c>
      <c r="D15" s="14" t="n">
        <v>5644</v>
      </c>
      <c r="E15" s="14" t="n">
        <v>5294</v>
      </c>
      <c r="F15" s="14" t="n">
        <v>3521</v>
      </c>
      <c r="G15" s="16" t="n">
        <v>66.51</v>
      </c>
      <c r="H15" s="14" t="n">
        <v>1305</v>
      </c>
      <c r="I15" s="16" t="n">
        <v>37.06</v>
      </c>
      <c r="J15" s="14" t="n">
        <v>241</v>
      </c>
      <c r="K15" s="16" t="n">
        <v>6.84</v>
      </c>
      <c r="L15" s="14" t="n">
        <v>324</v>
      </c>
      <c r="M15" s="16" t="n">
        <v>9.2</v>
      </c>
      <c r="N15" s="14" t="n">
        <v>1031</v>
      </c>
      <c r="O15" s="16" t="n">
        <v>29.28</v>
      </c>
      <c r="P15" s="14" t="n">
        <v>610</v>
      </c>
      <c r="Q15" s="16" t="n">
        <v>17.32</v>
      </c>
      <c r="R15" s="14" t="n">
        <v>10</v>
      </c>
      <c r="S15" s="16" t="n">
        <v>0.28</v>
      </c>
      <c r="T15" s="14" t="n">
        <v>83</v>
      </c>
      <c r="U15" s="14" t="n">
        <v>32</v>
      </c>
    </row>
    <row r="16" customFormat="false" ht="15" hidden="false" customHeight="true" outlineLevel="0" collapsed="false">
      <c r="A16" s="13" t="s">
        <v>123</v>
      </c>
      <c r="B16" s="13" t="s">
        <v>192</v>
      </c>
      <c r="C16" s="13" t="s">
        <v>652</v>
      </c>
      <c r="D16" s="14" t="n">
        <v>40016</v>
      </c>
      <c r="E16" s="14" t="n">
        <v>39477</v>
      </c>
      <c r="F16" s="14" t="n">
        <v>32878</v>
      </c>
      <c r="G16" s="16" t="n">
        <v>83.28</v>
      </c>
      <c r="H16" s="14" t="n">
        <v>8682</v>
      </c>
      <c r="I16" s="16" t="n">
        <v>26.41</v>
      </c>
      <c r="J16" s="14" t="n">
        <v>7766</v>
      </c>
      <c r="K16" s="16" t="n">
        <v>23.62</v>
      </c>
      <c r="L16" s="14" t="n">
        <v>8645</v>
      </c>
      <c r="M16" s="16" t="n">
        <v>26.29</v>
      </c>
      <c r="N16" s="14" t="n">
        <v>6456</v>
      </c>
      <c r="O16" s="16" t="n">
        <v>19.64</v>
      </c>
      <c r="P16" s="14" t="n">
        <v>1318</v>
      </c>
      <c r="Q16" s="16" t="n">
        <v>4.01</v>
      </c>
      <c r="R16" s="14" t="n">
        <v>11</v>
      </c>
      <c r="S16" s="16" t="n">
        <v>0.03</v>
      </c>
      <c r="T16" s="14" t="n">
        <v>83</v>
      </c>
      <c r="U16" s="14" t="n">
        <v>32</v>
      </c>
    </row>
    <row r="17" customFormat="false" ht="15" hidden="false" customHeight="true" outlineLevel="0" collapsed="false">
      <c r="A17" s="13" t="s">
        <v>126</v>
      </c>
      <c r="B17" s="13" t="s">
        <v>647</v>
      </c>
      <c r="C17" s="13" t="s">
        <v>648</v>
      </c>
      <c r="D17" s="14" t="n">
        <v>1605</v>
      </c>
      <c r="E17" s="14" t="n">
        <v>1587</v>
      </c>
      <c r="F17" s="14" t="n">
        <v>1220</v>
      </c>
      <c r="G17" s="16" t="n">
        <v>76.87</v>
      </c>
      <c r="H17" s="14" t="n">
        <v>310</v>
      </c>
      <c r="I17" s="16" t="n">
        <v>25.41</v>
      </c>
      <c r="J17" s="14" t="n">
        <v>268</v>
      </c>
      <c r="K17" s="16" t="n">
        <v>21.97</v>
      </c>
      <c r="L17" s="14" t="n">
        <v>289</v>
      </c>
      <c r="M17" s="16" t="n">
        <v>23.69</v>
      </c>
      <c r="N17" s="14" t="n">
        <v>283</v>
      </c>
      <c r="O17" s="16" t="n">
        <v>23.2</v>
      </c>
      <c r="P17" s="14" t="n">
        <v>70</v>
      </c>
      <c r="Q17" s="16" t="n">
        <v>5.74</v>
      </c>
      <c r="R17" s="14" t="n">
        <v>0</v>
      </c>
      <c r="S17" s="16" t="n">
        <v>0</v>
      </c>
      <c r="T17" s="14" t="n">
        <v>0</v>
      </c>
      <c r="U17" s="14" t="n">
        <v>0</v>
      </c>
    </row>
    <row r="18" customFormat="false" ht="15" hidden="false" customHeight="true" outlineLevel="0" collapsed="false">
      <c r="A18" s="13" t="s">
        <v>126</v>
      </c>
      <c r="B18" s="13" t="s">
        <v>647</v>
      </c>
      <c r="C18" s="13" t="s">
        <v>649</v>
      </c>
      <c r="D18" s="14" t="n">
        <v>2827</v>
      </c>
      <c r="E18" s="14" t="n">
        <v>2813</v>
      </c>
      <c r="F18" s="14" t="n">
        <v>2315</v>
      </c>
      <c r="G18" s="16" t="n">
        <v>82.3</v>
      </c>
      <c r="H18" s="14" t="n">
        <v>409</v>
      </c>
      <c r="I18" s="16" t="n">
        <v>17.67</v>
      </c>
      <c r="J18" s="14" t="n">
        <v>557</v>
      </c>
      <c r="K18" s="16" t="n">
        <v>24.06</v>
      </c>
      <c r="L18" s="14" t="n">
        <v>661</v>
      </c>
      <c r="M18" s="16" t="n">
        <v>28.55</v>
      </c>
      <c r="N18" s="14" t="n">
        <v>571</v>
      </c>
      <c r="O18" s="16" t="n">
        <v>24.67</v>
      </c>
      <c r="P18" s="14" t="n">
        <v>115</v>
      </c>
      <c r="Q18" s="16" t="n">
        <v>4.97</v>
      </c>
      <c r="R18" s="14" t="n">
        <v>2</v>
      </c>
      <c r="S18" s="16" t="n">
        <v>0.09</v>
      </c>
      <c r="T18" s="14" t="n">
        <v>0</v>
      </c>
      <c r="U18" s="14" t="n">
        <v>0</v>
      </c>
    </row>
    <row r="19" customFormat="false" ht="15" hidden="false" customHeight="true" outlineLevel="0" collapsed="false">
      <c r="A19" s="13" t="s">
        <v>126</v>
      </c>
      <c r="B19" s="13" t="s">
        <v>647</v>
      </c>
      <c r="C19" s="13" t="s">
        <v>125</v>
      </c>
      <c r="D19" s="14" t="n">
        <v>744</v>
      </c>
      <c r="E19" s="14" t="n">
        <v>679</v>
      </c>
      <c r="F19" s="14" t="n">
        <v>281</v>
      </c>
      <c r="G19" s="16" t="n">
        <v>41.38</v>
      </c>
      <c r="H19" s="14" t="n">
        <v>1</v>
      </c>
      <c r="I19" s="16" t="n">
        <v>0.36</v>
      </c>
      <c r="J19" s="14" t="n">
        <v>5</v>
      </c>
      <c r="K19" s="16" t="n">
        <v>1.78</v>
      </c>
      <c r="L19" s="14" t="n">
        <v>33</v>
      </c>
      <c r="M19" s="16" t="n">
        <v>11.74</v>
      </c>
      <c r="N19" s="14" t="n">
        <v>123</v>
      </c>
      <c r="O19" s="16" t="n">
        <v>43.77</v>
      </c>
      <c r="P19" s="14" t="n">
        <v>118</v>
      </c>
      <c r="Q19" s="16" t="n">
        <v>41.99</v>
      </c>
      <c r="R19" s="14" t="n">
        <v>1</v>
      </c>
      <c r="S19" s="16" t="n">
        <v>0.36</v>
      </c>
      <c r="T19" s="14" t="n">
        <v>52</v>
      </c>
      <c r="U19" s="14" t="n">
        <v>36</v>
      </c>
    </row>
    <row r="20" customFormat="false" ht="15" hidden="false" customHeight="true" outlineLevel="0" collapsed="false">
      <c r="A20" s="13" t="s">
        <v>126</v>
      </c>
      <c r="B20" s="13" t="s">
        <v>647</v>
      </c>
      <c r="C20" s="13" t="s">
        <v>650</v>
      </c>
      <c r="D20" s="14" t="n">
        <v>5176</v>
      </c>
      <c r="E20" s="14" t="n">
        <v>5079</v>
      </c>
      <c r="F20" s="14" t="n">
        <v>3816</v>
      </c>
      <c r="G20" s="16" t="n">
        <v>75.13</v>
      </c>
      <c r="H20" s="14" t="n">
        <v>720</v>
      </c>
      <c r="I20" s="16" t="n">
        <v>18.87</v>
      </c>
      <c r="J20" s="14" t="n">
        <v>830</v>
      </c>
      <c r="K20" s="16" t="n">
        <v>21.75</v>
      </c>
      <c r="L20" s="14" t="n">
        <v>983</v>
      </c>
      <c r="M20" s="16" t="n">
        <v>25.76</v>
      </c>
      <c r="N20" s="14" t="n">
        <v>977</v>
      </c>
      <c r="O20" s="16" t="n">
        <v>25.6</v>
      </c>
      <c r="P20" s="14" t="n">
        <v>303</v>
      </c>
      <c r="Q20" s="16" t="n">
        <v>7.94</v>
      </c>
      <c r="R20" s="14" t="n">
        <v>3</v>
      </c>
      <c r="S20" s="16" t="n">
        <v>0.08</v>
      </c>
      <c r="T20" s="14" t="n">
        <v>52</v>
      </c>
      <c r="U20" s="14" t="n">
        <v>36</v>
      </c>
    </row>
    <row r="21" customFormat="false" ht="15" hidden="false" customHeight="true" outlineLevel="0" collapsed="false">
      <c r="A21" s="13" t="s">
        <v>126</v>
      </c>
      <c r="B21" s="13" t="s">
        <v>651</v>
      </c>
      <c r="C21" s="13" t="s">
        <v>648</v>
      </c>
      <c r="D21" s="14" t="n">
        <v>1060</v>
      </c>
      <c r="E21" s="14" t="n">
        <v>1055</v>
      </c>
      <c r="F21" s="14" t="n">
        <v>918</v>
      </c>
      <c r="G21" s="16" t="n">
        <v>87.01</v>
      </c>
      <c r="H21" s="14" t="n">
        <v>207</v>
      </c>
      <c r="I21" s="16" t="n">
        <v>22.55</v>
      </c>
      <c r="J21" s="14" t="n">
        <v>223</v>
      </c>
      <c r="K21" s="16" t="n">
        <v>24.29</v>
      </c>
      <c r="L21" s="14" t="n">
        <v>302</v>
      </c>
      <c r="M21" s="16" t="n">
        <v>32.9</v>
      </c>
      <c r="N21" s="14" t="n">
        <v>177</v>
      </c>
      <c r="O21" s="16" t="n">
        <v>19.28</v>
      </c>
      <c r="P21" s="14" t="n">
        <v>9</v>
      </c>
      <c r="Q21" s="16" t="n">
        <v>0.98</v>
      </c>
      <c r="R21" s="14" t="n">
        <v>0</v>
      </c>
      <c r="S21" s="16" t="n">
        <v>0</v>
      </c>
      <c r="T21" s="14" t="n">
        <v>0</v>
      </c>
      <c r="U21" s="14" t="n">
        <v>0</v>
      </c>
    </row>
    <row r="22" customFormat="false" ht="15" hidden="false" customHeight="true" outlineLevel="0" collapsed="false">
      <c r="A22" s="13" t="s">
        <v>126</v>
      </c>
      <c r="B22" s="13" t="s">
        <v>651</v>
      </c>
      <c r="C22" s="13" t="s">
        <v>649</v>
      </c>
      <c r="D22" s="14" t="n">
        <v>1571</v>
      </c>
      <c r="E22" s="14" t="n">
        <v>1566</v>
      </c>
      <c r="F22" s="14" t="n">
        <v>1438</v>
      </c>
      <c r="G22" s="16" t="n">
        <v>91.83</v>
      </c>
      <c r="H22" s="14" t="n">
        <v>477</v>
      </c>
      <c r="I22" s="16" t="n">
        <v>33.17</v>
      </c>
      <c r="J22" s="14" t="n">
        <v>444</v>
      </c>
      <c r="K22" s="16" t="n">
        <v>30.88</v>
      </c>
      <c r="L22" s="14" t="n">
        <v>362</v>
      </c>
      <c r="M22" s="16" t="n">
        <v>25.17</v>
      </c>
      <c r="N22" s="14" t="n">
        <v>140</v>
      </c>
      <c r="O22" s="16" t="n">
        <v>9.74</v>
      </c>
      <c r="P22" s="14" t="n">
        <v>15</v>
      </c>
      <c r="Q22" s="16" t="n">
        <v>1.04</v>
      </c>
      <c r="R22" s="14" t="n">
        <v>0</v>
      </c>
      <c r="S22" s="16" t="n">
        <v>0</v>
      </c>
      <c r="T22" s="14" t="n">
        <v>0</v>
      </c>
      <c r="U22" s="14" t="n">
        <v>0</v>
      </c>
    </row>
    <row r="23" customFormat="false" ht="15" hidden="false" customHeight="true" outlineLevel="0" collapsed="false">
      <c r="A23" s="13" t="s">
        <v>126</v>
      </c>
      <c r="B23" s="13" t="s">
        <v>651</v>
      </c>
      <c r="C23" s="13" t="s">
        <v>125</v>
      </c>
      <c r="D23" s="14" t="n">
        <v>273</v>
      </c>
      <c r="E23" s="14" t="n">
        <v>258</v>
      </c>
      <c r="F23" s="14" t="n">
        <v>133</v>
      </c>
      <c r="G23" s="16" t="n">
        <v>51.55</v>
      </c>
      <c r="H23" s="14" t="n">
        <v>4</v>
      </c>
      <c r="I23" s="16" t="n">
        <v>3.01</v>
      </c>
      <c r="J23" s="14" t="n">
        <v>7</v>
      </c>
      <c r="K23" s="16" t="n">
        <v>5.26</v>
      </c>
      <c r="L23" s="14" t="n">
        <v>16</v>
      </c>
      <c r="M23" s="16" t="n">
        <v>12.03</v>
      </c>
      <c r="N23" s="14" t="n">
        <v>63</v>
      </c>
      <c r="O23" s="16" t="n">
        <v>47.37</v>
      </c>
      <c r="P23" s="14" t="n">
        <v>43</v>
      </c>
      <c r="Q23" s="16" t="n">
        <v>32.33</v>
      </c>
      <c r="R23" s="14" t="n">
        <v>0</v>
      </c>
      <c r="S23" s="16" t="n">
        <v>0</v>
      </c>
      <c r="T23" s="14" t="n">
        <v>75</v>
      </c>
      <c r="U23" s="14" t="n">
        <v>63</v>
      </c>
    </row>
    <row r="24" customFormat="false" ht="15" hidden="false" customHeight="true" outlineLevel="0" collapsed="false">
      <c r="A24" s="13" t="s">
        <v>126</v>
      </c>
      <c r="B24" s="13" t="s">
        <v>651</v>
      </c>
      <c r="C24" s="13" t="s">
        <v>650</v>
      </c>
      <c r="D24" s="14" t="n">
        <v>2904</v>
      </c>
      <c r="E24" s="14" t="n">
        <v>2879</v>
      </c>
      <c r="F24" s="14" t="n">
        <v>2489</v>
      </c>
      <c r="G24" s="16" t="n">
        <v>86.45</v>
      </c>
      <c r="H24" s="14" t="n">
        <v>688</v>
      </c>
      <c r="I24" s="16" t="n">
        <v>27.64</v>
      </c>
      <c r="J24" s="14" t="n">
        <v>674</v>
      </c>
      <c r="K24" s="16" t="n">
        <v>27.08</v>
      </c>
      <c r="L24" s="14" t="n">
        <v>680</v>
      </c>
      <c r="M24" s="16" t="n">
        <v>27.32</v>
      </c>
      <c r="N24" s="14" t="n">
        <v>380</v>
      </c>
      <c r="O24" s="16" t="n">
        <v>15.27</v>
      </c>
      <c r="P24" s="14" t="n">
        <v>67</v>
      </c>
      <c r="Q24" s="16" t="n">
        <v>2.69</v>
      </c>
      <c r="R24" s="14" t="n">
        <v>0</v>
      </c>
      <c r="S24" s="16" t="n">
        <v>0</v>
      </c>
      <c r="T24" s="14" t="n">
        <v>75</v>
      </c>
      <c r="U24" s="14" t="n">
        <v>63</v>
      </c>
    </row>
    <row r="25" customFormat="false" ht="15" hidden="false" customHeight="true" outlineLevel="0" collapsed="false">
      <c r="A25" s="13" t="s">
        <v>126</v>
      </c>
      <c r="B25" s="13" t="s">
        <v>192</v>
      </c>
      <c r="C25" s="13" t="s">
        <v>648</v>
      </c>
      <c r="D25" s="14" t="n">
        <v>2665</v>
      </c>
      <c r="E25" s="14" t="n">
        <v>2642</v>
      </c>
      <c r="F25" s="14" t="n">
        <v>2138</v>
      </c>
      <c r="G25" s="16" t="n">
        <v>80.92</v>
      </c>
      <c r="H25" s="14" t="n">
        <v>517</v>
      </c>
      <c r="I25" s="16" t="n">
        <v>24.18</v>
      </c>
      <c r="J25" s="14" t="n">
        <v>491</v>
      </c>
      <c r="K25" s="16" t="n">
        <v>22.97</v>
      </c>
      <c r="L25" s="14" t="n">
        <v>591</v>
      </c>
      <c r="M25" s="16" t="n">
        <v>27.64</v>
      </c>
      <c r="N25" s="14" t="n">
        <v>460</v>
      </c>
      <c r="O25" s="16" t="n">
        <v>21.52</v>
      </c>
      <c r="P25" s="14" t="n">
        <v>79</v>
      </c>
      <c r="Q25" s="16" t="n">
        <v>3.7</v>
      </c>
      <c r="R25" s="14" t="n">
        <v>0</v>
      </c>
      <c r="S25" s="16" t="n">
        <v>0</v>
      </c>
      <c r="T25" s="14" t="n">
        <v>0</v>
      </c>
      <c r="U25" s="14" t="n">
        <v>0</v>
      </c>
    </row>
    <row r="26" customFormat="false" ht="15" hidden="false" customHeight="true" outlineLevel="0" collapsed="false">
      <c r="A26" s="13" t="s">
        <v>126</v>
      </c>
      <c r="B26" s="13" t="s">
        <v>192</v>
      </c>
      <c r="C26" s="13" t="s">
        <v>649</v>
      </c>
      <c r="D26" s="14" t="n">
        <v>4398</v>
      </c>
      <c r="E26" s="14" t="n">
        <v>4379</v>
      </c>
      <c r="F26" s="14" t="n">
        <v>3753</v>
      </c>
      <c r="G26" s="16" t="n">
        <v>85.7</v>
      </c>
      <c r="H26" s="14" t="n">
        <v>886</v>
      </c>
      <c r="I26" s="16" t="n">
        <v>23.61</v>
      </c>
      <c r="J26" s="14" t="n">
        <v>1001</v>
      </c>
      <c r="K26" s="16" t="n">
        <v>26.67</v>
      </c>
      <c r="L26" s="14" t="n">
        <v>1023</v>
      </c>
      <c r="M26" s="16" t="n">
        <v>27.26</v>
      </c>
      <c r="N26" s="14" t="n">
        <v>711</v>
      </c>
      <c r="O26" s="16" t="n">
        <v>18.94</v>
      </c>
      <c r="P26" s="14" t="n">
        <v>130</v>
      </c>
      <c r="Q26" s="16" t="n">
        <v>3.46</v>
      </c>
      <c r="R26" s="14" t="n">
        <v>2</v>
      </c>
      <c r="S26" s="16" t="n">
        <v>0.05</v>
      </c>
      <c r="T26" s="14" t="n">
        <v>0</v>
      </c>
      <c r="U26" s="14" t="n">
        <v>0</v>
      </c>
    </row>
    <row r="27" customFormat="false" ht="15" hidden="false" customHeight="true" outlineLevel="0" collapsed="false">
      <c r="A27" s="13" t="s">
        <v>126</v>
      </c>
      <c r="B27" s="13" t="s">
        <v>192</v>
      </c>
      <c r="C27" s="13" t="s">
        <v>125</v>
      </c>
      <c r="D27" s="14" t="n">
        <v>1017</v>
      </c>
      <c r="E27" s="14" t="n">
        <v>937</v>
      </c>
      <c r="F27" s="14" t="n">
        <v>414</v>
      </c>
      <c r="G27" s="16" t="n">
        <v>44.18</v>
      </c>
      <c r="H27" s="14" t="n">
        <v>5</v>
      </c>
      <c r="I27" s="16" t="n">
        <v>1.21</v>
      </c>
      <c r="J27" s="14" t="n">
        <v>12</v>
      </c>
      <c r="K27" s="16" t="n">
        <v>2.9</v>
      </c>
      <c r="L27" s="14" t="n">
        <v>49</v>
      </c>
      <c r="M27" s="16" t="n">
        <v>11.84</v>
      </c>
      <c r="N27" s="14" t="n">
        <v>186</v>
      </c>
      <c r="O27" s="16" t="n">
        <v>44.93</v>
      </c>
      <c r="P27" s="14" t="n">
        <v>161</v>
      </c>
      <c r="Q27" s="16" t="n">
        <v>38.89</v>
      </c>
      <c r="R27" s="14" t="n">
        <v>1</v>
      </c>
      <c r="S27" s="16" t="n">
        <v>0.24</v>
      </c>
      <c r="T27" s="14" t="n">
        <v>127</v>
      </c>
      <c r="U27" s="14" t="n">
        <v>99</v>
      </c>
    </row>
    <row r="28" customFormat="false" ht="15" hidden="false" customHeight="true" outlineLevel="0" collapsed="false">
      <c r="A28" s="13" t="s">
        <v>126</v>
      </c>
      <c r="B28" s="13" t="s">
        <v>192</v>
      </c>
      <c r="C28" s="13" t="s">
        <v>652</v>
      </c>
      <c r="D28" s="14" t="n">
        <v>8080</v>
      </c>
      <c r="E28" s="14" t="n">
        <v>7958</v>
      </c>
      <c r="F28" s="14" t="n">
        <v>6305</v>
      </c>
      <c r="G28" s="16" t="n">
        <v>79.23</v>
      </c>
      <c r="H28" s="14" t="n">
        <v>1408</v>
      </c>
      <c r="I28" s="16" t="n">
        <v>22.33</v>
      </c>
      <c r="J28" s="14" t="n">
        <v>1504</v>
      </c>
      <c r="K28" s="16" t="n">
        <v>23.85</v>
      </c>
      <c r="L28" s="14" t="n">
        <v>1663</v>
      </c>
      <c r="M28" s="16" t="n">
        <v>26.38</v>
      </c>
      <c r="N28" s="14" t="n">
        <v>1357</v>
      </c>
      <c r="O28" s="16" t="n">
        <v>21.52</v>
      </c>
      <c r="P28" s="14" t="n">
        <v>370</v>
      </c>
      <c r="Q28" s="16" t="n">
        <v>5.87</v>
      </c>
      <c r="R28" s="14" t="n">
        <v>3</v>
      </c>
      <c r="S28" s="16" t="n">
        <v>0.05</v>
      </c>
      <c r="T28" s="14" t="n">
        <v>127</v>
      </c>
      <c r="U28" s="14" t="n">
        <v>99</v>
      </c>
    </row>
    <row r="29" customFormat="false" ht="15" hidden="false" customHeight="true" outlineLevel="0" collapsed="false">
      <c r="A29" s="13" t="s">
        <v>202</v>
      </c>
      <c r="B29" s="13" t="s">
        <v>647</v>
      </c>
      <c r="C29" s="13" t="s">
        <v>648</v>
      </c>
      <c r="D29" s="14" t="n">
        <v>10942</v>
      </c>
      <c r="E29" s="14" t="n">
        <v>10865</v>
      </c>
      <c r="F29" s="14" t="n">
        <v>5820</v>
      </c>
      <c r="G29" s="16" t="n">
        <v>53.57</v>
      </c>
      <c r="H29" s="14" t="n">
        <v>490</v>
      </c>
      <c r="I29" s="16" t="n">
        <v>8.42</v>
      </c>
      <c r="J29" s="14" t="n">
        <v>883</v>
      </c>
      <c r="K29" s="16" t="n">
        <v>15.17</v>
      </c>
      <c r="L29" s="14" t="n">
        <v>1686</v>
      </c>
      <c r="M29" s="16" t="n">
        <v>28.97</v>
      </c>
      <c r="N29" s="14" t="n">
        <v>2037</v>
      </c>
      <c r="O29" s="16" t="n">
        <v>35</v>
      </c>
      <c r="P29" s="14" t="n">
        <v>719</v>
      </c>
      <c r="Q29" s="16" t="n">
        <v>12.35</v>
      </c>
      <c r="R29" s="14" t="n">
        <v>5</v>
      </c>
      <c r="S29" s="16" t="n">
        <v>0.09</v>
      </c>
      <c r="T29" s="14" t="n">
        <v>0</v>
      </c>
      <c r="U29" s="14" t="n">
        <v>0</v>
      </c>
    </row>
    <row r="30" customFormat="false" ht="15" hidden="false" customHeight="true" outlineLevel="0" collapsed="false">
      <c r="A30" s="13" t="s">
        <v>202</v>
      </c>
      <c r="B30" s="13" t="s">
        <v>647</v>
      </c>
      <c r="C30" s="13" t="s">
        <v>649</v>
      </c>
      <c r="D30" s="14" t="n">
        <v>18568</v>
      </c>
      <c r="E30" s="14" t="n">
        <v>18335</v>
      </c>
      <c r="F30" s="14" t="n">
        <v>11771</v>
      </c>
      <c r="G30" s="16" t="n">
        <v>64.2</v>
      </c>
      <c r="H30" s="14" t="n">
        <v>1038</v>
      </c>
      <c r="I30" s="16" t="n">
        <v>8.82</v>
      </c>
      <c r="J30" s="14" t="n">
        <v>2126</v>
      </c>
      <c r="K30" s="16" t="n">
        <v>18.06</v>
      </c>
      <c r="L30" s="14" t="n">
        <v>3419</v>
      </c>
      <c r="M30" s="16" t="n">
        <v>29.05</v>
      </c>
      <c r="N30" s="14" t="n">
        <v>3958</v>
      </c>
      <c r="O30" s="16" t="n">
        <v>33.63</v>
      </c>
      <c r="P30" s="14" t="n">
        <v>1216</v>
      </c>
      <c r="Q30" s="16" t="n">
        <v>10.33</v>
      </c>
      <c r="R30" s="14" t="n">
        <v>14</v>
      </c>
      <c r="S30" s="16" t="n">
        <v>0.12</v>
      </c>
      <c r="T30" s="14" t="n">
        <v>0</v>
      </c>
      <c r="U30" s="14" t="n">
        <v>0</v>
      </c>
    </row>
    <row r="31" customFormat="false" ht="15" hidden="false" customHeight="true" outlineLevel="0" collapsed="false">
      <c r="A31" s="13" t="s">
        <v>202</v>
      </c>
      <c r="B31" s="13" t="s">
        <v>647</v>
      </c>
      <c r="C31" s="13" t="s">
        <v>125</v>
      </c>
      <c r="D31" s="14" t="n">
        <v>7021</v>
      </c>
      <c r="E31" s="14" t="n">
        <v>6725</v>
      </c>
      <c r="F31" s="14" t="n">
        <v>2179</v>
      </c>
      <c r="G31" s="16" t="n">
        <v>32.4</v>
      </c>
      <c r="H31" s="14" t="n">
        <v>4</v>
      </c>
      <c r="I31" s="16" t="n">
        <v>0.18</v>
      </c>
      <c r="J31" s="14" t="n">
        <v>13</v>
      </c>
      <c r="K31" s="16" t="n">
        <v>0.6</v>
      </c>
      <c r="L31" s="14" t="n">
        <v>80</v>
      </c>
      <c r="M31" s="16" t="n">
        <v>3.67</v>
      </c>
      <c r="N31" s="14" t="n">
        <v>818</v>
      </c>
      <c r="O31" s="16" t="n">
        <v>37.54</v>
      </c>
      <c r="P31" s="14" t="n">
        <v>1228</v>
      </c>
      <c r="Q31" s="16" t="n">
        <v>56.36</v>
      </c>
      <c r="R31" s="14" t="n">
        <v>36</v>
      </c>
      <c r="S31" s="16" t="n">
        <v>1.65</v>
      </c>
      <c r="T31" s="14" t="n">
        <v>9</v>
      </c>
      <c r="U31" s="14" t="n">
        <v>4</v>
      </c>
    </row>
    <row r="32" customFormat="false" ht="15" hidden="false" customHeight="true" outlineLevel="0" collapsed="false">
      <c r="A32" s="13" t="s">
        <v>202</v>
      </c>
      <c r="B32" s="13" t="s">
        <v>647</v>
      </c>
      <c r="C32" s="13" t="s">
        <v>650</v>
      </c>
      <c r="D32" s="14" t="n">
        <v>36531</v>
      </c>
      <c r="E32" s="14" t="n">
        <v>35925</v>
      </c>
      <c r="F32" s="14" t="n">
        <v>19770</v>
      </c>
      <c r="G32" s="16" t="n">
        <v>55.03</v>
      </c>
      <c r="H32" s="14" t="n">
        <v>1532</v>
      </c>
      <c r="I32" s="16" t="n">
        <v>7.75</v>
      </c>
      <c r="J32" s="14" t="n">
        <v>3022</v>
      </c>
      <c r="K32" s="16" t="n">
        <v>15.29</v>
      </c>
      <c r="L32" s="14" t="n">
        <v>5185</v>
      </c>
      <c r="M32" s="16" t="n">
        <v>26.23</v>
      </c>
      <c r="N32" s="14" t="n">
        <v>6813</v>
      </c>
      <c r="O32" s="16" t="n">
        <v>34.46</v>
      </c>
      <c r="P32" s="14" t="n">
        <v>3163</v>
      </c>
      <c r="Q32" s="16" t="n">
        <v>16</v>
      </c>
      <c r="R32" s="14" t="n">
        <v>55</v>
      </c>
      <c r="S32" s="16" t="n">
        <v>0.28</v>
      </c>
      <c r="T32" s="14" t="n">
        <v>9</v>
      </c>
      <c r="U32" s="14" t="n">
        <v>4</v>
      </c>
    </row>
    <row r="33" customFormat="false" ht="15" hidden="false" customHeight="true" outlineLevel="0" collapsed="false">
      <c r="A33" s="13" t="s">
        <v>202</v>
      </c>
      <c r="B33" s="13" t="s">
        <v>651</v>
      </c>
      <c r="C33" s="13" t="s">
        <v>648</v>
      </c>
      <c r="D33" s="14" t="n">
        <v>12906</v>
      </c>
      <c r="E33" s="14" t="n">
        <v>12846</v>
      </c>
      <c r="F33" s="14" t="n">
        <v>9161</v>
      </c>
      <c r="G33" s="16" t="n">
        <v>71.31</v>
      </c>
      <c r="H33" s="14" t="n">
        <v>776</v>
      </c>
      <c r="I33" s="16" t="n">
        <v>8.47</v>
      </c>
      <c r="J33" s="14" t="n">
        <v>1859</v>
      </c>
      <c r="K33" s="16" t="n">
        <v>20.29</v>
      </c>
      <c r="L33" s="14" t="n">
        <v>3423</v>
      </c>
      <c r="M33" s="16" t="n">
        <v>37.36</v>
      </c>
      <c r="N33" s="14" t="n">
        <v>2750</v>
      </c>
      <c r="O33" s="16" t="n">
        <v>30.02</v>
      </c>
      <c r="P33" s="14" t="n">
        <v>353</v>
      </c>
      <c r="Q33" s="16" t="n">
        <v>3.85</v>
      </c>
      <c r="R33" s="14" t="n">
        <v>0</v>
      </c>
      <c r="S33" s="16" t="n">
        <v>0</v>
      </c>
      <c r="T33" s="14" t="n">
        <v>0</v>
      </c>
      <c r="U33" s="14" t="n">
        <v>0</v>
      </c>
    </row>
    <row r="34" customFormat="false" ht="15" hidden="false" customHeight="true" outlineLevel="0" collapsed="false">
      <c r="A34" s="13" t="s">
        <v>202</v>
      </c>
      <c r="B34" s="13" t="s">
        <v>651</v>
      </c>
      <c r="C34" s="13" t="s">
        <v>649</v>
      </c>
      <c r="D34" s="14" t="n">
        <v>15463</v>
      </c>
      <c r="E34" s="14" t="n">
        <v>15364</v>
      </c>
      <c r="F34" s="14" t="n">
        <v>12297</v>
      </c>
      <c r="G34" s="16" t="n">
        <v>80.04</v>
      </c>
      <c r="H34" s="14" t="n">
        <v>1797</v>
      </c>
      <c r="I34" s="16" t="n">
        <v>14.61</v>
      </c>
      <c r="J34" s="14" t="n">
        <v>3220</v>
      </c>
      <c r="K34" s="16" t="n">
        <v>26.19</v>
      </c>
      <c r="L34" s="14" t="n">
        <v>4295</v>
      </c>
      <c r="M34" s="16" t="n">
        <v>34.93</v>
      </c>
      <c r="N34" s="14" t="n">
        <v>2643</v>
      </c>
      <c r="O34" s="16" t="n">
        <v>21.49</v>
      </c>
      <c r="P34" s="14" t="n">
        <v>340</v>
      </c>
      <c r="Q34" s="16" t="n">
        <v>2.76</v>
      </c>
      <c r="R34" s="14" t="n">
        <v>2</v>
      </c>
      <c r="S34" s="16" t="n">
        <v>0.02</v>
      </c>
      <c r="T34" s="14" t="n">
        <v>0</v>
      </c>
      <c r="U34" s="14" t="n">
        <v>0</v>
      </c>
    </row>
    <row r="35" customFormat="false" ht="15" hidden="false" customHeight="true" outlineLevel="0" collapsed="false">
      <c r="A35" s="13" t="s">
        <v>202</v>
      </c>
      <c r="B35" s="13" t="s">
        <v>651</v>
      </c>
      <c r="C35" s="13" t="s">
        <v>125</v>
      </c>
      <c r="D35" s="14" t="n">
        <v>3055</v>
      </c>
      <c r="E35" s="14" t="n">
        <v>2979</v>
      </c>
      <c r="F35" s="14" t="n">
        <v>1191</v>
      </c>
      <c r="G35" s="16" t="n">
        <v>39.98</v>
      </c>
      <c r="H35" s="14" t="n">
        <v>4</v>
      </c>
      <c r="I35" s="16" t="n">
        <v>0.34</v>
      </c>
      <c r="J35" s="14" t="n">
        <v>26</v>
      </c>
      <c r="K35" s="16" t="n">
        <v>2.18</v>
      </c>
      <c r="L35" s="14" t="n">
        <v>134</v>
      </c>
      <c r="M35" s="16" t="n">
        <v>11.25</v>
      </c>
      <c r="N35" s="14" t="n">
        <v>662</v>
      </c>
      <c r="O35" s="16" t="n">
        <v>55.58</v>
      </c>
      <c r="P35" s="14" t="n">
        <v>360</v>
      </c>
      <c r="Q35" s="16" t="n">
        <v>30.23</v>
      </c>
      <c r="R35" s="14" t="n">
        <v>5</v>
      </c>
      <c r="S35" s="16" t="n">
        <v>0.42</v>
      </c>
      <c r="T35" s="14" t="n">
        <v>8</v>
      </c>
      <c r="U35" s="14" t="n">
        <v>3</v>
      </c>
    </row>
    <row r="36" customFormat="false" ht="15" hidden="false" customHeight="true" outlineLevel="0" collapsed="false">
      <c r="A36" s="13" t="s">
        <v>202</v>
      </c>
      <c r="B36" s="13" t="s">
        <v>651</v>
      </c>
      <c r="C36" s="13" t="s">
        <v>650</v>
      </c>
      <c r="D36" s="14" t="n">
        <v>31424</v>
      </c>
      <c r="E36" s="14" t="n">
        <v>31189</v>
      </c>
      <c r="F36" s="14" t="n">
        <v>22649</v>
      </c>
      <c r="G36" s="16" t="n">
        <v>72.62</v>
      </c>
      <c r="H36" s="14" t="n">
        <v>2577</v>
      </c>
      <c r="I36" s="16" t="n">
        <v>11.38</v>
      </c>
      <c r="J36" s="14" t="n">
        <v>5105</v>
      </c>
      <c r="K36" s="16" t="n">
        <v>22.54</v>
      </c>
      <c r="L36" s="14" t="n">
        <v>7852</v>
      </c>
      <c r="M36" s="16" t="n">
        <v>34.67</v>
      </c>
      <c r="N36" s="14" t="n">
        <v>6055</v>
      </c>
      <c r="O36" s="16" t="n">
        <v>26.73</v>
      </c>
      <c r="P36" s="14" t="n">
        <v>1053</v>
      </c>
      <c r="Q36" s="16" t="n">
        <v>4.65</v>
      </c>
      <c r="R36" s="14" t="n">
        <v>7</v>
      </c>
      <c r="S36" s="16" t="n">
        <v>0.03</v>
      </c>
      <c r="T36" s="14" t="n">
        <v>8</v>
      </c>
      <c r="U36" s="14" t="n">
        <v>3</v>
      </c>
    </row>
    <row r="37" customFormat="false" ht="15" hidden="false" customHeight="true" outlineLevel="0" collapsed="false">
      <c r="A37" s="13" t="s">
        <v>202</v>
      </c>
      <c r="B37" s="13" t="s">
        <v>192</v>
      </c>
      <c r="C37" s="13" t="s">
        <v>648</v>
      </c>
      <c r="D37" s="14" t="n">
        <v>23848</v>
      </c>
      <c r="E37" s="14" t="n">
        <v>23711</v>
      </c>
      <c r="F37" s="14" t="n">
        <v>14981</v>
      </c>
      <c r="G37" s="16" t="n">
        <v>63.18</v>
      </c>
      <c r="H37" s="14" t="n">
        <v>1266</v>
      </c>
      <c r="I37" s="16" t="n">
        <v>8.45</v>
      </c>
      <c r="J37" s="14" t="n">
        <v>2742</v>
      </c>
      <c r="K37" s="16" t="n">
        <v>18.3</v>
      </c>
      <c r="L37" s="14" t="n">
        <v>5109</v>
      </c>
      <c r="M37" s="16" t="n">
        <v>34.1</v>
      </c>
      <c r="N37" s="14" t="n">
        <v>4787</v>
      </c>
      <c r="O37" s="16" t="n">
        <v>31.95</v>
      </c>
      <c r="P37" s="14" t="n">
        <v>1072</v>
      </c>
      <c r="Q37" s="16" t="n">
        <v>7.16</v>
      </c>
      <c r="R37" s="14" t="n">
        <v>5</v>
      </c>
      <c r="S37" s="16" t="n">
        <v>0.03</v>
      </c>
      <c r="T37" s="14" t="n">
        <v>0</v>
      </c>
      <c r="U37" s="14" t="n">
        <v>0</v>
      </c>
    </row>
    <row r="38" customFormat="false" ht="15" hidden="false" customHeight="true" outlineLevel="0" collapsed="false">
      <c r="A38" s="13" t="s">
        <v>202</v>
      </c>
      <c r="B38" s="13" t="s">
        <v>192</v>
      </c>
      <c r="C38" s="13" t="s">
        <v>649</v>
      </c>
      <c r="D38" s="14" t="n">
        <v>34031</v>
      </c>
      <c r="E38" s="14" t="n">
        <v>33699</v>
      </c>
      <c r="F38" s="14" t="n">
        <v>24068</v>
      </c>
      <c r="G38" s="16" t="n">
        <v>71.42</v>
      </c>
      <c r="H38" s="14" t="n">
        <v>2835</v>
      </c>
      <c r="I38" s="16" t="n">
        <v>11.78</v>
      </c>
      <c r="J38" s="14" t="n">
        <v>5346</v>
      </c>
      <c r="K38" s="16" t="n">
        <v>22.21</v>
      </c>
      <c r="L38" s="14" t="n">
        <v>7714</v>
      </c>
      <c r="M38" s="16" t="n">
        <v>32.05</v>
      </c>
      <c r="N38" s="14" t="n">
        <v>6601</v>
      </c>
      <c r="O38" s="16" t="n">
        <v>27.43</v>
      </c>
      <c r="P38" s="14" t="n">
        <v>1556</v>
      </c>
      <c r="Q38" s="16" t="n">
        <v>6.47</v>
      </c>
      <c r="R38" s="14" t="n">
        <v>16</v>
      </c>
      <c r="S38" s="16" t="n">
        <v>0.07</v>
      </c>
      <c r="T38" s="14" t="n">
        <v>0</v>
      </c>
      <c r="U38" s="14" t="n">
        <v>0</v>
      </c>
    </row>
    <row r="39" customFormat="false" ht="15" hidden="false" customHeight="true" outlineLevel="0" collapsed="false">
      <c r="A39" s="13" t="s">
        <v>202</v>
      </c>
      <c r="B39" s="13" t="s">
        <v>192</v>
      </c>
      <c r="C39" s="13" t="s">
        <v>125</v>
      </c>
      <c r="D39" s="14" t="n">
        <v>10076</v>
      </c>
      <c r="E39" s="14" t="n">
        <v>9704</v>
      </c>
      <c r="F39" s="14" t="n">
        <v>3370</v>
      </c>
      <c r="G39" s="16" t="n">
        <v>34.73</v>
      </c>
      <c r="H39" s="14" t="n">
        <v>8</v>
      </c>
      <c r="I39" s="16" t="n">
        <v>0.24</v>
      </c>
      <c r="J39" s="14" t="n">
        <v>39</v>
      </c>
      <c r="K39" s="16" t="n">
        <v>1.16</v>
      </c>
      <c r="L39" s="14" t="n">
        <v>214</v>
      </c>
      <c r="M39" s="16" t="n">
        <v>6.35</v>
      </c>
      <c r="N39" s="14" t="n">
        <v>1480</v>
      </c>
      <c r="O39" s="16" t="n">
        <v>43.92</v>
      </c>
      <c r="P39" s="14" t="n">
        <v>1588</v>
      </c>
      <c r="Q39" s="16" t="n">
        <v>47.12</v>
      </c>
      <c r="R39" s="14" t="n">
        <v>41</v>
      </c>
      <c r="S39" s="16" t="n">
        <v>1.22</v>
      </c>
      <c r="T39" s="14" t="n">
        <v>17</v>
      </c>
      <c r="U39" s="14" t="n">
        <v>7</v>
      </c>
    </row>
    <row r="40" customFormat="false" ht="15" hidden="false" customHeight="true" outlineLevel="0" collapsed="false">
      <c r="A40" s="13" t="s">
        <v>202</v>
      </c>
      <c r="B40" s="13" t="s">
        <v>192</v>
      </c>
      <c r="C40" s="13" t="s">
        <v>652</v>
      </c>
      <c r="D40" s="14" t="n">
        <v>67955</v>
      </c>
      <c r="E40" s="14" t="n">
        <v>67114</v>
      </c>
      <c r="F40" s="14" t="n">
        <v>42419</v>
      </c>
      <c r="G40" s="16" t="n">
        <v>63.2</v>
      </c>
      <c r="H40" s="14" t="n">
        <v>4109</v>
      </c>
      <c r="I40" s="16" t="n">
        <v>9.69</v>
      </c>
      <c r="J40" s="14" t="n">
        <v>8127</v>
      </c>
      <c r="K40" s="16" t="n">
        <v>19.16</v>
      </c>
      <c r="L40" s="14" t="n">
        <v>13037</v>
      </c>
      <c r="M40" s="16" t="n">
        <v>30.73</v>
      </c>
      <c r="N40" s="14" t="n">
        <v>12868</v>
      </c>
      <c r="O40" s="16" t="n">
        <v>30.34</v>
      </c>
      <c r="P40" s="14" t="n">
        <v>4216</v>
      </c>
      <c r="Q40" s="16" t="n">
        <v>9.94</v>
      </c>
      <c r="R40" s="14" t="n">
        <v>62</v>
      </c>
      <c r="S40" s="16" t="n">
        <v>0.15</v>
      </c>
      <c r="T40" s="14" t="n">
        <v>17</v>
      </c>
      <c r="U40" s="14" t="n">
        <v>7</v>
      </c>
    </row>
    <row r="41" customFormat="false" ht="15" hidden="false" customHeight="true" outlineLevel="0" collapsed="false">
      <c r="A41" s="13" t="s">
        <v>203</v>
      </c>
      <c r="B41" s="13" t="s">
        <v>647</v>
      </c>
      <c r="C41" s="13" t="s">
        <v>648</v>
      </c>
      <c r="D41" s="14" t="n">
        <v>1350</v>
      </c>
      <c r="E41" s="14" t="n">
        <v>1337</v>
      </c>
      <c r="F41" s="14" t="n">
        <v>885</v>
      </c>
      <c r="G41" s="16" t="n">
        <v>66.19</v>
      </c>
      <c r="H41" s="14" t="n">
        <v>25</v>
      </c>
      <c r="I41" s="16" t="n">
        <v>2.82</v>
      </c>
      <c r="J41" s="14" t="n">
        <v>85</v>
      </c>
      <c r="K41" s="16" t="n">
        <v>9.6</v>
      </c>
      <c r="L41" s="14" t="n">
        <v>199</v>
      </c>
      <c r="M41" s="16" t="n">
        <v>22.49</v>
      </c>
      <c r="N41" s="14" t="n">
        <v>350</v>
      </c>
      <c r="O41" s="16" t="n">
        <v>39.55</v>
      </c>
      <c r="P41" s="14" t="n">
        <v>216</v>
      </c>
      <c r="Q41" s="16" t="n">
        <v>24.41</v>
      </c>
      <c r="R41" s="14" t="n">
        <v>10</v>
      </c>
      <c r="S41" s="16" t="n">
        <v>1.13</v>
      </c>
      <c r="T41" s="14" t="n">
        <v>0</v>
      </c>
      <c r="U41" s="14" t="n">
        <v>0</v>
      </c>
    </row>
    <row r="42" customFormat="false" ht="15" hidden="false" customHeight="true" outlineLevel="0" collapsed="false">
      <c r="A42" s="13" t="s">
        <v>203</v>
      </c>
      <c r="B42" s="13" t="s">
        <v>647</v>
      </c>
      <c r="C42" s="13" t="s">
        <v>649</v>
      </c>
      <c r="D42" s="14" t="n">
        <v>1536</v>
      </c>
      <c r="E42" s="14" t="n">
        <v>1524</v>
      </c>
      <c r="F42" s="14" t="n">
        <v>1170</v>
      </c>
      <c r="G42" s="16" t="n">
        <v>76.77</v>
      </c>
      <c r="H42" s="14" t="n">
        <v>37</v>
      </c>
      <c r="I42" s="16" t="n">
        <v>3.16</v>
      </c>
      <c r="J42" s="14" t="n">
        <v>121</v>
      </c>
      <c r="K42" s="16" t="n">
        <v>10.34</v>
      </c>
      <c r="L42" s="14" t="n">
        <v>312</v>
      </c>
      <c r="M42" s="16" t="n">
        <v>26.67</v>
      </c>
      <c r="N42" s="14" t="n">
        <v>423</v>
      </c>
      <c r="O42" s="16" t="n">
        <v>36.15</v>
      </c>
      <c r="P42" s="14" t="n">
        <v>264</v>
      </c>
      <c r="Q42" s="16" t="n">
        <v>22.56</v>
      </c>
      <c r="R42" s="14" t="n">
        <v>13</v>
      </c>
      <c r="S42" s="16" t="n">
        <v>1.11</v>
      </c>
      <c r="T42" s="14" t="n">
        <v>0</v>
      </c>
      <c r="U42" s="14" t="n">
        <v>0</v>
      </c>
    </row>
    <row r="43" customFormat="false" ht="15" hidden="false" customHeight="true" outlineLevel="0" collapsed="false">
      <c r="A43" s="13" t="s">
        <v>203</v>
      </c>
      <c r="B43" s="13" t="s">
        <v>647</v>
      </c>
      <c r="C43" s="13" t="s">
        <v>125</v>
      </c>
      <c r="D43" s="14" t="n">
        <v>2958</v>
      </c>
      <c r="E43" s="14" t="n">
        <v>2842</v>
      </c>
      <c r="F43" s="14" t="n">
        <v>1310</v>
      </c>
      <c r="G43" s="16" t="n">
        <v>46.09</v>
      </c>
      <c r="H43" s="14" t="n">
        <v>10</v>
      </c>
      <c r="I43" s="16" t="n">
        <v>0.76</v>
      </c>
      <c r="J43" s="14" t="n">
        <v>47</v>
      </c>
      <c r="K43" s="16" t="n">
        <v>3.59</v>
      </c>
      <c r="L43" s="14" t="n">
        <v>141</v>
      </c>
      <c r="M43" s="16" t="n">
        <v>10.76</v>
      </c>
      <c r="N43" s="14" t="n">
        <v>386</v>
      </c>
      <c r="O43" s="16" t="n">
        <v>29.47</v>
      </c>
      <c r="P43" s="14" t="n">
        <v>624</v>
      </c>
      <c r="Q43" s="16" t="n">
        <v>47.63</v>
      </c>
      <c r="R43" s="14" t="n">
        <v>102</v>
      </c>
      <c r="S43" s="16" t="n">
        <v>7.79</v>
      </c>
      <c r="T43" s="14" t="n">
        <v>2</v>
      </c>
      <c r="U43" s="14" t="n">
        <v>2</v>
      </c>
    </row>
    <row r="44" customFormat="false" ht="15" hidden="false" customHeight="true" outlineLevel="0" collapsed="false">
      <c r="A44" s="13" t="s">
        <v>203</v>
      </c>
      <c r="B44" s="13" t="s">
        <v>647</v>
      </c>
      <c r="C44" s="13" t="s">
        <v>650</v>
      </c>
      <c r="D44" s="14" t="n">
        <v>5844</v>
      </c>
      <c r="E44" s="14" t="n">
        <v>5703</v>
      </c>
      <c r="F44" s="14" t="n">
        <v>3365</v>
      </c>
      <c r="G44" s="16" t="n">
        <v>59</v>
      </c>
      <c r="H44" s="14" t="n">
        <v>72</v>
      </c>
      <c r="I44" s="16" t="n">
        <v>2.14</v>
      </c>
      <c r="J44" s="14" t="n">
        <v>253</v>
      </c>
      <c r="K44" s="16" t="n">
        <v>7.52</v>
      </c>
      <c r="L44" s="14" t="n">
        <v>652</v>
      </c>
      <c r="M44" s="16" t="n">
        <v>19.38</v>
      </c>
      <c r="N44" s="14" t="n">
        <v>1159</v>
      </c>
      <c r="O44" s="16" t="n">
        <v>34.44</v>
      </c>
      <c r="P44" s="14" t="n">
        <v>1104</v>
      </c>
      <c r="Q44" s="16" t="n">
        <v>32.81</v>
      </c>
      <c r="R44" s="14" t="n">
        <v>125</v>
      </c>
      <c r="S44" s="16" t="n">
        <v>3.71</v>
      </c>
      <c r="T44" s="14" t="n">
        <v>2</v>
      </c>
      <c r="U44" s="14" t="n">
        <v>2</v>
      </c>
    </row>
    <row r="45" customFormat="false" ht="15" hidden="false" customHeight="true" outlineLevel="0" collapsed="false">
      <c r="A45" s="13" t="s">
        <v>203</v>
      </c>
      <c r="B45" s="13" t="s">
        <v>651</v>
      </c>
      <c r="C45" s="13" t="s">
        <v>648</v>
      </c>
      <c r="D45" s="14" t="n">
        <v>1762</v>
      </c>
      <c r="E45" s="14" t="n">
        <v>1754</v>
      </c>
      <c r="F45" s="14" t="n">
        <v>1419</v>
      </c>
      <c r="G45" s="16" t="n">
        <v>80.9</v>
      </c>
      <c r="H45" s="14" t="n">
        <v>37</v>
      </c>
      <c r="I45" s="16" t="n">
        <v>2.61</v>
      </c>
      <c r="J45" s="14" t="n">
        <v>215</v>
      </c>
      <c r="K45" s="16" t="n">
        <v>15.15</v>
      </c>
      <c r="L45" s="14" t="n">
        <v>463</v>
      </c>
      <c r="M45" s="16" t="n">
        <v>32.63</v>
      </c>
      <c r="N45" s="14" t="n">
        <v>533</v>
      </c>
      <c r="O45" s="16" t="n">
        <v>37.56</v>
      </c>
      <c r="P45" s="14" t="n">
        <v>171</v>
      </c>
      <c r="Q45" s="16" t="n">
        <v>12.05</v>
      </c>
      <c r="R45" s="14" t="n">
        <v>0</v>
      </c>
      <c r="S45" s="16" t="n">
        <v>0</v>
      </c>
      <c r="T45" s="14" t="n">
        <v>0</v>
      </c>
      <c r="U45" s="14" t="n">
        <v>0</v>
      </c>
    </row>
    <row r="46" customFormat="false" ht="15" hidden="false" customHeight="true" outlineLevel="0" collapsed="false">
      <c r="A46" s="13" t="s">
        <v>203</v>
      </c>
      <c r="B46" s="13" t="s">
        <v>651</v>
      </c>
      <c r="C46" s="13" t="s">
        <v>649</v>
      </c>
      <c r="D46" s="14" t="n">
        <v>1498</v>
      </c>
      <c r="E46" s="14" t="n">
        <v>1488</v>
      </c>
      <c r="F46" s="14" t="n">
        <v>1338</v>
      </c>
      <c r="G46" s="16" t="n">
        <v>89.92</v>
      </c>
      <c r="H46" s="14" t="n">
        <v>106</v>
      </c>
      <c r="I46" s="16" t="n">
        <v>7.92</v>
      </c>
      <c r="J46" s="14" t="n">
        <v>319</v>
      </c>
      <c r="K46" s="16" t="n">
        <v>23.84</v>
      </c>
      <c r="L46" s="14" t="n">
        <v>484</v>
      </c>
      <c r="M46" s="16" t="n">
        <v>36.17</v>
      </c>
      <c r="N46" s="14" t="n">
        <v>349</v>
      </c>
      <c r="O46" s="16" t="n">
        <v>26.08</v>
      </c>
      <c r="P46" s="14" t="n">
        <v>78</v>
      </c>
      <c r="Q46" s="16" t="n">
        <v>5.83</v>
      </c>
      <c r="R46" s="14" t="n">
        <v>2</v>
      </c>
      <c r="S46" s="16" t="n">
        <v>0.15</v>
      </c>
      <c r="T46" s="14" t="n">
        <v>0</v>
      </c>
      <c r="U46" s="14" t="n">
        <v>0</v>
      </c>
    </row>
    <row r="47" customFormat="false" ht="15" hidden="false" customHeight="true" outlineLevel="0" collapsed="false">
      <c r="A47" s="13" t="s">
        <v>203</v>
      </c>
      <c r="B47" s="13" t="s">
        <v>651</v>
      </c>
      <c r="C47" s="13" t="s">
        <v>125</v>
      </c>
      <c r="D47" s="14" t="n">
        <v>2339</v>
      </c>
      <c r="E47" s="14" t="n">
        <v>2286</v>
      </c>
      <c r="F47" s="14" t="n">
        <v>1430</v>
      </c>
      <c r="G47" s="16" t="n">
        <v>62.55</v>
      </c>
      <c r="H47" s="14" t="n">
        <v>23</v>
      </c>
      <c r="I47" s="16" t="n">
        <v>1.61</v>
      </c>
      <c r="J47" s="14" t="n">
        <v>166</v>
      </c>
      <c r="K47" s="16" t="n">
        <v>11.61</v>
      </c>
      <c r="L47" s="14" t="n">
        <v>365</v>
      </c>
      <c r="M47" s="16" t="n">
        <v>25.52</v>
      </c>
      <c r="N47" s="14" t="n">
        <v>504</v>
      </c>
      <c r="O47" s="16" t="n">
        <v>35.24</v>
      </c>
      <c r="P47" s="14" t="n">
        <v>353</v>
      </c>
      <c r="Q47" s="16" t="n">
        <v>24.69</v>
      </c>
      <c r="R47" s="14" t="n">
        <v>19</v>
      </c>
      <c r="S47" s="16" t="n">
        <v>1.33</v>
      </c>
      <c r="T47" s="14" t="n">
        <v>3</v>
      </c>
      <c r="U47" s="14" t="n">
        <v>1</v>
      </c>
    </row>
    <row r="48" customFormat="false" ht="15" hidden="false" customHeight="true" outlineLevel="0" collapsed="false">
      <c r="A48" s="13" t="s">
        <v>203</v>
      </c>
      <c r="B48" s="13" t="s">
        <v>651</v>
      </c>
      <c r="C48" s="13" t="s">
        <v>650</v>
      </c>
      <c r="D48" s="14" t="n">
        <v>5599</v>
      </c>
      <c r="E48" s="14" t="n">
        <v>5528</v>
      </c>
      <c r="F48" s="14" t="n">
        <v>4187</v>
      </c>
      <c r="G48" s="16" t="n">
        <v>75.74</v>
      </c>
      <c r="H48" s="14" t="n">
        <v>166</v>
      </c>
      <c r="I48" s="16" t="n">
        <v>3.96</v>
      </c>
      <c r="J48" s="14" t="n">
        <v>700</v>
      </c>
      <c r="K48" s="16" t="n">
        <v>16.72</v>
      </c>
      <c r="L48" s="14" t="n">
        <v>1312</v>
      </c>
      <c r="M48" s="16" t="n">
        <v>31.34</v>
      </c>
      <c r="N48" s="14" t="n">
        <v>1386</v>
      </c>
      <c r="O48" s="16" t="n">
        <v>33.1</v>
      </c>
      <c r="P48" s="14" t="n">
        <v>602</v>
      </c>
      <c r="Q48" s="16" t="n">
        <v>14.38</v>
      </c>
      <c r="R48" s="14" t="n">
        <v>21</v>
      </c>
      <c r="S48" s="16" t="n">
        <v>0.5</v>
      </c>
      <c r="T48" s="14" t="n">
        <v>3</v>
      </c>
      <c r="U48" s="14" t="n">
        <v>1</v>
      </c>
    </row>
    <row r="49" customFormat="false" ht="15" hidden="false" customHeight="true" outlineLevel="0" collapsed="false">
      <c r="A49" s="13" t="s">
        <v>203</v>
      </c>
      <c r="B49" s="13" t="s">
        <v>192</v>
      </c>
      <c r="C49" s="13" t="s">
        <v>648</v>
      </c>
      <c r="D49" s="14" t="n">
        <v>3112</v>
      </c>
      <c r="E49" s="14" t="n">
        <v>3091</v>
      </c>
      <c r="F49" s="14" t="n">
        <v>2304</v>
      </c>
      <c r="G49" s="16" t="n">
        <v>74.54</v>
      </c>
      <c r="H49" s="14" t="n">
        <v>62</v>
      </c>
      <c r="I49" s="16" t="n">
        <v>2.69</v>
      </c>
      <c r="J49" s="14" t="n">
        <v>300</v>
      </c>
      <c r="K49" s="16" t="n">
        <v>13.02</v>
      </c>
      <c r="L49" s="14" t="n">
        <v>662</v>
      </c>
      <c r="M49" s="16" t="n">
        <v>28.73</v>
      </c>
      <c r="N49" s="14" t="n">
        <v>883</v>
      </c>
      <c r="O49" s="16" t="n">
        <v>38.32</v>
      </c>
      <c r="P49" s="14" t="n">
        <v>387</v>
      </c>
      <c r="Q49" s="16" t="n">
        <v>16.8</v>
      </c>
      <c r="R49" s="14" t="n">
        <v>10</v>
      </c>
      <c r="S49" s="16" t="n">
        <v>0.43</v>
      </c>
      <c r="T49" s="14" t="n">
        <v>0</v>
      </c>
      <c r="U49" s="14" t="n">
        <v>0</v>
      </c>
    </row>
    <row r="50" customFormat="false" ht="15" hidden="false" customHeight="true" outlineLevel="0" collapsed="false">
      <c r="A50" s="13" t="s">
        <v>203</v>
      </c>
      <c r="B50" s="13" t="s">
        <v>192</v>
      </c>
      <c r="C50" s="13" t="s">
        <v>649</v>
      </c>
      <c r="D50" s="14" t="n">
        <v>3034</v>
      </c>
      <c r="E50" s="14" t="n">
        <v>3012</v>
      </c>
      <c r="F50" s="14" t="n">
        <v>2508</v>
      </c>
      <c r="G50" s="16" t="n">
        <v>83.27</v>
      </c>
      <c r="H50" s="14" t="n">
        <v>143</v>
      </c>
      <c r="I50" s="16" t="n">
        <v>5.7</v>
      </c>
      <c r="J50" s="14" t="n">
        <v>440</v>
      </c>
      <c r="K50" s="16" t="n">
        <v>17.54</v>
      </c>
      <c r="L50" s="14" t="n">
        <v>796</v>
      </c>
      <c r="M50" s="16" t="n">
        <v>31.74</v>
      </c>
      <c r="N50" s="14" t="n">
        <v>772</v>
      </c>
      <c r="O50" s="16" t="n">
        <v>30.78</v>
      </c>
      <c r="P50" s="14" t="n">
        <v>342</v>
      </c>
      <c r="Q50" s="16" t="n">
        <v>13.64</v>
      </c>
      <c r="R50" s="14" t="n">
        <v>15</v>
      </c>
      <c r="S50" s="16" t="n">
        <v>0.6</v>
      </c>
      <c r="T50" s="14" t="n">
        <v>0</v>
      </c>
      <c r="U50" s="14" t="n">
        <v>0</v>
      </c>
    </row>
    <row r="51" customFormat="false" ht="15" hidden="false" customHeight="true" outlineLevel="0" collapsed="false">
      <c r="A51" s="13" t="s">
        <v>203</v>
      </c>
      <c r="B51" s="13" t="s">
        <v>192</v>
      </c>
      <c r="C51" s="13" t="s">
        <v>125</v>
      </c>
      <c r="D51" s="14" t="n">
        <v>5297</v>
      </c>
      <c r="E51" s="14" t="n">
        <v>5128</v>
      </c>
      <c r="F51" s="14" t="n">
        <v>2740</v>
      </c>
      <c r="G51" s="16" t="n">
        <v>53.43</v>
      </c>
      <c r="H51" s="14" t="n">
        <v>33</v>
      </c>
      <c r="I51" s="16" t="n">
        <v>1.2</v>
      </c>
      <c r="J51" s="14" t="n">
        <v>213</v>
      </c>
      <c r="K51" s="16" t="n">
        <v>7.77</v>
      </c>
      <c r="L51" s="14" t="n">
        <v>506</v>
      </c>
      <c r="M51" s="16" t="n">
        <v>18.47</v>
      </c>
      <c r="N51" s="14" t="n">
        <v>890</v>
      </c>
      <c r="O51" s="16" t="n">
        <v>32.48</v>
      </c>
      <c r="P51" s="14" t="n">
        <v>977</v>
      </c>
      <c r="Q51" s="16" t="n">
        <v>35.66</v>
      </c>
      <c r="R51" s="14" t="n">
        <v>121</v>
      </c>
      <c r="S51" s="16" t="n">
        <v>4.42</v>
      </c>
      <c r="T51" s="14" t="n">
        <v>5</v>
      </c>
      <c r="U51" s="14" t="n">
        <v>3</v>
      </c>
    </row>
    <row r="52" customFormat="false" ht="15" hidden="false" customHeight="true" outlineLevel="0" collapsed="false">
      <c r="A52" s="13" t="s">
        <v>203</v>
      </c>
      <c r="B52" s="13" t="s">
        <v>192</v>
      </c>
      <c r="C52" s="13" t="s">
        <v>652</v>
      </c>
      <c r="D52" s="14" t="n">
        <v>11443</v>
      </c>
      <c r="E52" s="14" t="n">
        <v>11231</v>
      </c>
      <c r="F52" s="14" t="n">
        <v>7552</v>
      </c>
      <c r="G52" s="16" t="n">
        <v>67.24</v>
      </c>
      <c r="H52" s="14" t="n">
        <v>238</v>
      </c>
      <c r="I52" s="16" t="n">
        <v>3.15</v>
      </c>
      <c r="J52" s="14" t="n">
        <v>953</v>
      </c>
      <c r="K52" s="16" t="n">
        <v>12.62</v>
      </c>
      <c r="L52" s="14" t="n">
        <v>1964</v>
      </c>
      <c r="M52" s="16" t="n">
        <v>26.01</v>
      </c>
      <c r="N52" s="14" t="n">
        <v>2545</v>
      </c>
      <c r="O52" s="16" t="n">
        <v>33.7</v>
      </c>
      <c r="P52" s="14" t="n">
        <v>1706</v>
      </c>
      <c r="Q52" s="16" t="n">
        <v>22.59</v>
      </c>
      <c r="R52" s="14" t="n">
        <v>146</v>
      </c>
      <c r="S52" s="16" t="n">
        <v>1.93</v>
      </c>
      <c r="T52" s="14" t="n">
        <v>5</v>
      </c>
      <c r="U52" s="14" t="n">
        <v>3</v>
      </c>
    </row>
    <row r="53" customFormat="false" ht="15" hidden="false" customHeight="true" outlineLevel="0" collapsed="false">
      <c r="A53" s="13" t="s">
        <v>653</v>
      </c>
      <c r="B53" s="13" t="s">
        <v>647</v>
      </c>
      <c r="C53" s="13" t="s">
        <v>648</v>
      </c>
      <c r="D53" s="14" t="n">
        <v>5756</v>
      </c>
      <c r="E53" s="14" t="n">
        <v>5680</v>
      </c>
      <c r="F53" s="14" t="n">
        <v>1846</v>
      </c>
      <c r="G53" s="16" t="n">
        <v>32.5</v>
      </c>
      <c r="H53" s="14" t="n">
        <v>33</v>
      </c>
      <c r="I53" s="16" t="n">
        <v>1.79</v>
      </c>
      <c r="J53" s="14" t="n">
        <v>179</v>
      </c>
      <c r="K53" s="16" t="n">
        <v>9.7</v>
      </c>
      <c r="L53" s="14" t="n">
        <v>451</v>
      </c>
      <c r="M53" s="16" t="n">
        <v>24.43</v>
      </c>
      <c r="N53" s="14" t="n">
        <v>725</v>
      </c>
      <c r="O53" s="16" t="n">
        <v>39.27</v>
      </c>
      <c r="P53" s="14" t="n">
        <v>436</v>
      </c>
      <c r="Q53" s="16" t="n">
        <v>23.62</v>
      </c>
      <c r="R53" s="14" t="n">
        <v>22</v>
      </c>
      <c r="S53" s="16" t="n">
        <v>1.19</v>
      </c>
      <c r="T53" s="14" t="n">
        <v>0</v>
      </c>
      <c r="U53" s="14" t="n">
        <v>0</v>
      </c>
    </row>
    <row r="54" customFormat="false" ht="15" hidden="false" customHeight="true" outlineLevel="0" collapsed="false">
      <c r="A54" s="13" t="s">
        <v>653</v>
      </c>
      <c r="B54" s="13" t="s">
        <v>647</v>
      </c>
      <c r="C54" s="13" t="s">
        <v>649</v>
      </c>
      <c r="D54" s="14" t="n">
        <v>4770</v>
      </c>
      <c r="E54" s="14" t="n">
        <v>4612</v>
      </c>
      <c r="F54" s="14" t="n">
        <v>1950</v>
      </c>
      <c r="G54" s="16" t="n">
        <v>42.28</v>
      </c>
      <c r="H54" s="14" t="n">
        <v>17</v>
      </c>
      <c r="I54" s="16" t="n">
        <v>0.87</v>
      </c>
      <c r="J54" s="14" t="n">
        <v>122</v>
      </c>
      <c r="K54" s="16" t="n">
        <v>6.26</v>
      </c>
      <c r="L54" s="14" t="n">
        <v>452</v>
      </c>
      <c r="M54" s="16" t="n">
        <v>23.18</v>
      </c>
      <c r="N54" s="14" t="n">
        <v>817</v>
      </c>
      <c r="O54" s="16" t="n">
        <v>41.9</v>
      </c>
      <c r="P54" s="14" t="n">
        <v>521</v>
      </c>
      <c r="Q54" s="16" t="n">
        <v>26.72</v>
      </c>
      <c r="R54" s="14" t="n">
        <v>21</v>
      </c>
      <c r="S54" s="16" t="n">
        <v>1.08</v>
      </c>
      <c r="T54" s="14" t="n">
        <v>0</v>
      </c>
      <c r="U54" s="14" t="n">
        <v>0</v>
      </c>
    </row>
    <row r="55" customFormat="false" ht="15" hidden="false" customHeight="true" outlineLevel="0" collapsed="false">
      <c r="A55" s="13" t="s">
        <v>653</v>
      </c>
      <c r="B55" s="13" t="s">
        <v>647</v>
      </c>
      <c r="C55" s="13" t="s">
        <v>125</v>
      </c>
      <c r="D55" s="14" t="n">
        <v>15454</v>
      </c>
      <c r="E55" s="14" t="n">
        <v>14454</v>
      </c>
      <c r="F55" s="14" t="n">
        <v>3970</v>
      </c>
      <c r="G55" s="16" t="n">
        <v>27.47</v>
      </c>
      <c r="H55" s="14" t="n">
        <v>19</v>
      </c>
      <c r="I55" s="16" t="n">
        <v>0.48</v>
      </c>
      <c r="J55" s="14" t="n">
        <v>150</v>
      </c>
      <c r="K55" s="16" t="n">
        <v>3.78</v>
      </c>
      <c r="L55" s="14" t="n">
        <v>553</v>
      </c>
      <c r="M55" s="16" t="n">
        <v>13.93</v>
      </c>
      <c r="N55" s="14" t="n">
        <v>1308</v>
      </c>
      <c r="O55" s="16" t="n">
        <v>32.95</v>
      </c>
      <c r="P55" s="14" t="n">
        <v>1659</v>
      </c>
      <c r="Q55" s="16" t="n">
        <v>41.79</v>
      </c>
      <c r="R55" s="14" t="n">
        <v>281</v>
      </c>
      <c r="S55" s="16" t="n">
        <v>7.08</v>
      </c>
      <c r="T55" s="14" t="n">
        <v>143</v>
      </c>
      <c r="U55" s="14" t="n">
        <v>61</v>
      </c>
    </row>
    <row r="56" customFormat="false" ht="15" hidden="false" customHeight="true" outlineLevel="0" collapsed="false">
      <c r="A56" s="13" t="s">
        <v>653</v>
      </c>
      <c r="B56" s="13" t="s">
        <v>647</v>
      </c>
      <c r="C56" s="13" t="s">
        <v>650</v>
      </c>
      <c r="D56" s="14" t="n">
        <v>25980</v>
      </c>
      <c r="E56" s="14" t="n">
        <v>24746</v>
      </c>
      <c r="F56" s="14" t="n">
        <v>7766</v>
      </c>
      <c r="G56" s="16" t="n">
        <v>31.38</v>
      </c>
      <c r="H56" s="14" t="n">
        <v>69</v>
      </c>
      <c r="I56" s="16" t="n">
        <v>0.89</v>
      </c>
      <c r="J56" s="14" t="n">
        <v>451</v>
      </c>
      <c r="K56" s="16" t="n">
        <v>5.81</v>
      </c>
      <c r="L56" s="14" t="n">
        <v>1456</v>
      </c>
      <c r="M56" s="16" t="n">
        <v>18.75</v>
      </c>
      <c r="N56" s="14" t="n">
        <v>2850</v>
      </c>
      <c r="O56" s="16" t="n">
        <v>36.7</v>
      </c>
      <c r="P56" s="14" t="n">
        <v>2616</v>
      </c>
      <c r="Q56" s="16" t="n">
        <v>33.69</v>
      </c>
      <c r="R56" s="14" t="n">
        <v>324</v>
      </c>
      <c r="S56" s="16" t="n">
        <v>4.17</v>
      </c>
      <c r="T56" s="14" t="n">
        <v>143</v>
      </c>
      <c r="U56" s="14" t="n">
        <v>61</v>
      </c>
    </row>
    <row r="57" customFormat="false" ht="15" hidden="false" customHeight="true" outlineLevel="0" collapsed="false">
      <c r="A57" s="13" t="s">
        <v>653</v>
      </c>
      <c r="B57" s="13" t="s">
        <v>651</v>
      </c>
      <c r="C57" s="13" t="s">
        <v>648</v>
      </c>
      <c r="D57" s="14" t="n">
        <v>15564</v>
      </c>
      <c r="E57" s="14" t="n">
        <v>15468</v>
      </c>
      <c r="F57" s="14" t="n">
        <v>11234</v>
      </c>
      <c r="G57" s="16" t="n">
        <v>72.63</v>
      </c>
      <c r="H57" s="14" t="n">
        <v>261</v>
      </c>
      <c r="I57" s="16" t="n">
        <v>2.32</v>
      </c>
      <c r="J57" s="14" t="n">
        <v>1741</v>
      </c>
      <c r="K57" s="16" t="n">
        <v>15.5</v>
      </c>
      <c r="L57" s="14" t="n">
        <v>4195</v>
      </c>
      <c r="M57" s="16" t="n">
        <v>37.34</v>
      </c>
      <c r="N57" s="14" t="n">
        <v>3972</v>
      </c>
      <c r="O57" s="16" t="n">
        <v>35.36</v>
      </c>
      <c r="P57" s="14" t="n">
        <v>1047</v>
      </c>
      <c r="Q57" s="16" t="n">
        <v>9.32</v>
      </c>
      <c r="R57" s="14" t="n">
        <v>18</v>
      </c>
      <c r="S57" s="16" t="n">
        <v>0.16</v>
      </c>
      <c r="T57" s="14" t="n">
        <v>0</v>
      </c>
      <c r="U57" s="14" t="n">
        <v>0</v>
      </c>
    </row>
    <row r="58" customFormat="false" ht="15" hidden="false" customHeight="true" outlineLevel="0" collapsed="false">
      <c r="A58" s="13" t="s">
        <v>653</v>
      </c>
      <c r="B58" s="13" t="s">
        <v>651</v>
      </c>
      <c r="C58" s="13" t="s">
        <v>649</v>
      </c>
      <c r="D58" s="14" t="n">
        <v>6087</v>
      </c>
      <c r="E58" s="14" t="n">
        <v>6006</v>
      </c>
      <c r="F58" s="14" t="n">
        <v>4609</v>
      </c>
      <c r="G58" s="16" t="n">
        <v>76.74</v>
      </c>
      <c r="H58" s="14" t="n">
        <v>193</v>
      </c>
      <c r="I58" s="16" t="n">
        <v>4.19</v>
      </c>
      <c r="J58" s="14" t="n">
        <v>909</v>
      </c>
      <c r="K58" s="16" t="n">
        <v>19.72</v>
      </c>
      <c r="L58" s="14" t="n">
        <v>1680</v>
      </c>
      <c r="M58" s="16" t="n">
        <v>36.45</v>
      </c>
      <c r="N58" s="14" t="n">
        <v>1457</v>
      </c>
      <c r="O58" s="16" t="n">
        <v>31.61</v>
      </c>
      <c r="P58" s="14" t="n">
        <v>364</v>
      </c>
      <c r="Q58" s="16" t="n">
        <v>7.9</v>
      </c>
      <c r="R58" s="14" t="n">
        <v>6</v>
      </c>
      <c r="S58" s="16" t="n">
        <v>0.13</v>
      </c>
      <c r="T58" s="14" t="n">
        <v>0</v>
      </c>
      <c r="U58" s="14" t="n">
        <v>0</v>
      </c>
    </row>
    <row r="59" customFormat="false" ht="15" hidden="false" customHeight="true" outlineLevel="0" collapsed="false">
      <c r="A59" s="13" t="s">
        <v>653</v>
      </c>
      <c r="B59" s="13" t="s">
        <v>651</v>
      </c>
      <c r="C59" s="13" t="s">
        <v>125</v>
      </c>
      <c r="D59" s="14" t="n">
        <v>17322</v>
      </c>
      <c r="E59" s="14" t="n">
        <v>16942</v>
      </c>
      <c r="F59" s="14" t="n">
        <v>10074</v>
      </c>
      <c r="G59" s="16" t="n">
        <v>59.46</v>
      </c>
      <c r="H59" s="14" t="n">
        <v>133</v>
      </c>
      <c r="I59" s="16" t="n">
        <v>1.32</v>
      </c>
      <c r="J59" s="14" t="n">
        <v>1084</v>
      </c>
      <c r="K59" s="16" t="n">
        <v>10.76</v>
      </c>
      <c r="L59" s="14" t="n">
        <v>2964</v>
      </c>
      <c r="M59" s="16" t="n">
        <v>29.42</v>
      </c>
      <c r="N59" s="14" t="n">
        <v>3606</v>
      </c>
      <c r="O59" s="16" t="n">
        <v>35.8</v>
      </c>
      <c r="P59" s="14" t="n">
        <v>2116</v>
      </c>
      <c r="Q59" s="16" t="n">
        <v>21</v>
      </c>
      <c r="R59" s="14" t="n">
        <v>171</v>
      </c>
      <c r="S59" s="16" t="n">
        <v>1.7</v>
      </c>
      <c r="T59" s="14" t="n">
        <v>56</v>
      </c>
      <c r="U59" s="14" t="n">
        <v>21</v>
      </c>
    </row>
    <row r="60" customFormat="false" ht="15" hidden="false" customHeight="true" outlineLevel="0" collapsed="false">
      <c r="A60" s="13" t="s">
        <v>653</v>
      </c>
      <c r="B60" s="13" t="s">
        <v>651</v>
      </c>
      <c r="C60" s="13" t="s">
        <v>650</v>
      </c>
      <c r="D60" s="14" t="n">
        <v>38973</v>
      </c>
      <c r="E60" s="14" t="n">
        <v>38416</v>
      </c>
      <c r="F60" s="14" t="n">
        <v>25917</v>
      </c>
      <c r="G60" s="16" t="n">
        <v>67.46</v>
      </c>
      <c r="H60" s="14" t="n">
        <v>587</v>
      </c>
      <c r="I60" s="16" t="n">
        <v>2.26</v>
      </c>
      <c r="J60" s="14" t="n">
        <v>3734</v>
      </c>
      <c r="K60" s="16" t="n">
        <v>14.41</v>
      </c>
      <c r="L60" s="14" t="n">
        <v>8839</v>
      </c>
      <c r="M60" s="16" t="n">
        <v>34.11</v>
      </c>
      <c r="N60" s="14" t="n">
        <v>9035</v>
      </c>
      <c r="O60" s="16" t="n">
        <v>34.86</v>
      </c>
      <c r="P60" s="14" t="n">
        <v>3527</v>
      </c>
      <c r="Q60" s="16" t="n">
        <v>13.61</v>
      </c>
      <c r="R60" s="14" t="n">
        <v>195</v>
      </c>
      <c r="S60" s="16" t="n">
        <v>0.75</v>
      </c>
      <c r="T60" s="14" t="n">
        <v>56</v>
      </c>
      <c r="U60" s="14" t="n">
        <v>21</v>
      </c>
    </row>
    <row r="61" customFormat="false" ht="15" hidden="false" customHeight="true" outlineLevel="0" collapsed="false">
      <c r="A61" s="13" t="s">
        <v>653</v>
      </c>
      <c r="B61" s="13" t="s">
        <v>192</v>
      </c>
      <c r="C61" s="13" t="s">
        <v>648</v>
      </c>
      <c r="D61" s="14" t="n">
        <v>21320</v>
      </c>
      <c r="E61" s="14" t="n">
        <v>21148</v>
      </c>
      <c r="F61" s="14" t="n">
        <v>13080</v>
      </c>
      <c r="G61" s="16" t="n">
        <v>61.85</v>
      </c>
      <c r="H61" s="14" t="n">
        <v>294</v>
      </c>
      <c r="I61" s="16" t="n">
        <v>2.25</v>
      </c>
      <c r="J61" s="14" t="n">
        <v>1920</v>
      </c>
      <c r="K61" s="16" t="n">
        <v>14.68</v>
      </c>
      <c r="L61" s="14" t="n">
        <v>4646</v>
      </c>
      <c r="M61" s="16" t="n">
        <v>35.52</v>
      </c>
      <c r="N61" s="14" t="n">
        <v>4697</v>
      </c>
      <c r="O61" s="16" t="n">
        <v>35.91</v>
      </c>
      <c r="P61" s="14" t="n">
        <v>1483</v>
      </c>
      <c r="Q61" s="16" t="n">
        <v>11.34</v>
      </c>
      <c r="R61" s="14" t="n">
        <v>40</v>
      </c>
      <c r="S61" s="16" t="n">
        <v>0.31</v>
      </c>
      <c r="T61" s="14" t="n">
        <v>0</v>
      </c>
      <c r="U61" s="14" t="n">
        <v>0</v>
      </c>
    </row>
    <row r="62" customFormat="false" ht="15" hidden="false" customHeight="true" outlineLevel="0" collapsed="false">
      <c r="A62" s="13" t="s">
        <v>653</v>
      </c>
      <c r="B62" s="13" t="s">
        <v>192</v>
      </c>
      <c r="C62" s="13" t="s">
        <v>649</v>
      </c>
      <c r="D62" s="14" t="n">
        <v>10857</v>
      </c>
      <c r="E62" s="14" t="n">
        <v>10618</v>
      </c>
      <c r="F62" s="14" t="n">
        <v>6559</v>
      </c>
      <c r="G62" s="16" t="n">
        <v>61.77</v>
      </c>
      <c r="H62" s="14" t="n">
        <v>210</v>
      </c>
      <c r="I62" s="16" t="n">
        <v>3.2</v>
      </c>
      <c r="J62" s="14" t="n">
        <v>1031</v>
      </c>
      <c r="K62" s="16" t="n">
        <v>15.72</v>
      </c>
      <c r="L62" s="14" t="n">
        <v>2132</v>
      </c>
      <c r="M62" s="16" t="n">
        <v>32.5</v>
      </c>
      <c r="N62" s="14" t="n">
        <v>2274</v>
      </c>
      <c r="O62" s="16" t="n">
        <v>34.67</v>
      </c>
      <c r="P62" s="14" t="n">
        <v>885</v>
      </c>
      <c r="Q62" s="16" t="n">
        <v>13.49</v>
      </c>
      <c r="R62" s="14" t="n">
        <v>27</v>
      </c>
      <c r="S62" s="16" t="n">
        <v>0.41</v>
      </c>
      <c r="T62" s="14" t="n">
        <v>0</v>
      </c>
      <c r="U62" s="14" t="n">
        <v>0</v>
      </c>
    </row>
    <row r="63" customFormat="false" ht="15" hidden="false" customHeight="true" outlineLevel="0" collapsed="false">
      <c r="A63" s="13" t="s">
        <v>653</v>
      </c>
      <c r="B63" s="13" t="s">
        <v>192</v>
      </c>
      <c r="C63" s="13" t="s">
        <v>125</v>
      </c>
      <c r="D63" s="14" t="n">
        <v>32776</v>
      </c>
      <c r="E63" s="14" t="n">
        <v>31396</v>
      </c>
      <c r="F63" s="14" t="n">
        <v>14044</v>
      </c>
      <c r="G63" s="16" t="n">
        <v>44.73</v>
      </c>
      <c r="H63" s="14" t="n">
        <v>152</v>
      </c>
      <c r="I63" s="16" t="n">
        <v>1.08</v>
      </c>
      <c r="J63" s="14" t="n">
        <v>1234</v>
      </c>
      <c r="K63" s="16" t="n">
        <v>8.79</v>
      </c>
      <c r="L63" s="14" t="n">
        <v>3517</v>
      </c>
      <c r="M63" s="16" t="n">
        <v>25.04</v>
      </c>
      <c r="N63" s="14" t="n">
        <v>4914</v>
      </c>
      <c r="O63" s="16" t="n">
        <v>34.99</v>
      </c>
      <c r="P63" s="14" t="n">
        <v>3775</v>
      </c>
      <c r="Q63" s="16" t="n">
        <v>26.88</v>
      </c>
      <c r="R63" s="14" t="n">
        <v>452</v>
      </c>
      <c r="S63" s="16" t="n">
        <v>3.22</v>
      </c>
      <c r="T63" s="14" t="n">
        <v>199</v>
      </c>
      <c r="U63" s="14" t="n">
        <v>82</v>
      </c>
    </row>
    <row r="64" customFormat="false" ht="15" hidden="false" customHeight="true" outlineLevel="0" collapsed="false">
      <c r="A64" s="13" t="s">
        <v>653</v>
      </c>
      <c r="B64" s="13" t="s">
        <v>192</v>
      </c>
      <c r="C64" s="13" t="s">
        <v>652</v>
      </c>
      <c r="D64" s="14" t="n">
        <v>64953</v>
      </c>
      <c r="E64" s="14" t="n">
        <v>63162</v>
      </c>
      <c r="F64" s="14" t="n">
        <v>33683</v>
      </c>
      <c r="G64" s="16" t="n">
        <v>53.33</v>
      </c>
      <c r="H64" s="14" t="n">
        <v>656</v>
      </c>
      <c r="I64" s="16" t="n">
        <v>1.95</v>
      </c>
      <c r="J64" s="14" t="n">
        <v>4185</v>
      </c>
      <c r="K64" s="16" t="n">
        <v>12.42</v>
      </c>
      <c r="L64" s="14" t="n">
        <v>10295</v>
      </c>
      <c r="M64" s="16" t="n">
        <v>30.56</v>
      </c>
      <c r="N64" s="14" t="n">
        <v>11885</v>
      </c>
      <c r="O64" s="16" t="n">
        <v>35.28</v>
      </c>
      <c r="P64" s="14" t="n">
        <v>6143</v>
      </c>
      <c r="Q64" s="16" t="n">
        <v>18.24</v>
      </c>
      <c r="R64" s="14" t="n">
        <v>519</v>
      </c>
      <c r="S64" s="16" t="n">
        <v>1.54</v>
      </c>
      <c r="T64" s="14" t="n">
        <v>199</v>
      </c>
      <c r="U64" s="14" t="n">
        <v>82</v>
      </c>
    </row>
    <row r="65" customFormat="false" ht="15" hidden="false" customHeight="true" outlineLevel="0" collapsed="false">
      <c r="A65" s="13" t="s">
        <v>654</v>
      </c>
      <c r="B65" s="13" t="s">
        <v>647</v>
      </c>
      <c r="C65" s="13" t="s">
        <v>648</v>
      </c>
      <c r="D65" s="14" t="n">
        <v>22187</v>
      </c>
      <c r="E65" s="14" t="n">
        <v>21994</v>
      </c>
      <c r="F65" s="14" t="n">
        <v>11715</v>
      </c>
      <c r="G65" s="16" t="n">
        <v>53.26</v>
      </c>
      <c r="H65" s="14" t="n">
        <v>1369</v>
      </c>
      <c r="I65" s="16" t="n">
        <v>11.69</v>
      </c>
      <c r="J65" s="14" t="n">
        <v>1801</v>
      </c>
      <c r="K65" s="16" t="n">
        <v>15.37</v>
      </c>
      <c r="L65" s="14" t="n">
        <v>3073</v>
      </c>
      <c r="M65" s="16" t="n">
        <v>26.23</v>
      </c>
      <c r="N65" s="14" t="n">
        <v>3887</v>
      </c>
      <c r="O65" s="16" t="n">
        <v>33.18</v>
      </c>
      <c r="P65" s="14" t="n">
        <v>1548</v>
      </c>
      <c r="Q65" s="16" t="n">
        <v>13.21</v>
      </c>
      <c r="R65" s="14" t="n">
        <v>37</v>
      </c>
      <c r="S65" s="16" t="n">
        <v>0.32</v>
      </c>
      <c r="T65" s="14" t="n">
        <v>0</v>
      </c>
      <c r="U65" s="14" t="n">
        <v>0</v>
      </c>
    </row>
    <row r="66" customFormat="false" ht="15" hidden="false" customHeight="true" outlineLevel="0" collapsed="false">
      <c r="A66" s="13" t="s">
        <v>654</v>
      </c>
      <c r="B66" s="13" t="s">
        <v>647</v>
      </c>
      <c r="C66" s="13" t="s">
        <v>649</v>
      </c>
      <c r="D66" s="14" t="n">
        <v>32196</v>
      </c>
      <c r="E66" s="14" t="n">
        <v>31730</v>
      </c>
      <c r="F66" s="14" t="n">
        <v>20772</v>
      </c>
      <c r="G66" s="16" t="n">
        <v>65.46</v>
      </c>
      <c r="H66" s="14" t="n">
        <v>2317</v>
      </c>
      <c r="I66" s="16" t="n">
        <v>11.15</v>
      </c>
      <c r="J66" s="14" t="n">
        <v>3731</v>
      </c>
      <c r="K66" s="16" t="n">
        <v>17.96</v>
      </c>
      <c r="L66" s="14" t="n">
        <v>5799</v>
      </c>
      <c r="M66" s="16" t="n">
        <v>27.92</v>
      </c>
      <c r="N66" s="14" t="n">
        <v>6585</v>
      </c>
      <c r="O66" s="16" t="n">
        <v>31.7</v>
      </c>
      <c r="P66" s="14" t="n">
        <v>2289</v>
      </c>
      <c r="Q66" s="16" t="n">
        <v>11.02</v>
      </c>
      <c r="R66" s="14" t="n">
        <v>51</v>
      </c>
      <c r="S66" s="16" t="n">
        <v>0.25</v>
      </c>
      <c r="T66" s="14" t="n">
        <v>0</v>
      </c>
      <c r="U66" s="14" t="n">
        <v>0</v>
      </c>
    </row>
    <row r="67" customFormat="false" ht="15" hidden="false" customHeight="true" outlineLevel="0" collapsed="false">
      <c r="A67" s="13" t="s">
        <v>654</v>
      </c>
      <c r="B67" s="13" t="s">
        <v>647</v>
      </c>
      <c r="C67" s="13" t="s">
        <v>125</v>
      </c>
      <c r="D67" s="14" t="n">
        <v>27968</v>
      </c>
      <c r="E67" s="14" t="n">
        <v>26367</v>
      </c>
      <c r="F67" s="14" t="n">
        <v>8760</v>
      </c>
      <c r="G67" s="16" t="n">
        <v>33.22</v>
      </c>
      <c r="H67" s="14" t="n">
        <v>348</v>
      </c>
      <c r="I67" s="16" t="n">
        <v>3.97</v>
      </c>
      <c r="J67" s="14" t="n">
        <v>267</v>
      </c>
      <c r="K67" s="16" t="n">
        <v>3.05</v>
      </c>
      <c r="L67" s="14" t="n">
        <v>898</v>
      </c>
      <c r="M67" s="16" t="n">
        <v>10.25</v>
      </c>
      <c r="N67" s="14" t="n">
        <v>2957</v>
      </c>
      <c r="O67" s="16" t="n">
        <v>33.76</v>
      </c>
      <c r="P67" s="14" t="n">
        <v>3866</v>
      </c>
      <c r="Q67" s="16" t="n">
        <v>44.13</v>
      </c>
      <c r="R67" s="14" t="n">
        <v>424</v>
      </c>
      <c r="S67" s="16" t="n">
        <v>4.84</v>
      </c>
      <c r="T67" s="14" t="n">
        <v>243</v>
      </c>
      <c r="U67" s="14" t="n">
        <v>113</v>
      </c>
    </row>
    <row r="68" customFormat="false" ht="15" hidden="false" customHeight="true" outlineLevel="0" collapsed="false">
      <c r="A68" s="13" t="s">
        <v>654</v>
      </c>
      <c r="B68" s="13" t="s">
        <v>647</v>
      </c>
      <c r="C68" s="13" t="s">
        <v>192</v>
      </c>
      <c r="D68" s="14" t="n">
        <v>82351</v>
      </c>
      <c r="E68" s="14" t="n">
        <v>80091</v>
      </c>
      <c r="F68" s="14" t="n">
        <v>41247</v>
      </c>
      <c r="G68" s="16" t="n">
        <v>51.5</v>
      </c>
      <c r="H68" s="14" t="n">
        <v>4034</v>
      </c>
      <c r="I68" s="16" t="n">
        <v>9.78</v>
      </c>
      <c r="J68" s="14" t="n">
        <v>5799</v>
      </c>
      <c r="K68" s="16" t="n">
        <v>14.06</v>
      </c>
      <c r="L68" s="14" t="n">
        <v>9770</v>
      </c>
      <c r="M68" s="16" t="n">
        <v>23.69</v>
      </c>
      <c r="N68" s="14" t="n">
        <v>13429</v>
      </c>
      <c r="O68" s="16" t="n">
        <v>32.56</v>
      </c>
      <c r="P68" s="14" t="n">
        <v>7703</v>
      </c>
      <c r="Q68" s="16" t="n">
        <v>18.68</v>
      </c>
      <c r="R68" s="14" t="n">
        <v>512</v>
      </c>
      <c r="S68" s="16" t="n">
        <v>1.24</v>
      </c>
      <c r="T68" s="14" t="n">
        <v>243</v>
      </c>
      <c r="U68" s="14" t="n">
        <v>113</v>
      </c>
    </row>
    <row r="69" customFormat="false" ht="15" hidden="false" customHeight="true" outlineLevel="0" collapsed="false">
      <c r="A69" s="13" t="s">
        <v>654</v>
      </c>
      <c r="B69" s="13" t="s">
        <v>651</v>
      </c>
      <c r="C69" s="13" t="s">
        <v>648</v>
      </c>
      <c r="D69" s="14" t="n">
        <v>41911</v>
      </c>
      <c r="E69" s="14" t="n">
        <v>41688</v>
      </c>
      <c r="F69" s="14" t="n">
        <v>31581</v>
      </c>
      <c r="G69" s="16" t="n">
        <v>75.76</v>
      </c>
      <c r="H69" s="14" t="n">
        <v>3103</v>
      </c>
      <c r="I69" s="16" t="n">
        <v>9.83</v>
      </c>
      <c r="J69" s="14" t="n">
        <v>6213</v>
      </c>
      <c r="K69" s="16" t="n">
        <v>19.67</v>
      </c>
      <c r="L69" s="14" t="n">
        <v>11160</v>
      </c>
      <c r="M69" s="16" t="n">
        <v>35.34</v>
      </c>
      <c r="N69" s="14" t="n">
        <v>9313</v>
      </c>
      <c r="O69" s="16" t="n">
        <v>29.49</v>
      </c>
      <c r="P69" s="14" t="n">
        <v>1774</v>
      </c>
      <c r="Q69" s="16" t="n">
        <v>5.62</v>
      </c>
      <c r="R69" s="14" t="n">
        <v>18</v>
      </c>
      <c r="S69" s="16" t="n">
        <v>0.06</v>
      </c>
      <c r="T69" s="14" t="n">
        <v>0</v>
      </c>
      <c r="U69" s="14" t="n">
        <v>0</v>
      </c>
    </row>
    <row r="70" customFormat="false" ht="15" hidden="false" customHeight="true" outlineLevel="0" collapsed="false">
      <c r="A70" s="13" t="s">
        <v>654</v>
      </c>
      <c r="B70" s="13" t="s">
        <v>651</v>
      </c>
      <c r="C70" s="13" t="s">
        <v>649</v>
      </c>
      <c r="D70" s="14" t="n">
        <v>41343</v>
      </c>
      <c r="E70" s="14" t="n">
        <v>41071</v>
      </c>
      <c r="F70" s="14" t="n">
        <v>34680</v>
      </c>
      <c r="G70" s="16" t="n">
        <v>84.44</v>
      </c>
      <c r="H70" s="14" t="n">
        <v>6801</v>
      </c>
      <c r="I70" s="16" t="n">
        <v>19.61</v>
      </c>
      <c r="J70" s="14" t="n">
        <v>9051</v>
      </c>
      <c r="K70" s="16" t="n">
        <v>26.1</v>
      </c>
      <c r="L70" s="14" t="n">
        <v>10962</v>
      </c>
      <c r="M70" s="16" t="n">
        <v>31.61</v>
      </c>
      <c r="N70" s="14" t="n">
        <v>6825</v>
      </c>
      <c r="O70" s="16" t="n">
        <v>19.68</v>
      </c>
      <c r="P70" s="14" t="n">
        <v>1031</v>
      </c>
      <c r="Q70" s="16" t="n">
        <v>2.97</v>
      </c>
      <c r="R70" s="14" t="n">
        <v>10</v>
      </c>
      <c r="S70" s="16" t="n">
        <v>0.03</v>
      </c>
      <c r="T70" s="14" t="n">
        <v>0</v>
      </c>
      <c r="U70" s="14" t="n">
        <v>0</v>
      </c>
    </row>
    <row r="71" customFormat="false" ht="15" hidden="false" customHeight="true" outlineLevel="0" collapsed="false">
      <c r="A71" s="13" t="s">
        <v>654</v>
      </c>
      <c r="B71" s="13" t="s">
        <v>651</v>
      </c>
      <c r="C71" s="13" t="s">
        <v>125</v>
      </c>
      <c r="D71" s="14" t="n">
        <v>26842</v>
      </c>
      <c r="E71" s="14" t="n">
        <v>26092</v>
      </c>
      <c r="F71" s="14" t="n">
        <v>15329</v>
      </c>
      <c r="G71" s="16" t="n">
        <v>58.75</v>
      </c>
      <c r="H71" s="14" t="n">
        <v>1155</v>
      </c>
      <c r="I71" s="16" t="n">
        <v>7.53</v>
      </c>
      <c r="J71" s="14" t="n">
        <v>1472</v>
      </c>
      <c r="K71" s="16" t="n">
        <v>9.6</v>
      </c>
      <c r="L71" s="14" t="n">
        <v>3712</v>
      </c>
      <c r="M71" s="16" t="n">
        <v>24.22</v>
      </c>
      <c r="N71" s="14" t="n">
        <v>5544</v>
      </c>
      <c r="O71" s="16" t="n">
        <v>36.17</v>
      </c>
      <c r="P71" s="14" t="n">
        <v>3245</v>
      </c>
      <c r="Q71" s="16" t="n">
        <v>21.17</v>
      </c>
      <c r="R71" s="14" t="n">
        <v>201</v>
      </c>
      <c r="S71" s="16" t="n">
        <v>1.31</v>
      </c>
      <c r="T71" s="14" t="n">
        <v>188</v>
      </c>
      <c r="U71" s="14" t="n">
        <v>110</v>
      </c>
    </row>
    <row r="72" customFormat="false" ht="15" hidden="false" customHeight="true" outlineLevel="0" collapsed="false">
      <c r="A72" s="13" t="s">
        <v>654</v>
      </c>
      <c r="B72" s="13" t="s">
        <v>651</v>
      </c>
      <c r="C72" s="13" t="s">
        <v>192</v>
      </c>
      <c r="D72" s="14" t="n">
        <v>110096</v>
      </c>
      <c r="E72" s="14" t="n">
        <v>108851</v>
      </c>
      <c r="F72" s="14" t="n">
        <v>81590</v>
      </c>
      <c r="G72" s="16" t="n">
        <v>74.96</v>
      </c>
      <c r="H72" s="14" t="n">
        <v>11059</v>
      </c>
      <c r="I72" s="16" t="n">
        <v>13.55</v>
      </c>
      <c r="J72" s="14" t="n">
        <v>16736</v>
      </c>
      <c r="K72" s="16" t="n">
        <v>20.51</v>
      </c>
      <c r="L72" s="14" t="n">
        <v>25834</v>
      </c>
      <c r="M72" s="16" t="n">
        <v>31.66</v>
      </c>
      <c r="N72" s="14" t="n">
        <v>21682</v>
      </c>
      <c r="O72" s="16" t="n">
        <v>26.57</v>
      </c>
      <c r="P72" s="14" t="n">
        <v>6050</v>
      </c>
      <c r="Q72" s="16" t="n">
        <v>7.42</v>
      </c>
      <c r="R72" s="14" t="n">
        <v>229</v>
      </c>
      <c r="S72" s="16" t="n">
        <v>0.28</v>
      </c>
      <c r="T72" s="14" t="n">
        <v>188</v>
      </c>
      <c r="U72" s="14" t="n">
        <v>110</v>
      </c>
    </row>
    <row r="73" customFormat="false" ht="15" hidden="false" customHeight="true" outlineLevel="0" collapsed="false">
      <c r="A73" s="13" t="s">
        <v>654</v>
      </c>
      <c r="B73" s="13" t="s">
        <v>192</v>
      </c>
      <c r="C73" s="13" t="s">
        <v>137</v>
      </c>
      <c r="D73" s="14" t="n">
        <v>192950</v>
      </c>
      <c r="E73" s="14" t="n">
        <v>189373</v>
      </c>
      <c r="F73" s="14" t="n">
        <v>123060</v>
      </c>
      <c r="G73" s="16" t="n">
        <v>64.98</v>
      </c>
      <c r="H73" s="14" t="n">
        <v>15093</v>
      </c>
      <c r="I73" s="16" t="n">
        <v>12.26</v>
      </c>
      <c r="J73" s="14" t="n">
        <v>22535</v>
      </c>
      <c r="K73" s="16" t="n">
        <v>18.31</v>
      </c>
      <c r="L73" s="14" t="n">
        <v>35604</v>
      </c>
      <c r="M73" s="16" t="n">
        <v>28.93</v>
      </c>
      <c r="N73" s="14" t="n">
        <v>35111</v>
      </c>
      <c r="O73" s="16" t="n">
        <v>28.53</v>
      </c>
      <c r="P73" s="14" t="n">
        <v>13753</v>
      </c>
      <c r="Q73" s="16" t="n">
        <v>11.18</v>
      </c>
      <c r="R73" s="14" t="n">
        <v>741</v>
      </c>
      <c r="S73" s="16" t="n">
        <v>0.6</v>
      </c>
      <c r="T73" s="14" t="n">
        <v>431</v>
      </c>
      <c r="U73" s="14" t="n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0"/>
    <col collapsed="false" customWidth="true" hidden="false" outlineLevel="0" max="2" min="2" style="13" width="6"/>
    <col collapsed="false" customWidth="true" hidden="false" outlineLevel="0" max="3" min="3" style="13" width="50"/>
    <col collapsed="false" customWidth="true" hidden="false" outlineLevel="0" max="4" min="4" style="13" width="13"/>
  </cols>
  <sheetData>
    <row r="1" customFormat="false" ht="15" hidden="false" customHeight="true" outlineLevel="0" collapsed="false">
      <c r="A1" s="13" t="s">
        <v>746</v>
      </c>
    </row>
    <row r="2" customFormat="false" ht="15" hidden="false" customHeight="true" outlineLevel="0" collapsed="false">
      <c r="A2" s="13" t="s">
        <v>747</v>
      </c>
    </row>
    <row r="4" customFormat="false" ht="15" hidden="false" customHeight="true" outlineLevel="0" collapsed="false">
      <c r="A4" s="13" t="s">
        <v>114</v>
      </c>
      <c r="B4" s="13" t="s">
        <v>657</v>
      </c>
      <c r="C4" s="13" t="s">
        <v>658</v>
      </c>
      <c r="D4" s="13" t="s">
        <v>175</v>
      </c>
      <c r="E4" s="13" t="s">
        <v>176</v>
      </c>
      <c r="F4" s="13" t="s">
        <v>177</v>
      </c>
      <c r="G4" s="13" t="s">
        <v>178</v>
      </c>
      <c r="H4" s="13" t="s">
        <v>179</v>
      </c>
      <c r="I4" s="13" t="s">
        <v>180</v>
      </c>
      <c r="J4" s="13" t="s">
        <v>659</v>
      </c>
      <c r="K4" s="13" t="s">
        <v>660</v>
      </c>
      <c r="L4" s="13" t="s">
        <v>183</v>
      </c>
    </row>
    <row r="5" customFormat="false" ht="15" hidden="false" customHeight="true" outlineLevel="0" collapsed="false">
      <c r="A5" s="13" t="s">
        <v>200</v>
      </c>
      <c r="B5" s="13" t="n">
        <v>1</v>
      </c>
      <c r="C5" s="13" t="s">
        <v>661</v>
      </c>
      <c r="D5" s="14" t="n">
        <v>32809</v>
      </c>
      <c r="E5" s="14" t="n">
        <v>32792</v>
      </c>
      <c r="F5" s="16" t="n">
        <v>99.95</v>
      </c>
      <c r="G5" s="14" t="n">
        <v>465</v>
      </c>
      <c r="H5" s="14" t="n">
        <v>459</v>
      </c>
      <c r="I5" s="16" t="n">
        <v>98.71</v>
      </c>
      <c r="J5" s="14" t="n">
        <v>33274</v>
      </c>
      <c r="K5" s="14" t="n">
        <v>33251</v>
      </c>
      <c r="L5" s="16" t="n">
        <v>99.93</v>
      </c>
    </row>
    <row r="6" customFormat="false" ht="15" hidden="false" customHeight="true" outlineLevel="0" collapsed="false">
      <c r="A6" s="13" t="s">
        <v>200</v>
      </c>
      <c r="B6" s="13" t="n">
        <v>2</v>
      </c>
      <c r="C6" s="13" t="s">
        <v>410</v>
      </c>
      <c r="D6" s="14" t="n">
        <v>34052</v>
      </c>
      <c r="E6" s="14" t="n">
        <v>33902</v>
      </c>
      <c r="F6" s="16" t="n">
        <v>99.56</v>
      </c>
      <c r="G6" s="14" t="n">
        <v>745</v>
      </c>
      <c r="H6" s="14" t="n">
        <v>702</v>
      </c>
      <c r="I6" s="16" t="n">
        <v>94.23</v>
      </c>
      <c r="J6" s="14" t="n">
        <v>34797</v>
      </c>
      <c r="K6" s="14" t="n">
        <v>34604</v>
      </c>
      <c r="L6" s="16" t="n">
        <v>99.45</v>
      </c>
    </row>
    <row r="7" customFormat="false" ht="15" hidden="false" customHeight="true" outlineLevel="0" collapsed="false">
      <c r="A7" s="13" t="s">
        <v>200</v>
      </c>
      <c r="B7" s="13" t="n">
        <v>3</v>
      </c>
      <c r="C7" s="13" t="s">
        <v>145</v>
      </c>
      <c r="D7" s="14" t="n">
        <v>12</v>
      </c>
      <c r="E7" s="14" t="n">
        <v>12</v>
      </c>
      <c r="F7" s="16" t="n">
        <v>100</v>
      </c>
      <c r="G7" s="14" t="n">
        <v>0</v>
      </c>
      <c r="H7" s="14" t="n">
        <v>0</v>
      </c>
      <c r="I7" s="16" t="n">
        <v>0</v>
      </c>
      <c r="J7" s="14" t="n">
        <v>12</v>
      </c>
      <c r="K7" s="14" t="n">
        <v>12</v>
      </c>
      <c r="L7" s="16" t="n">
        <v>100</v>
      </c>
    </row>
    <row r="8" customFormat="false" ht="15" hidden="false" customHeight="true" outlineLevel="0" collapsed="false">
      <c r="A8" s="13" t="s">
        <v>200</v>
      </c>
      <c r="B8" s="13" t="n">
        <v>4</v>
      </c>
      <c r="C8" s="13" t="s">
        <v>142</v>
      </c>
      <c r="D8" s="14" t="n">
        <v>34106</v>
      </c>
      <c r="E8" s="14" t="n">
        <v>33279</v>
      </c>
      <c r="F8" s="16" t="n">
        <v>97.58</v>
      </c>
      <c r="G8" s="14" t="n">
        <v>923</v>
      </c>
      <c r="H8" s="14" t="n">
        <v>789</v>
      </c>
      <c r="I8" s="16" t="n">
        <v>85.48</v>
      </c>
      <c r="J8" s="14" t="n">
        <v>35029</v>
      </c>
      <c r="K8" s="14" t="n">
        <v>34068</v>
      </c>
      <c r="L8" s="16" t="n">
        <v>97.26</v>
      </c>
    </row>
    <row r="9" customFormat="false" ht="15" hidden="false" customHeight="true" outlineLevel="0" collapsed="false">
      <c r="A9" s="13" t="s">
        <v>200</v>
      </c>
      <c r="B9" s="13" t="n">
        <v>5</v>
      </c>
      <c r="C9" s="13" t="s">
        <v>149</v>
      </c>
      <c r="D9" s="14" t="n">
        <v>34058</v>
      </c>
      <c r="E9" s="14" t="n">
        <v>34007</v>
      </c>
      <c r="F9" s="16" t="n">
        <v>99.85</v>
      </c>
      <c r="G9" s="14" t="n">
        <v>451</v>
      </c>
      <c r="H9" s="14" t="n">
        <v>449</v>
      </c>
      <c r="I9" s="16" t="n">
        <v>99.56</v>
      </c>
      <c r="J9" s="14" t="n">
        <v>34509</v>
      </c>
      <c r="K9" s="14" t="n">
        <v>34456</v>
      </c>
      <c r="L9" s="16" t="n">
        <v>99.85</v>
      </c>
    </row>
    <row r="10" customFormat="false" ht="15" hidden="false" customHeight="true" outlineLevel="0" collapsed="false">
      <c r="A10" s="13" t="s">
        <v>200</v>
      </c>
      <c r="B10" s="13" t="n">
        <v>6</v>
      </c>
      <c r="C10" s="13" t="s">
        <v>662</v>
      </c>
      <c r="D10" s="14" t="n">
        <v>35</v>
      </c>
      <c r="E10" s="14" t="n">
        <v>35</v>
      </c>
      <c r="F10" s="16" t="n">
        <v>100</v>
      </c>
      <c r="G10" s="14" t="n">
        <v>2</v>
      </c>
      <c r="H10" s="14" t="n">
        <v>2</v>
      </c>
      <c r="I10" s="16" t="n">
        <v>100</v>
      </c>
      <c r="J10" s="14" t="n">
        <v>37</v>
      </c>
      <c r="K10" s="14" t="n">
        <v>37</v>
      </c>
      <c r="L10" s="16" t="n">
        <v>100</v>
      </c>
    </row>
    <row r="11" customFormat="false" ht="15" hidden="false" customHeight="true" outlineLevel="0" collapsed="false">
      <c r="A11" s="13" t="s">
        <v>200</v>
      </c>
      <c r="B11" s="13" t="n">
        <v>7</v>
      </c>
      <c r="C11" s="13" t="s">
        <v>663</v>
      </c>
      <c r="D11" s="14" t="n">
        <v>34031</v>
      </c>
      <c r="E11" s="14" t="n">
        <v>32343</v>
      </c>
      <c r="F11" s="16" t="n">
        <v>95.04</v>
      </c>
      <c r="G11" s="14" t="n">
        <v>1783</v>
      </c>
      <c r="H11" s="14" t="n">
        <v>1379</v>
      </c>
      <c r="I11" s="16" t="n">
        <v>77.34</v>
      </c>
      <c r="J11" s="14" t="n">
        <v>35814</v>
      </c>
      <c r="K11" s="14" t="n">
        <v>33722</v>
      </c>
      <c r="L11" s="16" t="n">
        <v>94.16</v>
      </c>
    </row>
    <row r="12" customFormat="false" ht="15" hidden="false" customHeight="true" outlineLevel="0" collapsed="false">
      <c r="A12" s="13" t="s">
        <v>200</v>
      </c>
      <c r="B12" s="13" t="n">
        <v>8</v>
      </c>
      <c r="C12" s="13" t="s">
        <v>664</v>
      </c>
      <c r="D12" s="14" t="n">
        <v>33973</v>
      </c>
      <c r="E12" s="14" t="n">
        <v>33899</v>
      </c>
      <c r="F12" s="16" t="n">
        <v>99.78</v>
      </c>
      <c r="G12" s="14" t="n">
        <v>526</v>
      </c>
      <c r="H12" s="14" t="n">
        <v>526</v>
      </c>
      <c r="I12" s="16" t="n">
        <v>100</v>
      </c>
      <c r="J12" s="14" t="n">
        <v>34499</v>
      </c>
      <c r="K12" s="14" t="n">
        <v>34425</v>
      </c>
      <c r="L12" s="16" t="n">
        <v>99.79</v>
      </c>
    </row>
    <row r="13" customFormat="false" ht="15" hidden="false" customHeight="true" outlineLevel="0" collapsed="false">
      <c r="A13" s="13" t="s">
        <v>200</v>
      </c>
      <c r="B13" s="13" t="n">
        <v>9</v>
      </c>
      <c r="C13" s="13" t="s">
        <v>665</v>
      </c>
      <c r="D13" s="14" t="n">
        <v>34055</v>
      </c>
      <c r="E13" s="14" t="n">
        <v>29657</v>
      </c>
      <c r="F13" s="16" t="n">
        <v>87.09</v>
      </c>
      <c r="G13" s="14" t="n">
        <v>2389</v>
      </c>
      <c r="H13" s="14" t="n">
        <v>1237</v>
      </c>
      <c r="I13" s="16" t="n">
        <v>51.78</v>
      </c>
      <c r="J13" s="14" t="n">
        <v>36444</v>
      </c>
      <c r="K13" s="14" t="n">
        <v>30894</v>
      </c>
      <c r="L13" s="16" t="n">
        <v>84.77</v>
      </c>
    </row>
    <row r="14" customFormat="false" ht="15" hidden="false" customHeight="true" outlineLevel="0" collapsed="false">
      <c r="A14" s="13" t="s">
        <v>200</v>
      </c>
      <c r="B14" s="13" t="n">
        <v>10</v>
      </c>
      <c r="C14" s="13" t="s">
        <v>666</v>
      </c>
      <c r="D14" s="14" t="n">
        <v>34000</v>
      </c>
      <c r="E14" s="14" t="n">
        <v>33796</v>
      </c>
      <c r="F14" s="16" t="n">
        <v>99.4</v>
      </c>
      <c r="G14" s="14" t="n">
        <v>633</v>
      </c>
      <c r="H14" s="14" t="n">
        <v>628</v>
      </c>
      <c r="I14" s="16" t="n">
        <v>99.21</v>
      </c>
      <c r="J14" s="14" t="n">
        <v>34633</v>
      </c>
      <c r="K14" s="14" t="n">
        <v>34424</v>
      </c>
      <c r="L14" s="16" t="n">
        <v>99.4</v>
      </c>
    </row>
    <row r="15" customFormat="false" ht="15" hidden="false" customHeight="true" outlineLevel="0" collapsed="false">
      <c r="A15" s="13" t="s">
        <v>200</v>
      </c>
      <c r="B15" s="13" t="n">
        <v>11</v>
      </c>
      <c r="C15" s="13" t="s">
        <v>667</v>
      </c>
      <c r="D15" s="14" t="n">
        <v>34061</v>
      </c>
      <c r="E15" s="14" t="n">
        <v>31083</v>
      </c>
      <c r="F15" s="16" t="n">
        <v>91.26</v>
      </c>
      <c r="G15" s="14" t="n">
        <v>2501</v>
      </c>
      <c r="H15" s="14" t="n">
        <v>1727</v>
      </c>
      <c r="I15" s="16" t="n">
        <v>69.05</v>
      </c>
      <c r="J15" s="14" t="n">
        <v>36562</v>
      </c>
      <c r="K15" s="14" t="n">
        <v>32810</v>
      </c>
      <c r="L15" s="16" t="n">
        <v>89.74</v>
      </c>
    </row>
    <row r="16" customFormat="false" ht="15" hidden="false" customHeight="true" outlineLevel="0" collapsed="false">
      <c r="A16" s="13" t="s">
        <v>200</v>
      </c>
      <c r="B16" s="13" t="n">
        <v>12</v>
      </c>
      <c r="C16" s="13" t="s">
        <v>668</v>
      </c>
      <c r="D16" s="14" t="n">
        <v>33979</v>
      </c>
      <c r="E16" s="14" t="n">
        <v>33942</v>
      </c>
      <c r="F16" s="16" t="n">
        <v>99.89</v>
      </c>
      <c r="G16" s="14" t="n">
        <v>733</v>
      </c>
      <c r="H16" s="14" t="n">
        <v>730</v>
      </c>
      <c r="I16" s="16" t="n">
        <v>99.59</v>
      </c>
      <c r="J16" s="14" t="n">
        <v>34712</v>
      </c>
      <c r="K16" s="14" t="n">
        <v>34672</v>
      </c>
      <c r="L16" s="16" t="n">
        <v>99.88</v>
      </c>
    </row>
    <row r="17" customFormat="false" ht="15" hidden="false" customHeight="true" outlineLevel="0" collapsed="false">
      <c r="A17" s="13" t="s">
        <v>200</v>
      </c>
      <c r="B17" s="13" t="n">
        <v>13</v>
      </c>
      <c r="C17" s="13" t="s">
        <v>669</v>
      </c>
      <c r="D17" s="14" t="n">
        <v>1250</v>
      </c>
      <c r="E17" s="14" t="n">
        <v>1249</v>
      </c>
      <c r="F17" s="16" t="n">
        <v>99.92</v>
      </c>
      <c r="G17" s="14" t="n">
        <v>34</v>
      </c>
      <c r="H17" s="14" t="n">
        <v>32</v>
      </c>
      <c r="I17" s="16" t="n">
        <v>94.12</v>
      </c>
      <c r="J17" s="14" t="n">
        <v>1284</v>
      </c>
      <c r="K17" s="14" t="n">
        <v>1281</v>
      </c>
      <c r="L17" s="16" t="n">
        <v>99.77</v>
      </c>
    </row>
    <row r="18" customFormat="false" ht="15" hidden="false" customHeight="true" outlineLevel="0" collapsed="false">
      <c r="A18" s="13" t="s">
        <v>201</v>
      </c>
      <c r="B18" s="13" t="n">
        <v>1</v>
      </c>
      <c r="C18" s="13" t="s">
        <v>661</v>
      </c>
      <c r="D18" s="14" t="n">
        <v>6949</v>
      </c>
      <c r="E18" s="14" t="n">
        <v>6946</v>
      </c>
      <c r="F18" s="16" t="n">
        <v>99.96</v>
      </c>
      <c r="G18" s="14" t="n">
        <v>86</v>
      </c>
      <c r="H18" s="14" t="n">
        <v>83</v>
      </c>
      <c r="I18" s="16" t="n">
        <v>96.51</v>
      </c>
      <c r="J18" s="14" t="n">
        <v>7035</v>
      </c>
      <c r="K18" s="14" t="n">
        <v>7029</v>
      </c>
      <c r="L18" s="16" t="n">
        <v>99.91</v>
      </c>
    </row>
    <row r="19" customFormat="false" ht="15" hidden="false" customHeight="true" outlineLevel="0" collapsed="false">
      <c r="A19" s="13" t="s">
        <v>201</v>
      </c>
      <c r="B19" s="13" t="n">
        <v>2</v>
      </c>
      <c r="C19" s="13" t="s">
        <v>410</v>
      </c>
      <c r="D19" s="14" t="n">
        <v>7012</v>
      </c>
      <c r="E19" s="14" t="n">
        <v>6981</v>
      </c>
      <c r="F19" s="16" t="n">
        <v>99.56</v>
      </c>
      <c r="G19" s="14" t="n">
        <v>132</v>
      </c>
      <c r="H19" s="14" t="n">
        <v>123</v>
      </c>
      <c r="I19" s="16" t="n">
        <v>93.18</v>
      </c>
      <c r="J19" s="14" t="n">
        <v>7144</v>
      </c>
      <c r="K19" s="14" t="n">
        <v>7104</v>
      </c>
      <c r="L19" s="16" t="n">
        <v>99.44</v>
      </c>
    </row>
    <row r="20" customFormat="false" ht="15" hidden="false" customHeight="true" outlineLevel="0" collapsed="false">
      <c r="A20" s="13" t="s">
        <v>201</v>
      </c>
      <c r="B20" s="13" t="n">
        <v>3</v>
      </c>
      <c r="C20" s="13" t="s">
        <v>142</v>
      </c>
      <c r="D20" s="14" t="n">
        <v>7012</v>
      </c>
      <c r="E20" s="14" t="n">
        <v>6894</v>
      </c>
      <c r="F20" s="16" t="n">
        <v>98.32</v>
      </c>
      <c r="G20" s="14" t="n">
        <v>161</v>
      </c>
      <c r="H20" s="14" t="n">
        <v>122</v>
      </c>
      <c r="I20" s="16" t="n">
        <v>75.78</v>
      </c>
      <c r="J20" s="14" t="n">
        <v>7173</v>
      </c>
      <c r="K20" s="14" t="n">
        <v>7016</v>
      </c>
      <c r="L20" s="16" t="n">
        <v>97.81</v>
      </c>
    </row>
    <row r="21" customFormat="false" ht="15" hidden="false" customHeight="true" outlineLevel="0" collapsed="false">
      <c r="A21" s="13" t="s">
        <v>201</v>
      </c>
      <c r="B21" s="13" t="n">
        <v>4</v>
      </c>
      <c r="C21" s="13" t="s">
        <v>149</v>
      </c>
      <c r="D21" s="14" t="n">
        <v>7014</v>
      </c>
      <c r="E21" s="14" t="n">
        <v>7007</v>
      </c>
      <c r="F21" s="16" t="n">
        <v>99.9</v>
      </c>
      <c r="G21" s="14" t="n">
        <v>85</v>
      </c>
      <c r="H21" s="14" t="n">
        <v>85</v>
      </c>
      <c r="I21" s="16" t="n">
        <v>100</v>
      </c>
      <c r="J21" s="14" t="n">
        <v>7099</v>
      </c>
      <c r="K21" s="14" t="n">
        <v>7092</v>
      </c>
      <c r="L21" s="16" t="n">
        <v>99.9</v>
      </c>
    </row>
    <row r="22" customFormat="false" ht="15" hidden="false" customHeight="true" outlineLevel="0" collapsed="false">
      <c r="A22" s="13" t="s">
        <v>201</v>
      </c>
      <c r="B22" s="13" t="n">
        <v>5</v>
      </c>
      <c r="C22" s="13" t="s">
        <v>662</v>
      </c>
      <c r="D22" s="14" t="n">
        <v>5</v>
      </c>
      <c r="E22" s="14" t="n">
        <v>5</v>
      </c>
      <c r="F22" s="16" t="n">
        <v>100</v>
      </c>
      <c r="G22" s="14" t="n">
        <v>0</v>
      </c>
      <c r="H22" s="14" t="n">
        <v>0</v>
      </c>
      <c r="I22" s="16" t="n">
        <v>0</v>
      </c>
      <c r="J22" s="14" t="n">
        <v>5</v>
      </c>
      <c r="K22" s="14" t="n">
        <v>5</v>
      </c>
      <c r="L22" s="16" t="n">
        <v>100</v>
      </c>
    </row>
    <row r="23" customFormat="false" ht="15" hidden="false" customHeight="true" outlineLevel="0" collapsed="false">
      <c r="A23" s="13" t="s">
        <v>201</v>
      </c>
      <c r="B23" s="13" t="n">
        <v>6</v>
      </c>
      <c r="C23" s="13" t="s">
        <v>156</v>
      </c>
      <c r="D23" s="14" t="n">
        <v>7009</v>
      </c>
      <c r="E23" s="14" t="n">
        <v>5868</v>
      </c>
      <c r="F23" s="16" t="n">
        <v>83.72</v>
      </c>
      <c r="G23" s="14" t="n">
        <v>688</v>
      </c>
      <c r="H23" s="14" t="n">
        <v>298</v>
      </c>
      <c r="I23" s="16" t="n">
        <v>43.31</v>
      </c>
      <c r="J23" s="14" t="n">
        <v>7697</v>
      </c>
      <c r="K23" s="14" t="n">
        <v>6166</v>
      </c>
      <c r="L23" s="16" t="n">
        <v>80.11</v>
      </c>
    </row>
    <row r="24" customFormat="false" ht="15" hidden="false" customHeight="true" outlineLevel="0" collapsed="false">
      <c r="A24" s="13" t="s">
        <v>201</v>
      </c>
      <c r="B24" s="13" t="n">
        <v>7</v>
      </c>
      <c r="C24" s="13" t="s">
        <v>663</v>
      </c>
      <c r="D24" s="14" t="n">
        <v>7004</v>
      </c>
      <c r="E24" s="14" t="n">
        <v>6609</v>
      </c>
      <c r="F24" s="16" t="n">
        <v>94.36</v>
      </c>
      <c r="G24" s="14" t="n">
        <v>301</v>
      </c>
      <c r="H24" s="14" t="n">
        <v>198</v>
      </c>
      <c r="I24" s="16" t="n">
        <v>65.78</v>
      </c>
      <c r="J24" s="14" t="n">
        <v>7305</v>
      </c>
      <c r="K24" s="14" t="n">
        <v>6807</v>
      </c>
      <c r="L24" s="16" t="n">
        <v>93.18</v>
      </c>
    </row>
    <row r="25" customFormat="false" ht="15" hidden="false" customHeight="true" outlineLevel="0" collapsed="false">
      <c r="A25" s="13" t="s">
        <v>201</v>
      </c>
      <c r="B25" s="13" t="n">
        <v>8</v>
      </c>
      <c r="C25" s="13" t="s">
        <v>664</v>
      </c>
      <c r="D25" s="14" t="n">
        <v>6988</v>
      </c>
      <c r="E25" s="14" t="n">
        <v>6977</v>
      </c>
      <c r="F25" s="16" t="n">
        <v>99.84</v>
      </c>
      <c r="G25" s="14" t="n">
        <v>75</v>
      </c>
      <c r="H25" s="14" t="n">
        <v>74</v>
      </c>
      <c r="I25" s="16" t="n">
        <v>98.67</v>
      </c>
      <c r="J25" s="14" t="n">
        <v>7063</v>
      </c>
      <c r="K25" s="14" t="n">
        <v>7051</v>
      </c>
      <c r="L25" s="16" t="n">
        <v>99.83</v>
      </c>
    </row>
    <row r="26" customFormat="false" ht="15" hidden="false" customHeight="true" outlineLevel="0" collapsed="false">
      <c r="A26" s="13" t="s">
        <v>201</v>
      </c>
      <c r="B26" s="13" t="n">
        <v>9</v>
      </c>
      <c r="C26" s="13" t="s">
        <v>665</v>
      </c>
      <c r="D26" s="14" t="n">
        <v>7005</v>
      </c>
      <c r="E26" s="14" t="n">
        <v>5894</v>
      </c>
      <c r="F26" s="16" t="n">
        <v>84.14</v>
      </c>
      <c r="G26" s="14" t="n">
        <v>379</v>
      </c>
      <c r="H26" s="14" t="n">
        <v>104</v>
      </c>
      <c r="I26" s="16" t="n">
        <v>27.44</v>
      </c>
      <c r="J26" s="14" t="n">
        <v>7384</v>
      </c>
      <c r="K26" s="14" t="n">
        <v>5998</v>
      </c>
      <c r="L26" s="16" t="n">
        <v>81.23</v>
      </c>
    </row>
    <row r="27" customFormat="false" ht="15" hidden="false" customHeight="true" outlineLevel="0" collapsed="false">
      <c r="A27" s="13" t="s">
        <v>201</v>
      </c>
      <c r="B27" s="13" t="n">
        <v>10</v>
      </c>
      <c r="C27" s="13" t="s">
        <v>666</v>
      </c>
      <c r="D27" s="14" t="n">
        <v>6984</v>
      </c>
      <c r="E27" s="14" t="n">
        <v>6973</v>
      </c>
      <c r="F27" s="16" t="n">
        <v>99.84</v>
      </c>
      <c r="G27" s="14" t="n">
        <v>85</v>
      </c>
      <c r="H27" s="14" t="n">
        <v>85</v>
      </c>
      <c r="I27" s="16" t="n">
        <v>100</v>
      </c>
      <c r="J27" s="14" t="n">
        <v>7069</v>
      </c>
      <c r="K27" s="14" t="n">
        <v>7058</v>
      </c>
      <c r="L27" s="16" t="n">
        <v>99.84</v>
      </c>
    </row>
    <row r="28" customFormat="false" ht="15" hidden="false" customHeight="true" outlineLevel="0" collapsed="false">
      <c r="A28" s="13" t="s">
        <v>201</v>
      </c>
      <c r="B28" s="13" t="n">
        <v>11</v>
      </c>
      <c r="C28" s="13" t="s">
        <v>669</v>
      </c>
      <c r="D28" s="14" t="n">
        <v>60</v>
      </c>
      <c r="E28" s="14" t="n">
        <v>60</v>
      </c>
      <c r="F28" s="16" t="n">
        <v>100</v>
      </c>
      <c r="G28" s="14" t="n">
        <v>1</v>
      </c>
      <c r="H28" s="14" t="n">
        <v>1</v>
      </c>
      <c r="I28" s="16" t="n">
        <v>100</v>
      </c>
      <c r="J28" s="14" t="n">
        <v>61</v>
      </c>
      <c r="K28" s="14" t="n">
        <v>61</v>
      </c>
      <c r="L28" s="16" t="n">
        <v>100</v>
      </c>
    </row>
    <row r="29" customFormat="false" ht="15" hidden="false" customHeight="true" outlineLevel="0" collapsed="false">
      <c r="A29" s="13" t="s">
        <v>202</v>
      </c>
      <c r="B29" s="13" t="n">
        <v>1</v>
      </c>
      <c r="C29" s="13" t="s">
        <v>661</v>
      </c>
      <c r="D29" s="14" t="n">
        <v>56637</v>
      </c>
      <c r="E29" s="14" t="n">
        <v>56483</v>
      </c>
      <c r="F29" s="16" t="n">
        <v>99.73</v>
      </c>
      <c r="G29" s="14" t="n">
        <v>358</v>
      </c>
      <c r="H29" s="14" t="n">
        <v>334</v>
      </c>
      <c r="I29" s="16" t="n">
        <v>93.3</v>
      </c>
      <c r="J29" s="14" t="n">
        <v>56995</v>
      </c>
      <c r="K29" s="14" t="n">
        <v>56817</v>
      </c>
      <c r="L29" s="16" t="n">
        <v>99.69</v>
      </c>
    </row>
    <row r="30" customFormat="false" ht="15" hidden="false" customHeight="true" outlineLevel="0" collapsed="false">
      <c r="A30" s="13" t="s">
        <v>202</v>
      </c>
      <c r="B30" s="13" t="n">
        <v>2</v>
      </c>
      <c r="C30" s="13" t="s">
        <v>410</v>
      </c>
      <c r="D30" s="14" t="n">
        <v>57200</v>
      </c>
      <c r="E30" s="14" t="n">
        <v>56429</v>
      </c>
      <c r="F30" s="16" t="n">
        <v>98.65</v>
      </c>
      <c r="G30" s="14" t="n">
        <v>603</v>
      </c>
      <c r="H30" s="14" t="n">
        <v>480</v>
      </c>
      <c r="I30" s="16" t="n">
        <v>79.6</v>
      </c>
      <c r="J30" s="14" t="n">
        <v>57803</v>
      </c>
      <c r="K30" s="14" t="n">
        <v>56909</v>
      </c>
      <c r="L30" s="16" t="n">
        <v>98.45</v>
      </c>
    </row>
    <row r="31" customFormat="false" ht="15" hidden="false" customHeight="true" outlineLevel="0" collapsed="false">
      <c r="A31" s="13" t="s">
        <v>202</v>
      </c>
      <c r="B31" s="13" t="n">
        <v>3</v>
      </c>
      <c r="C31" s="13" t="s">
        <v>145</v>
      </c>
      <c r="D31" s="14" t="n">
        <v>7</v>
      </c>
      <c r="E31" s="14" t="n">
        <v>7</v>
      </c>
      <c r="F31" s="16" t="n">
        <v>100</v>
      </c>
      <c r="G31" s="14" t="n">
        <v>0</v>
      </c>
      <c r="H31" s="14" t="n">
        <v>0</v>
      </c>
      <c r="I31" s="16" t="n">
        <v>0</v>
      </c>
      <c r="J31" s="14" t="n">
        <v>7</v>
      </c>
      <c r="K31" s="14" t="n">
        <v>7</v>
      </c>
      <c r="L31" s="16" t="n">
        <v>100</v>
      </c>
    </row>
    <row r="32" customFormat="false" ht="15" hidden="false" customHeight="true" outlineLevel="0" collapsed="false">
      <c r="A32" s="13" t="s">
        <v>202</v>
      </c>
      <c r="B32" s="13" t="n">
        <v>4</v>
      </c>
      <c r="C32" s="13" t="s">
        <v>142</v>
      </c>
      <c r="D32" s="14" t="n">
        <v>57271</v>
      </c>
      <c r="E32" s="14" t="n">
        <v>52953</v>
      </c>
      <c r="F32" s="16" t="n">
        <v>92.46</v>
      </c>
      <c r="G32" s="14" t="n">
        <v>1637</v>
      </c>
      <c r="H32" s="14" t="n">
        <v>1037</v>
      </c>
      <c r="I32" s="16" t="n">
        <v>63.35</v>
      </c>
      <c r="J32" s="14" t="n">
        <v>58908</v>
      </c>
      <c r="K32" s="14" t="n">
        <v>53990</v>
      </c>
      <c r="L32" s="16" t="n">
        <v>91.65</v>
      </c>
    </row>
    <row r="33" customFormat="false" ht="15" hidden="false" customHeight="true" outlineLevel="0" collapsed="false">
      <c r="A33" s="13" t="s">
        <v>202</v>
      </c>
      <c r="B33" s="13" t="n">
        <v>5</v>
      </c>
      <c r="C33" s="13" t="s">
        <v>149</v>
      </c>
      <c r="D33" s="14" t="n">
        <v>57200</v>
      </c>
      <c r="E33" s="14" t="n">
        <v>56922</v>
      </c>
      <c r="F33" s="16" t="n">
        <v>99.51</v>
      </c>
      <c r="G33" s="14" t="n">
        <v>278</v>
      </c>
      <c r="H33" s="14" t="n">
        <v>265</v>
      </c>
      <c r="I33" s="16" t="n">
        <v>95.32</v>
      </c>
      <c r="J33" s="14" t="n">
        <v>57478</v>
      </c>
      <c r="K33" s="14" t="n">
        <v>57187</v>
      </c>
      <c r="L33" s="16" t="n">
        <v>99.49</v>
      </c>
    </row>
    <row r="34" customFormat="false" ht="15" hidden="false" customHeight="true" outlineLevel="0" collapsed="false">
      <c r="A34" s="13" t="s">
        <v>202</v>
      </c>
      <c r="B34" s="13" t="n">
        <v>6</v>
      </c>
      <c r="C34" s="13" t="s">
        <v>662</v>
      </c>
      <c r="D34" s="14" t="n">
        <v>19</v>
      </c>
      <c r="E34" s="14" t="n">
        <v>19</v>
      </c>
      <c r="F34" s="16" t="n">
        <v>100</v>
      </c>
      <c r="G34" s="14" t="n">
        <v>0</v>
      </c>
      <c r="H34" s="14" t="n">
        <v>0</v>
      </c>
      <c r="I34" s="16" t="n">
        <v>0</v>
      </c>
      <c r="J34" s="14" t="n">
        <v>19</v>
      </c>
      <c r="K34" s="14" t="n">
        <v>19</v>
      </c>
      <c r="L34" s="16" t="n">
        <v>100</v>
      </c>
    </row>
    <row r="35" customFormat="false" ht="15" hidden="false" customHeight="true" outlineLevel="0" collapsed="false">
      <c r="A35" s="13" t="s">
        <v>202</v>
      </c>
      <c r="B35" s="13" t="n">
        <v>7</v>
      </c>
      <c r="C35" s="13" t="s">
        <v>156</v>
      </c>
      <c r="D35" s="14" t="n">
        <v>57178</v>
      </c>
      <c r="E35" s="14" t="n">
        <v>34978</v>
      </c>
      <c r="F35" s="16" t="n">
        <v>61.17</v>
      </c>
      <c r="G35" s="14" t="n">
        <v>7798</v>
      </c>
      <c r="H35" s="14" t="n">
        <v>1570</v>
      </c>
      <c r="I35" s="16" t="n">
        <v>20.13</v>
      </c>
      <c r="J35" s="14" t="n">
        <v>64976</v>
      </c>
      <c r="K35" s="14" t="n">
        <v>36548</v>
      </c>
      <c r="L35" s="16" t="n">
        <v>56.25</v>
      </c>
    </row>
    <row r="36" customFormat="false" ht="15" hidden="false" customHeight="true" outlineLevel="0" collapsed="false">
      <c r="A36" s="13" t="s">
        <v>202</v>
      </c>
      <c r="B36" s="13" t="n">
        <v>8</v>
      </c>
      <c r="C36" s="13" t="s">
        <v>663</v>
      </c>
      <c r="D36" s="14" t="n">
        <v>44913</v>
      </c>
      <c r="E36" s="14" t="n">
        <v>39285</v>
      </c>
      <c r="F36" s="16" t="n">
        <v>87.47</v>
      </c>
      <c r="G36" s="14" t="n">
        <v>3378</v>
      </c>
      <c r="H36" s="14" t="n">
        <v>1913</v>
      </c>
      <c r="I36" s="16" t="n">
        <v>56.63</v>
      </c>
      <c r="J36" s="14" t="n">
        <v>48291</v>
      </c>
      <c r="K36" s="14" t="n">
        <v>41198</v>
      </c>
      <c r="L36" s="16" t="n">
        <v>85.31</v>
      </c>
    </row>
    <row r="37" customFormat="false" ht="15" hidden="false" customHeight="true" outlineLevel="0" collapsed="false">
      <c r="A37" s="13" t="s">
        <v>202</v>
      </c>
      <c r="B37" s="13" t="n">
        <v>9</v>
      </c>
      <c r="C37" s="13" t="s">
        <v>664</v>
      </c>
      <c r="D37" s="14" t="n">
        <v>44596</v>
      </c>
      <c r="E37" s="14" t="n">
        <v>43962</v>
      </c>
      <c r="F37" s="16" t="n">
        <v>98.58</v>
      </c>
      <c r="G37" s="14" t="n">
        <v>292</v>
      </c>
      <c r="H37" s="14" t="n">
        <v>287</v>
      </c>
      <c r="I37" s="16" t="n">
        <v>98.29</v>
      </c>
      <c r="J37" s="14" t="n">
        <v>44888</v>
      </c>
      <c r="K37" s="14" t="n">
        <v>44249</v>
      </c>
      <c r="L37" s="16" t="n">
        <v>98.58</v>
      </c>
    </row>
    <row r="38" customFormat="false" ht="15" hidden="false" customHeight="true" outlineLevel="0" collapsed="false">
      <c r="A38" s="13" t="s">
        <v>202</v>
      </c>
      <c r="B38" s="13" t="n">
        <v>10</v>
      </c>
      <c r="C38" s="13" t="s">
        <v>670</v>
      </c>
      <c r="D38" s="14" t="n">
        <v>57141</v>
      </c>
      <c r="E38" s="14" t="n">
        <v>53206</v>
      </c>
      <c r="F38" s="16" t="n">
        <v>93.11</v>
      </c>
      <c r="G38" s="14" t="n">
        <v>1379</v>
      </c>
      <c r="H38" s="14" t="n">
        <v>751</v>
      </c>
      <c r="I38" s="16" t="n">
        <v>54.46</v>
      </c>
      <c r="J38" s="14" t="n">
        <v>58520</v>
      </c>
      <c r="K38" s="14" t="n">
        <v>53957</v>
      </c>
      <c r="L38" s="16" t="n">
        <v>92.2</v>
      </c>
    </row>
    <row r="39" customFormat="false" ht="15" hidden="false" customHeight="true" outlineLevel="0" collapsed="false">
      <c r="A39" s="13" t="s">
        <v>202</v>
      </c>
      <c r="B39" s="13" t="n">
        <v>11</v>
      </c>
      <c r="C39" s="13" t="s">
        <v>671</v>
      </c>
      <c r="D39" s="14" t="n">
        <v>56713</v>
      </c>
      <c r="E39" s="14" t="n">
        <v>56437</v>
      </c>
      <c r="F39" s="16" t="n">
        <v>99.51</v>
      </c>
      <c r="G39" s="14" t="n">
        <v>317</v>
      </c>
      <c r="H39" s="14" t="n">
        <v>314</v>
      </c>
      <c r="I39" s="16" t="n">
        <v>99.05</v>
      </c>
      <c r="J39" s="14" t="n">
        <v>57030</v>
      </c>
      <c r="K39" s="14" t="n">
        <v>56751</v>
      </c>
      <c r="L39" s="16" t="n">
        <v>99.51</v>
      </c>
    </row>
    <row r="40" customFormat="false" ht="15" hidden="false" customHeight="true" outlineLevel="0" collapsed="false">
      <c r="A40" s="13" t="s">
        <v>202</v>
      </c>
      <c r="B40" s="13" t="n">
        <v>12</v>
      </c>
      <c r="C40" s="13" t="s">
        <v>152</v>
      </c>
      <c r="D40" s="14" t="n">
        <v>4309</v>
      </c>
      <c r="E40" s="14" t="n">
        <v>4207</v>
      </c>
      <c r="F40" s="16" t="n">
        <v>97.63</v>
      </c>
      <c r="G40" s="14" t="n">
        <v>99</v>
      </c>
      <c r="H40" s="14" t="n">
        <v>82</v>
      </c>
      <c r="I40" s="16" t="n">
        <v>82.83</v>
      </c>
      <c r="J40" s="14" t="n">
        <v>4408</v>
      </c>
      <c r="K40" s="14" t="n">
        <v>4289</v>
      </c>
      <c r="L40" s="16" t="n">
        <v>97.3</v>
      </c>
    </row>
    <row r="41" customFormat="false" ht="15" hidden="false" customHeight="true" outlineLevel="0" collapsed="false">
      <c r="A41" s="13" t="s">
        <v>202</v>
      </c>
      <c r="B41" s="13" t="n">
        <v>13</v>
      </c>
      <c r="C41" s="13" t="s">
        <v>669</v>
      </c>
      <c r="D41" s="14" t="n">
        <v>601</v>
      </c>
      <c r="E41" s="14" t="n">
        <v>597</v>
      </c>
      <c r="F41" s="16" t="n">
        <v>99.33</v>
      </c>
      <c r="G41" s="14" t="n">
        <v>10</v>
      </c>
      <c r="H41" s="14" t="n">
        <v>10</v>
      </c>
      <c r="I41" s="16" t="n">
        <v>100</v>
      </c>
      <c r="J41" s="14" t="n">
        <v>611</v>
      </c>
      <c r="K41" s="14" t="n">
        <v>607</v>
      </c>
      <c r="L41" s="16" t="n">
        <v>99.35</v>
      </c>
    </row>
    <row r="42" customFormat="false" ht="15" hidden="false" customHeight="true" outlineLevel="0" collapsed="false">
      <c r="A42" s="13" t="s">
        <v>202</v>
      </c>
      <c r="B42" s="13" t="n">
        <v>14</v>
      </c>
      <c r="C42" s="13" t="s">
        <v>672</v>
      </c>
      <c r="D42" s="14" t="n">
        <v>7984</v>
      </c>
      <c r="E42" s="14" t="n">
        <v>7043</v>
      </c>
      <c r="F42" s="16" t="n">
        <v>88.21</v>
      </c>
      <c r="G42" s="14" t="n">
        <v>344</v>
      </c>
      <c r="H42" s="14" t="n">
        <v>166</v>
      </c>
      <c r="I42" s="16" t="n">
        <v>48.26</v>
      </c>
      <c r="J42" s="14" t="n">
        <v>8328</v>
      </c>
      <c r="K42" s="14" t="n">
        <v>7209</v>
      </c>
      <c r="L42" s="16" t="n">
        <v>86.56</v>
      </c>
    </row>
    <row r="43" customFormat="false" ht="15" hidden="false" customHeight="true" outlineLevel="0" collapsed="false">
      <c r="A43" s="13" t="s">
        <v>202</v>
      </c>
      <c r="B43" s="13" t="n">
        <v>15</v>
      </c>
      <c r="C43" s="13" t="s">
        <v>673</v>
      </c>
      <c r="D43" s="14" t="n">
        <v>7901</v>
      </c>
      <c r="E43" s="14" t="n">
        <v>7412</v>
      </c>
      <c r="F43" s="16" t="n">
        <v>93.81</v>
      </c>
      <c r="G43" s="14" t="n">
        <v>65</v>
      </c>
      <c r="H43" s="14" t="n">
        <v>59</v>
      </c>
      <c r="I43" s="16" t="n">
        <v>90.77</v>
      </c>
      <c r="J43" s="14" t="n">
        <v>7966</v>
      </c>
      <c r="K43" s="14" t="n">
        <v>7471</v>
      </c>
      <c r="L43" s="16" t="n">
        <v>93.79</v>
      </c>
    </row>
    <row r="44" customFormat="false" ht="15" hidden="false" customHeight="true" outlineLevel="0" collapsed="false">
      <c r="A44" s="13" t="s">
        <v>203</v>
      </c>
      <c r="B44" s="13" t="n">
        <v>1</v>
      </c>
      <c r="C44" s="13" t="s">
        <v>661</v>
      </c>
      <c r="D44" s="14" t="n">
        <v>5889</v>
      </c>
      <c r="E44" s="14" t="n">
        <v>5854</v>
      </c>
      <c r="F44" s="16" t="n">
        <v>99.41</v>
      </c>
      <c r="G44" s="14" t="n">
        <v>3342</v>
      </c>
      <c r="H44" s="14" t="n">
        <v>3258</v>
      </c>
      <c r="I44" s="16" t="n">
        <v>97.49</v>
      </c>
      <c r="J44" s="14" t="n">
        <v>9231</v>
      </c>
      <c r="K44" s="14" t="n">
        <v>9112</v>
      </c>
      <c r="L44" s="16" t="n">
        <v>98.71</v>
      </c>
    </row>
    <row r="45" customFormat="false" ht="15" hidden="false" customHeight="true" outlineLevel="0" collapsed="false">
      <c r="A45" s="13" t="s">
        <v>203</v>
      </c>
      <c r="B45" s="13" t="n">
        <v>2</v>
      </c>
      <c r="C45" s="13" t="s">
        <v>410</v>
      </c>
      <c r="D45" s="14" t="n">
        <v>6069</v>
      </c>
      <c r="E45" s="14" t="n">
        <v>5789</v>
      </c>
      <c r="F45" s="16" t="n">
        <v>95.39</v>
      </c>
      <c r="G45" s="14" t="n">
        <v>3519</v>
      </c>
      <c r="H45" s="14" t="n">
        <v>3069</v>
      </c>
      <c r="I45" s="16" t="n">
        <v>87.21</v>
      </c>
      <c r="J45" s="14" t="n">
        <v>9588</v>
      </c>
      <c r="K45" s="14" t="n">
        <v>8858</v>
      </c>
      <c r="L45" s="16" t="n">
        <v>92.39</v>
      </c>
    </row>
    <row r="46" customFormat="false" ht="15" hidden="false" customHeight="true" outlineLevel="0" collapsed="false">
      <c r="A46" s="13" t="s">
        <v>203</v>
      </c>
      <c r="B46" s="13" t="n">
        <v>3</v>
      </c>
      <c r="C46" s="13" t="s">
        <v>142</v>
      </c>
      <c r="D46" s="14" t="n">
        <v>6083</v>
      </c>
      <c r="E46" s="14" t="n">
        <v>4440</v>
      </c>
      <c r="F46" s="16" t="n">
        <v>72.99</v>
      </c>
      <c r="G46" s="14" t="n">
        <v>4661</v>
      </c>
      <c r="H46" s="14" t="n">
        <v>2344</v>
      </c>
      <c r="I46" s="16" t="n">
        <v>50.29</v>
      </c>
      <c r="J46" s="14" t="n">
        <v>10744</v>
      </c>
      <c r="K46" s="14" t="n">
        <v>6784</v>
      </c>
      <c r="L46" s="16" t="n">
        <v>63.14</v>
      </c>
    </row>
    <row r="47" customFormat="false" ht="15" hidden="false" customHeight="true" outlineLevel="0" collapsed="false">
      <c r="A47" s="13" t="s">
        <v>203</v>
      </c>
      <c r="B47" s="13" t="n">
        <v>4</v>
      </c>
      <c r="C47" s="13" t="s">
        <v>149</v>
      </c>
      <c r="D47" s="14" t="n">
        <v>6068</v>
      </c>
      <c r="E47" s="14" t="n">
        <v>5977</v>
      </c>
      <c r="F47" s="16" t="n">
        <v>98.5</v>
      </c>
      <c r="G47" s="14" t="n">
        <v>3382</v>
      </c>
      <c r="H47" s="14" t="n">
        <v>3239</v>
      </c>
      <c r="I47" s="16" t="n">
        <v>95.77</v>
      </c>
      <c r="J47" s="14" t="n">
        <v>9450</v>
      </c>
      <c r="K47" s="14" t="n">
        <v>9216</v>
      </c>
      <c r="L47" s="16" t="n">
        <v>97.52</v>
      </c>
    </row>
    <row r="48" customFormat="false" ht="15" hidden="false" customHeight="true" outlineLevel="0" collapsed="false">
      <c r="A48" s="13" t="s">
        <v>203</v>
      </c>
      <c r="B48" s="13" t="n">
        <v>5</v>
      </c>
      <c r="C48" s="13" t="s">
        <v>662</v>
      </c>
      <c r="D48" s="14" t="n">
        <v>6</v>
      </c>
      <c r="E48" s="14" t="n">
        <v>6</v>
      </c>
      <c r="F48" s="16" t="n">
        <v>100</v>
      </c>
      <c r="G48" s="14" t="n">
        <v>2</v>
      </c>
      <c r="H48" s="14" t="n">
        <v>2</v>
      </c>
      <c r="I48" s="16" t="n">
        <v>100</v>
      </c>
      <c r="J48" s="14" t="n">
        <v>8</v>
      </c>
      <c r="K48" s="14" t="n">
        <v>8</v>
      </c>
      <c r="L48" s="16" t="n">
        <v>100</v>
      </c>
    </row>
    <row r="49" customFormat="false" ht="15" hidden="false" customHeight="true" outlineLevel="0" collapsed="false">
      <c r="A49" s="13" t="s">
        <v>203</v>
      </c>
      <c r="B49" s="13" t="n">
        <v>6</v>
      </c>
      <c r="C49" s="13" t="s">
        <v>674</v>
      </c>
      <c r="D49" s="14" t="n">
        <v>6070</v>
      </c>
      <c r="E49" s="14" t="n">
        <v>5764</v>
      </c>
      <c r="F49" s="16" t="n">
        <v>94.96</v>
      </c>
      <c r="G49" s="14" t="n">
        <v>3518</v>
      </c>
      <c r="H49" s="14" t="n">
        <v>3063</v>
      </c>
      <c r="I49" s="16" t="n">
        <v>87.07</v>
      </c>
      <c r="J49" s="14" t="n">
        <v>9588</v>
      </c>
      <c r="K49" s="14" t="n">
        <v>8827</v>
      </c>
      <c r="L49" s="16" t="n">
        <v>92.06</v>
      </c>
    </row>
    <row r="50" customFormat="false" ht="15" hidden="false" customHeight="true" outlineLevel="0" collapsed="false">
      <c r="A50" s="13" t="s">
        <v>203</v>
      </c>
      <c r="B50" s="13" t="n">
        <v>7</v>
      </c>
      <c r="C50" s="13" t="s">
        <v>675</v>
      </c>
      <c r="D50" s="14" t="n">
        <v>61</v>
      </c>
      <c r="E50" s="14" t="n">
        <v>60</v>
      </c>
      <c r="F50" s="16" t="n">
        <v>98.36</v>
      </c>
      <c r="G50" s="14" t="n">
        <v>0</v>
      </c>
      <c r="H50" s="14" t="n">
        <v>0</v>
      </c>
      <c r="I50" s="16" t="n">
        <v>0</v>
      </c>
      <c r="J50" s="14" t="n">
        <v>61</v>
      </c>
      <c r="K50" s="14" t="n">
        <v>60</v>
      </c>
      <c r="L50" s="16" t="n">
        <v>98.36</v>
      </c>
    </row>
    <row r="51" customFormat="false" ht="15" hidden="false" customHeight="true" outlineLevel="0" collapsed="false">
      <c r="A51" s="13" t="s">
        <v>203</v>
      </c>
      <c r="B51" s="13" t="n">
        <v>8</v>
      </c>
      <c r="C51" s="13" t="s">
        <v>676</v>
      </c>
      <c r="D51" s="14" t="n">
        <v>60</v>
      </c>
      <c r="E51" s="14" t="n">
        <v>60</v>
      </c>
      <c r="F51" s="16" t="n">
        <v>100</v>
      </c>
      <c r="G51" s="14" t="n">
        <v>0</v>
      </c>
      <c r="H51" s="14" t="n">
        <v>0</v>
      </c>
      <c r="I51" s="16" t="n">
        <v>0</v>
      </c>
      <c r="J51" s="14" t="n">
        <v>60</v>
      </c>
      <c r="K51" s="14" t="n">
        <v>60</v>
      </c>
      <c r="L51" s="16" t="n">
        <v>100</v>
      </c>
    </row>
    <row r="52" customFormat="false" ht="15" hidden="false" customHeight="true" outlineLevel="0" collapsed="false">
      <c r="A52" s="13" t="s">
        <v>203</v>
      </c>
      <c r="B52" s="13" t="n">
        <v>9</v>
      </c>
      <c r="C52" s="13" t="s">
        <v>677</v>
      </c>
      <c r="D52" s="14" t="n">
        <v>6074</v>
      </c>
      <c r="E52" s="14" t="n">
        <v>5883</v>
      </c>
      <c r="F52" s="16" t="n">
        <v>96.86</v>
      </c>
      <c r="G52" s="14" t="n">
        <v>3561</v>
      </c>
      <c r="H52" s="14" t="n">
        <v>3149</v>
      </c>
      <c r="I52" s="16" t="n">
        <v>88.43</v>
      </c>
      <c r="J52" s="14" t="n">
        <v>9635</v>
      </c>
      <c r="K52" s="14" t="n">
        <v>9032</v>
      </c>
      <c r="L52" s="16" t="n">
        <v>93.74</v>
      </c>
    </row>
    <row r="53" customFormat="false" ht="15" hidden="false" customHeight="true" outlineLevel="0" collapsed="false">
      <c r="A53" s="13" t="s">
        <v>203</v>
      </c>
      <c r="B53" s="13" t="n">
        <v>10</v>
      </c>
      <c r="C53" s="13" t="s">
        <v>678</v>
      </c>
      <c r="D53" s="14" t="n">
        <v>6011</v>
      </c>
      <c r="E53" s="14" t="n">
        <v>5967</v>
      </c>
      <c r="F53" s="16" t="n">
        <v>99.27</v>
      </c>
      <c r="G53" s="14" t="n">
        <v>3398</v>
      </c>
      <c r="H53" s="14" t="n">
        <v>3310</v>
      </c>
      <c r="I53" s="16" t="n">
        <v>97.41</v>
      </c>
      <c r="J53" s="14" t="n">
        <v>9409</v>
      </c>
      <c r="K53" s="14" t="n">
        <v>9277</v>
      </c>
      <c r="L53" s="16" t="n">
        <v>98.6</v>
      </c>
    </row>
    <row r="54" customFormat="false" ht="15" hidden="false" customHeight="true" outlineLevel="0" collapsed="false">
      <c r="A54" s="13" t="s">
        <v>203</v>
      </c>
      <c r="B54" s="13" t="n">
        <v>11</v>
      </c>
      <c r="C54" s="13" t="s">
        <v>411</v>
      </c>
      <c r="D54" s="14" t="n">
        <v>6065</v>
      </c>
      <c r="E54" s="14" t="n">
        <v>5741</v>
      </c>
      <c r="F54" s="16" t="n">
        <v>94.66</v>
      </c>
      <c r="G54" s="14" t="n">
        <v>3648</v>
      </c>
      <c r="H54" s="14" t="n">
        <v>3025</v>
      </c>
      <c r="I54" s="16" t="n">
        <v>82.92</v>
      </c>
      <c r="J54" s="14" t="n">
        <v>9713</v>
      </c>
      <c r="K54" s="14" t="n">
        <v>8766</v>
      </c>
      <c r="L54" s="16" t="n">
        <v>90.25</v>
      </c>
    </row>
    <row r="55" customFormat="false" ht="15" hidden="false" customHeight="true" outlineLevel="0" collapsed="false">
      <c r="A55" s="13" t="s">
        <v>203</v>
      </c>
      <c r="B55" s="13" t="n">
        <v>12</v>
      </c>
      <c r="C55" s="13" t="s">
        <v>669</v>
      </c>
      <c r="D55" s="14" t="n">
        <v>189</v>
      </c>
      <c r="E55" s="14" t="n">
        <v>187</v>
      </c>
      <c r="F55" s="16" t="n">
        <v>98.94</v>
      </c>
      <c r="G55" s="14" t="n">
        <v>99</v>
      </c>
      <c r="H55" s="14" t="n">
        <v>98</v>
      </c>
      <c r="I55" s="16" t="n">
        <v>98.99</v>
      </c>
      <c r="J55" s="14" t="n">
        <v>288</v>
      </c>
      <c r="K55" s="14" t="n">
        <v>285</v>
      </c>
      <c r="L55" s="16" t="n">
        <v>98.96</v>
      </c>
    </row>
    <row r="56" customFormat="false" ht="15" hidden="false" customHeight="true" outlineLevel="0" collapsed="false">
      <c r="A56" s="13" t="s">
        <v>653</v>
      </c>
      <c r="B56" s="13" t="n">
        <v>1</v>
      </c>
      <c r="C56" s="13" t="s">
        <v>661</v>
      </c>
      <c r="D56" s="14" t="n">
        <v>31016</v>
      </c>
      <c r="E56" s="14" t="n">
        <v>30830</v>
      </c>
      <c r="F56" s="16" t="n">
        <v>99.4</v>
      </c>
      <c r="G56" s="14" t="n">
        <v>20431</v>
      </c>
      <c r="H56" s="14" t="n">
        <v>19816</v>
      </c>
      <c r="I56" s="16" t="n">
        <v>96.99</v>
      </c>
      <c r="J56" s="14" t="n">
        <v>51447</v>
      </c>
      <c r="K56" s="14" t="n">
        <v>50646</v>
      </c>
      <c r="L56" s="16" t="n">
        <v>98.44</v>
      </c>
    </row>
    <row r="57" customFormat="false" ht="15" hidden="false" customHeight="true" outlineLevel="0" collapsed="false">
      <c r="A57" s="13" t="s">
        <v>653</v>
      </c>
      <c r="B57" s="13" t="n">
        <v>2</v>
      </c>
      <c r="C57" s="13" t="s">
        <v>410</v>
      </c>
      <c r="D57" s="14" t="n">
        <v>31615</v>
      </c>
      <c r="E57" s="14" t="n">
        <v>30367</v>
      </c>
      <c r="F57" s="16" t="n">
        <v>96.05</v>
      </c>
      <c r="G57" s="14" t="n">
        <v>21461</v>
      </c>
      <c r="H57" s="14" t="n">
        <v>19109</v>
      </c>
      <c r="I57" s="16" t="n">
        <v>89.04</v>
      </c>
      <c r="J57" s="14" t="n">
        <v>53076</v>
      </c>
      <c r="K57" s="14" t="n">
        <v>49476</v>
      </c>
      <c r="L57" s="16" t="n">
        <v>93.22</v>
      </c>
    </row>
    <row r="58" customFormat="false" ht="15" hidden="false" customHeight="true" outlineLevel="0" collapsed="false">
      <c r="A58" s="13" t="s">
        <v>653</v>
      </c>
      <c r="B58" s="13" t="n">
        <v>3</v>
      </c>
      <c r="C58" s="13" t="s">
        <v>142</v>
      </c>
      <c r="D58" s="14" t="n">
        <v>31655</v>
      </c>
      <c r="E58" s="14" t="n">
        <v>18534</v>
      </c>
      <c r="F58" s="16" t="n">
        <v>58.55</v>
      </c>
      <c r="G58" s="14" t="n">
        <v>28647</v>
      </c>
      <c r="H58" s="14" t="n">
        <v>11211</v>
      </c>
      <c r="I58" s="16" t="n">
        <v>39.13</v>
      </c>
      <c r="J58" s="14" t="n">
        <v>60302</v>
      </c>
      <c r="K58" s="14" t="n">
        <v>29745</v>
      </c>
      <c r="L58" s="16" t="n">
        <v>49.33</v>
      </c>
    </row>
    <row r="59" customFormat="false" ht="15" hidden="false" customHeight="true" outlineLevel="0" collapsed="false">
      <c r="A59" s="13" t="s">
        <v>653</v>
      </c>
      <c r="B59" s="13" t="n">
        <v>4</v>
      </c>
      <c r="C59" s="13" t="s">
        <v>149</v>
      </c>
      <c r="D59" s="14" t="n">
        <v>31605</v>
      </c>
      <c r="E59" s="14" t="n">
        <v>31352</v>
      </c>
      <c r="F59" s="16" t="n">
        <v>99.2</v>
      </c>
      <c r="G59" s="14" t="n">
        <v>20704</v>
      </c>
      <c r="H59" s="14" t="n">
        <v>20225</v>
      </c>
      <c r="I59" s="16" t="n">
        <v>97.69</v>
      </c>
      <c r="J59" s="14" t="n">
        <v>52309</v>
      </c>
      <c r="K59" s="14" t="n">
        <v>51577</v>
      </c>
      <c r="L59" s="16" t="n">
        <v>98.6</v>
      </c>
    </row>
    <row r="60" customFormat="false" ht="15" hidden="false" customHeight="true" outlineLevel="0" collapsed="false">
      <c r="A60" s="13" t="s">
        <v>653</v>
      </c>
      <c r="B60" s="13" t="n">
        <v>5</v>
      </c>
      <c r="C60" s="13" t="s">
        <v>662</v>
      </c>
      <c r="D60" s="14" t="n">
        <v>23</v>
      </c>
      <c r="E60" s="14" t="n">
        <v>23</v>
      </c>
      <c r="F60" s="16" t="n">
        <v>100</v>
      </c>
      <c r="G60" s="14" t="n">
        <v>14</v>
      </c>
      <c r="H60" s="14" t="n">
        <v>14</v>
      </c>
      <c r="I60" s="16" t="n">
        <v>100</v>
      </c>
      <c r="J60" s="14" t="n">
        <v>37</v>
      </c>
      <c r="K60" s="14" t="n">
        <v>37</v>
      </c>
      <c r="L60" s="16" t="n">
        <v>100</v>
      </c>
    </row>
    <row r="61" customFormat="false" ht="15" hidden="false" customHeight="true" outlineLevel="0" collapsed="false">
      <c r="A61" s="13" t="s">
        <v>653</v>
      </c>
      <c r="B61" s="13" t="n">
        <v>6</v>
      </c>
      <c r="C61" s="13" t="s">
        <v>669</v>
      </c>
      <c r="D61" s="14" t="n">
        <v>620</v>
      </c>
      <c r="E61" s="14" t="n">
        <v>618</v>
      </c>
      <c r="F61" s="16" t="n">
        <v>99.68</v>
      </c>
      <c r="G61" s="14" t="n">
        <v>550</v>
      </c>
      <c r="H61" s="14" t="n">
        <v>543</v>
      </c>
      <c r="I61" s="16" t="n">
        <v>98.73</v>
      </c>
      <c r="J61" s="14" t="n">
        <v>1170</v>
      </c>
      <c r="K61" s="14" t="n">
        <v>1161</v>
      </c>
      <c r="L61" s="16" t="n">
        <v>99.23</v>
      </c>
    </row>
    <row r="62" customFormat="false" ht="15" hidden="false" customHeight="true" outlineLevel="0" collapsed="false">
      <c r="A62" s="13" t="s">
        <v>653</v>
      </c>
      <c r="B62" s="13" t="n">
        <v>7</v>
      </c>
      <c r="C62" s="13" t="s">
        <v>156</v>
      </c>
      <c r="D62" s="14" t="n">
        <v>144</v>
      </c>
      <c r="E62" s="14" t="n">
        <v>71</v>
      </c>
      <c r="F62" s="16" t="n">
        <v>49.31</v>
      </c>
      <c r="G62" s="14" t="n">
        <v>208</v>
      </c>
      <c r="H62" s="14" t="n">
        <v>56</v>
      </c>
      <c r="I62" s="16" t="n">
        <v>26.92</v>
      </c>
      <c r="J62" s="14" t="n">
        <v>352</v>
      </c>
      <c r="K62" s="14" t="n">
        <v>127</v>
      </c>
      <c r="L62" s="16" t="n">
        <v>36.08</v>
      </c>
    </row>
    <row r="63" customFormat="false" ht="15" hidden="false" customHeight="true" outlineLevel="0" collapsed="false">
      <c r="A63" s="13" t="s">
        <v>653</v>
      </c>
      <c r="B63" s="13" t="n">
        <v>8</v>
      </c>
      <c r="C63" s="13" t="s">
        <v>427</v>
      </c>
      <c r="D63" s="14" t="n">
        <v>5186</v>
      </c>
      <c r="E63" s="14" t="n">
        <v>5151</v>
      </c>
      <c r="F63" s="16" t="n">
        <v>99.33</v>
      </c>
      <c r="G63" s="14" t="n">
        <v>6055</v>
      </c>
      <c r="H63" s="14" t="n">
        <v>5920</v>
      </c>
      <c r="I63" s="16" t="n">
        <v>97.77</v>
      </c>
      <c r="J63" s="14" t="n">
        <v>11241</v>
      </c>
      <c r="K63" s="14" t="n">
        <v>11071</v>
      </c>
      <c r="L63" s="16" t="n">
        <v>98.49</v>
      </c>
    </row>
    <row r="64" customFormat="false" ht="15" hidden="false" customHeight="true" outlineLevel="0" collapsed="false">
      <c r="A64" s="13" t="s">
        <v>653</v>
      </c>
      <c r="B64" s="13" t="n">
        <v>9</v>
      </c>
      <c r="C64" s="13" t="s">
        <v>670</v>
      </c>
      <c r="D64" s="14" t="n">
        <v>16235</v>
      </c>
      <c r="E64" s="14" t="n">
        <v>10742</v>
      </c>
      <c r="F64" s="16" t="n">
        <v>66.17</v>
      </c>
      <c r="G64" s="14" t="n">
        <v>2201</v>
      </c>
      <c r="H64" s="14" t="n">
        <v>738</v>
      </c>
      <c r="I64" s="16" t="n">
        <v>33.53</v>
      </c>
      <c r="J64" s="14" t="n">
        <v>18436</v>
      </c>
      <c r="K64" s="14" t="n">
        <v>11480</v>
      </c>
      <c r="L64" s="16" t="n">
        <v>62.27</v>
      </c>
    </row>
    <row r="65" customFormat="false" ht="15" hidden="false" customHeight="true" outlineLevel="0" collapsed="false">
      <c r="A65" s="13" t="s">
        <v>653</v>
      </c>
      <c r="B65" s="13" t="n">
        <v>10</v>
      </c>
      <c r="C65" s="13" t="s">
        <v>671</v>
      </c>
      <c r="D65" s="14" t="n">
        <v>15954</v>
      </c>
      <c r="E65" s="14" t="n">
        <v>15858</v>
      </c>
      <c r="F65" s="16" t="n">
        <v>99.4</v>
      </c>
      <c r="G65" s="14" t="n">
        <v>323</v>
      </c>
      <c r="H65" s="14" t="n">
        <v>322</v>
      </c>
      <c r="I65" s="16" t="n">
        <v>99.69</v>
      </c>
      <c r="J65" s="14" t="n">
        <v>16277</v>
      </c>
      <c r="K65" s="14" t="n">
        <v>16180</v>
      </c>
      <c r="L65" s="16" t="n">
        <v>99.4</v>
      </c>
    </row>
    <row r="66" customFormat="false" ht="15" hidden="false" customHeight="true" outlineLevel="0" collapsed="false">
      <c r="A66" s="13" t="s">
        <v>653</v>
      </c>
      <c r="B66" s="13" t="n">
        <v>11</v>
      </c>
      <c r="C66" s="13" t="s">
        <v>679</v>
      </c>
      <c r="D66" s="14" t="n">
        <v>63</v>
      </c>
      <c r="E66" s="14" t="n">
        <v>63</v>
      </c>
      <c r="F66" s="16" t="n">
        <v>100</v>
      </c>
      <c r="G66" s="14" t="n">
        <v>4</v>
      </c>
      <c r="H66" s="14" t="n">
        <v>4</v>
      </c>
      <c r="I66" s="16" t="n">
        <v>100</v>
      </c>
      <c r="J66" s="14" t="n">
        <v>67</v>
      </c>
      <c r="K66" s="14" t="n">
        <v>67</v>
      </c>
      <c r="L66" s="16" t="n">
        <v>100</v>
      </c>
    </row>
    <row r="67" customFormat="false" ht="15" hidden="false" customHeight="true" outlineLevel="0" collapsed="false">
      <c r="A67" s="13" t="s">
        <v>653</v>
      </c>
      <c r="B67" s="13" t="n">
        <v>12</v>
      </c>
      <c r="C67" s="13" t="s">
        <v>733</v>
      </c>
      <c r="D67" s="14" t="n">
        <v>1826</v>
      </c>
      <c r="E67" s="14" t="n">
        <v>1821</v>
      </c>
      <c r="F67" s="16" t="n">
        <v>99.73</v>
      </c>
      <c r="G67" s="14" t="n">
        <v>7</v>
      </c>
      <c r="H67" s="14" t="n">
        <v>5</v>
      </c>
      <c r="I67" s="16" t="n">
        <v>71.43</v>
      </c>
      <c r="J67" s="14" t="n">
        <v>1833</v>
      </c>
      <c r="K67" s="14" t="n">
        <v>1826</v>
      </c>
      <c r="L67" s="16" t="n">
        <v>99.62</v>
      </c>
    </row>
    <row r="68" customFormat="false" ht="15" hidden="false" customHeight="true" outlineLevel="0" collapsed="false">
      <c r="A68" s="13" t="s">
        <v>653</v>
      </c>
      <c r="B68" s="13" t="n">
        <v>13</v>
      </c>
      <c r="C68" s="13" t="s">
        <v>734</v>
      </c>
      <c r="D68" s="14" t="n">
        <v>1803</v>
      </c>
      <c r="E68" s="14" t="n">
        <v>1803</v>
      </c>
      <c r="F68" s="16" t="n">
        <v>100</v>
      </c>
      <c r="G68" s="14" t="n">
        <v>6</v>
      </c>
      <c r="H68" s="14" t="n">
        <v>6</v>
      </c>
      <c r="I68" s="16" t="n">
        <v>100</v>
      </c>
      <c r="J68" s="14" t="n">
        <v>1809</v>
      </c>
      <c r="K68" s="14" t="n">
        <v>1809</v>
      </c>
      <c r="L68" s="16" t="n">
        <v>100</v>
      </c>
    </row>
    <row r="69" customFormat="false" ht="15" hidden="false" customHeight="true" outlineLevel="0" collapsed="false">
      <c r="A69" s="13" t="s">
        <v>653</v>
      </c>
      <c r="B69" s="13" t="n">
        <v>14</v>
      </c>
      <c r="C69" s="13" t="s">
        <v>682</v>
      </c>
      <c r="D69" s="14" t="n">
        <v>35</v>
      </c>
      <c r="E69" s="14" t="n">
        <v>35</v>
      </c>
      <c r="F69" s="16" t="n">
        <v>100</v>
      </c>
      <c r="G69" s="14" t="n">
        <v>0</v>
      </c>
      <c r="H69" s="14" t="n">
        <v>0</v>
      </c>
      <c r="I69" s="16" t="n">
        <v>0</v>
      </c>
      <c r="J69" s="14" t="n">
        <v>35</v>
      </c>
      <c r="K69" s="14" t="n">
        <v>35</v>
      </c>
      <c r="L69" s="16" t="n">
        <v>100</v>
      </c>
    </row>
    <row r="70" customFormat="false" ht="15" hidden="false" customHeight="true" outlineLevel="0" collapsed="false">
      <c r="A70" s="13" t="s">
        <v>653</v>
      </c>
      <c r="B70" s="13" t="n">
        <v>15</v>
      </c>
      <c r="C70" s="13" t="s">
        <v>683</v>
      </c>
      <c r="D70" s="14" t="n">
        <v>34</v>
      </c>
      <c r="E70" s="14" t="n">
        <v>32</v>
      </c>
      <c r="F70" s="16" t="n">
        <v>94.12</v>
      </c>
      <c r="G70" s="14" t="n">
        <v>0</v>
      </c>
      <c r="H70" s="14" t="n">
        <v>0</v>
      </c>
      <c r="I70" s="16" t="n">
        <v>0</v>
      </c>
      <c r="J70" s="14" t="n">
        <v>34</v>
      </c>
      <c r="K70" s="14" t="n">
        <v>32</v>
      </c>
      <c r="L70" s="16" t="n">
        <v>94.12</v>
      </c>
    </row>
    <row r="71" customFormat="false" ht="15" hidden="false" customHeight="true" outlineLevel="0" collapsed="false">
      <c r="A71" s="13" t="s">
        <v>653</v>
      </c>
      <c r="B71" s="13" t="n">
        <v>16</v>
      </c>
      <c r="C71" s="13" t="s">
        <v>419</v>
      </c>
      <c r="D71" s="14" t="n">
        <v>13364</v>
      </c>
      <c r="E71" s="14" t="n">
        <v>13082</v>
      </c>
      <c r="F71" s="16" t="n">
        <v>97.89</v>
      </c>
      <c r="G71" s="14" t="n">
        <v>15673</v>
      </c>
      <c r="H71" s="14" t="n">
        <v>14564</v>
      </c>
      <c r="I71" s="16" t="n">
        <v>92.92</v>
      </c>
      <c r="J71" s="14" t="n">
        <v>29037</v>
      </c>
      <c r="K71" s="14" t="n">
        <v>27646</v>
      </c>
      <c r="L71" s="16" t="n">
        <v>95.21</v>
      </c>
    </row>
    <row r="72" customFormat="false" ht="15" hidden="false" customHeight="true" outlineLevel="0" collapsed="false">
      <c r="A72" s="13" t="s">
        <v>653</v>
      </c>
      <c r="B72" s="13" t="n">
        <v>17</v>
      </c>
      <c r="C72" s="13" t="s">
        <v>426</v>
      </c>
      <c r="D72" s="14" t="n">
        <v>3034</v>
      </c>
      <c r="E72" s="14" t="n">
        <v>2957</v>
      </c>
      <c r="F72" s="16" t="n">
        <v>97.46</v>
      </c>
      <c r="G72" s="14" t="n">
        <v>6542</v>
      </c>
      <c r="H72" s="14" t="n">
        <v>5983</v>
      </c>
      <c r="I72" s="16" t="n">
        <v>91.46</v>
      </c>
      <c r="J72" s="14" t="n">
        <v>9576</v>
      </c>
      <c r="K72" s="14" t="n">
        <v>8940</v>
      </c>
      <c r="L72" s="16" t="n">
        <v>93.36</v>
      </c>
    </row>
    <row r="73" customFormat="false" ht="15" hidden="false" customHeight="true" outlineLevel="0" collapsed="false">
      <c r="A73" s="13" t="s">
        <v>653</v>
      </c>
      <c r="B73" s="13" t="n">
        <v>18</v>
      </c>
      <c r="C73" s="13" t="s">
        <v>150</v>
      </c>
      <c r="D73" s="14" t="n">
        <v>16210</v>
      </c>
      <c r="E73" s="14" t="n">
        <v>15442</v>
      </c>
      <c r="F73" s="16" t="n">
        <v>95.26</v>
      </c>
      <c r="G73" s="14" t="n">
        <v>17812</v>
      </c>
      <c r="H73" s="14" t="n">
        <v>15618</v>
      </c>
      <c r="I73" s="16" t="n">
        <v>87.68</v>
      </c>
      <c r="J73" s="14" t="n">
        <v>34022</v>
      </c>
      <c r="K73" s="14" t="n">
        <v>31060</v>
      </c>
      <c r="L73" s="16" t="n">
        <v>91.29</v>
      </c>
    </row>
    <row r="74" customFormat="false" ht="15" hidden="false" customHeight="true" outlineLevel="0" collapsed="false">
      <c r="A74" s="13" t="s">
        <v>653</v>
      </c>
      <c r="B74" s="13" t="n">
        <v>19</v>
      </c>
      <c r="C74" s="13" t="s">
        <v>154</v>
      </c>
      <c r="D74" s="14" t="n">
        <v>10755</v>
      </c>
      <c r="E74" s="14" t="n">
        <v>10168</v>
      </c>
      <c r="F74" s="16" t="n">
        <v>94.54</v>
      </c>
      <c r="G74" s="14" t="n">
        <v>11205</v>
      </c>
      <c r="H74" s="14" t="n">
        <v>9758</v>
      </c>
      <c r="I74" s="16" t="n">
        <v>87.09</v>
      </c>
      <c r="J74" s="14" t="n">
        <v>21960</v>
      </c>
      <c r="K74" s="14" t="n">
        <v>19926</v>
      </c>
      <c r="L74" s="16" t="n">
        <v>90.74</v>
      </c>
    </row>
    <row r="75" customFormat="false" ht="15" hidden="false" customHeight="true" outlineLevel="0" collapsed="false">
      <c r="A75" s="13" t="s">
        <v>653</v>
      </c>
      <c r="B75" s="13" t="n">
        <v>20</v>
      </c>
      <c r="C75" s="13" t="s">
        <v>684</v>
      </c>
      <c r="D75" s="14" t="n">
        <v>966</v>
      </c>
      <c r="E75" s="14" t="n">
        <v>904</v>
      </c>
      <c r="F75" s="16" t="n">
        <v>93.58</v>
      </c>
      <c r="G75" s="14" t="n">
        <v>1217</v>
      </c>
      <c r="H75" s="14" t="n">
        <v>1076</v>
      </c>
      <c r="I75" s="16" t="n">
        <v>88.41</v>
      </c>
      <c r="J75" s="14" t="n">
        <v>2183</v>
      </c>
      <c r="K75" s="14" t="n">
        <v>1980</v>
      </c>
      <c r="L75" s="16" t="n">
        <v>90.7</v>
      </c>
    </row>
    <row r="76" customFormat="false" ht="15" hidden="false" customHeight="true" outlineLevel="0" collapsed="false">
      <c r="A76" s="13" t="s">
        <v>653</v>
      </c>
      <c r="B76" s="13" t="n">
        <v>21</v>
      </c>
      <c r="C76" s="13" t="s">
        <v>162</v>
      </c>
      <c r="D76" s="14" t="n">
        <v>1458</v>
      </c>
      <c r="E76" s="14" t="n">
        <v>1440</v>
      </c>
      <c r="F76" s="16" t="n">
        <v>98.77</v>
      </c>
      <c r="G76" s="14" t="n">
        <v>1572</v>
      </c>
      <c r="H76" s="14" t="n">
        <v>1537</v>
      </c>
      <c r="I76" s="16" t="n">
        <v>97.77</v>
      </c>
      <c r="J76" s="14" t="n">
        <v>3030</v>
      </c>
      <c r="K76" s="14" t="n">
        <v>2977</v>
      </c>
      <c r="L76" s="16" t="n">
        <v>98.25</v>
      </c>
    </row>
    <row r="77" customFormat="false" ht="15" hidden="false" customHeight="true" outlineLevel="0" collapsed="false">
      <c r="A77" s="13" t="s">
        <v>653</v>
      </c>
      <c r="B77" s="13" t="n">
        <v>22</v>
      </c>
      <c r="C77" s="13" t="s">
        <v>424</v>
      </c>
      <c r="D77" s="14" t="n">
        <v>2968</v>
      </c>
      <c r="E77" s="14" t="n">
        <v>2960</v>
      </c>
      <c r="F77" s="16" t="n">
        <v>99.73</v>
      </c>
      <c r="G77" s="14" t="n">
        <v>1463</v>
      </c>
      <c r="H77" s="14" t="n">
        <v>1404</v>
      </c>
      <c r="I77" s="16" t="n">
        <v>95.97</v>
      </c>
      <c r="J77" s="14" t="n">
        <v>4431</v>
      </c>
      <c r="K77" s="14" t="n">
        <v>4364</v>
      </c>
      <c r="L77" s="16" t="n">
        <v>98.49</v>
      </c>
    </row>
    <row r="78" customFormat="false" ht="15" hidden="false" customHeight="true" outlineLevel="0" collapsed="false">
      <c r="A78" s="13" t="s">
        <v>653</v>
      </c>
      <c r="B78" s="13" t="n">
        <v>23</v>
      </c>
      <c r="C78" s="13" t="s">
        <v>685</v>
      </c>
      <c r="D78" s="14" t="n">
        <v>694</v>
      </c>
      <c r="E78" s="14" t="n">
        <v>641</v>
      </c>
      <c r="F78" s="16" t="n">
        <v>92.36</v>
      </c>
      <c r="G78" s="14" t="n">
        <v>12</v>
      </c>
      <c r="H78" s="14" t="n">
        <v>3</v>
      </c>
      <c r="I78" s="16" t="n">
        <v>25</v>
      </c>
      <c r="J78" s="14" t="n">
        <v>706</v>
      </c>
      <c r="K78" s="14" t="n">
        <v>644</v>
      </c>
      <c r="L78" s="16" t="n">
        <v>91.22</v>
      </c>
    </row>
    <row r="79" customFormat="false" ht="15" hidden="false" customHeight="true" outlineLevel="0" collapsed="false">
      <c r="A79" s="13" t="s">
        <v>653</v>
      </c>
      <c r="B79" s="13" t="n">
        <v>24</v>
      </c>
      <c r="C79" s="13" t="s">
        <v>686</v>
      </c>
      <c r="D79" s="14" t="n">
        <v>682</v>
      </c>
      <c r="E79" s="14" t="n">
        <v>682</v>
      </c>
      <c r="F79" s="16" t="n">
        <v>100</v>
      </c>
      <c r="G79" s="14" t="n">
        <v>3</v>
      </c>
      <c r="H79" s="14" t="n">
        <v>3</v>
      </c>
      <c r="I79" s="16" t="n">
        <v>100</v>
      </c>
      <c r="J79" s="14" t="n">
        <v>685</v>
      </c>
      <c r="K79" s="14" t="n">
        <v>685</v>
      </c>
      <c r="L79" s="16" t="n">
        <v>100</v>
      </c>
    </row>
    <row r="80" customFormat="false" ht="15" hidden="false" customHeight="true" outlineLevel="0" collapsed="false">
      <c r="A80" s="13" t="s">
        <v>653</v>
      </c>
      <c r="B80" s="13" t="n">
        <v>25</v>
      </c>
      <c r="C80" s="13" t="s">
        <v>687</v>
      </c>
      <c r="D80" s="14" t="n">
        <v>1543</v>
      </c>
      <c r="E80" s="14" t="n">
        <v>1538</v>
      </c>
      <c r="F80" s="16" t="n">
        <v>99.68</v>
      </c>
      <c r="G80" s="14" t="n">
        <v>7</v>
      </c>
      <c r="H80" s="14" t="n">
        <v>7</v>
      </c>
      <c r="I80" s="16" t="n">
        <v>100</v>
      </c>
      <c r="J80" s="14" t="n">
        <v>1550</v>
      </c>
      <c r="K80" s="14" t="n">
        <v>1545</v>
      </c>
      <c r="L80" s="16" t="n">
        <v>99.68</v>
      </c>
    </row>
    <row r="81" customFormat="false" ht="15" hidden="false" customHeight="true" outlineLevel="0" collapsed="false">
      <c r="A81" s="13" t="s">
        <v>653</v>
      </c>
      <c r="B81" s="13" t="n">
        <v>26</v>
      </c>
      <c r="C81" s="13" t="s">
        <v>688</v>
      </c>
      <c r="D81" s="14" t="n">
        <v>1520</v>
      </c>
      <c r="E81" s="14" t="n">
        <v>1520</v>
      </c>
      <c r="F81" s="16" t="n">
        <v>100</v>
      </c>
      <c r="G81" s="14" t="n">
        <v>10</v>
      </c>
      <c r="H81" s="14" t="n">
        <v>10</v>
      </c>
      <c r="I81" s="16" t="n">
        <v>100</v>
      </c>
      <c r="J81" s="14" t="n">
        <v>1530</v>
      </c>
      <c r="K81" s="14" t="n">
        <v>1530</v>
      </c>
      <c r="L81" s="16" t="n">
        <v>100</v>
      </c>
    </row>
    <row r="82" customFormat="false" ht="15" hidden="false" customHeight="true" outlineLevel="0" collapsed="false">
      <c r="A82" s="13" t="s">
        <v>653</v>
      </c>
      <c r="B82" s="13" t="n">
        <v>27</v>
      </c>
      <c r="C82" s="13" t="s">
        <v>152</v>
      </c>
      <c r="D82" s="14" t="n">
        <v>3783</v>
      </c>
      <c r="E82" s="14" t="n">
        <v>3545</v>
      </c>
      <c r="F82" s="16" t="n">
        <v>93.71</v>
      </c>
      <c r="G82" s="14" t="n">
        <v>1219</v>
      </c>
      <c r="H82" s="14" t="n">
        <v>1002</v>
      </c>
      <c r="I82" s="16" t="n">
        <v>82.2</v>
      </c>
      <c r="J82" s="14" t="n">
        <v>5002</v>
      </c>
      <c r="K82" s="14" t="n">
        <v>4547</v>
      </c>
      <c r="L82" s="16" t="n">
        <v>90.9</v>
      </c>
    </row>
    <row r="83" customFormat="false" ht="15" hidden="false" customHeight="true" outlineLevel="0" collapsed="false">
      <c r="A83" s="13" t="s">
        <v>653</v>
      </c>
      <c r="B83" s="13" t="n">
        <v>28</v>
      </c>
      <c r="C83" s="13" t="s">
        <v>689</v>
      </c>
      <c r="D83" s="14" t="n">
        <v>12</v>
      </c>
      <c r="E83" s="14" t="n">
        <v>12</v>
      </c>
      <c r="F83" s="16" t="n">
        <v>100</v>
      </c>
      <c r="G83" s="14" t="n">
        <v>10</v>
      </c>
      <c r="H83" s="14" t="n">
        <v>10</v>
      </c>
      <c r="I83" s="16" t="n">
        <v>100</v>
      </c>
      <c r="J83" s="14" t="n">
        <v>22</v>
      </c>
      <c r="K83" s="14" t="n">
        <v>22</v>
      </c>
      <c r="L83" s="16" t="n">
        <v>100</v>
      </c>
    </row>
    <row r="84" customFormat="false" ht="15" hidden="false" customHeight="true" outlineLevel="0" collapsed="false">
      <c r="A84" s="13" t="s">
        <v>653</v>
      </c>
      <c r="B84" s="13" t="n">
        <v>29</v>
      </c>
      <c r="C84" s="13" t="s">
        <v>690</v>
      </c>
      <c r="D84" s="14" t="n">
        <v>742</v>
      </c>
      <c r="E84" s="14" t="n">
        <v>741</v>
      </c>
      <c r="F84" s="16" t="n">
        <v>99.87</v>
      </c>
      <c r="G84" s="14" t="n">
        <v>3</v>
      </c>
      <c r="H84" s="14" t="n">
        <v>0</v>
      </c>
      <c r="I84" s="16" t="n">
        <v>0</v>
      </c>
      <c r="J84" s="14" t="n">
        <v>745</v>
      </c>
      <c r="K84" s="14" t="n">
        <v>741</v>
      </c>
      <c r="L84" s="16" t="n">
        <v>99.46</v>
      </c>
    </row>
    <row r="85" customFormat="false" ht="15" hidden="false" customHeight="true" outlineLevel="0" collapsed="false">
      <c r="A85" s="13" t="s">
        <v>653</v>
      </c>
      <c r="B85" s="13" t="n">
        <v>30</v>
      </c>
      <c r="C85" s="13" t="s">
        <v>691</v>
      </c>
      <c r="D85" s="14" t="n">
        <v>739</v>
      </c>
      <c r="E85" s="14" t="n">
        <v>732</v>
      </c>
      <c r="F85" s="16" t="n">
        <v>99.05</v>
      </c>
      <c r="G85" s="14" t="n">
        <v>1</v>
      </c>
      <c r="H85" s="14" t="n">
        <v>1</v>
      </c>
      <c r="I85" s="16" t="n">
        <v>100</v>
      </c>
      <c r="J85" s="14" t="n">
        <v>740</v>
      </c>
      <c r="K85" s="14" t="n">
        <v>733</v>
      </c>
      <c r="L85" s="16" t="n">
        <v>99.05</v>
      </c>
    </row>
    <row r="86" customFormat="false" ht="15" hidden="false" customHeight="true" outlineLevel="0" collapsed="false">
      <c r="A86" s="13" t="s">
        <v>653</v>
      </c>
      <c r="B86" s="13" t="n">
        <v>31</v>
      </c>
      <c r="C86" s="13" t="s">
        <v>692</v>
      </c>
      <c r="D86" s="14" t="n">
        <v>4270</v>
      </c>
      <c r="E86" s="14" t="n">
        <v>4234</v>
      </c>
      <c r="F86" s="16" t="n">
        <v>99.16</v>
      </c>
      <c r="G86" s="14" t="n">
        <v>34</v>
      </c>
      <c r="H86" s="14" t="n">
        <v>34</v>
      </c>
      <c r="I86" s="16" t="n">
        <v>100</v>
      </c>
      <c r="J86" s="14" t="n">
        <v>4304</v>
      </c>
      <c r="K86" s="14" t="n">
        <v>4268</v>
      </c>
      <c r="L86" s="16" t="n">
        <v>99.16</v>
      </c>
    </row>
    <row r="87" customFormat="false" ht="15" hidden="false" customHeight="true" outlineLevel="0" collapsed="false">
      <c r="A87" s="13" t="s">
        <v>653</v>
      </c>
      <c r="B87" s="13" t="n">
        <v>32</v>
      </c>
      <c r="C87" s="13" t="s">
        <v>693</v>
      </c>
      <c r="D87" s="14" t="n">
        <v>4218</v>
      </c>
      <c r="E87" s="14" t="n">
        <v>4211</v>
      </c>
      <c r="F87" s="16" t="n">
        <v>99.83</v>
      </c>
      <c r="G87" s="14" t="n">
        <v>32</v>
      </c>
      <c r="H87" s="14" t="n">
        <v>31</v>
      </c>
      <c r="I87" s="16" t="n">
        <v>96.88</v>
      </c>
      <c r="J87" s="14" t="n">
        <v>4250</v>
      </c>
      <c r="K87" s="14" t="n">
        <v>4242</v>
      </c>
      <c r="L87" s="16" t="n">
        <v>99.81</v>
      </c>
    </row>
    <row r="88" customFormat="false" ht="15" hidden="false" customHeight="true" outlineLevel="0" collapsed="false">
      <c r="A88" s="13" t="s">
        <v>653</v>
      </c>
      <c r="B88" s="13" t="n">
        <v>33</v>
      </c>
      <c r="C88" s="13" t="s">
        <v>735</v>
      </c>
      <c r="D88" s="14" t="n">
        <v>535</v>
      </c>
      <c r="E88" s="14" t="n">
        <v>460</v>
      </c>
      <c r="F88" s="16" t="n">
        <v>85.98</v>
      </c>
      <c r="G88" s="14" t="n">
        <v>102</v>
      </c>
      <c r="H88" s="14" t="n">
        <v>59</v>
      </c>
      <c r="I88" s="16" t="n">
        <v>57.84</v>
      </c>
      <c r="J88" s="14" t="n">
        <v>637</v>
      </c>
      <c r="K88" s="14" t="n">
        <v>519</v>
      </c>
      <c r="L88" s="16" t="n">
        <v>81.48</v>
      </c>
    </row>
    <row r="89" customFormat="false" ht="15" hidden="false" customHeight="true" outlineLevel="0" collapsed="false">
      <c r="A89" s="13" t="s">
        <v>653</v>
      </c>
      <c r="B89" s="13" t="n">
        <v>34</v>
      </c>
      <c r="C89" s="13" t="s">
        <v>505</v>
      </c>
      <c r="D89" s="14" t="n">
        <v>488</v>
      </c>
      <c r="E89" s="14" t="n">
        <v>485</v>
      </c>
      <c r="F89" s="16" t="n">
        <v>99.39</v>
      </c>
      <c r="G89" s="14" t="n">
        <v>134</v>
      </c>
      <c r="H89" s="14" t="n">
        <v>116</v>
      </c>
      <c r="I89" s="16" t="n">
        <v>86.57</v>
      </c>
      <c r="J89" s="14" t="n">
        <v>622</v>
      </c>
      <c r="K89" s="14" t="n">
        <v>601</v>
      </c>
      <c r="L89" s="16" t="n">
        <v>96.62</v>
      </c>
    </row>
    <row r="90" customFormat="false" ht="15" hidden="false" customHeight="true" outlineLevel="0" collapsed="false">
      <c r="A90" s="13" t="s">
        <v>653</v>
      </c>
      <c r="B90" s="13" t="n">
        <v>35</v>
      </c>
      <c r="C90" s="13" t="s">
        <v>694</v>
      </c>
      <c r="D90" s="14" t="n">
        <v>196</v>
      </c>
      <c r="E90" s="14" t="n">
        <v>193</v>
      </c>
      <c r="F90" s="16" t="n">
        <v>98.47</v>
      </c>
      <c r="G90" s="14" t="n">
        <v>1</v>
      </c>
      <c r="H90" s="14" t="n">
        <v>0</v>
      </c>
      <c r="I90" s="16" t="n">
        <v>0</v>
      </c>
      <c r="J90" s="14" t="n">
        <v>197</v>
      </c>
      <c r="K90" s="14" t="n">
        <v>193</v>
      </c>
      <c r="L90" s="16" t="n">
        <v>97.97</v>
      </c>
    </row>
    <row r="91" customFormat="false" ht="15" hidden="false" customHeight="true" outlineLevel="0" collapsed="false">
      <c r="A91" s="13" t="s">
        <v>653</v>
      </c>
      <c r="B91" s="13" t="n">
        <v>36</v>
      </c>
      <c r="C91" s="13" t="s">
        <v>695</v>
      </c>
      <c r="D91" s="14" t="n">
        <v>196</v>
      </c>
      <c r="E91" s="14" t="n">
        <v>196</v>
      </c>
      <c r="F91" s="16" t="n">
        <v>100</v>
      </c>
      <c r="G91" s="14" t="n">
        <v>0</v>
      </c>
      <c r="H91" s="14" t="n">
        <v>0</v>
      </c>
      <c r="I91" s="16" t="n">
        <v>0</v>
      </c>
      <c r="J91" s="14" t="n">
        <v>196</v>
      </c>
      <c r="K91" s="14" t="n">
        <v>196</v>
      </c>
      <c r="L91" s="16" t="n">
        <v>100</v>
      </c>
    </row>
    <row r="92" customFormat="false" ht="15" hidden="false" customHeight="true" outlineLevel="0" collapsed="false">
      <c r="A92" s="13" t="s">
        <v>653</v>
      </c>
      <c r="B92" s="13" t="n">
        <v>37</v>
      </c>
      <c r="C92" s="13" t="s">
        <v>696</v>
      </c>
      <c r="D92" s="14" t="n">
        <v>196</v>
      </c>
      <c r="E92" s="14" t="n">
        <v>195</v>
      </c>
      <c r="F92" s="16" t="n">
        <v>99.49</v>
      </c>
      <c r="G92" s="14" t="n">
        <v>0</v>
      </c>
      <c r="H92" s="14" t="n">
        <v>0</v>
      </c>
      <c r="I92" s="16" t="n">
        <v>0</v>
      </c>
      <c r="J92" s="14" t="n">
        <v>196</v>
      </c>
      <c r="K92" s="14" t="n">
        <v>195</v>
      </c>
      <c r="L92" s="16" t="n">
        <v>99.49</v>
      </c>
    </row>
    <row r="93" customFormat="false" ht="15" hidden="false" customHeight="true" outlineLevel="0" collapsed="false">
      <c r="A93" s="13" t="s">
        <v>653</v>
      </c>
      <c r="B93" s="13" t="n">
        <v>38</v>
      </c>
      <c r="C93" s="13" t="s">
        <v>697</v>
      </c>
      <c r="D93" s="14" t="n">
        <v>196</v>
      </c>
      <c r="E93" s="14" t="n">
        <v>194</v>
      </c>
      <c r="F93" s="16" t="n">
        <v>98.98</v>
      </c>
      <c r="G93" s="14" t="n">
        <v>0</v>
      </c>
      <c r="H93" s="14" t="n">
        <v>0</v>
      </c>
      <c r="I93" s="16" t="n">
        <v>0</v>
      </c>
      <c r="J93" s="14" t="n">
        <v>196</v>
      </c>
      <c r="K93" s="14" t="n">
        <v>194</v>
      </c>
      <c r="L93" s="16" t="n">
        <v>98.98</v>
      </c>
    </row>
    <row r="94" customFormat="false" ht="15" hidden="false" customHeight="true" outlineLevel="0" collapsed="false">
      <c r="A94" s="13" t="s">
        <v>653</v>
      </c>
      <c r="B94" s="13" t="n">
        <v>39</v>
      </c>
      <c r="C94" s="13" t="s">
        <v>698</v>
      </c>
      <c r="D94" s="14" t="n">
        <v>196</v>
      </c>
      <c r="E94" s="14" t="n">
        <v>190</v>
      </c>
      <c r="F94" s="16" t="n">
        <v>96.94</v>
      </c>
      <c r="G94" s="14" t="n">
        <v>0</v>
      </c>
      <c r="H94" s="14" t="n">
        <v>0</v>
      </c>
      <c r="I94" s="16" t="n">
        <v>0</v>
      </c>
      <c r="J94" s="14" t="n">
        <v>196</v>
      </c>
      <c r="K94" s="14" t="n">
        <v>190</v>
      </c>
      <c r="L94" s="16" t="n">
        <v>96.94</v>
      </c>
    </row>
    <row r="95" customFormat="false" ht="15" hidden="false" customHeight="true" outlineLevel="0" collapsed="false">
      <c r="A95" s="13" t="s">
        <v>653</v>
      </c>
      <c r="B95" s="13" t="n">
        <v>40</v>
      </c>
      <c r="C95" s="13" t="s">
        <v>699</v>
      </c>
      <c r="D95" s="14" t="n">
        <v>194</v>
      </c>
      <c r="E95" s="14" t="n">
        <v>194</v>
      </c>
      <c r="F95" s="16" t="n">
        <v>100</v>
      </c>
      <c r="G95" s="14" t="n">
        <v>0</v>
      </c>
      <c r="H95" s="14" t="n">
        <v>0</v>
      </c>
      <c r="I95" s="16" t="n">
        <v>0</v>
      </c>
      <c r="J95" s="14" t="n">
        <v>194</v>
      </c>
      <c r="K95" s="14" t="n">
        <v>194</v>
      </c>
      <c r="L95" s="16" t="n">
        <v>100</v>
      </c>
    </row>
    <row r="96" customFormat="false" ht="15" hidden="false" customHeight="true" outlineLevel="0" collapsed="false">
      <c r="A96" s="13" t="s">
        <v>653</v>
      </c>
      <c r="B96" s="13" t="n">
        <v>41</v>
      </c>
      <c r="C96" s="13" t="s">
        <v>700</v>
      </c>
      <c r="D96" s="14" t="n">
        <v>7399</v>
      </c>
      <c r="E96" s="14" t="n">
        <v>7193</v>
      </c>
      <c r="F96" s="16" t="n">
        <v>97.22</v>
      </c>
      <c r="G96" s="14" t="n">
        <v>140</v>
      </c>
      <c r="H96" s="14" t="n">
        <v>106</v>
      </c>
      <c r="I96" s="16" t="n">
        <v>75.71</v>
      </c>
      <c r="J96" s="14" t="n">
        <v>7539</v>
      </c>
      <c r="K96" s="14" t="n">
        <v>7299</v>
      </c>
      <c r="L96" s="16" t="n">
        <v>96.82</v>
      </c>
    </row>
    <row r="97" customFormat="false" ht="15" hidden="false" customHeight="true" outlineLevel="0" collapsed="false">
      <c r="A97" s="13" t="s">
        <v>653</v>
      </c>
      <c r="B97" s="13" t="n">
        <v>42</v>
      </c>
      <c r="C97" s="13" t="s">
        <v>701</v>
      </c>
      <c r="D97" s="14" t="n">
        <v>7318</v>
      </c>
      <c r="E97" s="14" t="n">
        <v>7316</v>
      </c>
      <c r="F97" s="16" t="n">
        <v>99.97</v>
      </c>
      <c r="G97" s="14" t="n">
        <v>59</v>
      </c>
      <c r="H97" s="14" t="n">
        <v>59</v>
      </c>
      <c r="I97" s="16" t="n">
        <v>100</v>
      </c>
      <c r="J97" s="14" t="n">
        <v>7377</v>
      </c>
      <c r="K97" s="14" t="n">
        <v>7375</v>
      </c>
      <c r="L97" s="16" t="n">
        <v>99.97</v>
      </c>
    </row>
    <row r="98" customFormat="false" ht="15" hidden="false" customHeight="true" outlineLevel="0" collapsed="false">
      <c r="A98" s="13" t="s">
        <v>653</v>
      </c>
      <c r="B98" s="13" t="n">
        <v>43</v>
      </c>
      <c r="C98" s="13" t="s">
        <v>702</v>
      </c>
      <c r="D98" s="14" t="n">
        <v>0</v>
      </c>
      <c r="E98" s="14" t="n">
        <v>0</v>
      </c>
      <c r="F98" s="16" t="n">
        <v>0</v>
      </c>
      <c r="G98" s="14" t="n">
        <v>8</v>
      </c>
      <c r="H98" s="14" t="n">
        <v>7</v>
      </c>
      <c r="I98" s="16" t="n">
        <v>87.5</v>
      </c>
      <c r="J98" s="14" t="n">
        <v>8</v>
      </c>
      <c r="K98" s="14" t="n">
        <v>7</v>
      </c>
      <c r="L98" s="16" t="n">
        <v>87.5</v>
      </c>
    </row>
    <row r="99" customFormat="false" ht="15" hidden="false" customHeight="true" outlineLevel="0" collapsed="false">
      <c r="A99" s="13" t="s">
        <v>653</v>
      </c>
      <c r="B99" s="13" t="n">
        <v>44</v>
      </c>
      <c r="C99" s="13" t="s">
        <v>703</v>
      </c>
      <c r="D99" s="14" t="n">
        <v>27</v>
      </c>
      <c r="E99" s="14" t="n">
        <v>27</v>
      </c>
      <c r="F99" s="16" t="n">
        <v>100</v>
      </c>
      <c r="G99" s="14" t="n">
        <v>1</v>
      </c>
      <c r="H99" s="14" t="n">
        <v>1</v>
      </c>
      <c r="I99" s="16" t="n">
        <v>100</v>
      </c>
      <c r="J99" s="14" t="n">
        <v>28</v>
      </c>
      <c r="K99" s="14" t="n">
        <v>28</v>
      </c>
      <c r="L99" s="16" t="n">
        <v>100</v>
      </c>
    </row>
    <row r="100" customFormat="false" ht="15" hidden="false" customHeight="true" outlineLevel="0" collapsed="false">
      <c r="A100" s="13" t="s">
        <v>653</v>
      </c>
      <c r="B100" s="13" t="n">
        <v>45</v>
      </c>
      <c r="C100" s="13" t="s">
        <v>704</v>
      </c>
      <c r="D100" s="14" t="n">
        <v>26</v>
      </c>
      <c r="E100" s="14" t="n">
        <v>26</v>
      </c>
      <c r="F100" s="16" t="n">
        <v>100</v>
      </c>
      <c r="G100" s="14" t="n">
        <v>0</v>
      </c>
      <c r="H100" s="14" t="n">
        <v>0</v>
      </c>
      <c r="I100" s="16" t="n">
        <v>0</v>
      </c>
      <c r="J100" s="14" t="n">
        <v>26</v>
      </c>
      <c r="K100" s="14" t="n">
        <v>26</v>
      </c>
      <c r="L100" s="16" t="n">
        <v>100</v>
      </c>
    </row>
    <row r="101" customFormat="false" ht="15" hidden="false" customHeight="true" outlineLevel="0" collapsed="false">
      <c r="A101" s="13" t="s">
        <v>653</v>
      </c>
      <c r="B101" s="13" t="n">
        <v>46</v>
      </c>
      <c r="C101" s="13" t="s">
        <v>705</v>
      </c>
      <c r="D101" s="14" t="n">
        <v>32</v>
      </c>
      <c r="E101" s="14" t="n">
        <v>30</v>
      </c>
      <c r="F101" s="16" t="n">
        <v>93.75</v>
      </c>
      <c r="G101" s="14" t="n">
        <v>1</v>
      </c>
      <c r="H101" s="14" t="n">
        <v>0</v>
      </c>
      <c r="I101" s="16" t="n">
        <v>0</v>
      </c>
      <c r="J101" s="14" t="n">
        <v>33</v>
      </c>
      <c r="K101" s="14" t="n">
        <v>30</v>
      </c>
      <c r="L101" s="16" t="n">
        <v>90.91</v>
      </c>
    </row>
    <row r="102" customFormat="false" ht="15" hidden="false" customHeight="true" outlineLevel="0" collapsed="false">
      <c r="A102" s="13" t="s">
        <v>653</v>
      </c>
      <c r="B102" s="13" t="n">
        <v>47</v>
      </c>
      <c r="C102" s="13" t="s">
        <v>706</v>
      </c>
      <c r="D102" s="14" t="n">
        <v>32</v>
      </c>
      <c r="E102" s="14" t="n">
        <v>32</v>
      </c>
      <c r="F102" s="16" t="n">
        <v>100</v>
      </c>
      <c r="G102" s="14" t="n">
        <v>2</v>
      </c>
      <c r="H102" s="14" t="n">
        <v>2</v>
      </c>
      <c r="I102" s="16" t="n">
        <v>100</v>
      </c>
      <c r="J102" s="14" t="n">
        <v>34</v>
      </c>
      <c r="K102" s="14" t="n">
        <v>34</v>
      </c>
      <c r="L102" s="16" t="n">
        <v>100</v>
      </c>
    </row>
    <row r="103" customFormat="false" ht="15" hidden="false" customHeight="true" outlineLevel="0" collapsed="false">
      <c r="A103" s="13" t="s">
        <v>653</v>
      </c>
      <c r="B103" s="13" t="n">
        <v>48</v>
      </c>
      <c r="C103" s="13" t="s">
        <v>425</v>
      </c>
      <c r="D103" s="14" t="n">
        <v>378</v>
      </c>
      <c r="E103" s="14" t="n">
        <v>368</v>
      </c>
      <c r="F103" s="16" t="n">
        <v>97.35</v>
      </c>
      <c r="G103" s="14" t="n">
        <v>77</v>
      </c>
      <c r="H103" s="14" t="n">
        <v>70</v>
      </c>
      <c r="I103" s="16" t="n">
        <v>90.91</v>
      </c>
      <c r="J103" s="14" t="n">
        <v>455</v>
      </c>
      <c r="K103" s="14" t="n">
        <v>438</v>
      </c>
      <c r="L103" s="16" t="n">
        <v>96.26</v>
      </c>
    </row>
    <row r="104" customFormat="false" ht="15" hidden="false" customHeight="true" outlineLevel="0" collapsed="false">
      <c r="A104" s="13" t="s">
        <v>653</v>
      </c>
      <c r="B104" s="13" t="n">
        <v>49</v>
      </c>
      <c r="C104" s="13" t="s">
        <v>672</v>
      </c>
      <c r="D104" s="14" t="n">
        <v>720</v>
      </c>
      <c r="E104" s="14" t="n">
        <v>542</v>
      </c>
      <c r="F104" s="16" t="n">
        <v>75.28</v>
      </c>
      <c r="G104" s="14" t="n">
        <v>54</v>
      </c>
      <c r="H104" s="14" t="n">
        <v>20</v>
      </c>
      <c r="I104" s="16" t="n">
        <v>37.04</v>
      </c>
      <c r="J104" s="14" t="n">
        <v>774</v>
      </c>
      <c r="K104" s="14" t="n">
        <v>562</v>
      </c>
      <c r="L104" s="16" t="n">
        <v>72.61</v>
      </c>
    </row>
    <row r="105" customFormat="false" ht="15" hidden="false" customHeight="true" outlineLevel="0" collapsed="false">
      <c r="A105" s="13" t="s">
        <v>653</v>
      </c>
      <c r="B105" s="13" t="n">
        <v>50</v>
      </c>
      <c r="C105" s="13" t="s">
        <v>673</v>
      </c>
      <c r="D105" s="14" t="n">
        <v>717</v>
      </c>
      <c r="E105" s="14" t="n">
        <v>693</v>
      </c>
      <c r="F105" s="16" t="n">
        <v>96.65</v>
      </c>
      <c r="G105" s="14" t="n">
        <v>8</v>
      </c>
      <c r="H105" s="14" t="n">
        <v>8</v>
      </c>
      <c r="I105" s="16" t="n">
        <v>100</v>
      </c>
      <c r="J105" s="14" t="n">
        <v>725</v>
      </c>
      <c r="K105" s="14" t="n">
        <v>701</v>
      </c>
      <c r="L105" s="16" t="n">
        <v>96.69</v>
      </c>
    </row>
    <row r="106" customFormat="false" ht="15" hidden="false" customHeight="true" outlineLevel="0" collapsed="false">
      <c r="A106" s="13" t="s">
        <v>653</v>
      </c>
      <c r="B106" s="13" t="n">
        <v>51</v>
      </c>
      <c r="C106" s="13" t="s">
        <v>707</v>
      </c>
      <c r="D106" s="14" t="n">
        <v>1166</v>
      </c>
      <c r="E106" s="14" t="n">
        <v>1092</v>
      </c>
      <c r="F106" s="16" t="n">
        <v>93.65</v>
      </c>
      <c r="G106" s="14" t="n">
        <v>424</v>
      </c>
      <c r="H106" s="14" t="n">
        <v>343</v>
      </c>
      <c r="I106" s="16" t="n">
        <v>80.9</v>
      </c>
      <c r="J106" s="14" t="n">
        <v>1590</v>
      </c>
      <c r="K106" s="14" t="n">
        <v>1435</v>
      </c>
      <c r="L106" s="16" t="n">
        <v>90.25</v>
      </c>
    </row>
    <row r="107" customFormat="false" ht="15" hidden="false" customHeight="true" outlineLevel="0" collapsed="false">
      <c r="A107" s="13" t="s">
        <v>653</v>
      </c>
      <c r="B107" s="13" t="n">
        <v>52</v>
      </c>
      <c r="C107" s="13" t="s">
        <v>708</v>
      </c>
      <c r="D107" s="14" t="n">
        <v>12</v>
      </c>
      <c r="E107" s="14" t="n">
        <v>12</v>
      </c>
      <c r="F107" s="16" t="n">
        <v>100</v>
      </c>
      <c r="G107" s="14" t="n">
        <v>0</v>
      </c>
      <c r="H107" s="14" t="n">
        <v>0</v>
      </c>
      <c r="I107" s="16" t="n">
        <v>0</v>
      </c>
      <c r="J107" s="14" t="n">
        <v>12</v>
      </c>
      <c r="K107" s="14" t="n">
        <v>12</v>
      </c>
      <c r="L107" s="16" t="n">
        <v>100</v>
      </c>
    </row>
    <row r="108" customFormat="false" ht="15" hidden="false" customHeight="true" outlineLevel="0" collapsed="false">
      <c r="A108" s="13" t="s">
        <v>653</v>
      </c>
      <c r="B108" s="13" t="n">
        <v>53</v>
      </c>
      <c r="C108" s="13" t="s">
        <v>709</v>
      </c>
      <c r="D108" s="14" t="n">
        <v>12</v>
      </c>
      <c r="E108" s="14" t="n">
        <v>12</v>
      </c>
      <c r="F108" s="16" t="n">
        <v>100</v>
      </c>
      <c r="G108" s="14" t="n">
        <v>0</v>
      </c>
      <c r="H108" s="14" t="n">
        <v>0</v>
      </c>
      <c r="I108" s="16" t="n">
        <v>0</v>
      </c>
      <c r="J108" s="14" t="n">
        <v>12</v>
      </c>
      <c r="K108" s="14" t="n">
        <v>12</v>
      </c>
      <c r="L108" s="16" t="n">
        <v>100</v>
      </c>
    </row>
    <row r="109" customFormat="false" ht="15" hidden="false" customHeight="true" outlineLevel="0" collapsed="false">
      <c r="A109" s="13" t="s">
        <v>653</v>
      </c>
      <c r="B109" s="13" t="n">
        <v>54</v>
      </c>
      <c r="C109" s="13" t="s">
        <v>710</v>
      </c>
      <c r="D109" s="14" t="n">
        <v>6</v>
      </c>
      <c r="E109" s="14" t="n">
        <v>6</v>
      </c>
      <c r="F109" s="16" t="n">
        <v>100</v>
      </c>
      <c r="G109" s="14" t="n">
        <v>0</v>
      </c>
      <c r="H109" s="14" t="n">
        <v>0</v>
      </c>
      <c r="I109" s="16" t="n">
        <v>0</v>
      </c>
      <c r="J109" s="14" t="n">
        <v>6</v>
      </c>
      <c r="K109" s="14" t="n">
        <v>6</v>
      </c>
      <c r="L109" s="16" t="n">
        <v>100</v>
      </c>
    </row>
    <row r="110" customFormat="false" ht="15" hidden="false" customHeight="true" outlineLevel="0" collapsed="false">
      <c r="A110" s="13" t="s">
        <v>653</v>
      </c>
      <c r="B110" s="13" t="n">
        <v>55</v>
      </c>
      <c r="C110" s="13" t="s">
        <v>711</v>
      </c>
      <c r="D110" s="14" t="n">
        <v>6</v>
      </c>
      <c r="E110" s="14" t="n">
        <v>6</v>
      </c>
      <c r="F110" s="16" t="n">
        <v>100</v>
      </c>
      <c r="G110" s="14" t="n">
        <v>0</v>
      </c>
      <c r="H110" s="14" t="n">
        <v>0</v>
      </c>
      <c r="I110" s="16" t="n">
        <v>0</v>
      </c>
      <c r="J110" s="14" t="n">
        <v>6</v>
      </c>
      <c r="K110" s="14" t="n">
        <v>6</v>
      </c>
      <c r="L110" s="16" t="n">
        <v>100</v>
      </c>
    </row>
    <row r="111" customFormat="false" ht="15" hidden="false" customHeight="true" outlineLevel="0" collapsed="false">
      <c r="A111" s="13" t="s">
        <v>653</v>
      </c>
      <c r="B111" s="13" t="n">
        <v>56</v>
      </c>
      <c r="C111" s="13" t="s">
        <v>712</v>
      </c>
      <c r="D111" s="14" t="n">
        <v>17</v>
      </c>
      <c r="E111" s="14" t="n">
        <v>17</v>
      </c>
      <c r="F111" s="16" t="n">
        <v>100</v>
      </c>
      <c r="G111" s="14" t="n">
        <v>0</v>
      </c>
      <c r="H111" s="14" t="n">
        <v>0</v>
      </c>
      <c r="I111" s="16" t="n">
        <v>0</v>
      </c>
      <c r="J111" s="14" t="n">
        <v>17</v>
      </c>
      <c r="K111" s="14" t="n">
        <v>17</v>
      </c>
      <c r="L111" s="16" t="n">
        <v>100</v>
      </c>
    </row>
    <row r="112" customFormat="false" ht="15" hidden="false" customHeight="true" outlineLevel="0" collapsed="false">
      <c r="A112" s="13" t="s">
        <v>653</v>
      </c>
      <c r="B112" s="13" t="n">
        <v>57</v>
      </c>
      <c r="C112" s="13" t="s">
        <v>713</v>
      </c>
      <c r="D112" s="14" t="n">
        <v>17</v>
      </c>
      <c r="E112" s="14" t="n">
        <v>17</v>
      </c>
      <c r="F112" s="16" t="n">
        <v>100</v>
      </c>
      <c r="G112" s="14" t="n">
        <v>0</v>
      </c>
      <c r="H112" s="14" t="n">
        <v>0</v>
      </c>
      <c r="I112" s="16" t="n">
        <v>0</v>
      </c>
      <c r="J112" s="14" t="n">
        <v>17</v>
      </c>
      <c r="K112" s="14" t="n">
        <v>17</v>
      </c>
      <c r="L112" s="16" t="n">
        <v>100</v>
      </c>
    </row>
    <row r="113" customFormat="false" ht="15" hidden="false" customHeight="true" outlineLevel="0" collapsed="false">
      <c r="A113" s="13" t="s">
        <v>653</v>
      </c>
      <c r="B113" s="13" t="n">
        <v>58</v>
      </c>
      <c r="C113" s="13" t="s">
        <v>748</v>
      </c>
      <c r="D113" s="14" t="n">
        <v>34</v>
      </c>
      <c r="E113" s="14" t="n">
        <v>34</v>
      </c>
      <c r="F113" s="16" t="n">
        <v>100</v>
      </c>
      <c r="G113" s="14" t="n">
        <v>0</v>
      </c>
      <c r="H113" s="14" t="n">
        <v>0</v>
      </c>
      <c r="I113" s="16" t="n">
        <v>0</v>
      </c>
      <c r="J113" s="14" t="n">
        <v>34</v>
      </c>
      <c r="K113" s="14" t="n">
        <v>34</v>
      </c>
      <c r="L113" s="16" t="n">
        <v>100</v>
      </c>
    </row>
    <row r="114" customFormat="false" ht="15" hidden="false" customHeight="true" outlineLevel="0" collapsed="false">
      <c r="A114" s="13" t="s">
        <v>653</v>
      </c>
      <c r="B114" s="13" t="n">
        <v>59</v>
      </c>
      <c r="C114" s="13" t="s">
        <v>714</v>
      </c>
      <c r="D114" s="14" t="n">
        <v>6</v>
      </c>
      <c r="E114" s="14" t="n">
        <v>6</v>
      </c>
      <c r="F114" s="16" t="n">
        <v>100</v>
      </c>
      <c r="G114" s="14" t="n">
        <v>0</v>
      </c>
      <c r="H114" s="14" t="n">
        <v>0</v>
      </c>
      <c r="I114" s="16" t="n">
        <v>0</v>
      </c>
      <c r="J114" s="14" t="n">
        <v>6</v>
      </c>
      <c r="K114" s="14" t="n">
        <v>6</v>
      </c>
      <c r="L114" s="16" t="n">
        <v>100</v>
      </c>
    </row>
    <row r="115" customFormat="false" ht="15" hidden="false" customHeight="true" outlineLevel="0" collapsed="false">
      <c r="A115" s="13" t="s">
        <v>653</v>
      </c>
      <c r="B115" s="13" t="n">
        <v>60</v>
      </c>
      <c r="C115" s="13" t="s">
        <v>715</v>
      </c>
      <c r="D115" s="14" t="n">
        <v>6</v>
      </c>
      <c r="E115" s="14" t="n">
        <v>6</v>
      </c>
      <c r="F115" s="16" t="n">
        <v>100</v>
      </c>
      <c r="G115" s="14" t="n">
        <v>0</v>
      </c>
      <c r="H115" s="14" t="n">
        <v>0</v>
      </c>
      <c r="I115" s="16" t="n">
        <v>0</v>
      </c>
      <c r="J115" s="14" t="n">
        <v>6</v>
      </c>
      <c r="K115" s="14" t="n">
        <v>6</v>
      </c>
      <c r="L115" s="16" t="n">
        <v>100</v>
      </c>
    </row>
    <row r="116" customFormat="false" ht="15" hidden="false" customHeight="true" outlineLevel="0" collapsed="false">
      <c r="A116" s="13" t="s">
        <v>653</v>
      </c>
      <c r="B116" s="13" t="n">
        <v>61</v>
      </c>
      <c r="C116" s="13" t="s">
        <v>716</v>
      </c>
      <c r="D116" s="14" t="n">
        <v>6</v>
      </c>
      <c r="E116" s="14" t="n">
        <v>6</v>
      </c>
      <c r="F116" s="16" t="n">
        <v>100</v>
      </c>
      <c r="G116" s="14" t="n">
        <v>0</v>
      </c>
      <c r="H116" s="14" t="n">
        <v>0</v>
      </c>
      <c r="I116" s="16" t="n">
        <v>0</v>
      </c>
      <c r="J116" s="14" t="n">
        <v>6</v>
      </c>
      <c r="K116" s="14" t="n">
        <v>6</v>
      </c>
      <c r="L116" s="16" t="n">
        <v>100</v>
      </c>
    </row>
    <row r="117" customFormat="false" ht="15" hidden="false" customHeight="true" outlineLevel="0" collapsed="false">
      <c r="A117" s="13" t="s">
        <v>653</v>
      </c>
      <c r="B117" s="13" t="n">
        <v>62</v>
      </c>
      <c r="C117" s="13" t="s">
        <v>717</v>
      </c>
      <c r="D117" s="14" t="n">
        <v>6</v>
      </c>
      <c r="E117" s="14" t="n">
        <v>6</v>
      </c>
      <c r="F117" s="16" t="n">
        <v>100</v>
      </c>
      <c r="G117" s="14" t="n">
        <v>0</v>
      </c>
      <c r="H117" s="14" t="n">
        <v>0</v>
      </c>
      <c r="I117" s="16" t="n">
        <v>0</v>
      </c>
      <c r="J117" s="14" t="n">
        <v>6</v>
      </c>
      <c r="K117" s="14" t="n">
        <v>6</v>
      </c>
      <c r="L117" s="16" t="n">
        <v>100</v>
      </c>
    </row>
    <row r="118" customFormat="false" ht="15" hidden="false" customHeight="true" outlineLevel="0" collapsed="false">
      <c r="A118" s="13" t="s">
        <v>653</v>
      </c>
      <c r="B118" s="13" t="n">
        <v>63</v>
      </c>
      <c r="C118" s="13" t="s">
        <v>718</v>
      </c>
      <c r="D118" s="14" t="n">
        <v>17</v>
      </c>
      <c r="E118" s="14" t="n">
        <v>17</v>
      </c>
      <c r="F118" s="16" t="n">
        <v>100</v>
      </c>
      <c r="G118" s="14" t="n">
        <v>0</v>
      </c>
      <c r="H118" s="14" t="n">
        <v>0</v>
      </c>
      <c r="I118" s="16" t="n">
        <v>0</v>
      </c>
      <c r="J118" s="14" t="n">
        <v>17</v>
      </c>
      <c r="K118" s="14" t="n">
        <v>17</v>
      </c>
      <c r="L118" s="16" t="n">
        <v>100</v>
      </c>
    </row>
    <row r="119" customFormat="false" ht="15" hidden="false" customHeight="true" outlineLevel="0" collapsed="false">
      <c r="A119" s="13" t="s">
        <v>653</v>
      </c>
      <c r="B119" s="13" t="n">
        <v>64</v>
      </c>
      <c r="C119" s="13" t="s">
        <v>719</v>
      </c>
      <c r="D119" s="14" t="n">
        <v>17</v>
      </c>
      <c r="E119" s="14" t="n">
        <v>17</v>
      </c>
      <c r="F119" s="16" t="n">
        <v>100</v>
      </c>
      <c r="G119" s="14" t="n">
        <v>0</v>
      </c>
      <c r="H119" s="14" t="n">
        <v>0</v>
      </c>
      <c r="I119" s="16" t="n">
        <v>0</v>
      </c>
      <c r="J119" s="14" t="n">
        <v>17</v>
      </c>
      <c r="K119" s="14" t="n">
        <v>17</v>
      </c>
      <c r="L119" s="16" t="n">
        <v>100</v>
      </c>
    </row>
    <row r="120" customFormat="false" ht="15" hidden="false" customHeight="true" outlineLevel="0" collapsed="false">
      <c r="A120" s="13" t="s">
        <v>653</v>
      </c>
      <c r="B120" s="13" t="n">
        <v>65</v>
      </c>
      <c r="C120" s="13" t="s">
        <v>720</v>
      </c>
      <c r="D120" s="14" t="n">
        <v>17</v>
      </c>
      <c r="E120" s="14" t="n">
        <v>17</v>
      </c>
      <c r="F120" s="16" t="n">
        <v>100</v>
      </c>
      <c r="G120" s="14" t="n">
        <v>0</v>
      </c>
      <c r="H120" s="14" t="n">
        <v>0</v>
      </c>
      <c r="I120" s="16" t="n">
        <v>0</v>
      </c>
      <c r="J120" s="14" t="n">
        <v>17</v>
      </c>
      <c r="K120" s="14" t="n">
        <v>17</v>
      </c>
      <c r="L120" s="16" t="n">
        <v>100</v>
      </c>
    </row>
    <row r="121" customFormat="false" ht="15" hidden="false" customHeight="true" outlineLevel="0" collapsed="false">
      <c r="A121" s="13" t="s">
        <v>653</v>
      </c>
      <c r="B121" s="13" t="n">
        <v>66</v>
      </c>
      <c r="C121" s="13" t="s">
        <v>721</v>
      </c>
      <c r="D121" s="14" t="n">
        <v>17</v>
      </c>
      <c r="E121" s="14" t="n">
        <v>17</v>
      </c>
      <c r="F121" s="16" t="n">
        <v>100</v>
      </c>
      <c r="G121" s="14" t="n">
        <v>0</v>
      </c>
      <c r="H121" s="14" t="n">
        <v>0</v>
      </c>
      <c r="I121" s="16" t="n">
        <v>0</v>
      </c>
      <c r="J121" s="14" t="n">
        <v>17</v>
      </c>
      <c r="K121" s="14" t="n">
        <v>17</v>
      </c>
      <c r="L121" s="1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2" min="2" style="13" width="24"/>
    <col collapsed="false" customWidth="true" hidden="false" outlineLevel="0" max="3" min="3" style="13" width="10"/>
  </cols>
  <sheetData>
    <row r="1" customFormat="false" ht="15" hidden="false" customHeight="true" outlineLevel="0" collapsed="false">
      <c r="A1" s="13" t="s">
        <v>749</v>
      </c>
    </row>
    <row r="2" customFormat="false" ht="15" hidden="false" customHeight="true" outlineLevel="0" collapsed="false">
      <c r="A2" s="13" t="s">
        <v>750</v>
      </c>
    </row>
    <row r="4" customFormat="false" ht="15" hidden="false" customHeight="true" outlineLevel="0" collapsed="false">
      <c r="A4" s="13" t="s">
        <v>210</v>
      </c>
      <c r="B4" s="13" t="s">
        <v>114</v>
      </c>
      <c r="C4" s="13" t="s">
        <v>113</v>
      </c>
      <c r="D4" s="13" t="s">
        <v>175</v>
      </c>
      <c r="E4" s="13" t="s">
        <v>176</v>
      </c>
      <c r="F4" s="13" t="s">
        <v>177</v>
      </c>
      <c r="G4" s="13" t="s">
        <v>178</v>
      </c>
      <c r="H4" s="13" t="s">
        <v>179</v>
      </c>
      <c r="I4" s="13" t="s">
        <v>180</v>
      </c>
      <c r="J4" s="13" t="s">
        <v>181</v>
      </c>
      <c r="K4" s="13" t="s">
        <v>182</v>
      </c>
      <c r="L4" s="13" t="s">
        <v>571</v>
      </c>
    </row>
    <row r="5" customFormat="false" ht="15" hidden="false" customHeight="true" outlineLevel="0" collapsed="false">
      <c r="A5" s="13" t="s">
        <v>751</v>
      </c>
      <c r="B5" s="13" t="s">
        <v>123</v>
      </c>
      <c r="C5" s="13" t="s">
        <v>647</v>
      </c>
      <c r="D5" s="14" t="n">
        <v>1000</v>
      </c>
      <c r="E5" s="14" t="n">
        <v>757</v>
      </c>
      <c r="F5" s="16" t="n">
        <v>75.7</v>
      </c>
      <c r="G5" s="14" t="n">
        <v>210</v>
      </c>
      <c r="H5" s="14" t="n">
        <v>107</v>
      </c>
      <c r="I5" s="16" t="n">
        <v>50.95</v>
      </c>
      <c r="J5" s="14" t="n">
        <v>1210</v>
      </c>
      <c r="K5" s="14" t="n">
        <v>864</v>
      </c>
      <c r="L5" s="16" t="n">
        <v>71.4</v>
      </c>
    </row>
    <row r="6" customFormat="false" ht="15" hidden="false" customHeight="true" outlineLevel="0" collapsed="false">
      <c r="A6" s="13" t="s">
        <v>751</v>
      </c>
      <c r="B6" s="13" t="s">
        <v>123</v>
      </c>
      <c r="C6" s="13" t="s">
        <v>651</v>
      </c>
      <c r="D6" s="14" t="n">
        <v>3949</v>
      </c>
      <c r="E6" s="14" t="n">
        <v>3453</v>
      </c>
      <c r="F6" s="16" t="n">
        <v>87.44</v>
      </c>
      <c r="G6" s="14" t="n">
        <v>555</v>
      </c>
      <c r="H6" s="14" t="n">
        <v>345</v>
      </c>
      <c r="I6" s="16" t="n">
        <v>62.16</v>
      </c>
      <c r="J6" s="14" t="n">
        <v>4504</v>
      </c>
      <c r="K6" s="14" t="n">
        <v>3798</v>
      </c>
      <c r="L6" s="16" t="n">
        <v>84.33</v>
      </c>
    </row>
    <row r="7" customFormat="false" ht="15" hidden="false" customHeight="true" outlineLevel="0" collapsed="false">
      <c r="A7" s="13" t="s">
        <v>751</v>
      </c>
      <c r="B7" s="13" t="s">
        <v>123</v>
      </c>
      <c r="C7" s="13" t="s">
        <v>192</v>
      </c>
      <c r="D7" s="14" t="n">
        <v>4949</v>
      </c>
      <c r="E7" s="14" t="n">
        <v>4210</v>
      </c>
      <c r="F7" s="16" t="n">
        <v>85.07</v>
      </c>
      <c r="G7" s="14" t="n">
        <v>765</v>
      </c>
      <c r="H7" s="14" t="n">
        <v>452</v>
      </c>
      <c r="I7" s="16" t="n">
        <v>59.08</v>
      </c>
      <c r="J7" s="14" t="n">
        <v>5714</v>
      </c>
      <c r="K7" s="14" t="n">
        <v>4662</v>
      </c>
      <c r="L7" s="16" t="n">
        <v>81.59</v>
      </c>
    </row>
    <row r="8" customFormat="false" ht="15" hidden="false" customHeight="true" outlineLevel="0" collapsed="false">
      <c r="A8" s="13" t="s">
        <v>751</v>
      </c>
      <c r="B8" s="13" t="s">
        <v>126</v>
      </c>
      <c r="C8" s="13" t="s">
        <v>647</v>
      </c>
      <c r="D8" s="14" t="n">
        <v>395</v>
      </c>
      <c r="E8" s="14" t="n">
        <v>340</v>
      </c>
      <c r="F8" s="16" t="n">
        <v>86.08</v>
      </c>
      <c r="G8" s="14" t="n">
        <v>70</v>
      </c>
      <c r="H8" s="14" t="n">
        <v>30</v>
      </c>
      <c r="I8" s="16" t="n">
        <v>42.86</v>
      </c>
      <c r="J8" s="14" t="n">
        <v>465</v>
      </c>
      <c r="K8" s="14" t="n">
        <v>370</v>
      </c>
      <c r="L8" s="16" t="n">
        <v>79.57</v>
      </c>
    </row>
    <row r="9" customFormat="false" ht="15" hidden="false" customHeight="true" outlineLevel="0" collapsed="false">
      <c r="A9" s="13" t="s">
        <v>751</v>
      </c>
      <c r="B9" s="13" t="s">
        <v>126</v>
      </c>
      <c r="C9" s="13" t="s">
        <v>651</v>
      </c>
      <c r="D9" s="14" t="n">
        <v>308</v>
      </c>
      <c r="E9" s="14" t="n">
        <v>276</v>
      </c>
      <c r="F9" s="16" t="n">
        <v>89.61</v>
      </c>
      <c r="G9" s="14" t="n">
        <v>34</v>
      </c>
      <c r="H9" s="14" t="n">
        <v>21</v>
      </c>
      <c r="I9" s="16" t="n">
        <v>61.76</v>
      </c>
      <c r="J9" s="14" t="n">
        <v>342</v>
      </c>
      <c r="K9" s="14" t="n">
        <v>297</v>
      </c>
      <c r="L9" s="16" t="n">
        <v>86.84</v>
      </c>
    </row>
    <row r="10" customFormat="false" ht="15" hidden="false" customHeight="true" outlineLevel="0" collapsed="false">
      <c r="A10" s="13" t="s">
        <v>751</v>
      </c>
      <c r="B10" s="13" t="s">
        <v>126</v>
      </c>
      <c r="C10" s="13" t="s">
        <v>192</v>
      </c>
      <c r="D10" s="14" t="n">
        <v>703</v>
      </c>
      <c r="E10" s="14" t="n">
        <v>616</v>
      </c>
      <c r="F10" s="16" t="n">
        <v>87.62</v>
      </c>
      <c r="G10" s="14" t="n">
        <v>104</v>
      </c>
      <c r="H10" s="14" t="n">
        <v>51</v>
      </c>
      <c r="I10" s="16" t="n">
        <v>49.04</v>
      </c>
      <c r="J10" s="14" t="n">
        <v>807</v>
      </c>
      <c r="K10" s="14" t="n">
        <v>667</v>
      </c>
      <c r="L10" s="16" t="n">
        <v>82.65</v>
      </c>
    </row>
    <row r="11" customFormat="false" ht="15" hidden="false" customHeight="true" outlineLevel="0" collapsed="false">
      <c r="A11" s="13" t="s">
        <v>751</v>
      </c>
      <c r="B11" s="13" t="s">
        <v>202</v>
      </c>
      <c r="C11" s="13" t="s">
        <v>647</v>
      </c>
      <c r="D11" s="14" t="n">
        <v>3175</v>
      </c>
      <c r="E11" s="14" t="n">
        <v>1940</v>
      </c>
      <c r="F11" s="16" t="n">
        <v>61.1</v>
      </c>
      <c r="G11" s="14" t="n">
        <v>614</v>
      </c>
      <c r="H11" s="14" t="n">
        <v>203</v>
      </c>
      <c r="I11" s="16" t="n">
        <v>33.06</v>
      </c>
      <c r="J11" s="14" t="n">
        <v>3789</v>
      </c>
      <c r="K11" s="14" t="n">
        <v>2143</v>
      </c>
      <c r="L11" s="16" t="n">
        <v>56.56</v>
      </c>
    </row>
    <row r="12" customFormat="false" ht="15" hidden="false" customHeight="true" outlineLevel="0" collapsed="false">
      <c r="A12" s="13" t="s">
        <v>751</v>
      </c>
      <c r="B12" s="13" t="s">
        <v>202</v>
      </c>
      <c r="C12" s="13" t="s">
        <v>651</v>
      </c>
      <c r="D12" s="14" t="n">
        <v>3519</v>
      </c>
      <c r="E12" s="14" t="n">
        <v>2790</v>
      </c>
      <c r="F12" s="16" t="n">
        <v>79.28</v>
      </c>
      <c r="G12" s="14" t="n">
        <v>295</v>
      </c>
      <c r="H12" s="14" t="n">
        <v>133</v>
      </c>
      <c r="I12" s="16" t="n">
        <v>45.08</v>
      </c>
      <c r="J12" s="14" t="n">
        <v>3814</v>
      </c>
      <c r="K12" s="14" t="n">
        <v>2923</v>
      </c>
      <c r="L12" s="16" t="n">
        <v>76.64</v>
      </c>
    </row>
    <row r="13" customFormat="false" ht="15" hidden="false" customHeight="true" outlineLevel="0" collapsed="false">
      <c r="A13" s="13" t="s">
        <v>751</v>
      </c>
      <c r="B13" s="13" t="s">
        <v>202</v>
      </c>
      <c r="C13" s="13" t="s">
        <v>192</v>
      </c>
      <c r="D13" s="14" t="n">
        <v>6694</v>
      </c>
      <c r="E13" s="14" t="n">
        <v>4730</v>
      </c>
      <c r="F13" s="16" t="n">
        <v>70.66</v>
      </c>
      <c r="G13" s="14" t="n">
        <v>909</v>
      </c>
      <c r="H13" s="14" t="n">
        <v>336</v>
      </c>
      <c r="I13" s="16" t="n">
        <v>36.96</v>
      </c>
      <c r="J13" s="14" t="n">
        <v>7603</v>
      </c>
      <c r="K13" s="14" t="n">
        <v>5066</v>
      </c>
      <c r="L13" s="16" t="n">
        <v>66.63</v>
      </c>
    </row>
    <row r="14" customFormat="false" ht="15" hidden="false" customHeight="true" outlineLevel="0" collapsed="false">
      <c r="A14" s="13" t="s">
        <v>751</v>
      </c>
      <c r="B14" s="13" t="s">
        <v>203</v>
      </c>
      <c r="C14" s="13" t="s">
        <v>647</v>
      </c>
      <c r="D14" s="14" t="n">
        <v>160</v>
      </c>
      <c r="E14" s="14" t="n">
        <v>116</v>
      </c>
      <c r="F14" s="16" t="n">
        <v>72.5</v>
      </c>
      <c r="G14" s="14" t="n">
        <v>99</v>
      </c>
      <c r="H14" s="14" t="n">
        <v>45</v>
      </c>
      <c r="I14" s="16" t="n">
        <v>45.45</v>
      </c>
      <c r="J14" s="14" t="n">
        <v>259</v>
      </c>
      <c r="K14" s="14" t="n">
        <v>161</v>
      </c>
      <c r="L14" s="16" t="n">
        <v>62.16</v>
      </c>
    </row>
    <row r="15" customFormat="false" ht="15" hidden="false" customHeight="true" outlineLevel="0" collapsed="false">
      <c r="A15" s="13" t="s">
        <v>751</v>
      </c>
      <c r="B15" s="13" t="s">
        <v>203</v>
      </c>
      <c r="C15" s="13" t="s">
        <v>651</v>
      </c>
      <c r="D15" s="14" t="n">
        <v>130</v>
      </c>
      <c r="E15" s="14" t="n">
        <v>118</v>
      </c>
      <c r="F15" s="16" t="n">
        <v>90.77</v>
      </c>
      <c r="G15" s="14" t="n">
        <v>48</v>
      </c>
      <c r="H15" s="14" t="n">
        <v>30</v>
      </c>
      <c r="I15" s="16" t="n">
        <v>62.5</v>
      </c>
      <c r="J15" s="14" t="n">
        <v>178</v>
      </c>
      <c r="K15" s="14" t="n">
        <v>148</v>
      </c>
      <c r="L15" s="16" t="n">
        <v>83.15</v>
      </c>
    </row>
    <row r="16" customFormat="false" ht="15" hidden="false" customHeight="true" outlineLevel="0" collapsed="false">
      <c r="A16" s="13" t="s">
        <v>751</v>
      </c>
      <c r="B16" s="13" t="s">
        <v>203</v>
      </c>
      <c r="C16" s="13" t="s">
        <v>192</v>
      </c>
      <c r="D16" s="14" t="n">
        <v>290</v>
      </c>
      <c r="E16" s="14" t="n">
        <v>234</v>
      </c>
      <c r="F16" s="16" t="n">
        <v>80.69</v>
      </c>
      <c r="G16" s="14" t="n">
        <v>147</v>
      </c>
      <c r="H16" s="14" t="n">
        <v>75</v>
      </c>
      <c r="I16" s="16" t="n">
        <v>51.02</v>
      </c>
      <c r="J16" s="14" t="n">
        <v>437</v>
      </c>
      <c r="K16" s="14" t="n">
        <v>309</v>
      </c>
      <c r="L16" s="16" t="n">
        <v>70.71</v>
      </c>
    </row>
    <row r="17" customFormat="false" ht="15" hidden="false" customHeight="true" outlineLevel="0" collapsed="false">
      <c r="A17" s="13" t="s">
        <v>751</v>
      </c>
      <c r="B17" s="13" t="s">
        <v>653</v>
      </c>
      <c r="C17" s="13" t="s">
        <v>647</v>
      </c>
      <c r="D17" s="14" t="n">
        <v>2071</v>
      </c>
      <c r="E17" s="14" t="n">
        <v>701</v>
      </c>
      <c r="F17" s="16" t="n">
        <v>33.85</v>
      </c>
      <c r="G17" s="14" t="n">
        <v>2553</v>
      </c>
      <c r="H17" s="14" t="n">
        <v>680</v>
      </c>
      <c r="I17" s="16" t="n">
        <v>26.64</v>
      </c>
      <c r="J17" s="14" t="n">
        <v>4624</v>
      </c>
      <c r="K17" s="14" t="n">
        <v>1381</v>
      </c>
      <c r="L17" s="16" t="n">
        <v>29.87</v>
      </c>
    </row>
    <row r="18" customFormat="false" ht="15" hidden="false" customHeight="true" outlineLevel="0" collapsed="false">
      <c r="A18" s="13" t="s">
        <v>751</v>
      </c>
      <c r="B18" s="13" t="s">
        <v>653</v>
      </c>
      <c r="C18" s="13" t="s">
        <v>651</v>
      </c>
      <c r="D18" s="14" t="n">
        <v>3458</v>
      </c>
      <c r="E18" s="14" t="n">
        <v>2411</v>
      </c>
      <c r="F18" s="16" t="n">
        <v>69.72</v>
      </c>
      <c r="G18" s="14" t="n">
        <v>2918</v>
      </c>
      <c r="H18" s="14" t="n">
        <v>1612</v>
      </c>
      <c r="I18" s="16" t="n">
        <v>55.24</v>
      </c>
      <c r="J18" s="14" t="n">
        <v>6376</v>
      </c>
      <c r="K18" s="14" t="n">
        <v>4023</v>
      </c>
      <c r="L18" s="16" t="n">
        <v>63.1</v>
      </c>
    </row>
    <row r="19" customFormat="false" ht="15" hidden="false" customHeight="true" outlineLevel="0" collapsed="false">
      <c r="A19" s="13" t="s">
        <v>751</v>
      </c>
      <c r="B19" s="13" t="s">
        <v>653</v>
      </c>
      <c r="C19" s="13" t="s">
        <v>192</v>
      </c>
      <c r="D19" s="14" t="n">
        <v>5529</v>
      </c>
      <c r="E19" s="14" t="n">
        <v>3112</v>
      </c>
      <c r="F19" s="16" t="n">
        <v>56.29</v>
      </c>
      <c r="G19" s="14" t="n">
        <v>5471</v>
      </c>
      <c r="H19" s="14" t="n">
        <v>2292</v>
      </c>
      <c r="I19" s="16" t="n">
        <v>41.89</v>
      </c>
      <c r="J19" s="14" t="n">
        <v>11000</v>
      </c>
      <c r="K19" s="14" t="n">
        <v>5404</v>
      </c>
      <c r="L19" s="16" t="n">
        <v>49.13</v>
      </c>
    </row>
    <row r="20" customFormat="false" ht="15" hidden="false" customHeight="true" outlineLevel="0" collapsed="false">
      <c r="A20" s="13" t="s">
        <v>751</v>
      </c>
      <c r="B20" s="13" t="s">
        <v>752</v>
      </c>
      <c r="C20" s="13" t="s">
        <v>647</v>
      </c>
      <c r="D20" s="14" t="n">
        <v>6801</v>
      </c>
      <c r="E20" s="14" t="n">
        <v>3854</v>
      </c>
      <c r="F20" s="16" t="n">
        <v>56.67</v>
      </c>
      <c r="G20" s="14" t="n">
        <v>3546</v>
      </c>
      <c r="H20" s="14" t="n">
        <v>1065</v>
      </c>
      <c r="I20" s="16" t="n">
        <v>30.03</v>
      </c>
      <c r="J20" s="14" t="n">
        <v>10347</v>
      </c>
      <c r="K20" s="14" t="n">
        <v>4919</v>
      </c>
      <c r="L20" s="16" t="n">
        <v>47.54</v>
      </c>
    </row>
    <row r="21" customFormat="false" ht="15" hidden="false" customHeight="true" outlineLevel="0" collapsed="false">
      <c r="A21" s="13" t="s">
        <v>751</v>
      </c>
      <c r="B21" s="13" t="s">
        <v>752</v>
      </c>
      <c r="C21" s="13" t="s">
        <v>651</v>
      </c>
      <c r="D21" s="14" t="n">
        <v>11364</v>
      </c>
      <c r="E21" s="14" t="n">
        <v>9048</v>
      </c>
      <c r="F21" s="16" t="n">
        <v>79.62</v>
      </c>
      <c r="G21" s="14" t="n">
        <v>3850</v>
      </c>
      <c r="H21" s="14" t="n">
        <v>2141</v>
      </c>
      <c r="I21" s="16" t="n">
        <v>55.61</v>
      </c>
      <c r="J21" s="14" t="n">
        <v>15214</v>
      </c>
      <c r="K21" s="14" t="n">
        <v>11189</v>
      </c>
      <c r="L21" s="16" t="n">
        <v>73.54</v>
      </c>
    </row>
    <row r="22" customFormat="false" ht="15" hidden="false" customHeight="true" outlineLevel="0" collapsed="false">
      <c r="A22" s="13" t="s">
        <v>751</v>
      </c>
      <c r="B22" s="13" t="s">
        <v>753</v>
      </c>
      <c r="C22" s="13" t="s">
        <v>192</v>
      </c>
      <c r="D22" s="14" t="n">
        <v>18165</v>
      </c>
      <c r="E22" s="14" t="n">
        <v>12902</v>
      </c>
      <c r="F22" s="16" t="n">
        <v>71.03</v>
      </c>
      <c r="G22" s="14" t="n">
        <v>7396</v>
      </c>
      <c r="H22" s="14" t="n">
        <v>3206</v>
      </c>
      <c r="I22" s="16" t="n">
        <v>43.35</v>
      </c>
      <c r="J22" s="14" t="n">
        <v>25561</v>
      </c>
      <c r="K22" s="14" t="n">
        <v>16108</v>
      </c>
      <c r="L22" s="16" t="n">
        <v>63.02</v>
      </c>
    </row>
    <row r="23" customFormat="false" ht="15" hidden="false" customHeight="true" outlineLevel="0" collapsed="false">
      <c r="A23" s="13" t="s">
        <v>754</v>
      </c>
      <c r="B23" s="13" t="s">
        <v>123</v>
      </c>
      <c r="C23" s="13" t="s">
        <v>647</v>
      </c>
      <c r="D23" s="14" t="n">
        <v>808</v>
      </c>
      <c r="E23" s="14" t="n">
        <v>640</v>
      </c>
      <c r="F23" s="16" t="n">
        <v>79.21</v>
      </c>
      <c r="G23" s="14" t="n">
        <v>264</v>
      </c>
      <c r="H23" s="14" t="n">
        <v>187</v>
      </c>
      <c r="I23" s="16" t="n">
        <v>70.83</v>
      </c>
      <c r="J23" s="14" t="n">
        <v>1072</v>
      </c>
      <c r="K23" s="14" t="n">
        <v>827</v>
      </c>
      <c r="L23" s="16" t="n">
        <v>77.15</v>
      </c>
    </row>
    <row r="24" customFormat="false" ht="15" hidden="false" customHeight="true" outlineLevel="0" collapsed="false">
      <c r="A24" s="13" t="s">
        <v>754</v>
      </c>
      <c r="B24" s="13" t="s">
        <v>123</v>
      </c>
      <c r="C24" s="13" t="s">
        <v>651</v>
      </c>
      <c r="D24" s="14" t="n">
        <v>3631</v>
      </c>
      <c r="E24" s="14" t="n">
        <v>3230</v>
      </c>
      <c r="F24" s="16" t="n">
        <v>88.96</v>
      </c>
      <c r="G24" s="14" t="n">
        <v>447</v>
      </c>
      <c r="H24" s="14" t="n">
        <v>332</v>
      </c>
      <c r="I24" s="16" t="n">
        <v>74.27</v>
      </c>
      <c r="J24" s="14" t="n">
        <v>4078</v>
      </c>
      <c r="K24" s="14" t="n">
        <v>3562</v>
      </c>
      <c r="L24" s="16" t="n">
        <v>87.35</v>
      </c>
    </row>
    <row r="25" customFormat="false" ht="15" hidden="false" customHeight="true" outlineLevel="0" collapsed="false">
      <c r="A25" s="13" t="s">
        <v>754</v>
      </c>
      <c r="B25" s="13" t="s">
        <v>123</v>
      </c>
      <c r="C25" s="13" t="s">
        <v>192</v>
      </c>
      <c r="D25" s="14" t="n">
        <v>4439</v>
      </c>
      <c r="E25" s="14" t="n">
        <v>3870</v>
      </c>
      <c r="F25" s="16" t="n">
        <v>87.18</v>
      </c>
      <c r="G25" s="14" t="n">
        <v>711</v>
      </c>
      <c r="H25" s="14" t="n">
        <v>519</v>
      </c>
      <c r="I25" s="16" t="n">
        <v>73</v>
      </c>
      <c r="J25" s="14" t="n">
        <v>5150</v>
      </c>
      <c r="K25" s="14" t="n">
        <v>4389</v>
      </c>
      <c r="L25" s="16" t="n">
        <v>85.22</v>
      </c>
    </row>
    <row r="26" customFormat="false" ht="15" hidden="false" customHeight="true" outlineLevel="0" collapsed="false">
      <c r="A26" s="13" t="s">
        <v>754</v>
      </c>
      <c r="B26" s="13" t="s">
        <v>126</v>
      </c>
      <c r="C26" s="13" t="s">
        <v>647</v>
      </c>
      <c r="D26" s="14" t="n">
        <v>402</v>
      </c>
      <c r="E26" s="14" t="n">
        <v>315</v>
      </c>
      <c r="F26" s="16" t="n">
        <v>78.36</v>
      </c>
      <c r="G26" s="14" t="n">
        <v>81</v>
      </c>
      <c r="H26" s="14" t="n">
        <v>35</v>
      </c>
      <c r="I26" s="16" t="n">
        <v>43.21</v>
      </c>
      <c r="J26" s="14" t="n">
        <v>483</v>
      </c>
      <c r="K26" s="14" t="n">
        <v>350</v>
      </c>
      <c r="L26" s="16" t="n">
        <v>72.46</v>
      </c>
    </row>
    <row r="27" customFormat="false" ht="15" hidden="false" customHeight="true" outlineLevel="0" collapsed="false">
      <c r="A27" s="13" t="s">
        <v>754</v>
      </c>
      <c r="B27" s="13" t="s">
        <v>126</v>
      </c>
      <c r="C27" s="13" t="s">
        <v>651</v>
      </c>
      <c r="D27" s="14" t="n">
        <v>300</v>
      </c>
      <c r="E27" s="14" t="n">
        <v>276</v>
      </c>
      <c r="F27" s="16" t="n">
        <v>92</v>
      </c>
      <c r="G27" s="14" t="n">
        <v>38</v>
      </c>
      <c r="H27" s="14" t="n">
        <v>22</v>
      </c>
      <c r="I27" s="16" t="n">
        <v>57.89</v>
      </c>
      <c r="J27" s="14" t="n">
        <v>338</v>
      </c>
      <c r="K27" s="14" t="n">
        <v>298</v>
      </c>
      <c r="L27" s="16" t="n">
        <v>88.17</v>
      </c>
    </row>
    <row r="28" customFormat="false" ht="15" hidden="false" customHeight="true" outlineLevel="0" collapsed="false">
      <c r="A28" s="13" t="s">
        <v>754</v>
      </c>
      <c r="B28" s="13" t="s">
        <v>126</v>
      </c>
      <c r="C28" s="13" t="s">
        <v>192</v>
      </c>
      <c r="D28" s="14" t="n">
        <v>702</v>
      </c>
      <c r="E28" s="14" t="n">
        <v>591</v>
      </c>
      <c r="F28" s="16" t="n">
        <v>84.19</v>
      </c>
      <c r="G28" s="14" t="n">
        <v>119</v>
      </c>
      <c r="H28" s="14" t="n">
        <v>57</v>
      </c>
      <c r="I28" s="16" t="n">
        <v>47.9</v>
      </c>
      <c r="J28" s="14" t="n">
        <v>821</v>
      </c>
      <c r="K28" s="14" t="n">
        <v>648</v>
      </c>
      <c r="L28" s="16" t="n">
        <v>78.93</v>
      </c>
    </row>
    <row r="29" customFormat="false" ht="15" hidden="false" customHeight="true" outlineLevel="0" collapsed="false">
      <c r="A29" s="13" t="s">
        <v>754</v>
      </c>
      <c r="B29" s="13" t="s">
        <v>202</v>
      </c>
      <c r="C29" s="13" t="s">
        <v>647</v>
      </c>
      <c r="D29" s="14" t="n">
        <v>2554</v>
      </c>
      <c r="E29" s="14" t="n">
        <v>1505</v>
      </c>
      <c r="F29" s="16" t="n">
        <v>58.93</v>
      </c>
      <c r="G29" s="14" t="n">
        <v>658</v>
      </c>
      <c r="H29" s="14" t="n">
        <v>296</v>
      </c>
      <c r="I29" s="16" t="n">
        <v>44.98</v>
      </c>
      <c r="J29" s="14" t="n">
        <v>3212</v>
      </c>
      <c r="K29" s="14" t="n">
        <v>1801</v>
      </c>
      <c r="L29" s="16" t="n">
        <v>56.07</v>
      </c>
    </row>
    <row r="30" customFormat="false" ht="15" hidden="false" customHeight="true" outlineLevel="0" collapsed="false">
      <c r="A30" s="13" t="s">
        <v>754</v>
      </c>
      <c r="B30" s="13" t="s">
        <v>202</v>
      </c>
      <c r="C30" s="13" t="s">
        <v>651</v>
      </c>
      <c r="D30" s="14" t="n">
        <v>2707</v>
      </c>
      <c r="E30" s="14" t="n">
        <v>2089</v>
      </c>
      <c r="F30" s="16" t="n">
        <v>77.17</v>
      </c>
      <c r="G30" s="14" t="n">
        <v>288</v>
      </c>
      <c r="H30" s="14" t="n">
        <v>135</v>
      </c>
      <c r="I30" s="16" t="n">
        <v>46.88</v>
      </c>
      <c r="J30" s="14" t="n">
        <v>2995</v>
      </c>
      <c r="K30" s="14" t="n">
        <v>2224</v>
      </c>
      <c r="L30" s="16" t="n">
        <v>74.26</v>
      </c>
    </row>
    <row r="31" customFormat="false" ht="15" hidden="false" customHeight="true" outlineLevel="0" collapsed="false">
      <c r="A31" s="13" t="s">
        <v>754</v>
      </c>
      <c r="B31" s="13" t="s">
        <v>202</v>
      </c>
      <c r="C31" s="13" t="s">
        <v>192</v>
      </c>
      <c r="D31" s="14" t="n">
        <v>5261</v>
      </c>
      <c r="E31" s="14" t="n">
        <v>3594</v>
      </c>
      <c r="F31" s="16" t="n">
        <v>68.31</v>
      </c>
      <c r="G31" s="14" t="n">
        <v>946</v>
      </c>
      <c r="H31" s="14" t="n">
        <v>431</v>
      </c>
      <c r="I31" s="16" t="n">
        <v>45.56</v>
      </c>
      <c r="J31" s="14" t="n">
        <v>6207</v>
      </c>
      <c r="K31" s="14" t="n">
        <v>4025</v>
      </c>
      <c r="L31" s="16" t="n">
        <v>64.85</v>
      </c>
    </row>
    <row r="32" customFormat="false" ht="15" hidden="false" customHeight="true" outlineLevel="0" collapsed="false">
      <c r="A32" s="13" t="s">
        <v>754</v>
      </c>
      <c r="B32" s="13" t="s">
        <v>203</v>
      </c>
      <c r="C32" s="13" t="s">
        <v>647</v>
      </c>
      <c r="D32" s="14" t="n">
        <v>97</v>
      </c>
      <c r="E32" s="14" t="n">
        <v>63</v>
      </c>
      <c r="F32" s="16" t="n">
        <v>64.95</v>
      </c>
      <c r="G32" s="14" t="n">
        <v>115</v>
      </c>
      <c r="H32" s="14" t="n">
        <v>51</v>
      </c>
      <c r="I32" s="16" t="n">
        <v>44.35</v>
      </c>
      <c r="J32" s="14" t="n">
        <v>212</v>
      </c>
      <c r="K32" s="14" t="n">
        <v>114</v>
      </c>
      <c r="L32" s="16" t="n">
        <v>53.77</v>
      </c>
    </row>
    <row r="33" customFormat="false" ht="15" hidden="false" customHeight="true" outlineLevel="0" collapsed="false">
      <c r="A33" s="13" t="s">
        <v>754</v>
      </c>
      <c r="B33" s="13" t="s">
        <v>203</v>
      </c>
      <c r="C33" s="13" t="s">
        <v>651</v>
      </c>
      <c r="D33" s="14" t="n">
        <v>93</v>
      </c>
      <c r="E33" s="14" t="n">
        <v>83</v>
      </c>
      <c r="F33" s="16" t="n">
        <v>89.25</v>
      </c>
      <c r="G33" s="14" t="n">
        <v>89</v>
      </c>
      <c r="H33" s="14" t="n">
        <v>74</v>
      </c>
      <c r="I33" s="16" t="n">
        <v>83.15</v>
      </c>
      <c r="J33" s="14" t="n">
        <v>182</v>
      </c>
      <c r="K33" s="14" t="n">
        <v>157</v>
      </c>
      <c r="L33" s="16" t="n">
        <v>86.26</v>
      </c>
    </row>
    <row r="34" customFormat="false" ht="15" hidden="false" customHeight="true" outlineLevel="0" collapsed="false">
      <c r="A34" s="13" t="s">
        <v>754</v>
      </c>
      <c r="B34" s="13" t="s">
        <v>203</v>
      </c>
      <c r="C34" s="13" t="s">
        <v>192</v>
      </c>
      <c r="D34" s="14" t="n">
        <v>190</v>
      </c>
      <c r="E34" s="14" t="n">
        <v>146</v>
      </c>
      <c r="F34" s="16" t="n">
        <v>76.84</v>
      </c>
      <c r="G34" s="14" t="n">
        <v>204</v>
      </c>
      <c r="H34" s="14" t="n">
        <v>125</v>
      </c>
      <c r="I34" s="16" t="n">
        <v>61.27</v>
      </c>
      <c r="J34" s="14" t="n">
        <v>394</v>
      </c>
      <c r="K34" s="14" t="n">
        <v>271</v>
      </c>
      <c r="L34" s="16" t="n">
        <v>68.78</v>
      </c>
    </row>
    <row r="35" customFormat="false" ht="15" hidden="false" customHeight="true" outlineLevel="0" collapsed="false">
      <c r="A35" s="13" t="s">
        <v>754</v>
      </c>
      <c r="B35" s="13" t="s">
        <v>653</v>
      </c>
      <c r="C35" s="13" t="s">
        <v>647</v>
      </c>
      <c r="D35" s="14" t="n">
        <v>1397</v>
      </c>
      <c r="E35" s="14" t="n">
        <v>521</v>
      </c>
      <c r="F35" s="16" t="n">
        <v>37.29</v>
      </c>
      <c r="G35" s="14" t="n">
        <v>1798</v>
      </c>
      <c r="H35" s="14" t="n">
        <v>564</v>
      </c>
      <c r="I35" s="16" t="n">
        <v>31.37</v>
      </c>
      <c r="J35" s="14" t="n">
        <v>3195</v>
      </c>
      <c r="K35" s="14" t="n">
        <v>1085</v>
      </c>
      <c r="L35" s="16" t="n">
        <v>33.96</v>
      </c>
    </row>
    <row r="36" customFormat="false" ht="15" hidden="false" customHeight="true" outlineLevel="0" collapsed="false">
      <c r="A36" s="13" t="s">
        <v>754</v>
      </c>
      <c r="B36" s="13" t="s">
        <v>653</v>
      </c>
      <c r="C36" s="13" t="s">
        <v>651</v>
      </c>
      <c r="D36" s="14" t="n">
        <v>3347</v>
      </c>
      <c r="E36" s="14" t="n">
        <v>2602</v>
      </c>
      <c r="F36" s="16" t="n">
        <v>77.74</v>
      </c>
      <c r="G36" s="14" t="n">
        <v>2470</v>
      </c>
      <c r="H36" s="14" t="n">
        <v>1639</v>
      </c>
      <c r="I36" s="16" t="n">
        <v>66.36</v>
      </c>
      <c r="J36" s="14" t="n">
        <v>5817</v>
      </c>
      <c r="K36" s="14" t="n">
        <v>4241</v>
      </c>
      <c r="L36" s="16" t="n">
        <v>72.91</v>
      </c>
    </row>
    <row r="37" customFormat="false" ht="15" hidden="false" customHeight="true" outlineLevel="0" collapsed="false">
      <c r="A37" s="13" t="s">
        <v>754</v>
      </c>
      <c r="B37" s="13" t="s">
        <v>653</v>
      </c>
      <c r="C37" s="13" t="s">
        <v>192</v>
      </c>
      <c r="D37" s="14" t="n">
        <v>4744</v>
      </c>
      <c r="E37" s="14" t="n">
        <v>3123</v>
      </c>
      <c r="F37" s="16" t="n">
        <v>65.83</v>
      </c>
      <c r="G37" s="14" t="n">
        <v>4268</v>
      </c>
      <c r="H37" s="14" t="n">
        <v>2203</v>
      </c>
      <c r="I37" s="16" t="n">
        <v>51.62</v>
      </c>
      <c r="J37" s="14" t="n">
        <v>9012</v>
      </c>
      <c r="K37" s="14" t="n">
        <v>5326</v>
      </c>
      <c r="L37" s="16" t="n">
        <v>59.1</v>
      </c>
    </row>
    <row r="38" customFormat="false" ht="15" hidden="false" customHeight="true" outlineLevel="0" collapsed="false">
      <c r="A38" s="13" t="s">
        <v>754</v>
      </c>
      <c r="B38" s="13" t="s">
        <v>752</v>
      </c>
      <c r="C38" s="13" t="s">
        <v>647</v>
      </c>
      <c r="D38" s="14" t="n">
        <v>5258</v>
      </c>
      <c r="E38" s="14" t="n">
        <v>3044</v>
      </c>
      <c r="F38" s="16" t="n">
        <v>57.89</v>
      </c>
      <c r="G38" s="14" t="n">
        <v>2916</v>
      </c>
      <c r="H38" s="14" t="n">
        <v>1133</v>
      </c>
      <c r="I38" s="16" t="n">
        <v>38.85</v>
      </c>
      <c r="J38" s="14" t="n">
        <v>8174</v>
      </c>
      <c r="K38" s="14" t="n">
        <v>4177</v>
      </c>
      <c r="L38" s="16" t="n">
        <v>51.1</v>
      </c>
    </row>
    <row r="39" customFormat="false" ht="15" hidden="false" customHeight="true" outlineLevel="0" collapsed="false">
      <c r="A39" s="13" t="s">
        <v>754</v>
      </c>
      <c r="B39" s="13" t="s">
        <v>752</v>
      </c>
      <c r="C39" s="13" t="s">
        <v>651</v>
      </c>
      <c r="D39" s="14" t="n">
        <v>10078</v>
      </c>
      <c r="E39" s="14" t="n">
        <v>8280</v>
      </c>
      <c r="F39" s="16" t="n">
        <v>82.16</v>
      </c>
      <c r="G39" s="14" t="n">
        <v>3332</v>
      </c>
      <c r="H39" s="14" t="n">
        <v>2202</v>
      </c>
      <c r="I39" s="16" t="n">
        <v>66.09</v>
      </c>
      <c r="J39" s="14" t="n">
        <v>13410</v>
      </c>
      <c r="K39" s="14" t="n">
        <v>10482</v>
      </c>
      <c r="L39" s="16" t="n">
        <v>78.17</v>
      </c>
    </row>
    <row r="40" customFormat="false" ht="15" hidden="false" customHeight="true" outlineLevel="0" collapsed="false">
      <c r="A40" s="13" t="s">
        <v>754</v>
      </c>
      <c r="B40" s="13" t="s">
        <v>753</v>
      </c>
      <c r="C40" s="13" t="s">
        <v>192</v>
      </c>
      <c r="D40" s="14" t="n">
        <v>15336</v>
      </c>
      <c r="E40" s="14" t="n">
        <v>11324</v>
      </c>
      <c r="F40" s="16" t="n">
        <v>73.84</v>
      </c>
      <c r="G40" s="14" t="n">
        <v>6248</v>
      </c>
      <c r="H40" s="14" t="n">
        <v>3335</v>
      </c>
      <c r="I40" s="16" t="n">
        <v>53.38</v>
      </c>
      <c r="J40" s="14" t="n">
        <v>21584</v>
      </c>
      <c r="K40" s="14" t="n">
        <v>14659</v>
      </c>
      <c r="L40" s="16" t="n">
        <v>67.92</v>
      </c>
    </row>
    <row r="41" customFormat="false" ht="15" hidden="false" customHeight="true" outlineLevel="0" collapsed="false">
      <c r="A41" s="13" t="s">
        <v>37</v>
      </c>
      <c r="B41" s="13" t="s">
        <v>123</v>
      </c>
      <c r="C41" s="13" t="s">
        <v>647</v>
      </c>
      <c r="D41" s="14" t="n">
        <v>4536</v>
      </c>
      <c r="E41" s="14" t="n">
        <v>3542</v>
      </c>
      <c r="F41" s="16" t="n">
        <v>78.09</v>
      </c>
      <c r="G41" s="14" t="n">
        <v>1134</v>
      </c>
      <c r="H41" s="14" t="n">
        <v>667</v>
      </c>
      <c r="I41" s="16" t="n">
        <v>58.82</v>
      </c>
      <c r="J41" s="14" t="n">
        <v>5670</v>
      </c>
      <c r="K41" s="14" t="n">
        <v>4209</v>
      </c>
      <c r="L41" s="16" t="n">
        <v>74.23</v>
      </c>
    </row>
    <row r="42" customFormat="false" ht="15" hidden="false" customHeight="true" outlineLevel="0" collapsed="false">
      <c r="A42" s="13" t="s">
        <v>37</v>
      </c>
      <c r="B42" s="13" t="s">
        <v>123</v>
      </c>
      <c r="C42" s="13" t="s">
        <v>651</v>
      </c>
      <c r="D42" s="14" t="n">
        <v>17439</v>
      </c>
      <c r="E42" s="14" t="n">
        <v>15188</v>
      </c>
      <c r="F42" s="16" t="n">
        <v>87.09</v>
      </c>
      <c r="G42" s="14" t="n">
        <v>2469</v>
      </c>
      <c r="H42" s="14" t="n">
        <v>1702</v>
      </c>
      <c r="I42" s="16" t="n">
        <v>68.93</v>
      </c>
      <c r="J42" s="14" t="n">
        <v>19908</v>
      </c>
      <c r="K42" s="14" t="n">
        <v>16890</v>
      </c>
      <c r="L42" s="16" t="n">
        <v>84.84</v>
      </c>
    </row>
    <row r="43" customFormat="false" ht="15" hidden="false" customHeight="true" outlineLevel="0" collapsed="false">
      <c r="A43" s="13" t="s">
        <v>37</v>
      </c>
      <c r="B43" s="13" t="s">
        <v>123</v>
      </c>
      <c r="C43" s="13" t="s">
        <v>192</v>
      </c>
      <c r="D43" s="14" t="n">
        <v>21975</v>
      </c>
      <c r="E43" s="14" t="n">
        <v>18730</v>
      </c>
      <c r="F43" s="16" t="n">
        <v>85.23</v>
      </c>
      <c r="G43" s="14" t="n">
        <v>3603</v>
      </c>
      <c r="H43" s="14" t="n">
        <v>2369</v>
      </c>
      <c r="I43" s="16" t="n">
        <v>65.75</v>
      </c>
      <c r="J43" s="14" t="n">
        <v>25578</v>
      </c>
      <c r="K43" s="14" t="n">
        <v>21099</v>
      </c>
      <c r="L43" s="16" t="n">
        <v>82.49</v>
      </c>
    </row>
    <row r="44" customFormat="false" ht="15" hidden="false" customHeight="true" outlineLevel="0" collapsed="false">
      <c r="A44" s="13" t="s">
        <v>37</v>
      </c>
      <c r="B44" s="13" t="s">
        <v>126</v>
      </c>
      <c r="C44" s="13" t="s">
        <v>647</v>
      </c>
      <c r="D44" s="14" t="n">
        <v>3315</v>
      </c>
      <c r="E44" s="14" t="n">
        <v>2637</v>
      </c>
      <c r="F44" s="16" t="n">
        <v>79.55</v>
      </c>
      <c r="G44" s="14" t="n">
        <v>547</v>
      </c>
      <c r="H44" s="14" t="n">
        <v>240</v>
      </c>
      <c r="I44" s="16" t="n">
        <v>43.88</v>
      </c>
      <c r="J44" s="14" t="n">
        <v>3862</v>
      </c>
      <c r="K44" s="14" t="n">
        <v>2877</v>
      </c>
      <c r="L44" s="16" t="n">
        <v>74.5</v>
      </c>
    </row>
    <row r="45" customFormat="false" ht="15" hidden="false" customHeight="true" outlineLevel="0" collapsed="false">
      <c r="A45" s="13" t="s">
        <v>37</v>
      </c>
      <c r="B45" s="13" t="s">
        <v>126</v>
      </c>
      <c r="C45" s="13" t="s">
        <v>651</v>
      </c>
      <c r="D45" s="14" t="n">
        <v>1759</v>
      </c>
      <c r="E45" s="14" t="n">
        <v>1564</v>
      </c>
      <c r="F45" s="16" t="n">
        <v>88.91</v>
      </c>
      <c r="G45" s="14" t="n">
        <v>248</v>
      </c>
      <c r="H45" s="14" t="n">
        <v>145</v>
      </c>
      <c r="I45" s="16" t="n">
        <v>58.47</v>
      </c>
      <c r="J45" s="14" t="n">
        <v>2007</v>
      </c>
      <c r="K45" s="14" t="n">
        <v>1709</v>
      </c>
      <c r="L45" s="16" t="n">
        <v>85.15</v>
      </c>
    </row>
    <row r="46" customFormat="false" ht="15" hidden="false" customHeight="true" outlineLevel="0" collapsed="false">
      <c r="A46" s="13" t="s">
        <v>37</v>
      </c>
      <c r="B46" s="13" t="s">
        <v>126</v>
      </c>
      <c r="C46" s="13" t="s">
        <v>192</v>
      </c>
      <c r="D46" s="14" t="n">
        <v>5074</v>
      </c>
      <c r="E46" s="14" t="n">
        <v>4201</v>
      </c>
      <c r="F46" s="16" t="n">
        <v>82.79</v>
      </c>
      <c r="G46" s="14" t="n">
        <v>795</v>
      </c>
      <c r="H46" s="14" t="n">
        <v>385</v>
      </c>
      <c r="I46" s="16" t="n">
        <v>48.43</v>
      </c>
      <c r="J46" s="14" t="n">
        <v>5869</v>
      </c>
      <c r="K46" s="14" t="n">
        <v>4586</v>
      </c>
      <c r="L46" s="16" t="n">
        <v>78.14</v>
      </c>
    </row>
    <row r="47" customFormat="false" ht="15" hidden="false" customHeight="true" outlineLevel="0" collapsed="false">
      <c r="A47" s="13" t="s">
        <v>37</v>
      </c>
      <c r="B47" s="13" t="s">
        <v>202</v>
      </c>
      <c r="C47" s="13" t="s">
        <v>647</v>
      </c>
      <c r="D47" s="14" t="n">
        <v>21846</v>
      </c>
      <c r="E47" s="14" t="n">
        <v>12887</v>
      </c>
      <c r="F47" s="16" t="n">
        <v>58.99</v>
      </c>
      <c r="G47" s="14" t="n">
        <v>5245</v>
      </c>
      <c r="H47" s="14" t="n">
        <v>1578</v>
      </c>
      <c r="I47" s="16" t="n">
        <v>30.09</v>
      </c>
      <c r="J47" s="14" t="n">
        <v>27091</v>
      </c>
      <c r="K47" s="14" t="n">
        <v>14465</v>
      </c>
      <c r="L47" s="16" t="n">
        <v>53.39</v>
      </c>
    </row>
    <row r="48" customFormat="false" ht="15" hidden="false" customHeight="true" outlineLevel="0" collapsed="false">
      <c r="A48" s="13" t="s">
        <v>37</v>
      </c>
      <c r="B48" s="13" t="s">
        <v>202</v>
      </c>
      <c r="C48" s="13" t="s">
        <v>651</v>
      </c>
      <c r="D48" s="14" t="n">
        <v>20406</v>
      </c>
      <c r="E48" s="14" t="n">
        <v>15205</v>
      </c>
      <c r="F48" s="16" t="n">
        <v>74.51</v>
      </c>
      <c r="G48" s="14" t="n">
        <v>2294</v>
      </c>
      <c r="H48" s="14" t="n">
        <v>868</v>
      </c>
      <c r="I48" s="16" t="n">
        <v>37.84</v>
      </c>
      <c r="J48" s="14" t="n">
        <v>22700</v>
      </c>
      <c r="K48" s="14" t="n">
        <v>16073</v>
      </c>
      <c r="L48" s="16" t="n">
        <v>70.81</v>
      </c>
    </row>
    <row r="49" customFormat="false" ht="15" hidden="false" customHeight="true" outlineLevel="0" collapsed="false">
      <c r="A49" s="13" t="s">
        <v>37</v>
      </c>
      <c r="B49" s="13" t="s">
        <v>202</v>
      </c>
      <c r="C49" s="13" t="s">
        <v>192</v>
      </c>
      <c r="D49" s="14" t="n">
        <v>42252</v>
      </c>
      <c r="E49" s="14" t="n">
        <v>28092</v>
      </c>
      <c r="F49" s="16" t="n">
        <v>66.49</v>
      </c>
      <c r="G49" s="14" t="n">
        <v>7539</v>
      </c>
      <c r="H49" s="14" t="n">
        <v>2446</v>
      </c>
      <c r="I49" s="16" t="n">
        <v>32.44</v>
      </c>
      <c r="J49" s="14" t="n">
        <v>49791</v>
      </c>
      <c r="K49" s="14" t="n">
        <v>30538</v>
      </c>
      <c r="L49" s="16" t="n">
        <v>61.33</v>
      </c>
    </row>
    <row r="50" customFormat="false" ht="15" hidden="false" customHeight="true" outlineLevel="0" collapsed="false">
      <c r="A50" s="13" t="s">
        <v>37</v>
      </c>
      <c r="B50" s="13" t="s">
        <v>203</v>
      </c>
      <c r="C50" s="13" t="s">
        <v>647</v>
      </c>
      <c r="D50" s="14" t="n">
        <v>2578</v>
      </c>
      <c r="E50" s="14" t="n">
        <v>1860</v>
      </c>
      <c r="F50" s="16" t="n">
        <v>72.15</v>
      </c>
      <c r="G50" s="14" t="n">
        <v>2617</v>
      </c>
      <c r="H50" s="14" t="n">
        <v>1213</v>
      </c>
      <c r="I50" s="16" t="n">
        <v>46.35</v>
      </c>
      <c r="J50" s="14" t="n">
        <v>5195</v>
      </c>
      <c r="K50" s="14" t="n">
        <v>3073</v>
      </c>
      <c r="L50" s="16" t="n">
        <v>59.15</v>
      </c>
    </row>
    <row r="51" customFormat="false" ht="15" hidden="false" customHeight="true" outlineLevel="0" collapsed="false">
      <c r="A51" s="13" t="s">
        <v>37</v>
      </c>
      <c r="B51" s="13" t="s">
        <v>203</v>
      </c>
      <c r="C51" s="13" t="s">
        <v>651</v>
      </c>
      <c r="D51" s="14" t="n">
        <v>3003</v>
      </c>
      <c r="E51" s="14" t="n">
        <v>2543</v>
      </c>
      <c r="F51" s="16" t="n">
        <v>84.68</v>
      </c>
      <c r="G51" s="14" t="n">
        <v>2144</v>
      </c>
      <c r="H51" s="14" t="n">
        <v>1323</v>
      </c>
      <c r="I51" s="16" t="n">
        <v>61.71</v>
      </c>
      <c r="J51" s="14" t="n">
        <v>5147</v>
      </c>
      <c r="K51" s="14" t="n">
        <v>3866</v>
      </c>
      <c r="L51" s="16" t="n">
        <v>75.11</v>
      </c>
    </row>
    <row r="52" customFormat="false" ht="15" hidden="false" customHeight="true" outlineLevel="0" collapsed="false">
      <c r="A52" s="13" t="s">
        <v>37</v>
      </c>
      <c r="B52" s="13" t="s">
        <v>203</v>
      </c>
      <c r="C52" s="13" t="s">
        <v>192</v>
      </c>
      <c r="D52" s="14" t="n">
        <v>5581</v>
      </c>
      <c r="E52" s="14" t="n">
        <v>4403</v>
      </c>
      <c r="F52" s="16" t="n">
        <v>78.89</v>
      </c>
      <c r="G52" s="14" t="n">
        <v>4761</v>
      </c>
      <c r="H52" s="14" t="n">
        <v>2536</v>
      </c>
      <c r="I52" s="16" t="n">
        <v>53.27</v>
      </c>
      <c r="J52" s="14" t="n">
        <v>10342</v>
      </c>
      <c r="K52" s="14" t="n">
        <v>6939</v>
      </c>
      <c r="L52" s="16" t="n">
        <v>67.1</v>
      </c>
    </row>
    <row r="53" customFormat="false" ht="15" hidden="false" customHeight="true" outlineLevel="0" collapsed="false">
      <c r="A53" s="13" t="s">
        <v>37</v>
      </c>
      <c r="B53" s="13" t="s">
        <v>653</v>
      </c>
      <c r="C53" s="13" t="s">
        <v>647</v>
      </c>
      <c r="D53" s="14" t="n">
        <v>5539</v>
      </c>
      <c r="E53" s="14" t="n">
        <v>2106</v>
      </c>
      <c r="F53" s="16" t="n">
        <v>38.02</v>
      </c>
      <c r="G53" s="14" t="n">
        <v>9387</v>
      </c>
      <c r="H53" s="14" t="n">
        <v>2517</v>
      </c>
      <c r="I53" s="16" t="n">
        <v>26.81</v>
      </c>
      <c r="J53" s="14" t="n">
        <v>14926</v>
      </c>
      <c r="K53" s="14" t="n">
        <v>4623</v>
      </c>
      <c r="L53" s="16" t="n">
        <v>30.97</v>
      </c>
    </row>
    <row r="54" customFormat="false" ht="15" hidden="false" customHeight="true" outlineLevel="0" collapsed="false">
      <c r="A54" s="13" t="s">
        <v>37</v>
      </c>
      <c r="B54" s="13" t="s">
        <v>653</v>
      </c>
      <c r="C54" s="13" t="s">
        <v>651</v>
      </c>
      <c r="D54" s="14" t="n">
        <v>12455</v>
      </c>
      <c r="E54" s="14" t="n">
        <v>9029</v>
      </c>
      <c r="F54" s="16" t="n">
        <v>72.49</v>
      </c>
      <c r="G54" s="14" t="n">
        <v>10812</v>
      </c>
      <c r="H54" s="14" t="n">
        <v>6288</v>
      </c>
      <c r="I54" s="16" t="n">
        <v>58.16</v>
      </c>
      <c r="J54" s="14" t="n">
        <v>23267</v>
      </c>
      <c r="K54" s="14" t="n">
        <v>15317</v>
      </c>
      <c r="L54" s="16" t="n">
        <v>65.83</v>
      </c>
    </row>
    <row r="55" customFormat="false" ht="15" hidden="false" customHeight="true" outlineLevel="0" collapsed="false">
      <c r="A55" s="13" t="s">
        <v>37</v>
      </c>
      <c r="B55" s="13" t="s">
        <v>653</v>
      </c>
      <c r="C55" s="13" t="s">
        <v>192</v>
      </c>
      <c r="D55" s="14" t="n">
        <v>17994</v>
      </c>
      <c r="E55" s="14" t="n">
        <v>11135</v>
      </c>
      <c r="F55" s="16" t="n">
        <v>61.88</v>
      </c>
      <c r="G55" s="14" t="n">
        <v>20199</v>
      </c>
      <c r="H55" s="14" t="n">
        <v>8805</v>
      </c>
      <c r="I55" s="16" t="n">
        <v>43.59</v>
      </c>
      <c r="J55" s="14" t="n">
        <v>38193</v>
      </c>
      <c r="K55" s="14" t="n">
        <v>19940</v>
      </c>
      <c r="L55" s="16" t="n">
        <v>52.21</v>
      </c>
    </row>
    <row r="56" customFormat="false" ht="15" hidden="false" customHeight="true" outlineLevel="0" collapsed="false">
      <c r="A56" s="13" t="s">
        <v>37</v>
      </c>
      <c r="B56" s="13" t="s">
        <v>752</v>
      </c>
      <c r="C56" s="13" t="s">
        <v>647</v>
      </c>
      <c r="D56" s="14" t="n">
        <v>37814</v>
      </c>
      <c r="E56" s="14" t="n">
        <v>23032</v>
      </c>
      <c r="F56" s="16" t="n">
        <v>60.91</v>
      </c>
      <c r="G56" s="14" t="n">
        <v>18930</v>
      </c>
      <c r="H56" s="14" t="n">
        <v>6215</v>
      </c>
      <c r="I56" s="16" t="n">
        <v>32.83</v>
      </c>
      <c r="J56" s="14" t="n">
        <v>56744</v>
      </c>
      <c r="K56" s="14" t="n">
        <v>29247</v>
      </c>
      <c r="L56" s="16" t="n">
        <v>51.54</v>
      </c>
    </row>
    <row r="57" customFormat="false" ht="15" hidden="false" customHeight="true" outlineLevel="0" collapsed="false">
      <c r="A57" s="13" t="s">
        <v>37</v>
      </c>
      <c r="B57" s="13" t="s">
        <v>752</v>
      </c>
      <c r="C57" s="13" t="s">
        <v>651</v>
      </c>
      <c r="D57" s="14" t="n">
        <v>55062</v>
      </c>
      <c r="E57" s="14" t="n">
        <v>43529</v>
      </c>
      <c r="F57" s="16" t="n">
        <v>79.05</v>
      </c>
      <c r="G57" s="14" t="n">
        <v>17967</v>
      </c>
      <c r="H57" s="14" t="n">
        <v>10326</v>
      </c>
      <c r="I57" s="16" t="n">
        <v>57.47</v>
      </c>
      <c r="J57" s="14" t="n">
        <v>73029</v>
      </c>
      <c r="K57" s="14" t="n">
        <v>53855</v>
      </c>
      <c r="L57" s="16" t="n">
        <v>73.74</v>
      </c>
    </row>
    <row r="58" customFormat="false" ht="15" hidden="false" customHeight="true" outlineLevel="0" collapsed="false">
      <c r="A58" s="13" t="s">
        <v>37</v>
      </c>
      <c r="B58" s="13" t="s">
        <v>753</v>
      </c>
      <c r="C58" s="13" t="s">
        <v>192</v>
      </c>
      <c r="D58" s="14" t="n">
        <v>92876</v>
      </c>
      <c r="E58" s="14" t="n">
        <v>66561</v>
      </c>
      <c r="F58" s="16" t="n">
        <v>71.67</v>
      </c>
      <c r="G58" s="14" t="n">
        <v>36897</v>
      </c>
      <c r="H58" s="14" t="n">
        <v>16541</v>
      </c>
      <c r="I58" s="16" t="n">
        <v>44.83</v>
      </c>
      <c r="J58" s="14" t="n">
        <v>129773</v>
      </c>
      <c r="K58" s="14" t="n">
        <v>83102</v>
      </c>
      <c r="L58" s="16" t="n">
        <v>64.04</v>
      </c>
    </row>
    <row r="59" customFormat="false" ht="15" hidden="false" customHeight="true" outlineLevel="0" collapsed="false">
      <c r="A59" s="13" t="s">
        <v>755</v>
      </c>
      <c r="B59" s="13" t="s">
        <v>123</v>
      </c>
      <c r="C59" s="13" t="s">
        <v>647</v>
      </c>
      <c r="D59" s="14" t="n">
        <v>452</v>
      </c>
      <c r="E59" s="14" t="n">
        <v>396</v>
      </c>
      <c r="F59" s="16" t="n">
        <v>87.61</v>
      </c>
      <c r="G59" s="14" t="n">
        <v>95</v>
      </c>
      <c r="H59" s="14" t="n">
        <v>68</v>
      </c>
      <c r="I59" s="16" t="n">
        <v>71.58</v>
      </c>
      <c r="J59" s="14" t="n">
        <v>547</v>
      </c>
      <c r="K59" s="14" t="n">
        <v>464</v>
      </c>
      <c r="L59" s="16" t="n">
        <v>84.83</v>
      </c>
    </row>
    <row r="60" customFormat="false" ht="15" hidden="false" customHeight="true" outlineLevel="0" collapsed="false">
      <c r="A60" s="13" t="s">
        <v>755</v>
      </c>
      <c r="B60" s="13" t="s">
        <v>123</v>
      </c>
      <c r="C60" s="13" t="s">
        <v>651</v>
      </c>
      <c r="D60" s="14" t="n">
        <v>1926</v>
      </c>
      <c r="E60" s="14" t="n">
        <v>1709</v>
      </c>
      <c r="F60" s="16" t="n">
        <v>88.73</v>
      </c>
      <c r="G60" s="14" t="n">
        <v>195</v>
      </c>
      <c r="H60" s="14" t="n">
        <v>138</v>
      </c>
      <c r="I60" s="16" t="n">
        <v>70.77</v>
      </c>
      <c r="J60" s="14" t="n">
        <v>2121</v>
      </c>
      <c r="K60" s="14" t="n">
        <v>1847</v>
      </c>
      <c r="L60" s="16" t="n">
        <v>87.08</v>
      </c>
    </row>
    <row r="61" customFormat="false" ht="15" hidden="false" customHeight="true" outlineLevel="0" collapsed="false">
      <c r="A61" s="13" t="s">
        <v>755</v>
      </c>
      <c r="B61" s="13" t="s">
        <v>123</v>
      </c>
      <c r="C61" s="13" t="s">
        <v>192</v>
      </c>
      <c r="D61" s="14" t="n">
        <v>2378</v>
      </c>
      <c r="E61" s="14" t="n">
        <v>2105</v>
      </c>
      <c r="F61" s="16" t="n">
        <v>88.52</v>
      </c>
      <c r="G61" s="14" t="n">
        <v>290</v>
      </c>
      <c r="H61" s="14" t="n">
        <v>206</v>
      </c>
      <c r="I61" s="16" t="n">
        <v>71.03</v>
      </c>
      <c r="J61" s="14" t="n">
        <v>2668</v>
      </c>
      <c r="K61" s="14" t="n">
        <v>2311</v>
      </c>
      <c r="L61" s="16" t="n">
        <v>86.62</v>
      </c>
    </row>
    <row r="62" customFormat="false" ht="15" hidden="false" customHeight="true" outlineLevel="0" collapsed="false">
      <c r="A62" s="13" t="s">
        <v>755</v>
      </c>
      <c r="B62" s="13" t="s">
        <v>126</v>
      </c>
      <c r="C62" s="13" t="s">
        <v>647</v>
      </c>
      <c r="D62" s="14" t="n">
        <v>242</v>
      </c>
      <c r="E62" s="14" t="n">
        <v>197</v>
      </c>
      <c r="F62" s="16" t="n">
        <v>81.4</v>
      </c>
      <c r="G62" s="14" t="n">
        <v>33</v>
      </c>
      <c r="H62" s="14" t="n">
        <v>12</v>
      </c>
      <c r="I62" s="16" t="n">
        <v>36.36</v>
      </c>
      <c r="J62" s="14" t="n">
        <v>275</v>
      </c>
      <c r="K62" s="14" t="n">
        <v>209</v>
      </c>
      <c r="L62" s="16" t="n">
        <v>76</v>
      </c>
    </row>
    <row r="63" customFormat="false" ht="15" hidden="false" customHeight="true" outlineLevel="0" collapsed="false">
      <c r="A63" s="13" t="s">
        <v>755</v>
      </c>
      <c r="B63" s="13" t="s">
        <v>126</v>
      </c>
      <c r="C63" s="13" t="s">
        <v>651</v>
      </c>
      <c r="D63" s="14" t="n">
        <v>211</v>
      </c>
      <c r="E63" s="14" t="n">
        <v>197</v>
      </c>
      <c r="F63" s="16" t="n">
        <v>93.36</v>
      </c>
      <c r="G63" s="14" t="n">
        <v>13</v>
      </c>
      <c r="H63" s="14" t="n">
        <v>8</v>
      </c>
      <c r="I63" s="16" t="n">
        <v>61.54</v>
      </c>
      <c r="J63" s="14" t="n">
        <v>224</v>
      </c>
      <c r="K63" s="14" t="n">
        <v>205</v>
      </c>
      <c r="L63" s="16" t="n">
        <v>91.52</v>
      </c>
    </row>
    <row r="64" customFormat="false" ht="15" hidden="false" customHeight="true" outlineLevel="0" collapsed="false">
      <c r="A64" s="13" t="s">
        <v>755</v>
      </c>
      <c r="B64" s="13" t="s">
        <v>126</v>
      </c>
      <c r="C64" s="13" t="s">
        <v>192</v>
      </c>
      <c r="D64" s="14" t="n">
        <v>453</v>
      </c>
      <c r="E64" s="14" t="n">
        <v>394</v>
      </c>
      <c r="F64" s="16" t="n">
        <v>86.98</v>
      </c>
      <c r="G64" s="14" t="n">
        <v>46</v>
      </c>
      <c r="H64" s="14" t="n">
        <v>20</v>
      </c>
      <c r="I64" s="16" t="n">
        <v>43.48</v>
      </c>
      <c r="J64" s="14" t="n">
        <v>499</v>
      </c>
      <c r="K64" s="14" t="n">
        <v>414</v>
      </c>
      <c r="L64" s="16" t="n">
        <v>82.97</v>
      </c>
    </row>
    <row r="65" customFormat="false" ht="15" hidden="false" customHeight="true" outlineLevel="0" collapsed="false">
      <c r="A65" s="13" t="s">
        <v>755</v>
      </c>
      <c r="B65" s="13" t="s">
        <v>202</v>
      </c>
      <c r="C65" s="13" t="s">
        <v>647</v>
      </c>
      <c r="D65" s="14" t="n">
        <v>1253</v>
      </c>
      <c r="E65" s="14" t="n">
        <v>893</v>
      </c>
      <c r="F65" s="16" t="n">
        <v>71.27</v>
      </c>
      <c r="G65" s="14" t="n">
        <v>216</v>
      </c>
      <c r="H65" s="14" t="n">
        <v>106</v>
      </c>
      <c r="I65" s="16" t="n">
        <v>49.07</v>
      </c>
      <c r="J65" s="14" t="n">
        <v>1469</v>
      </c>
      <c r="K65" s="14" t="n">
        <v>999</v>
      </c>
      <c r="L65" s="16" t="n">
        <v>68.01</v>
      </c>
    </row>
    <row r="66" customFormat="false" ht="15" hidden="false" customHeight="true" outlineLevel="0" collapsed="false">
      <c r="A66" s="13" t="s">
        <v>755</v>
      </c>
      <c r="B66" s="13" t="s">
        <v>202</v>
      </c>
      <c r="C66" s="13" t="s">
        <v>651</v>
      </c>
      <c r="D66" s="14" t="n">
        <v>1318</v>
      </c>
      <c r="E66" s="14" t="n">
        <v>1115</v>
      </c>
      <c r="F66" s="16" t="n">
        <v>84.6</v>
      </c>
      <c r="G66" s="14" t="n">
        <v>110</v>
      </c>
      <c r="H66" s="14" t="n">
        <v>58</v>
      </c>
      <c r="I66" s="16" t="n">
        <v>52.73</v>
      </c>
      <c r="J66" s="14" t="n">
        <v>1428</v>
      </c>
      <c r="K66" s="14" t="n">
        <v>1173</v>
      </c>
      <c r="L66" s="16" t="n">
        <v>82.14</v>
      </c>
    </row>
    <row r="67" customFormat="false" ht="15" hidden="false" customHeight="true" outlineLevel="0" collapsed="false">
      <c r="A67" s="13" t="s">
        <v>755</v>
      </c>
      <c r="B67" s="13" t="s">
        <v>202</v>
      </c>
      <c r="C67" s="13" t="s">
        <v>192</v>
      </c>
      <c r="D67" s="14" t="n">
        <v>2571</v>
      </c>
      <c r="E67" s="14" t="n">
        <v>2008</v>
      </c>
      <c r="F67" s="16" t="n">
        <v>78.1</v>
      </c>
      <c r="G67" s="14" t="n">
        <v>326</v>
      </c>
      <c r="H67" s="14" t="n">
        <v>164</v>
      </c>
      <c r="I67" s="16" t="n">
        <v>50.31</v>
      </c>
      <c r="J67" s="14" t="n">
        <v>2897</v>
      </c>
      <c r="K67" s="14" t="n">
        <v>2172</v>
      </c>
      <c r="L67" s="16" t="n">
        <v>74.97</v>
      </c>
    </row>
    <row r="68" customFormat="false" ht="15" hidden="false" customHeight="true" outlineLevel="0" collapsed="false">
      <c r="A68" s="13" t="s">
        <v>755</v>
      </c>
      <c r="B68" s="13" t="s">
        <v>203</v>
      </c>
      <c r="C68" s="13" t="s">
        <v>647</v>
      </c>
      <c r="D68" s="14" t="n">
        <v>26</v>
      </c>
      <c r="E68" s="14" t="n">
        <v>16</v>
      </c>
      <c r="F68" s="16" t="n">
        <v>61.54</v>
      </c>
      <c r="G68" s="14" t="n">
        <v>13</v>
      </c>
      <c r="H68" s="14" t="n">
        <v>3</v>
      </c>
      <c r="I68" s="16" t="n">
        <v>23.08</v>
      </c>
      <c r="J68" s="14" t="n">
        <v>39</v>
      </c>
      <c r="K68" s="14" t="n">
        <v>19</v>
      </c>
      <c r="L68" s="16" t="n">
        <v>48.72</v>
      </c>
    </row>
    <row r="69" customFormat="false" ht="15" hidden="false" customHeight="true" outlineLevel="0" collapsed="false">
      <c r="A69" s="13" t="s">
        <v>755</v>
      </c>
      <c r="B69" s="13" t="s">
        <v>203</v>
      </c>
      <c r="C69" s="13" t="s">
        <v>651</v>
      </c>
      <c r="D69" s="14" t="n">
        <v>16</v>
      </c>
      <c r="E69" s="14" t="n">
        <v>13</v>
      </c>
      <c r="F69" s="16" t="n">
        <v>81.25</v>
      </c>
      <c r="G69" s="14" t="n">
        <v>8</v>
      </c>
      <c r="H69" s="14" t="n">
        <v>4</v>
      </c>
      <c r="I69" s="16" t="n">
        <v>50</v>
      </c>
      <c r="J69" s="14" t="n">
        <v>24</v>
      </c>
      <c r="K69" s="14" t="n">
        <v>17</v>
      </c>
      <c r="L69" s="16" t="n">
        <v>70.83</v>
      </c>
    </row>
    <row r="70" customFormat="false" ht="15" hidden="false" customHeight="true" outlineLevel="0" collapsed="false">
      <c r="A70" s="13" t="s">
        <v>755</v>
      </c>
      <c r="B70" s="13" t="s">
        <v>203</v>
      </c>
      <c r="C70" s="13" t="s">
        <v>192</v>
      </c>
      <c r="D70" s="14" t="n">
        <v>42</v>
      </c>
      <c r="E70" s="14" t="n">
        <v>29</v>
      </c>
      <c r="F70" s="16" t="n">
        <v>69.05</v>
      </c>
      <c r="G70" s="14" t="n">
        <v>21</v>
      </c>
      <c r="H70" s="14" t="n">
        <v>7</v>
      </c>
      <c r="I70" s="16" t="n">
        <v>33.33</v>
      </c>
      <c r="J70" s="14" t="n">
        <v>63</v>
      </c>
      <c r="K70" s="14" t="n">
        <v>36</v>
      </c>
      <c r="L70" s="16" t="n">
        <v>57.14</v>
      </c>
    </row>
    <row r="71" customFormat="false" ht="15" hidden="false" customHeight="true" outlineLevel="0" collapsed="false">
      <c r="A71" s="13" t="s">
        <v>755</v>
      </c>
      <c r="B71" s="13" t="s">
        <v>653</v>
      </c>
      <c r="C71" s="13" t="s">
        <v>647</v>
      </c>
      <c r="D71" s="14" t="n">
        <v>1285</v>
      </c>
      <c r="E71" s="14" t="n">
        <v>468</v>
      </c>
      <c r="F71" s="16" t="n">
        <v>36.42</v>
      </c>
      <c r="G71" s="14" t="n">
        <v>859</v>
      </c>
      <c r="H71" s="14" t="n">
        <v>270</v>
      </c>
      <c r="I71" s="16" t="n">
        <v>31.43</v>
      </c>
      <c r="J71" s="14" t="n">
        <v>2144</v>
      </c>
      <c r="K71" s="14" t="n">
        <v>738</v>
      </c>
      <c r="L71" s="16" t="n">
        <v>34.42</v>
      </c>
    </row>
    <row r="72" customFormat="false" ht="15" hidden="false" customHeight="true" outlineLevel="0" collapsed="false">
      <c r="A72" s="13" t="s">
        <v>755</v>
      </c>
      <c r="B72" s="13" t="s">
        <v>653</v>
      </c>
      <c r="C72" s="13" t="s">
        <v>651</v>
      </c>
      <c r="D72" s="14" t="n">
        <v>2214</v>
      </c>
      <c r="E72" s="14" t="n">
        <v>1801</v>
      </c>
      <c r="F72" s="16" t="n">
        <v>81.35</v>
      </c>
      <c r="G72" s="14" t="n">
        <v>798</v>
      </c>
      <c r="H72" s="14" t="n">
        <v>556</v>
      </c>
      <c r="I72" s="16" t="n">
        <v>69.67</v>
      </c>
      <c r="J72" s="14" t="n">
        <v>3012</v>
      </c>
      <c r="K72" s="14" t="n">
        <v>2357</v>
      </c>
      <c r="L72" s="16" t="n">
        <v>78.25</v>
      </c>
    </row>
    <row r="73" customFormat="false" ht="15" hidden="false" customHeight="true" outlineLevel="0" collapsed="false">
      <c r="A73" s="13" t="s">
        <v>755</v>
      </c>
      <c r="B73" s="13" t="s">
        <v>653</v>
      </c>
      <c r="C73" s="13" t="s">
        <v>192</v>
      </c>
      <c r="D73" s="14" t="n">
        <v>3499</v>
      </c>
      <c r="E73" s="14" t="n">
        <v>2269</v>
      </c>
      <c r="F73" s="16" t="n">
        <v>64.85</v>
      </c>
      <c r="G73" s="14" t="n">
        <v>1657</v>
      </c>
      <c r="H73" s="14" t="n">
        <v>826</v>
      </c>
      <c r="I73" s="16" t="n">
        <v>49.85</v>
      </c>
      <c r="J73" s="14" t="n">
        <v>5156</v>
      </c>
      <c r="K73" s="14" t="n">
        <v>3095</v>
      </c>
      <c r="L73" s="16" t="n">
        <v>60.03</v>
      </c>
    </row>
    <row r="74" customFormat="false" ht="15" hidden="false" customHeight="true" outlineLevel="0" collapsed="false">
      <c r="A74" s="13" t="s">
        <v>755</v>
      </c>
      <c r="B74" s="13" t="s">
        <v>752</v>
      </c>
      <c r="C74" s="13" t="s">
        <v>647</v>
      </c>
      <c r="D74" s="14" t="n">
        <v>3258</v>
      </c>
      <c r="E74" s="14" t="n">
        <v>1970</v>
      </c>
      <c r="F74" s="16" t="n">
        <v>60.47</v>
      </c>
      <c r="G74" s="14" t="n">
        <v>1216</v>
      </c>
      <c r="H74" s="14" t="n">
        <v>459</v>
      </c>
      <c r="I74" s="16" t="n">
        <v>37.75</v>
      </c>
      <c r="J74" s="14" t="n">
        <v>4474</v>
      </c>
      <c r="K74" s="14" t="n">
        <v>2429</v>
      </c>
      <c r="L74" s="16" t="n">
        <v>54.29</v>
      </c>
    </row>
    <row r="75" customFormat="false" ht="15" hidden="false" customHeight="true" outlineLevel="0" collapsed="false">
      <c r="A75" s="13" t="s">
        <v>755</v>
      </c>
      <c r="B75" s="13" t="s">
        <v>752</v>
      </c>
      <c r="C75" s="13" t="s">
        <v>651</v>
      </c>
      <c r="D75" s="14" t="n">
        <v>5685</v>
      </c>
      <c r="E75" s="14" t="n">
        <v>4835</v>
      </c>
      <c r="F75" s="16" t="n">
        <v>85.05</v>
      </c>
      <c r="G75" s="14" t="n">
        <v>1124</v>
      </c>
      <c r="H75" s="14" t="n">
        <v>764</v>
      </c>
      <c r="I75" s="16" t="n">
        <v>67.97</v>
      </c>
      <c r="J75" s="14" t="n">
        <v>6809</v>
      </c>
      <c r="K75" s="14" t="n">
        <v>5599</v>
      </c>
      <c r="L75" s="16" t="n">
        <v>82.23</v>
      </c>
    </row>
    <row r="76" customFormat="false" ht="15" hidden="false" customHeight="true" outlineLevel="0" collapsed="false">
      <c r="A76" s="13" t="s">
        <v>755</v>
      </c>
      <c r="B76" s="13" t="s">
        <v>753</v>
      </c>
      <c r="C76" s="13" t="s">
        <v>192</v>
      </c>
      <c r="D76" s="14" t="n">
        <v>8943</v>
      </c>
      <c r="E76" s="14" t="n">
        <v>6805</v>
      </c>
      <c r="F76" s="16" t="n">
        <v>76.09</v>
      </c>
      <c r="G76" s="14" t="n">
        <v>2340</v>
      </c>
      <c r="H76" s="14" t="n">
        <v>1223</v>
      </c>
      <c r="I76" s="16" t="n">
        <v>52.26</v>
      </c>
      <c r="J76" s="14" t="n">
        <v>11283</v>
      </c>
      <c r="K76" s="14" t="n">
        <v>8028</v>
      </c>
      <c r="L76" s="16" t="n">
        <v>71.15</v>
      </c>
    </row>
    <row r="77" customFormat="false" ht="15" hidden="false" customHeight="true" outlineLevel="0" collapsed="false">
      <c r="A77" s="13" t="s">
        <v>756</v>
      </c>
      <c r="B77" s="13" t="s">
        <v>123</v>
      </c>
      <c r="C77" s="13" t="s">
        <v>647</v>
      </c>
      <c r="D77" s="14" t="n">
        <v>175</v>
      </c>
      <c r="E77" s="14" t="n">
        <v>175</v>
      </c>
      <c r="F77" s="16" t="n">
        <v>100</v>
      </c>
      <c r="G77" s="14" t="n">
        <v>1</v>
      </c>
      <c r="H77" s="14" t="n">
        <v>1</v>
      </c>
      <c r="I77" s="16" t="n">
        <v>100</v>
      </c>
      <c r="J77" s="14" t="n">
        <v>176</v>
      </c>
      <c r="K77" s="14" t="n">
        <v>176</v>
      </c>
      <c r="L77" s="16" t="n">
        <v>100</v>
      </c>
    </row>
    <row r="78" customFormat="false" ht="15" hidden="false" customHeight="true" outlineLevel="0" collapsed="false">
      <c r="A78" s="13" t="s">
        <v>756</v>
      </c>
      <c r="B78" s="13" t="s">
        <v>123</v>
      </c>
      <c r="C78" s="13" t="s">
        <v>651</v>
      </c>
      <c r="D78" s="14" t="n">
        <v>267</v>
      </c>
      <c r="E78" s="14" t="n">
        <v>267</v>
      </c>
      <c r="F78" s="16" t="n">
        <v>100</v>
      </c>
      <c r="G78" s="14" t="n">
        <v>7</v>
      </c>
      <c r="H78" s="14" t="n">
        <v>6</v>
      </c>
      <c r="I78" s="16" t="n">
        <v>85.71</v>
      </c>
      <c r="J78" s="14" t="n">
        <v>274</v>
      </c>
      <c r="K78" s="14" t="n">
        <v>273</v>
      </c>
      <c r="L78" s="16" t="n">
        <v>99.64</v>
      </c>
    </row>
    <row r="79" customFormat="false" ht="15" hidden="false" customHeight="true" outlineLevel="0" collapsed="false">
      <c r="A79" s="13" t="s">
        <v>756</v>
      </c>
      <c r="B79" s="13" t="s">
        <v>123</v>
      </c>
      <c r="C79" s="13" t="s">
        <v>192</v>
      </c>
      <c r="D79" s="14" t="n">
        <v>442</v>
      </c>
      <c r="E79" s="14" t="n">
        <v>442</v>
      </c>
      <c r="F79" s="16" t="n">
        <v>100</v>
      </c>
      <c r="G79" s="14" t="n">
        <v>8</v>
      </c>
      <c r="H79" s="14" t="n">
        <v>7</v>
      </c>
      <c r="I79" s="16" t="n">
        <v>87.5</v>
      </c>
      <c r="J79" s="14" t="n">
        <v>450</v>
      </c>
      <c r="K79" s="14" t="n">
        <v>449</v>
      </c>
      <c r="L79" s="16" t="n">
        <v>99.78</v>
      </c>
    </row>
    <row r="80" customFormat="false" ht="15" hidden="false" customHeight="true" outlineLevel="0" collapsed="false">
      <c r="A80" s="13" t="s">
        <v>756</v>
      </c>
      <c r="B80" s="13" t="s">
        <v>126</v>
      </c>
      <c r="C80" s="13" t="s">
        <v>647</v>
      </c>
      <c r="D80" s="14" t="n">
        <v>46</v>
      </c>
      <c r="E80" s="14" t="n">
        <v>46</v>
      </c>
      <c r="F80" s="16" t="n">
        <v>100</v>
      </c>
      <c r="G80" s="14" t="n">
        <v>0</v>
      </c>
      <c r="H80" s="14" t="n">
        <v>0</v>
      </c>
      <c r="I80" s="16" t="n">
        <v>0</v>
      </c>
      <c r="J80" s="14" t="n">
        <v>46</v>
      </c>
      <c r="K80" s="14" t="n">
        <v>46</v>
      </c>
      <c r="L80" s="16" t="n">
        <v>100</v>
      </c>
    </row>
    <row r="81" customFormat="false" ht="15" hidden="false" customHeight="true" outlineLevel="0" collapsed="false">
      <c r="A81" s="13" t="s">
        <v>756</v>
      </c>
      <c r="B81" s="13" t="s">
        <v>126</v>
      </c>
      <c r="C81" s="13" t="s">
        <v>651</v>
      </c>
      <c r="D81" s="14" t="n">
        <v>43</v>
      </c>
      <c r="E81" s="14" t="n">
        <v>43</v>
      </c>
      <c r="F81" s="16" t="n">
        <v>100</v>
      </c>
      <c r="G81" s="14" t="n">
        <v>0</v>
      </c>
      <c r="H81" s="14" t="n">
        <v>0</v>
      </c>
      <c r="I81" s="16" t="n">
        <v>0</v>
      </c>
      <c r="J81" s="14" t="n">
        <v>43</v>
      </c>
      <c r="K81" s="14" t="n">
        <v>43</v>
      </c>
      <c r="L81" s="16" t="n">
        <v>100</v>
      </c>
    </row>
    <row r="82" customFormat="false" ht="15" hidden="false" customHeight="true" outlineLevel="0" collapsed="false">
      <c r="A82" s="13" t="s">
        <v>756</v>
      </c>
      <c r="B82" s="13" t="s">
        <v>126</v>
      </c>
      <c r="C82" s="13" t="s">
        <v>192</v>
      </c>
      <c r="D82" s="14" t="n">
        <v>89</v>
      </c>
      <c r="E82" s="14" t="n">
        <v>89</v>
      </c>
      <c r="F82" s="16" t="n">
        <v>100</v>
      </c>
      <c r="G82" s="14" t="n">
        <v>0</v>
      </c>
      <c r="H82" s="14" t="n">
        <v>0</v>
      </c>
      <c r="I82" s="16" t="n">
        <v>0</v>
      </c>
      <c r="J82" s="14" t="n">
        <v>89</v>
      </c>
      <c r="K82" s="14" t="n">
        <v>89</v>
      </c>
      <c r="L82" s="16" t="n">
        <v>100</v>
      </c>
    </row>
    <row r="83" customFormat="false" ht="15" hidden="false" customHeight="true" outlineLevel="0" collapsed="false">
      <c r="A83" s="13" t="s">
        <v>756</v>
      </c>
      <c r="B83" s="13" t="s">
        <v>202</v>
      </c>
      <c r="C83" s="13" t="s">
        <v>647</v>
      </c>
      <c r="D83" s="14" t="n">
        <v>372</v>
      </c>
      <c r="E83" s="14" t="n">
        <v>366</v>
      </c>
      <c r="F83" s="16" t="n">
        <v>98.39</v>
      </c>
      <c r="G83" s="14" t="n">
        <v>1</v>
      </c>
      <c r="H83" s="14" t="n">
        <v>0</v>
      </c>
      <c r="I83" s="16" t="n">
        <v>0</v>
      </c>
      <c r="J83" s="14" t="n">
        <v>373</v>
      </c>
      <c r="K83" s="14" t="n">
        <v>366</v>
      </c>
      <c r="L83" s="16" t="n">
        <v>98.12</v>
      </c>
    </row>
    <row r="84" customFormat="false" ht="15" hidden="false" customHeight="true" outlineLevel="0" collapsed="false">
      <c r="A84" s="13" t="s">
        <v>756</v>
      </c>
      <c r="B84" s="13" t="s">
        <v>202</v>
      </c>
      <c r="C84" s="13" t="s">
        <v>651</v>
      </c>
      <c r="D84" s="14" t="n">
        <v>260</v>
      </c>
      <c r="E84" s="14" t="n">
        <v>259</v>
      </c>
      <c r="F84" s="16" t="n">
        <v>99.62</v>
      </c>
      <c r="G84" s="14" t="n">
        <v>0</v>
      </c>
      <c r="H84" s="14" t="n">
        <v>0</v>
      </c>
      <c r="I84" s="16" t="n">
        <v>0</v>
      </c>
      <c r="J84" s="14" t="n">
        <v>260</v>
      </c>
      <c r="K84" s="14" t="n">
        <v>259</v>
      </c>
      <c r="L84" s="16" t="n">
        <v>99.62</v>
      </c>
    </row>
    <row r="85" customFormat="false" ht="15" hidden="false" customHeight="true" outlineLevel="0" collapsed="false">
      <c r="A85" s="13" t="s">
        <v>756</v>
      </c>
      <c r="B85" s="13" t="s">
        <v>202</v>
      </c>
      <c r="C85" s="13" t="s">
        <v>192</v>
      </c>
      <c r="D85" s="14" t="n">
        <v>632</v>
      </c>
      <c r="E85" s="14" t="n">
        <v>625</v>
      </c>
      <c r="F85" s="16" t="n">
        <v>98.89</v>
      </c>
      <c r="G85" s="14" t="n">
        <v>1</v>
      </c>
      <c r="H85" s="14" t="n">
        <v>0</v>
      </c>
      <c r="I85" s="16" t="n">
        <v>0</v>
      </c>
      <c r="J85" s="14" t="n">
        <v>633</v>
      </c>
      <c r="K85" s="14" t="n">
        <v>625</v>
      </c>
      <c r="L85" s="16" t="n">
        <v>98.74</v>
      </c>
    </row>
    <row r="86" customFormat="false" ht="15" hidden="false" customHeight="true" outlineLevel="0" collapsed="false">
      <c r="A86" s="13" t="s">
        <v>756</v>
      </c>
      <c r="B86" s="13" t="s">
        <v>203</v>
      </c>
      <c r="C86" s="13" t="s">
        <v>647</v>
      </c>
      <c r="D86" s="14" t="n">
        <v>0</v>
      </c>
      <c r="E86" s="14" t="n">
        <v>0</v>
      </c>
      <c r="F86" s="16" t="n">
        <v>0</v>
      </c>
      <c r="G86" s="14" t="n">
        <v>0</v>
      </c>
      <c r="H86" s="14" t="n">
        <v>0</v>
      </c>
      <c r="I86" s="16" t="n">
        <v>0</v>
      </c>
      <c r="J86" s="14" t="n">
        <v>0</v>
      </c>
      <c r="K86" s="14" t="n">
        <v>0</v>
      </c>
      <c r="L86" s="16" t="n">
        <v>0</v>
      </c>
    </row>
    <row r="87" customFormat="false" ht="15" hidden="false" customHeight="true" outlineLevel="0" collapsed="false">
      <c r="A87" s="13" t="s">
        <v>756</v>
      </c>
      <c r="B87" s="13" t="s">
        <v>203</v>
      </c>
      <c r="C87" s="13" t="s">
        <v>651</v>
      </c>
      <c r="D87" s="14" t="n">
        <v>0</v>
      </c>
      <c r="E87" s="14" t="n">
        <v>0</v>
      </c>
      <c r="F87" s="16" t="n">
        <v>0</v>
      </c>
      <c r="G87" s="14" t="n">
        <v>0</v>
      </c>
      <c r="H87" s="14" t="n">
        <v>0</v>
      </c>
      <c r="I87" s="16" t="n">
        <v>0</v>
      </c>
      <c r="J87" s="14" t="n">
        <v>0</v>
      </c>
      <c r="K87" s="14" t="n">
        <v>0</v>
      </c>
      <c r="L87" s="16" t="n">
        <v>0</v>
      </c>
    </row>
    <row r="88" customFormat="false" ht="15" hidden="false" customHeight="true" outlineLevel="0" collapsed="false">
      <c r="A88" s="13" t="s">
        <v>756</v>
      </c>
      <c r="B88" s="13" t="s">
        <v>203</v>
      </c>
      <c r="C88" s="13" t="s">
        <v>192</v>
      </c>
      <c r="D88" s="14" t="n">
        <v>0</v>
      </c>
      <c r="E88" s="14" t="n">
        <v>0</v>
      </c>
      <c r="F88" s="16" t="n">
        <v>0</v>
      </c>
      <c r="G88" s="14" t="n">
        <v>0</v>
      </c>
      <c r="H88" s="14" t="n">
        <v>0</v>
      </c>
      <c r="I88" s="16" t="n">
        <v>0</v>
      </c>
      <c r="J88" s="14" t="n">
        <v>0</v>
      </c>
      <c r="K88" s="14" t="n">
        <v>0</v>
      </c>
      <c r="L88" s="16" t="n">
        <v>0</v>
      </c>
    </row>
    <row r="89" customFormat="false" ht="15" hidden="false" customHeight="true" outlineLevel="0" collapsed="false">
      <c r="A89" s="13" t="s">
        <v>756</v>
      </c>
      <c r="B89" s="13" t="s">
        <v>653</v>
      </c>
      <c r="C89" s="13" t="s">
        <v>647</v>
      </c>
      <c r="D89" s="14" t="n">
        <v>0</v>
      </c>
      <c r="E89" s="14" t="n">
        <v>0</v>
      </c>
      <c r="F89" s="16" t="n">
        <v>0</v>
      </c>
      <c r="G89" s="14" t="n">
        <v>0</v>
      </c>
      <c r="H89" s="14" t="n">
        <v>0</v>
      </c>
      <c r="I89" s="16" t="n">
        <v>0</v>
      </c>
      <c r="J89" s="14" t="n">
        <v>0</v>
      </c>
      <c r="K89" s="14" t="n">
        <v>0</v>
      </c>
      <c r="L89" s="16" t="n">
        <v>0</v>
      </c>
    </row>
    <row r="90" customFormat="false" ht="15" hidden="false" customHeight="true" outlineLevel="0" collapsed="false">
      <c r="A90" s="13" t="s">
        <v>756</v>
      </c>
      <c r="B90" s="13" t="s">
        <v>653</v>
      </c>
      <c r="C90" s="13" t="s">
        <v>651</v>
      </c>
      <c r="D90" s="14" t="n">
        <v>0</v>
      </c>
      <c r="E90" s="14" t="n">
        <v>0</v>
      </c>
      <c r="F90" s="16" t="n">
        <v>0</v>
      </c>
      <c r="G90" s="14" t="n">
        <v>0</v>
      </c>
      <c r="H90" s="14" t="n">
        <v>0</v>
      </c>
      <c r="I90" s="16" t="n">
        <v>0</v>
      </c>
      <c r="J90" s="14" t="n">
        <v>0</v>
      </c>
      <c r="K90" s="14" t="n">
        <v>0</v>
      </c>
      <c r="L90" s="16" t="n">
        <v>0</v>
      </c>
    </row>
    <row r="91" customFormat="false" ht="15" hidden="false" customHeight="true" outlineLevel="0" collapsed="false">
      <c r="A91" s="13" t="s">
        <v>756</v>
      </c>
      <c r="B91" s="13" t="s">
        <v>653</v>
      </c>
      <c r="C91" s="13" t="s">
        <v>192</v>
      </c>
      <c r="D91" s="14" t="n">
        <v>0</v>
      </c>
      <c r="E91" s="14" t="n">
        <v>0</v>
      </c>
      <c r="F91" s="16" t="n">
        <v>0</v>
      </c>
      <c r="G91" s="14" t="n">
        <v>0</v>
      </c>
      <c r="H91" s="14" t="n">
        <v>0</v>
      </c>
      <c r="I91" s="16" t="n">
        <v>0</v>
      </c>
      <c r="J91" s="14" t="n">
        <v>0</v>
      </c>
      <c r="K91" s="14" t="n">
        <v>0</v>
      </c>
      <c r="L91" s="16" t="n">
        <v>0</v>
      </c>
    </row>
    <row r="92" customFormat="false" ht="15" hidden="false" customHeight="true" outlineLevel="0" collapsed="false">
      <c r="A92" s="13" t="s">
        <v>756</v>
      </c>
      <c r="B92" s="13" t="s">
        <v>752</v>
      </c>
      <c r="C92" s="13" t="s">
        <v>647</v>
      </c>
      <c r="D92" s="14" t="n">
        <v>593</v>
      </c>
      <c r="E92" s="14" t="n">
        <v>587</v>
      </c>
      <c r="F92" s="16" t="n">
        <v>98.99</v>
      </c>
      <c r="G92" s="14" t="n">
        <v>2</v>
      </c>
      <c r="H92" s="14" t="n">
        <v>1</v>
      </c>
      <c r="I92" s="16" t="n">
        <v>50</v>
      </c>
      <c r="J92" s="14" t="n">
        <v>595</v>
      </c>
      <c r="K92" s="14" t="n">
        <v>588</v>
      </c>
      <c r="L92" s="16" t="n">
        <v>98.82</v>
      </c>
    </row>
    <row r="93" customFormat="false" ht="15" hidden="false" customHeight="true" outlineLevel="0" collapsed="false">
      <c r="A93" s="13" t="s">
        <v>756</v>
      </c>
      <c r="B93" s="13" t="s">
        <v>752</v>
      </c>
      <c r="C93" s="13" t="s">
        <v>651</v>
      </c>
      <c r="D93" s="14" t="n">
        <v>570</v>
      </c>
      <c r="E93" s="14" t="n">
        <v>569</v>
      </c>
      <c r="F93" s="16" t="n">
        <v>99.82</v>
      </c>
      <c r="G93" s="14" t="n">
        <v>7</v>
      </c>
      <c r="H93" s="14" t="n">
        <v>6</v>
      </c>
      <c r="I93" s="16" t="n">
        <v>85.71</v>
      </c>
      <c r="J93" s="14" t="n">
        <v>577</v>
      </c>
      <c r="K93" s="14" t="n">
        <v>575</v>
      </c>
      <c r="L93" s="16" t="n">
        <v>99.65</v>
      </c>
    </row>
    <row r="94" customFormat="false" ht="15" hidden="false" customHeight="true" outlineLevel="0" collapsed="false">
      <c r="A94" s="13" t="s">
        <v>756</v>
      </c>
      <c r="B94" s="13" t="s">
        <v>753</v>
      </c>
      <c r="C94" s="13" t="s">
        <v>192</v>
      </c>
      <c r="D94" s="14" t="n">
        <v>1163</v>
      </c>
      <c r="E94" s="14" t="n">
        <v>1156</v>
      </c>
      <c r="F94" s="16" t="n">
        <v>99.4</v>
      </c>
      <c r="G94" s="14" t="n">
        <v>9</v>
      </c>
      <c r="H94" s="14" t="n">
        <v>7</v>
      </c>
      <c r="I94" s="16" t="n">
        <v>77.78</v>
      </c>
      <c r="J94" s="14" t="n">
        <v>1172</v>
      </c>
      <c r="K94" s="14" t="n">
        <v>1163</v>
      </c>
      <c r="L94" s="16" t="n">
        <v>99.23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8"/>
    <col collapsed="false" customWidth="true" hidden="false" outlineLevel="0" max="3" min="2" style="13" width="12"/>
    <col collapsed="false" customWidth="true" hidden="false" outlineLevel="0" max="5" min="4" style="13" width="10"/>
  </cols>
  <sheetData>
    <row r="1" customFormat="false" ht="15" hidden="false" customHeight="true" outlineLevel="0" collapsed="false">
      <c r="A1" s="13" t="s">
        <v>757</v>
      </c>
    </row>
    <row r="2" customFormat="false" ht="15" hidden="false" customHeight="true" outlineLevel="0" collapsed="false">
      <c r="A2" s="13" t="s">
        <v>758</v>
      </c>
    </row>
    <row r="4" customFormat="false" ht="15" hidden="false" customHeight="true" outlineLevel="0" collapsed="false">
      <c r="A4" s="13" t="s">
        <v>3</v>
      </c>
      <c r="B4" s="13" t="s">
        <v>4</v>
      </c>
      <c r="C4" s="13" t="s">
        <v>5</v>
      </c>
      <c r="D4" s="13" t="s">
        <v>6</v>
      </c>
      <c r="E4" s="13" t="s">
        <v>374</v>
      </c>
    </row>
    <row r="5" customFormat="false" ht="15" hidden="false" customHeight="true" outlineLevel="0" collapsed="false">
      <c r="A5" s="13" t="n">
        <v>2024</v>
      </c>
      <c r="B5" s="14" t="n">
        <f aca="false">'Mar-Pre-Medical Group'!C9+'Mar-Pre-Engineering Group'!C9+'Mar-General Science Group'!C9+'Mar-Humanities Group'!C9+'Mar-Home Economics Group'!C9</f>
        <v>42873</v>
      </c>
      <c r="C5" s="14" t="n">
        <f aca="false">'Mar-Pre-Medical Group'!D9+'Mar-Pre-Engineering Group'!D9+'Mar-General Science Group'!D9+'Mar-Humanities Group'!D9+'Mar-Home Economics Group'!D9</f>
        <v>40105</v>
      </c>
      <c r="D5" s="15" t="n">
        <f aca="false">C5/B5</f>
        <v>0.935437221561356</v>
      </c>
      <c r="E5" s="14" t="n">
        <f aca="false">B5-C5</f>
        <v>2768</v>
      </c>
    </row>
    <row r="6" customFormat="false" ht="15" hidden="false" customHeight="true" outlineLevel="0" collapsed="false">
      <c r="A6" s="13" t="n">
        <v>2025</v>
      </c>
      <c r="B6" s="14" t="n">
        <f aca="false">'Mar-Pre-Medical Group'!C14+'Mar-Pre-Engineering Group'!C14+'Mar-General Science Group'!C14+'Mar-Humanities Group'!C14+'Mar-Home Economics Group'!C14</f>
        <v>45778</v>
      </c>
      <c r="C6" s="14" t="n">
        <f aca="false">'Mar-Pre-Medical Group'!D14+'Mar-Pre-Engineering Group'!D14+'Mar-General Science Group'!D14+'Mar-Humanities Group'!D14+'Mar-Home Economics Group'!D14</f>
        <v>38674</v>
      </c>
      <c r="D6" s="15" t="n">
        <f aca="false">C6/B6</f>
        <v>0.844816287299576</v>
      </c>
      <c r="E6" s="14" t="n">
        <f aca="false">B6-C6</f>
        <v>7104</v>
      </c>
    </row>
    <row r="7" customFormat="false" ht="15" hidden="false" customHeight="true" outlineLevel="0" collapsed="false">
      <c r="A7" s="13" t="n">
        <v>2026</v>
      </c>
      <c r="B7" s="14" t="n">
        <f aca="false">'Mar-Pre-Medical Group'!C19+'Mar-Pre-Engineering Group'!C19+'Mar-General Science Group'!C19+'Mar-Humanities Group'!C19+'Mar-Home Economics Group'!C19</f>
        <v>49250</v>
      </c>
      <c r="C7" s="14" t="n">
        <f aca="false">'Mar-Pre-Medical Group'!D19+'Mar-Pre-Engineering Group'!D19+'Mar-General Science Group'!D19+'Mar-Humanities Group'!D19+'Mar-Home Economics Group'!D19</f>
        <v>39178</v>
      </c>
      <c r="D7" s="15" t="n">
        <f aca="false">C7/B7</f>
        <v>0.795492385786802</v>
      </c>
      <c r="E7" s="14" t="n">
        <f aca="false">B7-C7</f>
        <v>10072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8"/>
    <col collapsed="false" customWidth="true" hidden="false" outlineLevel="0" max="2" min="2" style="13" width="22"/>
    <col collapsed="false" customWidth="true" hidden="false" outlineLevel="0" max="4" min="3" style="13" width="12"/>
    <col collapsed="false" customWidth="true" hidden="false" outlineLevel="0" max="6" min="5" style="13" width="10"/>
  </cols>
  <sheetData>
    <row r="1" customFormat="false" ht="15" hidden="false" customHeight="true" outlineLevel="0" collapsed="false">
      <c r="A1" s="13" t="s">
        <v>759</v>
      </c>
    </row>
    <row r="2" customFormat="false" ht="15" hidden="false" customHeight="true" outlineLevel="0" collapsed="false">
      <c r="A2" s="13" t="s">
        <v>760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4</v>
      </c>
      <c r="D4" s="13" t="s">
        <v>5</v>
      </c>
      <c r="E4" s="13" t="s">
        <v>6</v>
      </c>
      <c r="F4" s="13" t="s">
        <v>374</v>
      </c>
    </row>
    <row r="5" customFormat="false" ht="15" hidden="false" customHeight="true" outlineLevel="0" collapsed="false">
      <c r="A5" s="13" t="n">
        <v>2024</v>
      </c>
      <c r="B5" s="13" t="s">
        <v>761</v>
      </c>
      <c r="C5" s="14" t="n">
        <v>8242</v>
      </c>
      <c r="D5" s="14" t="n">
        <v>8001</v>
      </c>
      <c r="E5" s="15" t="n">
        <f aca="false">IF(C5=0,0,D5/C5)</f>
        <v>0.970759524387285</v>
      </c>
      <c r="F5" s="14" t="n">
        <f aca="false">C5-D5</f>
        <v>241</v>
      </c>
    </row>
    <row r="6" customFormat="false" ht="15" hidden="false" customHeight="true" outlineLevel="0" collapsed="false">
      <c r="A6" s="13" t="n">
        <v>2024</v>
      </c>
      <c r="B6" s="13" t="s">
        <v>762</v>
      </c>
      <c r="C6" s="14" t="n">
        <v>11282</v>
      </c>
      <c r="D6" s="14" t="n">
        <v>10861</v>
      </c>
      <c r="E6" s="15" t="n">
        <f aca="false">IF(C6=0,0,D6/C6)</f>
        <v>0.962683921290551</v>
      </c>
      <c r="F6" s="14" t="n">
        <f aca="false">C6-D6</f>
        <v>421</v>
      </c>
    </row>
    <row r="7" customFormat="false" ht="15" hidden="false" customHeight="true" outlineLevel="0" collapsed="false">
      <c r="A7" s="13" t="n">
        <v>2024</v>
      </c>
      <c r="B7" s="13" t="s">
        <v>763</v>
      </c>
      <c r="C7" s="14" t="n">
        <v>765</v>
      </c>
      <c r="D7" s="14" t="n">
        <v>755</v>
      </c>
      <c r="E7" s="15" t="n">
        <f aca="false">IF(C7=0,0,D7/C7)</f>
        <v>0.986928104575163</v>
      </c>
      <c r="F7" s="14" t="n">
        <f aca="false">C7-D7</f>
        <v>10</v>
      </c>
    </row>
    <row r="8" customFormat="false" ht="15" hidden="false" customHeight="true" outlineLevel="0" collapsed="false">
      <c r="A8" s="13" t="n">
        <v>2024</v>
      </c>
      <c r="B8" s="13" t="s">
        <v>764</v>
      </c>
      <c r="C8" s="14" t="n">
        <v>904</v>
      </c>
      <c r="D8" s="14" t="n">
        <v>863</v>
      </c>
      <c r="E8" s="15" t="n">
        <f aca="false">IF(C8=0,0,D8/C8)</f>
        <v>0.954646017699115</v>
      </c>
      <c r="F8" s="14" t="n">
        <f aca="false">C8-D8</f>
        <v>41</v>
      </c>
    </row>
    <row r="9" customFormat="false" ht="15" hidden="false" customHeight="true" outlineLevel="0" collapsed="false">
      <c r="A9" s="13" t="n">
        <v>2024</v>
      </c>
      <c r="B9" s="13" t="s">
        <v>192</v>
      </c>
      <c r="C9" s="14" t="n">
        <f aca="false">SUM(C5:C8)</f>
        <v>21193</v>
      </c>
      <c r="D9" s="14" t="n">
        <f aca="false">SUM(D5:D8)</f>
        <v>20480</v>
      </c>
      <c r="E9" s="15" t="n">
        <f aca="false">IF(C9=0,0,D9/C9)</f>
        <v>0.966356815929788</v>
      </c>
      <c r="F9" s="14" t="n">
        <f aca="false">C9-D9</f>
        <v>713</v>
      </c>
    </row>
    <row r="10" customFormat="false" ht="15" hidden="false" customHeight="true" outlineLevel="0" collapsed="false">
      <c r="A10" s="13" t="n">
        <v>2025</v>
      </c>
      <c r="B10" s="13" t="s">
        <v>761</v>
      </c>
      <c r="C10" s="14" t="n">
        <v>9852</v>
      </c>
      <c r="D10" s="14" t="n">
        <v>8905</v>
      </c>
      <c r="E10" s="15" t="n">
        <f aca="false">IF(C10=0,0,D10/C10)</f>
        <v>0.903877385302477</v>
      </c>
      <c r="F10" s="14" t="n">
        <f aca="false">C10-D10</f>
        <v>947</v>
      </c>
    </row>
    <row r="11" customFormat="false" ht="15" hidden="false" customHeight="true" outlineLevel="0" collapsed="false">
      <c r="A11" s="13" t="n">
        <v>2025</v>
      </c>
      <c r="B11" s="13" t="s">
        <v>762</v>
      </c>
      <c r="C11" s="14" t="n">
        <v>12063</v>
      </c>
      <c r="D11" s="14" t="n">
        <v>10061</v>
      </c>
      <c r="E11" s="15" t="n">
        <f aca="false">IF(C11=0,0,D11/C11)</f>
        <v>0.834037967338141</v>
      </c>
      <c r="F11" s="14" t="n">
        <f aca="false">C11-D11</f>
        <v>2002</v>
      </c>
    </row>
    <row r="12" customFormat="false" ht="15" hidden="false" customHeight="true" outlineLevel="0" collapsed="false">
      <c r="A12" s="13" t="n">
        <v>2025</v>
      </c>
      <c r="B12" s="13" t="s">
        <v>763</v>
      </c>
      <c r="C12" s="14" t="n">
        <v>465</v>
      </c>
      <c r="D12" s="14" t="n">
        <v>446</v>
      </c>
      <c r="E12" s="15" t="n">
        <f aca="false">IF(C12=0,0,D12/C12)</f>
        <v>0.959139784946237</v>
      </c>
      <c r="F12" s="14" t="n">
        <f aca="false">C12-D12</f>
        <v>19</v>
      </c>
    </row>
    <row r="13" customFormat="false" ht="15" hidden="false" customHeight="true" outlineLevel="0" collapsed="false">
      <c r="A13" s="13" t="n">
        <v>2025</v>
      </c>
      <c r="B13" s="13" t="s">
        <v>764</v>
      </c>
      <c r="C13" s="14" t="n">
        <v>593</v>
      </c>
      <c r="D13" s="14" t="n">
        <v>539</v>
      </c>
      <c r="E13" s="15" t="n">
        <f aca="false">IF(C13=0,0,D13/C13)</f>
        <v>0.90893760539629</v>
      </c>
      <c r="F13" s="14" t="n">
        <f aca="false">C13-D13</f>
        <v>54</v>
      </c>
    </row>
    <row r="14" customFormat="false" ht="15" hidden="false" customHeight="true" outlineLevel="0" collapsed="false">
      <c r="A14" s="13" t="n">
        <v>2025</v>
      </c>
      <c r="B14" s="13" t="s">
        <v>192</v>
      </c>
      <c r="C14" s="14" t="n">
        <f aca="false">SUM(C10:C13)</f>
        <v>22973</v>
      </c>
      <c r="D14" s="14" t="n">
        <f aca="false">SUM(D10:D13)</f>
        <v>19951</v>
      </c>
      <c r="E14" s="15" t="n">
        <f aca="false">IF(C14=0,0,D14/C14)</f>
        <v>0.868454272406738</v>
      </c>
      <c r="F14" s="14" t="n">
        <f aca="false">C14-D14</f>
        <v>3022</v>
      </c>
    </row>
    <row r="15" customFormat="false" ht="15" hidden="false" customHeight="true" outlineLevel="0" collapsed="false">
      <c r="A15" s="13" t="n">
        <v>2026</v>
      </c>
      <c r="B15" s="13" t="s">
        <v>761</v>
      </c>
      <c r="C15" s="14" t="n">
        <v>11297</v>
      </c>
      <c r="D15" s="14" t="n">
        <v>10530</v>
      </c>
      <c r="E15" s="15" t="n">
        <f aca="false">IF(C15=0,0,D15/C15)</f>
        <v>0.93210586881473</v>
      </c>
      <c r="F15" s="14" t="n">
        <f aca="false">C15-D15</f>
        <v>767</v>
      </c>
    </row>
    <row r="16" customFormat="false" ht="15" hidden="false" customHeight="true" outlineLevel="0" collapsed="false">
      <c r="A16" s="13" t="n">
        <v>2026</v>
      </c>
      <c r="B16" s="13" t="s">
        <v>762</v>
      </c>
      <c r="C16" s="14" t="n">
        <v>12102</v>
      </c>
      <c r="D16" s="14" t="n">
        <v>9606</v>
      </c>
      <c r="E16" s="15" t="n">
        <f aca="false">IF(C16=0,0,D16/C16)</f>
        <v>0.793753098661378</v>
      </c>
      <c r="F16" s="14" t="n">
        <f aca="false">C16-D16</f>
        <v>2496</v>
      </c>
    </row>
    <row r="17" customFormat="false" ht="15" hidden="false" customHeight="true" outlineLevel="0" collapsed="false">
      <c r="A17" s="13" t="n">
        <v>2026</v>
      </c>
      <c r="B17" s="13" t="s">
        <v>763</v>
      </c>
      <c r="C17" s="14" t="n">
        <v>910</v>
      </c>
      <c r="D17" s="14" t="n">
        <v>880</v>
      </c>
      <c r="E17" s="15" t="n">
        <f aca="false">IF(C17=0,0,D17/C17)</f>
        <v>0.967032967032967</v>
      </c>
      <c r="F17" s="14" t="n">
        <f aca="false">C17-D17</f>
        <v>30</v>
      </c>
    </row>
    <row r="18" customFormat="false" ht="15" hidden="false" customHeight="true" outlineLevel="0" collapsed="false">
      <c r="A18" s="13" t="n">
        <v>2026</v>
      </c>
      <c r="B18" s="13" t="s">
        <v>764</v>
      </c>
      <c r="C18" s="14" t="n">
        <v>775</v>
      </c>
      <c r="D18" s="14" t="n">
        <v>707</v>
      </c>
      <c r="E18" s="15" t="n">
        <f aca="false">IF(C18=0,0,D18/C18)</f>
        <v>0.912258064516129</v>
      </c>
      <c r="F18" s="14" t="n">
        <f aca="false">C18-D18</f>
        <v>68</v>
      </c>
    </row>
    <row r="19" customFormat="false" ht="15" hidden="false" customHeight="true" outlineLevel="0" collapsed="false">
      <c r="A19" s="13" t="n">
        <v>2026</v>
      </c>
      <c r="B19" s="13" t="s">
        <v>192</v>
      </c>
      <c r="C19" s="14" t="n">
        <f aca="false">SUM(C15:C18)</f>
        <v>25084</v>
      </c>
      <c r="D19" s="14" t="n">
        <f aca="false">SUM(D15:D18)</f>
        <v>21723</v>
      </c>
      <c r="E19" s="15" t="n">
        <f aca="false">IF(C19=0,0,D19/C19)</f>
        <v>0.866010205708818</v>
      </c>
      <c r="F19" s="14" t="n">
        <f aca="false">C19-D19</f>
        <v>3361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8"/>
    <col collapsed="false" customWidth="true" hidden="false" outlineLevel="0" max="2" min="2" style="13" width="22"/>
    <col collapsed="false" customWidth="true" hidden="false" outlineLevel="0" max="4" min="3" style="13" width="12"/>
    <col collapsed="false" customWidth="true" hidden="false" outlineLevel="0" max="6" min="5" style="13" width="10"/>
  </cols>
  <sheetData>
    <row r="1" customFormat="false" ht="15" hidden="false" customHeight="true" outlineLevel="0" collapsed="false">
      <c r="A1" s="13" t="s">
        <v>765</v>
      </c>
    </row>
    <row r="2" customFormat="false" ht="15" hidden="false" customHeight="true" outlineLevel="0" collapsed="false">
      <c r="A2" s="13" t="s">
        <v>760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4</v>
      </c>
      <c r="D4" s="13" t="s">
        <v>5</v>
      </c>
      <c r="E4" s="13" t="s">
        <v>6</v>
      </c>
      <c r="F4" s="13" t="s">
        <v>374</v>
      </c>
    </row>
    <row r="5" customFormat="false" ht="15" hidden="false" customHeight="true" outlineLevel="0" collapsed="false">
      <c r="A5" s="13" t="n">
        <v>2024</v>
      </c>
      <c r="B5" s="13" t="s">
        <v>761</v>
      </c>
      <c r="C5" s="14" t="n">
        <v>353</v>
      </c>
      <c r="D5" s="14" t="n">
        <v>335</v>
      </c>
      <c r="E5" s="15" t="n">
        <f aca="false">IF(C5=0,0,D5/C5)</f>
        <v>0.949008498583569</v>
      </c>
      <c r="F5" s="14" t="n">
        <f aca="false">C5-D5</f>
        <v>18</v>
      </c>
    </row>
    <row r="6" customFormat="false" ht="15" hidden="false" customHeight="true" outlineLevel="0" collapsed="false">
      <c r="A6" s="13" t="n">
        <v>2024</v>
      </c>
      <c r="B6" s="13" t="s">
        <v>762</v>
      </c>
      <c r="C6" s="14" t="n">
        <v>2345</v>
      </c>
      <c r="D6" s="14" t="n">
        <v>2150</v>
      </c>
      <c r="E6" s="15" t="n">
        <f aca="false">IF(C6=0,0,D6/C6)</f>
        <v>0.916844349680171</v>
      </c>
      <c r="F6" s="14" t="n">
        <f aca="false">C6-D6</f>
        <v>195</v>
      </c>
    </row>
    <row r="7" customFormat="false" ht="15" hidden="false" customHeight="true" outlineLevel="0" collapsed="false">
      <c r="A7" s="13" t="n">
        <v>2024</v>
      </c>
      <c r="B7" s="13" t="s">
        <v>763</v>
      </c>
      <c r="C7" s="14" t="n">
        <v>55</v>
      </c>
      <c r="D7" s="14" t="n">
        <v>50</v>
      </c>
      <c r="E7" s="15" t="n">
        <f aca="false">IF(C7=0,0,D7/C7)</f>
        <v>0.909090909090909</v>
      </c>
      <c r="F7" s="14" t="n">
        <f aca="false">C7-D7</f>
        <v>5</v>
      </c>
    </row>
    <row r="8" customFormat="false" ht="15" hidden="false" customHeight="true" outlineLevel="0" collapsed="false">
      <c r="A8" s="13" t="n">
        <v>2024</v>
      </c>
      <c r="B8" s="13" t="s">
        <v>764</v>
      </c>
      <c r="C8" s="14" t="n">
        <v>288</v>
      </c>
      <c r="D8" s="14" t="n">
        <v>238</v>
      </c>
      <c r="E8" s="15" t="n">
        <f aca="false">IF(C8=0,0,D8/C8)</f>
        <v>0.826388888888889</v>
      </c>
      <c r="F8" s="14" t="n">
        <f aca="false">C8-D8</f>
        <v>50</v>
      </c>
    </row>
    <row r="9" customFormat="false" ht="15" hidden="false" customHeight="true" outlineLevel="0" collapsed="false">
      <c r="A9" s="13" t="n">
        <v>2024</v>
      </c>
      <c r="B9" s="13" t="s">
        <v>192</v>
      </c>
      <c r="C9" s="14" t="n">
        <f aca="false">SUM(C5:C8)</f>
        <v>3041</v>
      </c>
      <c r="D9" s="14" t="n">
        <f aca="false">SUM(D5:D8)</f>
        <v>2773</v>
      </c>
      <c r="E9" s="15" t="n">
        <f aca="false">IF(C9=0,0,D9/C9)</f>
        <v>0.911871095034528</v>
      </c>
      <c r="F9" s="14" t="n">
        <f aca="false">C9-D9</f>
        <v>268</v>
      </c>
    </row>
    <row r="10" customFormat="false" ht="15" hidden="false" customHeight="true" outlineLevel="0" collapsed="false">
      <c r="A10" s="13" t="n">
        <v>2025</v>
      </c>
      <c r="B10" s="13" t="s">
        <v>761</v>
      </c>
      <c r="C10" s="14" t="n">
        <v>450</v>
      </c>
      <c r="D10" s="14" t="n">
        <v>415</v>
      </c>
      <c r="E10" s="15" t="n">
        <f aca="false">IF(C10=0,0,D10/C10)</f>
        <v>0.922222222222222</v>
      </c>
      <c r="F10" s="14" t="n">
        <f aca="false">C10-D10</f>
        <v>35</v>
      </c>
    </row>
    <row r="11" customFormat="false" ht="15" hidden="false" customHeight="true" outlineLevel="0" collapsed="false">
      <c r="A11" s="13" t="n">
        <v>2025</v>
      </c>
      <c r="B11" s="13" t="s">
        <v>762</v>
      </c>
      <c r="C11" s="14" t="n">
        <v>2606</v>
      </c>
      <c r="D11" s="14" t="n">
        <v>2064</v>
      </c>
      <c r="E11" s="15" t="n">
        <f aca="false">IF(C11=0,0,D11/C11)</f>
        <v>0.792018419033001</v>
      </c>
      <c r="F11" s="14" t="n">
        <f aca="false">C11-D11</f>
        <v>542</v>
      </c>
    </row>
    <row r="12" customFormat="false" ht="15" hidden="false" customHeight="true" outlineLevel="0" collapsed="false">
      <c r="A12" s="13" t="n">
        <v>2025</v>
      </c>
      <c r="B12" s="13" t="s">
        <v>763</v>
      </c>
      <c r="C12" s="14" t="n">
        <v>69</v>
      </c>
      <c r="D12" s="14" t="n">
        <v>58</v>
      </c>
      <c r="E12" s="15" t="n">
        <f aca="false">IF(C12=0,0,D12/C12)</f>
        <v>0.840579710144928</v>
      </c>
      <c r="F12" s="14" t="n">
        <f aca="false">C12-D12</f>
        <v>11</v>
      </c>
    </row>
    <row r="13" customFormat="false" ht="15" hidden="false" customHeight="true" outlineLevel="0" collapsed="false">
      <c r="A13" s="13" t="n">
        <v>2025</v>
      </c>
      <c r="B13" s="13" t="s">
        <v>764</v>
      </c>
      <c r="C13" s="14" t="n">
        <v>182</v>
      </c>
      <c r="D13" s="14" t="n">
        <v>129</v>
      </c>
      <c r="E13" s="15" t="n">
        <f aca="false">IF(C13=0,0,D13/C13)</f>
        <v>0.708791208791209</v>
      </c>
      <c r="F13" s="14" t="n">
        <f aca="false">C13-D13</f>
        <v>53</v>
      </c>
    </row>
    <row r="14" customFormat="false" ht="15" hidden="false" customHeight="true" outlineLevel="0" collapsed="false">
      <c r="A14" s="13" t="n">
        <v>2025</v>
      </c>
      <c r="B14" s="13" t="s">
        <v>192</v>
      </c>
      <c r="C14" s="14" t="n">
        <f aca="false">SUM(C10:C13)</f>
        <v>3307</v>
      </c>
      <c r="D14" s="14" t="n">
        <f aca="false">SUM(D10:D13)</f>
        <v>2666</v>
      </c>
      <c r="E14" s="15" t="n">
        <f aca="false">IF(C14=0,0,D14/C14)</f>
        <v>0.806168732990626</v>
      </c>
      <c r="F14" s="14" t="n">
        <f aca="false">C14-D14</f>
        <v>641</v>
      </c>
    </row>
    <row r="15" customFormat="false" ht="15" hidden="false" customHeight="true" outlineLevel="0" collapsed="false">
      <c r="A15" s="13" t="n">
        <v>2026</v>
      </c>
      <c r="B15" s="13" t="s">
        <v>761</v>
      </c>
      <c r="C15" s="14" t="n">
        <v>472</v>
      </c>
      <c r="D15" s="14" t="n">
        <v>413</v>
      </c>
      <c r="E15" s="15" t="n">
        <f aca="false">IF(C15=0,0,D15/C15)</f>
        <v>0.875</v>
      </c>
      <c r="F15" s="14" t="n">
        <f aca="false">C15-D15</f>
        <v>59</v>
      </c>
    </row>
    <row r="16" customFormat="false" ht="15" hidden="false" customHeight="true" outlineLevel="0" collapsed="false">
      <c r="A16" s="13" t="n">
        <v>2026</v>
      </c>
      <c r="B16" s="13" t="s">
        <v>762</v>
      </c>
      <c r="C16" s="14" t="n">
        <v>2472</v>
      </c>
      <c r="D16" s="14" t="n">
        <v>1768</v>
      </c>
      <c r="E16" s="15" t="n">
        <f aca="false">IF(C16=0,0,D16/C16)</f>
        <v>0.715210355987055</v>
      </c>
      <c r="F16" s="14" t="n">
        <f aca="false">C16-D16</f>
        <v>704</v>
      </c>
    </row>
    <row r="17" customFormat="false" ht="15" hidden="false" customHeight="true" outlineLevel="0" collapsed="false">
      <c r="A17" s="13" t="n">
        <v>2026</v>
      </c>
      <c r="B17" s="13" t="s">
        <v>763</v>
      </c>
      <c r="C17" s="14" t="n">
        <v>48</v>
      </c>
      <c r="D17" s="14" t="n">
        <v>28</v>
      </c>
      <c r="E17" s="15" t="n">
        <f aca="false">IF(C17=0,0,D17/C17)</f>
        <v>0.583333333333333</v>
      </c>
      <c r="F17" s="14" t="n">
        <f aca="false">C17-D17</f>
        <v>20</v>
      </c>
    </row>
    <row r="18" customFormat="false" ht="15" hidden="false" customHeight="true" outlineLevel="0" collapsed="false">
      <c r="A18" s="13" t="n">
        <v>2026</v>
      </c>
      <c r="B18" s="13" t="s">
        <v>764</v>
      </c>
      <c r="C18" s="14" t="n">
        <v>194</v>
      </c>
      <c r="D18" s="14" t="n">
        <v>134</v>
      </c>
      <c r="E18" s="15" t="n">
        <f aca="false">IF(C18=0,0,D18/C18)</f>
        <v>0.690721649484536</v>
      </c>
      <c r="F18" s="14" t="n">
        <f aca="false">C18-D18</f>
        <v>60</v>
      </c>
    </row>
    <row r="19" customFormat="false" ht="15" hidden="false" customHeight="true" outlineLevel="0" collapsed="false">
      <c r="A19" s="13" t="n">
        <v>2026</v>
      </c>
      <c r="B19" s="13" t="s">
        <v>192</v>
      </c>
      <c r="C19" s="14" t="n">
        <f aca="false">SUM(C15:C18)</f>
        <v>3186</v>
      </c>
      <c r="D19" s="14" t="n">
        <f aca="false">SUM(D15:D18)</f>
        <v>2343</v>
      </c>
      <c r="E19" s="15" t="n">
        <f aca="false">IF(C19=0,0,D19/C19)</f>
        <v>0.735404896421846</v>
      </c>
      <c r="F19" s="14" t="n">
        <f aca="false">C19-D19</f>
        <v>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8"/>
    <col collapsed="false" customWidth="true" hidden="false" outlineLevel="0" max="2" min="2" style="13" width="22"/>
    <col collapsed="false" customWidth="true" hidden="false" outlineLevel="0" max="4" min="3" style="13" width="12"/>
    <col collapsed="false" customWidth="true" hidden="false" outlineLevel="0" max="6" min="5" style="13" width="10"/>
  </cols>
  <sheetData>
    <row r="1" customFormat="false" ht="15" hidden="false" customHeight="true" outlineLevel="0" collapsed="false">
      <c r="A1" s="13" t="s">
        <v>766</v>
      </c>
    </row>
    <row r="2" customFormat="false" ht="15" hidden="false" customHeight="true" outlineLevel="0" collapsed="false">
      <c r="A2" s="13" t="s">
        <v>760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4</v>
      </c>
      <c r="D4" s="13" t="s">
        <v>5</v>
      </c>
      <c r="E4" s="13" t="s">
        <v>6</v>
      </c>
      <c r="F4" s="13" t="s">
        <v>374</v>
      </c>
    </row>
    <row r="5" customFormat="false" ht="15" hidden="false" customHeight="true" outlineLevel="0" collapsed="false">
      <c r="A5" s="13" t="n">
        <v>2024</v>
      </c>
      <c r="B5" s="13" t="s">
        <v>761</v>
      </c>
      <c r="C5" s="14" t="n">
        <v>360</v>
      </c>
      <c r="D5" s="14" t="n">
        <v>314</v>
      </c>
      <c r="E5" s="15" t="n">
        <f aca="false">IF(C5=0,0,D5/C5)</f>
        <v>0.872222222222222</v>
      </c>
      <c r="F5" s="14" t="n">
        <f aca="false">C5-D5</f>
        <v>46</v>
      </c>
    </row>
    <row r="6" customFormat="false" ht="15" hidden="false" customHeight="true" outlineLevel="0" collapsed="false">
      <c r="A6" s="13" t="n">
        <v>2024</v>
      </c>
      <c r="B6" s="13" t="s">
        <v>762</v>
      </c>
      <c r="C6" s="14" t="n">
        <v>3305</v>
      </c>
      <c r="D6" s="14" t="n">
        <v>3009</v>
      </c>
      <c r="E6" s="15" t="n">
        <f aca="false">IF(C6=0,0,D6/C6)</f>
        <v>0.910438729198185</v>
      </c>
      <c r="F6" s="14" t="n">
        <f aca="false">C6-D6</f>
        <v>296</v>
      </c>
    </row>
    <row r="7" customFormat="false" ht="15" hidden="false" customHeight="true" outlineLevel="0" collapsed="false">
      <c r="A7" s="13" t="n">
        <v>2024</v>
      </c>
      <c r="B7" s="13" t="s">
        <v>763</v>
      </c>
      <c r="C7" s="14" t="n">
        <v>23</v>
      </c>
      <c r="D7" s="14" t="n">
        <v>21</v>
      </c>
      <c r="E7" s="15" t="n">
        <f aca="false">IF(C7=0,0,D7/C7)</f>
        <v>0.91304347826087</v>
      </c>
      <c r="F7" s="14" t="n">
        <f aca="false">C7-D7</f>
        <v>2</v>
      </c>
    </row>
    <row r="8" customFormat="false" ht="15" hidden="false" customHeight="true" outlineLevel="0" collapsed="false">
      <c r="A8" s="13" t="n">
        <v>2024</v>
      </c>
      <c r="B8" s="13" t="s">
        <v>764</v>
      </c>
      <c r="C8" s="14" t="n">
        <v>111</v>
      </c>
      <c r="D8" s="14" t="n">
        <v>92</v>
      </c>
      <c r="E8" s="15" t="n">
        <f aca="false">IF(C8=0,0,D8/C8)</f>
        <v>0.828828828828829</v>
      </c>
      <c r="F8" s="14" t="n">
        <f aca="false">C8-D8</f>
        <v>19</v>
      </c>
    </row>
    <row r="9" customFormat="false" ht="15" hidden="false" customHeight="true" outlineLevel="0" collapsed="false">
      <c r="A9" s="13" t="n">
        <v>2024</v>
      </c>
      <c r="B9" s="13" t="s">
        <v>192</v>
      </c>
      <c r="C9" s="14" t="n">
        <f aca="false">SUM(C5:C8)</f>
        <v>3799</v>
      </c>
      <c r="D9" s="14" t="n">
        <f aca="false">SUM(D5:D8)</f>
        <v>3436</v>
      </c>
      <c r="E9" s="15" t="n">
        <f aca="false">IF(C9=0,0,D9/C9)</f>
        <v>0.904448539089234</v>
      </c>
      <c r="F9" s="14" t="n">
        <f aca="false">C9-D9</f>
        <v>363</v>
      </c>
    </row>
    <row r="10" customFormat="false" ht="15" hidden="false" customHeight="true" outlineLevel="0" collapsed="false">
      <c r="A10" s="13" t="n">
        <v>2025</v>
      </c>
      <c r="B10" s="13" t="s">
        <v>761</v>
      </c>
      <c r="C10" s="14" t="n">
        <v>612</v>
      </c>
      <c r="D10" s="14" t="n">
        <v>587</v>
      </c>
      <c r="E10" s="15" t="n">
        <f aca="false">IF(C10=0,0,D10/C10)</f>
        <v>0.959150326797386</v>
      </c>
      <c r="F10" s="14" t="n">
        <f aca="false">C10-D10</f>
        <v>25</v>
      </c>
    </row>
    <row r="11" customFormat="false" ht="15" hidden="false" customHeight="true" outlineLevel="0" collapsed="false">
      <c r="A11" s="13" t="n">
        <v>2025</v>
      </c>
      <c r="B11" s="13" t="s">
        <v>762</v>
      </c>
      <c r="C11" s="14" t="n">
        <v>4939</v>
      </c>
      <c r="D11" s="14" t="n">
        <v>4268</v>
      </c>
      <c r="E11" s="15" t="n">
        <f aca="false">IF(C11=0,0,D11/C11)</f>
        <v>0.864142538975501</v>
      </c>
      <c r="F11" s="14" t="n">
        <f aca="false">C11-D11</f>
        <v>671</v>
      </c>
    </row>
    <row r="12" customFormat="false" ht="15" hidden="false" customHeight="true" outlineLevel="0" collapsed="false">
      <c r="A12" s="13" t="n">
        <v>2025</v>
      </c>
      <c r="B12" s="13" t="s">
        <v>763</v>
      </c>
      <c r="C12" s="14" t="n">
        <v>20</v>
      </c>
      <c r="D12" s="14" t="n">
        <v>17</v>
      </c>
      <c r="E12" s="15" t="n">
        <f aca="false">IF(C12=0,0,D12/C12)</f>
        <v>0.85</v>
      </c>
      <c r="F12" s="14" t="n">
        <f aca="false">C12-D12</f>
        <v>3</v>
      </c>
    </row>
    <row r="13" customFormat="false" ht="15" hidden="false" customHeight="true" outlineLevel="0" collapsed="false">
      <c r="A13" s="13" t="n">
        <v>2025</v>
      </c>
      <c r="B13" s="13" t="s">
        <v>764</v>
      </c>
      <c r="C13" s="14" t="n">
        <v>125</v>
      </c>
      <c r="D13" s="14" t="n">
        <v>96</v>
      </c>
      <c r="E13" s="15" t="n">
        <f aca="false">IF(C13=0,0,D13/C13)</f>
        <v>0.768</v>
      </c>
      <c r="F13" s="14" t="n">
        <f aca="false">C13-D13</f>
        <v>29</v>
      </c>
    </row>
    <row r="14" customFormat="false" ht="15" hidden="false" customHeight="true" outlineLevel="0" collapsed="false">
      <c r="A14" s="13" t="n">
        <v>2025</v>
      </c>
      <c r="B14" s="13" t="s">
        <v>192</v>
      </c>
      <c r="C14" s="14" t="n">
        <f aca="false">SUM(C10:C13)</f>
        <v>5696</v>
      </c>
      <c r="D14" s="14" t="n">
        <f aca="false">SUM(D10:D13)</f>
        <v>4968</v>
      </c>
      <c r="E14" s="15" t="n">
        <f aca="false">IF(C14=0,0,D14/C14)</f>
        <v>0.872191011235955</v>
      </c>
      <c r="F14" s="14" t="n">
        <f aca="false">C14-D14</f>
        <v>728</v>
      </c>
    </row>
    <row r="15" customFormat="false" ht="15" hidden="false" customHeight="true" outlineLevel="0" collapsed="false">
      <c r="A15" s="13" t="n">
        <v>2026</v>
      </c>
      <c r="B15" s="13" t="s">
        <v>761</v>
      </c>
      <c r="C15" s="14" t="n">
        <v>740</v>
      </c>
      <c r="D15" s="14" t="n">
        <v>576</v>
      </c>
      <c r="E15" s="15" t="n">
        <f aca="false">IF(C15=0,0,D15/C15)</f>
        <v>0.778378378378378</v>
      </c>
      <c r="F15" s="14" t="n">
        <f aca="false">C15-D15</f>
        <v>164</v>
      </c>
    </row>
    <row r="16" customFormat="false" ht="15" hidden="false" customHeight="true" outlineLevel="0" collapsed="false">
      <c r="A16" s="13" t="n">
        <v>2026</v>
      </c>
      <c r="B16" s="13" t="s">
        <v>762</v>
      </c>
      <c r="C16" s="14" t="n">
        <v>6553</v>
      </c>
      <c r="D16" s="14" t="n">
        <v>4685</v>
      </c>
      <c r="E16" s="15" t="n">
        <f aca="false">IF(C16=0,0,D16/C16)</f>
        <v>0.714939722264612</v>
      </c>
      <c r="F16" s="14" t="n">
        <f aca="false">C16-D16</f>
        <v>1868</v>
      </c>
    </row>
    <row r="17" customFormat="false" ht="15" hidden="false" customHeight="true" outlineLevel="0" collapsed="false">
      <c r="A17" s="13" t="n">
        <v>2026</v>
      </c>
      <c r="B17" s="13" t="s">
        <v>763</v>
      </c>
      <c r="C17" s="14" t="n">
        <v>9</v>
      </c>
      <c r="D17" s="14" t="n">
        <v>5</v>
      </c>
      <c r="E17" s="15" t="n">
        <f aca="false">IF(C17=0,0,D17/C17)</f>
        <v>0.555555555555556</v>
      </c>
      <c r="F17" s="14" t="n">
        <f aca="false">C17-D17</f>
        <v>4</v>
      </c>
    </row>
    <row r="18" customFormat="false" ht="15" hidden="false" customHeight="true" outlineLevel="0" collapsed="false">
      <c r="A18" s="13" t="n">
        <v>2026</v>
      </c>
      <c r="B18" s="13" t="s">
        <v>764</v>
      </c>
      <c r="C18" s="14" t="n">
        <v>151</v>
      </c>
      <c r="D18" s="14" t="n">
        <v>114</v>
      </c>
      <c r="E18" s="15" t="n">
        <f aca="false">IF(C18=0,0,D18/C18)</f>
        <v>0.754966887417219</v>
      </c>
      <c r="F18" s="14" t="n">
        <f aca="false">C18-D18</f>
        <v>37</v>
      </c>
    </row>
    <row r="19" customFormat="false" ht="15" hidden="false" customHeight="true" outlineLevel="0" collapsed="false">
      <c r="A19" s="13" t="n">
        <v>2026</v>
      </c>
      <c r="B19" s="13" t="s">
        <v>192</v>
      </c>
      <c r="C19" s="14" t="n">
        <f aca="false">SUM(C15:C18)</f>
        <v>7453</v>
      </c>
      <c r="D19" s="14" t="n">
        <f aca="false">SUM(D15:D18)</f>
        <v>5380</v>
      </c>
      <c r="E19" s="15" t="n">
        <f aca="false">IF(C19=0,0,D19/C19)</f>
        <v>0.721856970347511</v>
      </c>
      <c r="F19" s="14" t="n">
        <f aca="false">C19-D19</f>
        <v>2073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8"/>
    <col collapsed="false" customWidth="true" hidden="false" outlineLevel="0" max="2" min="2" style="13" width="22"/>
    <col collapsed="false" customWidth="true" hidden="false" outlineLevel="0" max="4" min="3" style="13" width="12"/>
    <col collapsed="false" customWidth="true" hidden="false" outlineLevel="0" max="6" min="5" style="13" width="10"/>
  </cols>
  <sheetData>
    <row r="1" customFormat="false" ht="15" hidden="false" customHeight="true" outlineLevel="0" collapsed="false">
      <c r="A1" s="13" t="s">
        <v>767</v>
      </c>
    </row>
    <row r="2" customFormat="false" ht="15" hidden="false" customHeight="true" outlineLevel="0" collapsed="false">
      <c r="A2" s="13" t="s">
        <v>760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4</v>
      </c>
      <c r="D4" s="13" t="s">
        <v>5</v>
      </c>
      <c r="E4" s="13" t="s">
        <v>6</v>
      </c>
      <c r="F4" s="13" t="s">
        <v>374</v>
      </c>
    </row>
    <row r="5" customFormat="false" ht="15" hidden="false" customHeight="true" outlineLevel="0" collapsed="false">
      <c r="A5" s="13" t="n">
        <v>2024</v>
      </c>
      <c r="B5" s="13" t="s">
        <v>761</v>
      </c>
      <c r="C5" s="14" t="n">
        <v>4982</v>
      </c>
      <c r="D5" s="14" t="n">
        <v>4764</v>
      </c>
      <c r="E5" s="15" t="n">
        <f aca="false">IF(C5=0,0,D5/C5)</f>
        <v>0.956242472902449</v>
      </c>
      <c r="F5" s="14" t="n">
        <f aca="false">C5-D5</f>
        <v>218</v>
      </c>
    </row>
    <row r="6" customFormat="false" ht="15" hidden="false" customHeight="true" outlineLevel="0" collapsed="false">
      <c r="A6" s="13" t="n">
        <v>2024</v>
      </c>
      <c r="B6" s="13" t="s">
        <v>762</v>
      </c>
      <c r="C6" s="14" t="n">
        <v>4579</v>
      </c>
      <c r="D6" s="14" t="n">
        <v>4138</v>
      </c>
      <c r="E6" s="15" t="n">
        <f aca="false">IF(C6=0,0,D6/C6)</f>
        <v>0.903690762175147</v>
      </c>
      <c r="F6" s="14" t="n">
        <f aca="false">C6-D6</f>
        <v>441</v>
      </c>
    </row>
    <row r="7" customFormat="false" ht="15" hidden="false" customHeight="true" outlineLevel="0" collapsed="false">
      <c r="A7" s="13" t="n">
        <v>2024</v>
      </c>
      <c r="B7" s="13" t="s">
        <v>763</v>
      </c>
      <c r="C7" s="14" t="n">
        <v>1829</v>
      </c>
      <c r="D7" s="14" t="n">
        <v>1598</v>
      </c>
      <c r="E7" s="15" t="n">
        <f aca="false">IF(C7=0,0,D7/C7)</f>
        <v>0.873701476216512</v>
      </c>
      <c r="F7" s="14" t="n">
        <f aca="false">C7-D7</f>
        <v>231</v>
      </c>
    </row>
    <row r="8" customFormat="false" ht="15" hidden="false" customHeight="true" outlineLevel="0" collapsed="false">
      <c r="A8" s="13" t="n">
        <v>2024</v>
      </c>
      <c r="B8" s="13" t="s">
        <v>764</v>
      </c>
      <c r="C8" s="14" t="n">
        <v>3361</v>
      </c>
      <c r="D8" s="14" t="n">
        <v>2838</v>
      </c>
      <c r="E8" s="15" t="n">
        <f aca="false">IF(C8=0,0,D8/C8)</f>
        <v>0.844391550133889</v>
      </c>
      <c r="F8" s="14" t="n">
        <f aca="false">C8-D8</f>
        <v>523</v>
      </c>
    </row>
    <row r="9" customFormat="false" ht="15" hidden="false" customHeight="true" outlineLevel="0" collapsed="false">
      <c r="A9" s="13" t="n">
        <v>2024</v>
      </c>
      <c r="B9" s="13" t="s">
        <v>192</v>
      </c>
      <c r="C9" s="14" t="n">
        <f aca="false">SUM(C5:C8)</f>
        <v>14751</v>
      </c>
      <c r="D9" s="14" t="n">
        <f aca="false">SUM(D5:D8)</f>
        <v>13338</v>
      </c>
      <c r="E9" s="15" t="n">
        <f aca="false">IF(C9=0,0,D9/C9)</f>
        <v>0.904209884075656</v>
      </c>
      <c r="F9" s="14" t="n">
        <f aca="false">C9-D9</f>
        <v>1413</v>
      </c>
    </row>
    <row r="10" customFormat="false" ht="15" hidden="false" customHeight="true" outlineLevel="0" collapsed="false">
      <c r="A10" s="13" t="n">
        <v>2025</v>
      </c>
      <c r="B10" s="13" t="s">
        <v>761</v>
      </c>
      <c r="C10" s="14" t="n">
        <v>5229</v>
      </c>
      <c r="D10" s="14" t="n">
        <v>4830</v>
      </c>
      <c r="E10" s="15" t="n">
        <f aca="false">IF(C10=0,0,D10/C10)</f>
        <v>0.923694779116466</v>
      </c>
      <c r="F10" s="14" t="n">
        <f aca="false">C10-D10</f>
        <v>399</v>
      </c>
    </row>
    <row r="11" customFormat="false" ht="15" hidden="false" customHeight="true" outlineLevel="0" collapsed="false">
      <c r="A11" s="13" t="n">
        <v>2025</v>
      </c>
      <c r="B11" s="13" t="s">
        <v>762</v>
      </c>
      <c r="C11" s="14" t="n">
        <v>4176</v>
      </c>
      <c r="D11" s="14" t="n">
        <v>3097</v>
      </c>
      <c r="E11" s="15" t="n">
        <f aca="false">IF(C11=0,0,D11/C11)</f>
        <v>0.74161877394636</v>
      </c>
      <c r="F11" s="14" t="n">
        <f aca="false">C11-D11</f>
        <v>1079</v>
      </c>
    </row>
    <row r="12" customFormat="false" ht="15" hidden="false" customHeight="true" outlineLevel="0" collapsed="false">
      <c r="A12" s="13" t="n">
        <v>2025</v>
      </c>
      <c r="B12" s="13" t="s">
        <v>763</v>
      </c>
      <c r="C12" s="14" t="n">
        <v>1573</v>
      </c>
      <c r="D12" s="14" t="n">
        <v>1274</v>
      </c>
      <c r="E12" s="15" t="n">
        <f aca="false">IF(C12=0,0,D12/C12)</f>
        <v>0.809917355371901</v>
      </c>
      <c r="F12" s="14" t="n">
        <f aca="false">C12-D12</f>
        <v>299</v>
      </c>
    </row>
    <row r="13" customFormat="false" ht="15" hidden="false" customHeight="true" outlineLevel="0" collapsed="false">
      <c r="A13" s="13" t="n">
        <v>2025</v>
      </c>
      <c r="B13" s="13" t="s">
        <v>764</v>
      </c>
      <c r="C13" s="14" t="n">
        <v>2772</v>
      </c>
      <c r="D13" s="14" t="n">
        <v>1846</v>
      </c>
      <c r="E13" s="15" t="n">
        <f aca="false">IF(C13=0,0,D13/C13)</f>
        <v>0.665945165945166</v>
      </c>
      <c r="F13" s="14" t="n">
        <f aca="false">C13-D13</f>
        <v>926</v>
      </c>
    </row>
    <row r="14" customFormat="false" ht="15" hidden="false" customHeight="true" outlineLevel="0" collapsed="false">
      <c r="A14" s="13" t="n">
        <v>2025</v>
      </c>
      <c r="B14" s="13" t="s">
        <v>192</v>
      </c>
      <c r="C14" s="14" t="n">
        <f aca="false">SUM(C10:C13)</f>
        <v>13750</v>
      </c>
      <c r="D14" s="14" t="n">
        <f aca="false">SUM(D10:D13)</f>
        <v>11047</v>
      </c>
      <c r="E14" s="15" t="n">
        <f aca="false">IF(C14=0,0,D14/C14)</f>
        <v>0.803418181818182</v>
      </c>
      <c r="F14" s="14" t="n">
        <f aca="false">C14-D14</f>
        <v>2703</v>
      </c>
    </row>
    <row r="15" customFormat="false" ht="15" hidden="false" customHeight="true" outlineLevel="0" collapsed="false">
      <c r="A15" s="13" t="n">
        <v>2026</v>
      </c>
      <c r="B15" s="13" t="s">
        <v>761</v>
      </c>
      <c r="C15" s="14" t="n">
        <v>6120</v>
      </c>
      <c r="D15" s="14" t="n">
        <v>5372</v>
      </c>
      <c r="E15" s="15" t="n">
        <f aca="false">IF(C15=0,0,D15/C15)</f>
        <v>0.877777777777778</v>
      </c>
      <c r="F15" s="14" t="n">
        <f aca="false">C15-D15</f>
        <v>748</v>
      </c>
    </row>
    <row r="16" customFormat="false" ht="15" hidden="false" customHeight="true" outlineLevel="0" collapsed="false">
      <c r="A16" s="13" t="n">
        <v>2026</v>
      </c>
      <c r="B16" s="13" t="s">
        <v>762</v>
      </c>
      <c r="C16" s="14" t="n">
        <v>4021</v>
      </c>
      <c r="D16" s="14" t="n">
        <v>2159</v>
      </c>
      <c r="E16" s="15" t="n">
        <f aca="false">IF(C16=0,0,D16/C16)</f>
        <v>0.536931111663765</v>
      </c>
      <c r="F16" s="14" t="n">
        <f aca="false">C16-D16</f>
        <v>1862</v>
      </c>
    </row>
    <row r="17" customFormat="false" ht="15" hidden="false" customHeight="true" outlineLevel="0" collapsed="false">
      <c r="A17" s="13" t="n">
        <v>2026</v>
      </c>
      <c r="B17" s="13" t="s">
        <v>763</v>
      </c>
      <c r="C17" s="14" t="n">
        <v>1346</v>
      </c>
      <c r="D17" s="14" t="n">
        <v>1056</v>
      </c>
      <c r="E17" s="15" t="n">
        <f aca="false">IF(C17=0,0,D17/C17)</f>
        <v>0.784546805349183</v>
      </c>
      <c r="F17" s="14" t="n">
        <f aca="false">C17-D17</f>
        <v>290</v>
      </c>
    </row>
    <row r="18" customFormat="false" ht="15" hidden="false" customHeight="true" outlineLevel="0" collapsed="false">
      <c r="A18" s="13" t="n">
        <v>2026</v>
      </c>
      <c r="B18" s="13" t="s">
        <v>764</v>
      </c>
      <c r="C18" s="14" t="n">
        <v>1991</v>
      </c>
      <c r="D18" s="14" t="n">
        <v>1102</v>
      </c>
      <c r="E18" s="15" t="n">
        <f aca="false">IF(C18=0,0,D18/C18)</f>
        <v>0.553490708186841</v>
      </c>
      <c r="F18" s="14" t="n">
        <f aca="false">C18-D18</f>
        <v>889</v>
      </c>
    </row>
    <row r="19" customFormat="false" ht="15" hidden="false" customHeight="true" outlineLevel="0" collapsed="false">
      <c r="A19" s="13" t="n">
        <v>2026</v>
      </c>
      <c r="B19" s="13" t="s">
        <v>192</v>
      </c>
      <c r="C19" s="14" t="n">
        <f aca="false">SUM(C15:C18)</f>
        <v>13478</v>
      </c>
      <c r="D19" s="14" t="n">
        <f aca="false">SUM(D15:D18)</f>
        <v>9689</v>
      </c>
      <c r="E19" s="15" t="n">
        <f aca="false">IF(C19=0,0,D19/C19)</f>
        <v>0.718875204036207</v>
      </c>
      <c r="F19" s="14" t="n">
        <f aca="false">C19-D19</f>
        <v>3789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8"/>
    <col collapsed="false" customWidth="true" hidden="false" outlineLevel="0" max="2" min="2" style="13" width="22"/>
    <col collapsed="false" customWidth="true" hidden="false" outlineLevel="0" max="4" min="3" style="13" width="12"/>
    <col collapsed="false" customWidth="true" hidden="false" outlineLevel="0" max="6" min="5" style="13" width="10"/>
  </cols>
  <sheetData>
    <row r="1" customFormat="false" ht="15" hidden="false" customHeight="true" outlineLevel="0" collapsed="false">
      <c r="A1" s="13" t="s">
        <v>768</v>
      </c>
    </row>
    <row r="2" customFormat="false" ht="15" hidden="false" customHeight="true" outlineLevel="0" collapsed="false">
      <c r="A2" s="13" t="s">
        <v>769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4</v>
      </c>
      <c r="D4" s="13" t="s">
        <v>5</v>
      </c>
      <c r="E4" s="13" t="s">
        <v>6</v>
      </c>
      <c r="F4" s="13" t="s">
        <v>374</v>
      </c>
    </row>
    <row r="5" customFormat="false" ht="15" hidden="false" customHeight="true" outlineLevel="0" collapsed="false">
      <c r="A5" s="13" t="n">
        <v>2024</v>
      </c>
      <c r="B5" s="13" t="s">
        <v>761</v>
      </c>
      <c r="C5" s="14" t="n">
        <v>87</v>
      </c>
      <c r="D5" s="14" t="n">
        <v>76</v>
      </c>
      <c r="E5" s="15" t="n">
        <f aca="false">IF(C5=0,0,D5/C5)</f>
        <v>0.873563218390805</v>
      </c>
      <c r="F5" s="14" t="n">
        <f aca="false">C5-D5</f>
        <v>11</v>
      </c>
    </row>
    <row r="6" customFormat="false" ht="15" hidden="false" customHeight="true" outlineLevel="0" collapsed="false">
      <c r="A6" s="13" t="n">
        <v>2024</v>
      </c>
      <c r="B6" s="13" t="s">
        <v>762</v>
      </c>
      <c r="C6" s="14" t="n">
        <v>0</v>
      </c>
      <c r="D6" s="14" t="n">
        <v>0</v>
      </c>
      <c r="E6" s="15" t="n">
        <f aca="false">IF(C6=0,0,D6/C6)</f>
        <v>0</v>
      </c>
      <c r="F6" s="14" t="n">
        <f aca="false">C6-D6</f>
        <v>0</v>
      </c>
    </row>
    <row r="7" customFormat="false" ht="15" hidden="false" customHeight="true" outlineLevel="0" collapsed="false">
      <c r="A7" s="13" t="n">
        <v>2024</v>
      </c>
      <c r="B7" s="13" t="s">
        <v>763</v>
      </c>
      <c r="C7" s="14" t="n">
        <v>2</v>
      </c>
      <c r="D7" s="14" t="n">
        <v>2</v>
      </c>
      <c r="E7" s="15" t="n">
        <f aca="false">IF(C7=0,0,D7/C7)</f>
        <v>1</v>
      </c>
      <c r="F7" s="14" t="n">
        <f aca="false">C7-D7</f>
        <v>0</v>
      </c>
    </row>
    <row r="8" customFormat="false" ht="15" hidden="false" customHeight="true" outlineLevel="0" collapsed="false">
      <c r="A8" s="13" t="n">
        <v>2024</v>
      </c>
      <c r="B8" s="13" t="s">
        <v>764</v>
      </c>
      <c r="C8" s="14" t="n">
        <v>0</v>
      </c>
      <c r="D8" s="14" t="n">
        <v>0</v>
      </c>
      <c r="E8" s="15" t="n">
        <f aca="false">IF(C8=0,0,D8/C8)</f>
        <v>0</v>
      </c>
      <c r="F8" s="14" t="n">
        <f aca="false">C8-D8</f>
        <v>0</v>
      </c>
    </row>
    <row r="9" customFormat="false" ht="15" hidden="false" customHeight="true" outlineLevel="0" collapsed="false">
      <c r="A9" s="13" t="n">
        <v>2024</v>
      </c>
      <c r="B9" s="13" t="s">
        <v>192</v>
      </c>
      <c r="C9" s="14" t="n">
        <f aca="false">SUM(C5:C8)</f>
        <v>89</v>
      </c>
      <c r="D9" s="14" t="n">
        <f aca="false">SUM(D5:D8)</f>
        <v>78</v>
      </c>
      <c r="E9" s="15" t="n">
        <f aca="false">IF(C9=0,0,D9/C9)</f>
        <v>0.876404494382023</v>
      </c>
      <c r="F9" s="14" t="n">
        <f aca="false">C9-D9</f>
        <v>11</v>
      </c>
    </row>
    <row r="10" customFormat="false" ht="15" hidden="false" customHeight="true" outlineLevel="0" collapsed="false">
      <c r="A10" s="13" t="n">
        <v>2025</v>
      </c>
      <c r="B10" s="13" t="s">
        <v>761</v>
      </c>
      <c r="C10" s="14" t="n">
        <v>49</v>
      </c>
      <c r="D10" s="14" t="n">
        <v>40</v>
      </c>
      <c r="E10" s="15" t="n">
        <f aca="false">IF(C10=0,0,D10/C10)</f>
        <v>0.816326530612245</v>
      </c>
      <c r="F10" s="14" t="n">
        <f aca="false">C10-D10</f>
        <v>9</v>
      </c>
    </row>
    <row r="11" customFormat="false" ht="15" hidden="false" customHeight="true" outlineLevel="0" collapsed="false">
      <c r="A11" s="13" t="n">
        <v>2025</v>
      </c>
      <c r="B11" s="13" t="s">
        <v>762</v>
      </c>
      <c r="C11" s="14" t="n">
        <v>0</v>
      </c>
      <c r="D11" s="14" t="n">
        <v>0</v>
      </c>
      <c r="E11" s="15" t="n">
        <f aca="false">IF(C11=0,0,D11/C11)</f>
        <v>0</v>
      </c>
      <c r="F11" s="14" t="n">
        <f aca="false">C11-D11</f>
        <v>0</v>
      </c>
    </row>
    <row r="12" customFormat="false" ht="15" hidden="false" customHeight="true" outlineLevel="0" collapsed="false">
      <c r="A12" s="13" t="n">
        <v>2025</v>
      </c>
      <c r="B12" s="13" t="s">
        <v>763</v>
      </c>
      <c r="C12" s="14" t="n">
        <v>3</v>
      </c>
      <c r="D12" s="14" t="n">
        <v>2</v>
      </c>
      <c r="E12" s="15" t="n">
        <f aca="false">IF(C12=0,0,D12/C12)</f>
        <v>0.666666666666667</v>
      </c>
      <c r="F12" s="14" t="n">
        <f aca="false">C12-D12</f>
        <v>1</v>
      </c>
    </row>
    <row r="13" customFormat="false" ht="15" hidden="false" customHeight="true" outlineLevel="0" collapsed="false">
      <c r="A13" s="13" t="n">
        <v>2025</v>
      </c>
      <c r="B13" s="13" t="s">
        <v>764</v>
      </c>
      <c r="C13" s="14" t="n">
        <v>0</v>
      </c>
      <c r="D13" s="14" t="n">
        <v>0</v>
      </c>
      <c r="E13" s="15" t="n">
        <f aca="false">IF(C13=0,0,D13/C13)</f>
        <v>0</v>
      </c>
      <c r="F13" s="14" t="n">
        <f aca="false">C13-D13</f>
        <v>0</v>
      </c>
    </row>
    <row r="14" customFormat="false" ht="15" hidden="false" customHeight="true" outlineLevel="0" collapsed="false">
      <c r="A14" s="13" t="n">
        <v>2025</v>
      </c>
      <c r="B14" s="13" t="s">
        <v>192</v>
      </c>
      <c r="C14" s="14" t="n">
        <f aca="false">SUM(C10:C13)</f>
        <v>52</v>
      </c>
      <c r="D14" s="14" t="n">
        <f aca="false">SUM(D10:D13)</f>
        <v>42</v>
      </c>
      <c r="E14" s="15" t="n">
        <f aca="false">IF(C14=0,0,D14/C14)</f>
        <v>0.807692307692308</v>
      </c>
      <c r="F14" s="14" t="n">
        <f aca="false">C14-D14</f>
        <v>10</v>
      </c>
    </row>
    <row r="15" customFormat="false" ht="15" hidden="false" customHeight="true" outlineLevel="0" collapsed="false">
      <c r="A15" s="13" t="n">
        <v>2026</v>
      </c>
      <c r="B15" s="13" t="s">
        <v>761</v>
      </c>
      <c r="C15" s="14" t="n">
        <v>48</v>
      </c>
      <c r="D15" s="14" t="n">
        <v>42</v>
      </c>
      <c r="E15" s="15" t="n">
        <f aca="false">IF(C15=0,0,D15/C15)</f>
        <v>0.875</v>
      </c>
      <c r="F15" s="14" t="n">
        <f aca="false">C15-D15</f>
        <v>6</v>
      </c>
    </row>
    <row r="16" customFormat="false" ht="15" hidden="false" customHeight="true" outlineLevel="0" collapsed="false">
      <c r="A16" s="13" t="n">
        <v>2026</v>
      </c>
      <c r="B16" s="13" t="s">
        <v>762</v>
      </c>
      <c r="C16" s="14" t="n">
        <v>0</v>
      </c>
      <c r="D16" s="14" t="n">
        <v>0</v>
      </c>
      <c r="E16" s="15" t="n">
        <f aca="false">IF(C16=0,0,D16/C16)</f>
        <v>0</v>
      </c>
      <c r="F16" s="14" t="n">
        <f aca="false">C16-D16</f>
        <v>0</v>
      </c>
    </row>
    <row r="17" customFormat="false" ht="15" hidden="false" customHeight="true" outlineLevel="0" collapsed="false">
      <c r="A17" s="13" t="n">
        <v>2026</v>
      </c>
      <c r="B17" s="13" t="s">
        <v>763</v>
      </c>
      <c r="C17" s="14" t="n">
        <v>1</v>
      </c>
      <c r="D17" s="14" t="n">
        <v>1</v>
      </c>
      <c r="E17" s="15" t="n">
        <f aca="false">IF(C17=0,0,D17/C17)</f>
        <v>1</v>
      </c>
      <c r="F17" s="14" t="n">
        <f aca="false">C17-D17</f>
        <v>0</v>
      </c>
    </row>
    <row r="18" customFormat="false" ht="15" hidden="false" customHeight="true" outlineLevel="0" collapsed="false">
      <c r="A18" s="13" t="n">
        <v>2026</v>
      </c>
      <c r="B18" s="13" t="s">
        <v>764</v>
      </c>
      <c r="C18" s="14" t="n">
        <v>0</v>
      </c>
      <c r="D18" s="14" t="n">
        <v>0</v>
      </c>
      <c r="E18" s="15" t="n">
        <f aca="false">IF(C18=0,0,D18/C18)</f>
        <v>0</v>
      </c>
      <c r="F18" s="14" t="n">
        <f aca="false">C18-D18</f>
        <v>0</v>
      </c>
    </row>
    <row r="19" customFormat="false" ht="15" hidden="false" customHeight="true" outlineLevel="0" collapsed="false">
      <c r="A19" s="13" t="n">
        <v>2026</v>
      </c>
      <c r="B19" s="13" t="s">
        <v>192</v>
      </c>
      <c r="C19" s="14" t="n">
        <f aca="false">SUM(C15:C18)</f>
        <v>49</v>
      </c>
      <c r="D19" s="14" t="n">
        <f aca="false">SUM(D15:D18)</f>
        <v>43</v>
      </c>
      <c r="E19" s="15" t="n">
        <f aca="false">IF(C19=0,0,D19/C19)</f>
        <v>0.877551020408163</v>
      </c>
      <c r="F19" s="14" t="n">
        <f aca="false">C19-D19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0"/>
    <col collapsed="false" customWidth="true" hidden="false" outlineLevel="0" max="8" min="3" style="13" width="12"/>
  </cols>
  <sheetData>
    <row r="1" customFormat="false" ht="15" hidden="false" customHeight="true" outlineLevel="0" collapsed="false">
      <c r="A1" s="13" t="s">
        <v>770</v>
      </c>
    </row>
    <row r="2" customFormat="false" ht="15" hidden="false" customHeight="true" outlineLevel="0" collapsed="false">
      <c r="A2" s="13" t="s">
        <v>771</v>
      </c>
    </row>
    <row r="4" customFormat="false" ht="15" hidden="false" customHeight="true" outlineLevel="0" collapsed="false">
      <c r="A4" s="13" t="s">
        <v>3</v>
      </c>
      <c r="B4" s="13" t="s">
        <v>344</v>
      </c>
      <c r="C4" s="13" t="s">
        <v>772</v>
      </c>
      <c r="D4" s="13" t="s">
        <v>5</v>
      </c>
      <c r="E4" s="13" t="s">
        <v>479</v>
      </c>
      <c r="F4" s="13" t="s">
        <v>360</v>
      </c>
      <c r="G4" s="13" t="s">
        <v>109</v>
      </c>
      <c r="H4" s="13" t="s">
        <v>6</v>
      </c>
    </row>
    <row r="5" customFormat="false" ht="15" hidden="false" customHeight="true" outlineLevel="0" collapsed="false">
      <c r="A5" s="13" t="n">
        <v>2024</v>
      </c>
      <c r="B5" s="13" t="s">
        <v>773</v>
      </c>
      <c r="C5" s="14" t="n">
        <v>62886</v>
      </c>
      <c r="D5" s="14" t="n">
        <v>50207</v>
      </c>
      <c r="E5" s="14"/>
      <c r="F5" s="14" t="n">
        <v>12127</v>
      </c>
      <c r="G5" s="14" t="n">
        <v>533</v>
      </c>
      <c r="H5" s="16" t="n">
        <v>99.1</v>
      </c>
    </row>
    <row r="6" customFormat="false" ht="15" hidden="false" customHeight="true" outlineLevel="0" collapsed="false">
      <c r="A6" s="13" t="n">
        <v>2024</v>
      </c>
      <c r="B6" s="13" t="s">
        <v>774</v>
      </c>
      <c r="C6" s="14" t="n">
        <v>61217</v>
      </c>
      <c r="D6" s="14" t="n">
        <v>56117</v>
      </c>
      <c r="E6" s="14" t="n">
        <v>4573</v>
      </c>
      <c r="F6" s="14"/>
      <c r="G6" s="14" t="n">
        <v>497</v>
      </c>
      <c r="H6" s="16" t="n">
        <f aca="false">ROUND(D6/C6*100,2)</f>
        <v>91.67</v>
      </c>
    </row>
    <row r="7" customFormat="false" ht="15" hidden="false" customHeight="true" outlineLevel="0" collapsed="false">
      <c r="A7" s="13" t="n">
        <v>2025</v>
      </c>
      <c r="B7" s="13" t="s">
        <v>774</v>
      </c>
      <c r="C7" s="14" t="n">
        <v>62322</v>
      </c>
      <c r="D7" s="14" t="n">
        <v>44902</v>
      </c>
      <c r="E7" s="14" t="n">
        <v>16837</v>
      </c>
      <c r="F7" s="14"/>
      <c r="G7" s="14" t="n">
        <v>583</v>
      </c>
      <c r="H7" s="16" t="n">
        <f aca="false">ROUND(D7/C7*100,2)</f>
        <v>72.05</v>
      </c>
    </row>
    <row r="8" customFormat="false" ht="15" hidden="false" customHeight="true" outlineLevel="0" collapsed="false">
      <c r="A8" s="13" t="n">
        <v>2026</v>
      </c>
      <c r="B8" s="13" t="s">
        <v>773</v>
      </c>
      <c r="C8" s="14" t="n">
        <v>63605</v>
      </c>
      <c r="D8" s="14" t="n">
        <v>31169</v>
      </c>
      <c r="E8" s="14"/>
      <c r="F8" s="14" t="n">
        <v>31864</v>
      </c>
      <c r="G8" s="14" t="n">
        <v>572</v>
      </c>
      <c r="H8" s="16" t="n">
        <v>99.1</v>
      </c>
    </row>
    <row r="9" customFormat="false" ht="15" hidden="false" customHeight="true" outlineLevel="0" collapsed="false">
      <c r="A9" s="13" t="n">
        <v>2026</v>
      </c>
      <c r="B9" s="13" t="s">
        <v>774</v>
      </c>
      <c r="C9" s="14" t="n">
        <v>66735</v>
      </c>
      <c r="D9" s="14" t="n">
        <v>35103</v>
      </c>
      <c r="E9" s="14" t="n">
        <v>30878</v>
      </c>
      <c r="F9" s="14"/>
      <c r="G9" s="14" t="n">
        <v>754</v>
      </c>
      <c r="H9" s="16" t="n">
        <f aca="false">ROUND(D9/C9*100,2)</f>
        <v>52.6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20"/>
    <col collapsed="false" customWidth="true" hidden="false" outlineLevel="0" max="3" min="3" style="13" width="28"/>
    <col collapsed="false" customWidth="true" hidden="false" outlineLevel="0" max="14" min="4" style="13" width="12"/>
  </cols>
  <sheetData>
    <row r="1" customFormat="false" ht="15" hidden="false" customHeight="true" outlineLevel="0" collapsed="false">
      <c r="A1" s="13" t="s">
        <v>775</v>
      </c>
    </row>
    <row r="2" customFormat="false" ht="15" hidden="false" customHeight="true" outlineLevel="0" collapsed="false">
      <c r="A2" s="13" t="s">
        <v>776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114</v>
      </c>
      <c r="D4" s="13" t="s">
        <v>772</v>
      </c>
      <c r="E4" s="13" t="s">
        <v>5</v>
      </c>
      <c r="F4" s="13" t="s">
        <v>6</v>
      </c>
      <c r="G4" s="13" t="s">
        <v>115</v>
      </c>
      <c r="H4" s="13" t="s">
        <v>116</v>
      </c>
      <c r="I4" s="13" t="s">
        <v>117</v>
      </c>
      <c r="J4" s="13" t="s">
        <v>118</v>
      </c>
      <c r="K4" s="13" t="s">
        <v>119</v>
      </c>
      <c r="L4" s="13" t="s">
        <v>120</v>
      </c>
      <c r="M4" s="13" t="s">
        <v>360</v>
      </c>
      <c r="N4" s="13" t="s">
        <v>109</v>
      </c>
    </row>
    <row r="5" customFormat="false" ht="15" hidden="false" customHeight="true" outlineLevel="0" collapsed="false">
      <c r="A5" s="13" t="n">
        <v>2024</v>
      </c>
      <c r="B5" s="13" t="s">
        <v>777</v>
      </c>
      <c r="C5" s="13" t="s">
        <v>123</v>
      </c>
      <c r="D5" s="14" t="n">
        <v>13097</v>
      </c>
      <c r="E5" s="14" t="n">
        <v>12056</v>
      </c>
      <c r="F5" s="16" t="n">
        <v>99.6</v>
      </c>
      <c r="G5" s="14" t="n">
        <v>4899</v>
      </c>
      <c r="H5" s="14" t="n">
        <v>3748</v>
      </c>
      <c r="I5" s="14" t="n">
        <v>2764</v>
      </c>
      <c r="J5" s="14" t="n">
        <v>629</v>
      </c>
      <c r="K5" s="14" t="n">
        <v>17</v>
      </c>
      <c r="L5" s="14" t="n">
        <v>0</v>
      </c>
      <c r="M5" s="14" t="n">
        <v>991</v>
      </c>
      <c r="N5" s="14" t="n">
        <v>49</v>
      </c>
    </row>
    <row r="6" customFormat="false" ht="15" hidden="false" customHeight="true" outlineLevel="0" collapsed="false">
      <c r="A6" s="13" t="n">
        <v>2024</v>
      </c>
      <c r="B6" s="13" t="s">
        <v>777</v>
      </c>
      <c r="C6" s="13" t="s">
        <v>126</v>
      </c>
      <c r="D6" s="14" t="n">
        <v>437</v>
      </c>
      <c r="E6" s="14" t="n">
        <v>391</v>
      </c>
      <c r="F6" s="16" t="n">
        <v>99.5</v>
      </c>
      <c r="G6" s="14" t="n">
        <v>165</v>
      </c>
      <c r="H6" s="14" t="n">
        <v>118</v>
      </c>
      <c r="I6" s="14" t="n">
        <v>80</v>
      </c>
      <c r="J6" s="14" t="n">
        <v>27</v>
      </c>
      <c r="K6" s="14" t="n">
        <v>1</v>
      </c>
      <c r="L6" s="14" t="n">
        <v>0</v>
      </c>
      <c r="M6" s="14" t="n">
        <v>44</v>
      </c>
      <c r="N6" s="14" t="n">
        <v>2</v>
      </c>
    </row>
    <row r="7" customFormat="false" ht="15" hidden="false" customHeight="true" outlineLevel="0" collapsed="false">
      <c r="A7" s="13" t="n">
        <v>2024</v>
      </c>
      <c r="B7" s="13" t="s">
        <v>777</v>
      </c>
      <c r="C7" s="13" t="s">
        <v>128</v>
      </c>
      <c r="D7" s="14" t="n">
        <v>5910</v>
      </c>
      <c r="E7" s="14" t="n">
        <v>5119</v>
      </c>
      <c r="F7" s="16" t="n">
        <v>99.4</v>
      </c>
      <c r="G7" s="14" t="n">
        <v>125</v>
      </c>
      <c r="H7" s="14" t="n">
        <v>1332</v>
      </c>
      <c r="I7" s="14" t="n">
        <v>2512</v>
      </c>
      <c r="J7" s="14" t="n">
        <v>1064</v>
      </c>
      <c r="K7" s="14" t="n">
        <v>85</v>
      </c>
      <c r="L7" s="14" t="n">
        <v>1</v>
      </c>
      <c r="M7" s="14" t="n">
        <v>756</v>
      </c>
      <c r="N7" s="14" t="n">
        <v>35</v>
      </c>
    </row>
    <row r="8" customFormat="false" ht="15" hidden="false" customHeight="true" outlineLevel="0" collapsed="false">
      <c r="A8" s="13" t="n">
        <v>2024</v>
      </c>
      <c r="B8" s="13" t="s">
        <v>777</v>
      </c>
      <c r="C8" s="13" t="s">
        <v>130</v>
      </c>
      <c r="D8" s="14" t="n">
        <v>199</v>
      </c>
      <c r="E8" s="14" t="n">
        <v>170</v>
      </c>
      <c r="F8" s="16" t="n">
        <v>98.5</v>
      </c>
      <c r="G8" s="14" t="n">
        <v>7</v>
      </c>
      <c r="H8" s="14" t="n">
        <v>76</v>
      </c>
      <c r="I8" s="14" t="n">
        <v>73</v>
      </c>
      <c r="J8" s="14" t="n">
        <v>14</v>
      </c>
      <c r="K8" s="14" t="n">
        <v>0</v>
      </c>
      <c r="L8" s="14" t="n">
        <v>0</v>
      </c>
      <c r="M8" s="14" t="n">
        <v>26</v>
      </c>
      <c r="N8" s="14" t="n">
        <v>3</v>
      </c>
    </row>
    <row r="9" customFormat="false" ht="15" hidden="false" customHeight="true" outlineLevel="0" collapsed="false">
      <c r="A9" s="13" t="n">
        <v>2024</v>
      </c>
      <c r="B9" s="13" t="s">
        <v>777</v>
      </c>
      <c r="C9" s="13" t="s">
        <v>778</v>
      </c>
      <c r="D9" s="14" t="n">
        <v>840</v>
      </c>
      <c r="E9" s="14" t="n">
        <v>704</v>
      </c>
      <c r="F9" s="16" t="n">
        <v>99.6</v>
      </c>
      <c r="G9" s="14" t="n">
        <v>155</v>
      </c>
      <c r="H9" s="14" t="n">
        <v>269</v>
      </c>
      <c r="I9" s="14" t="n">
        <v>200</v>
      </c>
      <c r="J9" s="14" t="n">
        <v>78</v>
      </c>
      <c r="K9" s="14" t="n">
        <v>2</v>
      </c>
      <c r="L9" s="14" t="n">
        <v>0</v>
      </c>
      <c r="M9" s="14" t="n">
        <v>133</v>
      </c>
      <c r="N9" s="14" t="n">
        <v>3</v>
      </c>
    </row>
    <row r="10" customFormat="false" ht="15" hidden="false" customHeight="true" outlineLevel="0" collapsed="false">
      <c r="A10" s="13" t="n">
        <v>2024</v>
      </c>
      <c r="B10" s="13" t="s">
        <v>779</v>
      </c>
      <c r="C10" s="13" t="s">
        <v>123</v>
      </c>
      <c r="D10" s="14" t="n">
        <v>18461</v>
      </c>
      <c r="E10" s="14" t="n">
        <v>14769</v>
      </c>
      <c r="F10" s="16" t="n">
        <v>99.3</v>
      </c>
      <c r="G10" s="14" t="n">
        <v>4454</v>
      </c>
      <c r="H10" s="14" t="n">
        <v>4428</v>
      </c>
      <c r="I10" s="14" t="n">
        <v>3883</v>
      </c>
      <c r="J10" s="14" t="n">
        <v>1900</v>
      </c>
      <c r="K10" s="14" t="n">
        <v>105</v>
      </c>
      <c r="L10" s="14" t="n">
        <v>0</v>
      </c>
      <c r="M10" s="14" t="n">
        <v>3561</v>
      </c>
      <c r="N10" s="14" t="n">
        <v>130</v>
      </c>
    </row>
    <row r="11" customFormat="false" ht="15" hidden="false" customHeight="true" outlineLevel="0" collapsed="false">
      <c r="A11" s="13" t="n">
        <v>2024</v>
      </c>
      <c r="B11" s="13" t="s">
        <v>779</v>
      </c>
      <c r="C11" s="13" t="s">
        <v>126</v>
      </c>
      <c r="D11" s="14" t="n">
        <v>3169</v>
      </c>
      <c r="E11" s="14" t="n">
        <v>2533</v>
      </c>
      <c r="F11" s="16" t="n">
        <v>99.6</v>
      </c>
      <c r="G11" s="14" t="n">
        <v>505</v>
      </c>
      <c r="H11" s="14" t="n">
        <v>826</v>
      </c>
      <c r="I11" s="14" t="n">
        <v>776</v>
      </c>
      <c r="J11" s="14" t="n">
        <v>363</v>
      </c>
      <c r="K11" s="14" t="n">
        <v>62</v>
      </c>
      <c r="L11" s="14" t="n">
        <v>1</v>
      </c>
      <c r="M11" s="14" t="n">
        <v>623</v>
      </c>
      <c r="N11" s="14" t="n">
        <v>13</v>
      </c>
    </row>
    <row r="12" customFormat="false" ht="15" hidden="false" customHeight="true" outlineLevel="0" collapsed="false">
      <c r="A12" s="13" t="n">
        <v>2024</v>
      </c>
      <c r="B12" s="13" t="s">
        <v>779</v>
      </c>
      <c r="C12" s="13" t="s">
        <v>128</v>
      </c>
      <c r="D12" s="14" t="n">
        <v>5213</v>
      </c>
      <c r="E12" s="14" t="n">
        <v>3486</v>
      </c>
      <c r="F12" s="16" t="n">
        <v>99</v>
      </c>
      <c r="G12" s="14" t="n">
        <v>19</v>
      </c>
      <c r="H12" s="14" t="n">
        <v>260</v>
      </c>
      <c r="I12" s="14" t="n">
        <v>1096</v>
      </c>
      <c r="J12" s="14" t="n">
        <v>1666</v>
      </c>
      <c r="K12" s="14" t="n">
        <v>445</v>
      </c>
      <c r="L12" s="14" t="n">
        <v>0</v>
      </c>
      <c r="M12" s="14" t="n">
        <v>1675</v>
      </c>
      <c r="N12" s="14" t="n">
        <v>52</v>
      </c>
    </row>
    <row r="13" customFormat="false" ht="15" hidden="false" customHeight="true" outlineLevel="0" collapsed="false">
      <c r="A13" s="13" t="n">
        <v>2024</v>
      </c>
      <c r="B13" s="13" t="s">
        <v>779</v>
      </c>
      <c r="C13" s="13" t="s">
        <v>778</v>
      </c>
      <c r="D13" s="14" t="n">
        <v>10312</v>
      </c>
      <c r="E13" s="14" t="n">
        <v>7990</v>
      </c>
      <c r="F13" s="16" t="n">
        <v>99.2</v>
      </c>
      <c r="G13" s="14" t="n">
        <v>1400</v>
      </c>
      <c r="H13" s="14" t="n">
        <v>2670</v>
      </c>
      <c r="I13" s="14" t="n">
        <v>2696</v>
      </c>
      <c r="J13" s="14" t="n">
        <v>1133</v>
      </c>
      <c r="K13" s="14" t="n">
        <v>91</v>
      </c>
      <c r="L13" s="14" t="n">
        <v>0</v>
      </c>
      <c r="M13" s="14" t="n">
        <v>2241</v>
      </c>
      <c r="N13" s="14" t="n">
        <v>81</v>
      </c>
    </row>
    <row r="14" customFormat="false" ht="15" hidden="false" customHeight="true" outlineLevel="0" collapsed="false">
      <c r="A14" s="13" t="n">
        <v>2024</v>
      </c>
      <c r="B14" s="13" t="s">
        <v>779</v>
      </c>
      <c r="C14" s="13" t="s">
        <v>780</v>
      </c>
      <c r="D14" s="14" t="n">
        <v>19</v>
      </c>
      <c r="E14" s="14" t="n">
        <v>17</v>
      </c>
      <c r="F14" s="16" t="n">
        <v>100</v>
      </c>
      <c r="G14" s="14" t="n">
        <v>0</v>
      </c>
      <c r="H14" s="14" t="n">
        <v>2</v>
      </c>
      <c r="I14" s="14" t="n">
        <v>5</v>
      </c>
      <c r="J14" s="14" t="n">
        <v>9</v>
      </c>
      <c r="K14" s="14" t="n">
        <v>1</v>
      </c>
      <c r="L14" s="14" t="n">
        <v>0</v>
      </c>
      <c r="M14" s="14" t="n">
        <v>2</v>
      </c>
      <c r="N14" s="14" t="n">
        <v>0</v>
      </c>
    </row>
    <row r="15" customFormat="false" ht="15" hidden="false" customHeight="true" outlineLevel="0" collapsed="false">
      <c r="A15" s="13" t="n">
        <v>2024</v>
      </c>
      <c r="B15" s="13" t="s">
        <v>781</v>
      </c>
      <c r="C15" s="13" t="s">
        <v>128</v>
      </c>
      <c r="D15" s="14" t="n">
        <v>1776</v>
      </c>
      <c r="E15" s="14" t="n">
        <v>1325</v>
      </c>
      <c r="F15" s="16" t="n">
        <v>97.3</v>
      </c>
      <c r="G15" s="14" t="n">
        <v>60</v>
      </c>
      <c r="H15" s="14" t="n">
        <v>361</v>
      </c>
      <c r="I15" s="14" t="n">
        <v>536</v>
      </c>
      <c r="J15" s="14" t="n">
        <v>330</v>
      </c>
      <c r="K15" s="14" t="n">
        <v>41</v>
      </c>
      <c r="L15" s="14" t="n">
        <v>0</v>
      </c>
      <c r="M15" s="14" t="n">
        <v>404</v>
      </c>
      <c r="N15" s="14" t="n">
        <v>44</v>
      </c>
    </row>
    <row r="16" customFormat="false" ht="15" hidden="false" customHeight="true" outlineLevel="0" collapsed="false">
      <c r="A16" s="13" t="n">
        <v>2024</v>
      </c>
      <c r="B16" s="13" t="s">
        <v>782</v>
      </c>
      <c r="C16" s="13" t="s">
        <v>128</v>
      </c>
      <c r="D16" s="14" t="n">
        <v>3453</v>
      </c>
      <c r="E16" s="14" t="n">
        <v>1647</v>
      </c>
      <c r="F16" s="16" t="n">
        <v>96.1</v>
      </c>
      <c r="G16" s="14" t="n">
        <v>2</v>
      </c>
      <c r="H16" s="14" t="n">
        <v>101</v>
      </c>
      <c r="I16" s="14" t="n">
        <v>480</v>
      </c>
      <c r="J16" s="14" t="n">
        <v>813</v>
      </c>
      <c r="K16" s="14" t="n">
        <v>264</v>
      </c>
      <c r="L16" s="14" t="n">
        <v>1</v>
      </c>
      <c r="M16" s="14" t="n">
        <v>1671</v>
      </c>
      <c r="N16" s="14" t="n">
        <v>121</v>
      </c>
    </row>
    <row r="17" customFormat="false" ht="15" hidden="false" customHeight="true" outlineLevel="0" collapsed="false">
      <c r="A17" s="13" t="n">
        <v>2026</v>
      </c>
      <c r="B17" s="13" t="s">
        <v>777</v>
      </c>
      <c r="C17" s="13" t="s">
        <v>123</v>
      </c>
      <c r="D17" s="14" t="n">
        <v>15639</v>
      </c>
      <c r="E17" s="14" t="n">
        <v>11160</v>
      </c>
      <c r="F17" s="16" t="n">
        <v>99.57</v>
      </c>
      <c r="G17" s="14" t="n">
        <v>1782</v>
      </c>
      <c r="H17" s="14" t="n">
        <v>3868</v>
      </c>
      <c r="I17" s="14" t="n">
        <v>4195</v>
      </c>
      <c r="J17" s="14" t="n">
        <v>1265</v>
      </c>
      <c r="K17" s="14" t="n">
        <v>50</v>
      </c>
      <c r="L17" s="14" t="n">
        <v>0</v>
      </c>
      <c r="M17" s="14" t="n">
        <v>4411</v>
      </c>
      <c r="N17" s="14" t="n">
        <v>68</v>
      </c>
    </row>
    <row r="18" customFormat="false" ht="15" hidden="false" customHeight="true" outlineLevel="0" collapsed="false">
      <c r="A18" s="13" t="n">
        <v>2026</v>
      </c>
      <c r="B18" s="13" t="s">
        <v>777</v>
      </c>
      <c r="C18" s="13" t="s">
        <v>126</v>
      </c>
      <c r="D18" s="14" t="n">
        <v>482</v>
      </c>
      <c r="E18" s="14" t="n">
        <v>297</v>
      </c>
      <c r="F18" s="16" t="n">
        <v>99.79</v>
      </c>
      <c r="G18" s="14" t="n">
        <v>61</v>
      </c>
      <c r="H18" s="14" t="n">
        <v>120</v>
      </c>
      <c r="I18" s="14" t="n">
        <v>95</v>
      </c>
      <c r="J18" s="14" t="n">
        <v>20</v>
      </c>
      <c r="K18" s="14" t="n">
        <v>1</v>
      </c>
      <c r="L18" s="14" t="n">
        <v>0</v>
      </c>
      <c r="M18" s="14" t="n">
        <v>184</v>
      </c>
      <c r="N18" s="14" t="n">
        <v>1</v>
      </c>
    </row>
    <row r="19" customFormat="false" ht="15" hidden="false" customHeight="true" outlineLevel="0" collapsed="false">
      <c r="A19" s="13" t="n">
        <v>2026</v>
      </c>
      <c r="B19" s="13" t="s">
        <v>777</v>
      </c>
      <c r="C19" s="13" t="s">
        <v>128</v>
      </c>
      <c r="D19" s="14" t="n">
        <v>5421</v>
      </c>
      <c r="E19" s="14" t="n">
        <v>4292</v>
      </c>
      <c r="F19" s="16" t="n">
        <v>99.35</v>
      </c>
      <c r="G19" s="14" t="n">
        <v>158</v>
      </c>
      <c r="H19" s="14" t="n">
        <v>1330</v>
      </c>
      <c r="I19" s="14" t="n">
        <v>1880</v>
      </c>
      <c r="J19" s="14" t="n">
        <v>854</v>
      </c>
      <c r="K19" s="14" t="n">
        <v>70</v>
      </c>
      <c r="L19" s="14" t="n">
        <v>0</v>
      </c>
      <c r="M19" s="14" t="n">
        <v>1094</v>
      </c>
      <c r="N19" s="14" t="n">
        <v>35</v>
      </c>
    </row>
    <row r="20" customFormat="false" ht="15" hidden="false" customHeight="true" outlineLevel="0" collapsed="false">
      <c r="A20" s="13" t="n">
        <v>2026</v>
      </c>
      <c r="B20" s="13" t="s">
        <v>777</v>
      </c>
      <c r="C20" s="13" t="s">
        <v>130</v>
      </c>
      <c r="D20" s="14" t="n">
        <v>278</v>
      </c>
      <c r="E20" s="14" t="n">
        <v>199</v>
      </c>
      <c r="F20" s="16" t="n">
        <v>98.92</v>
      </c>
      <c r="G20" s="14" t="n">
        <v>2</v>
      </c>
      <c r="H20" s="14" t="n">
        <v>37</v>
      </c>
      <c r="I20" s="14" t="n">
        <v>112</v>
      </c>
      <c r="J20" s="14" t="n">
        <v>44</v>
      </c>
      <c r="K20" s="14" t="n">
        <v>4</v>
      </c>
      <c r="L20" s="14" t="n">
        <v>0</v>
      </c>
      <c r="M20" s="14" t="n">
        <v>76</v>
      </c>
      <c r="N20" s="14" t="n">
        <v>3</v>
      </c>
    </row>
    <row r="21" customFormat="false" ht="15" hidden="false" customHeight="true" outlineLevel="0" collapsed="false">
      <c r="A21" s="13" t="n">
        <v>2026</v>
      </c>
      <c r="B21" s="13" t="s">
        <v>777</v>
      </c>
      <c r="C21" s="13" t="s">
        <v>778</v>
      </c>
      <c r="D21" s="14" t="n">
        <v>1390</v>
      </c>
      <c r="E21" s="14" t="n">
        <v>702</v>
      </c>
      <c r="F21" s="16" t="n">
        <v>99.57</v>
      </c>
      <c r="G21" s="14" t="n">
        <v>96</v>
      </c>
      <c r="H21" s="14" t="n">
        <v>276</v>
      </c>
      <c r="I21" s="14" t="n">
        <v>276</v>
      </c>
      <c r="J21" s="14" t="n">
        <v>53</v>
      </c>
      <c r="K21" s="14" t="n">
        <v>1</v>
      </c>
      <c r="L21" s="14" t="n">
        <v>0</v>
      </c>
      <c r="M21" s="14" t="n">
        <v>682</v>
      </c>
      <c r="N21" s="14" t="n">
        <v>6</v>
      </c>
    </row>
    <row r="22" customFormat="false" ht="15" hidden="false" customHeight="true" outlineLevel="0" collapsed="false">
      <c r="A22" s="13" t="n">
        <v>2026</v>
      </c>
      <c r="B22" s="13" t="s">
        <v>779</v>
      </c>
      <c r="C22" s="13" t="s">
        <v>123</v>
      </c>
      <c r="D22" s="14" t="n">
        <v>17678</v>
      </c>
      <c r="E22" s="14" t="n">
        <v>7533</v>
      </c>
      <c r="F22" s="16" t="n">
        <v>99.17</v>
      </c>
      <c r="G22" s="14" t="n">
        <v>871</v>
      </c>
      <c r="H22" s="14" t="n">
        <v>1766</v>
      </c>
      <c r="I22" s="14" t="n">
        <v>2730</v>
      </c>
      <c r="J22" s="14" t="n">
        <v>1947</v>
      </c>
      <c r="K22" s="14" t="n">
        <v>219</v>
      </c>
      <c r="L22" s="14" t="n">
        <v>0</v>
      </c>
      <c r="M22" s="14" t="n">
        <v>9999</v>
      </c>
      <c r="N22" s="14" t="n">
        <v>146</v>
      </c>
    </row>
    <row r="23" customFormat="false" ht="15" hidden="false" customHeight="true" outlineLevel="0" collapsed="false">
      <c r="A23" s="13" t="n">
        <v>2026</v>
      </c>
      <c r="B23" s="13" t="s">
        <v>779</v>
      </c>
      <c r="C23" s="13" t="s">
        <v>126</v>
      </c>
      <c r="D23" s="14" t="n">
        <v>3548</v>
      </c>
      <c r="E23" s="14" t="n">
        <v>1083</v>
      </c>
      <c r="F23" s="16" t="n">
        <v>99.46</v>
      </c>
      <c r="G23" s="14" t="n">
        <v>77</v>
      </c>
      <c r="H23" s="14" t="n">
        <v>290</v>
      </c>
      <c r="I23" s="14" t="n">
        <v>393</v>
      </c>
      <c r="J23" s="14" t="n">
        <v>289</v>
      </c>
      <c r="K23" s="14" t="n">
        <v>34</v>
      </c>
      <c r="L23" s="14" t="n">
        <v>0</v>
      </c>
      <c r="M23" s="14" t="n">
        <v>2446</v>
      </c>
      <c r="N23" s="14" t="n">
        <v>19</v>
      </c>
    </row>
    <row r="24" customFormat="false" ht="15" hidden="false" customHeight="true" outlineLevel="0" collapsed="false">
      <c r="A24" s="13" t="n">
        <v>2026</v>
      </c>
      <c r="B24" s="13" t="s">
        <v>779</v>
      </c>
      <c r="C24" s="13" t="s">
        <v>128</v>
      </c>
      <c r="D24" s="14" t="n">
        <v>3543</v>
      </c>
      <c r="E24" s="14" t="n">
        <v>1374</v>
      </c>
      <c r="F24" s="16" t="n">
        <v>98.87</v>
      </c>
      <c r="G24" s="14" t="n">
        <v>23</v>
      </c>
      <c r="H24" s="14" t="n">
        <v>123</v>
      </c>
      <c r="I24" s="14" t="n">
        <v>387</v>
      </c>
      <c r="J24" s="14" t="n">
        <v>631</v>
      </c>
      <c r="K24" s="14" t="n">
        <v>205</v>
      </c>
      <c r="L24" s="14" t="n">
        <v>5</v>
      </c>
      <c r="M24" s="14" t="n">
        <v>2129</v>
      </c>
      <c r="N24" s="14" t="n">
        <v>40</v>
      </c>
    </row>
    <row r="25" customFormat="false" ht="15" hidden="false" customHeight="true" outlineLevel="0" collapsed="false">
      <c r="A25" s="13" t="n">
        <v>2026</v>
      </c>
      <c r="B25" s="13" t="s">
        <v>779</v>
      </c>
      <c r="C25" s="13" t="s">
        <v>778</v>
      </c>
      <c r="D25" s="14" t="n">
        <v>12195</v>
      </c>
      <c r="E25" s="14" t="n">
        <v>2990</v>
      </c>
      <c r="F25" s="16" t="n">
        <v>99.03</v>
      </c>
      <c r="G25" s="14" t="n">
        <v>103</v>
      </c>
      <c r="H25" s="14" t="n">
        <v>533</v>
      </c>
      <c r="I25" s="14" t="n">
        <v>1247</v>
      </c>
      <c r="J25" s="14" t="n">
        <v>972</v>
      </c>
      <c r="K25" s="14" t="n">
        <v>135</v>
      </c>
      <c r="L25" s="14" t="n">
        <v>0</v>
      </c>
      <c r="M25" s="14" t="n">
        <v>9087</v>
      </c>
      <c r="N25" s="14" t="n">
        <v>118</v>
      </c>
    </row>
    <row r="26" customFormat="false" ht="15" hidden="false" customHeight="true" outlineLevel="0" collapsed="false">
      <c r="A26" s="13" t="n">
        <v>2026</v>
      </c>
      <c r="B26" s="13" t="s">
        <v>781</v>
      </c>
      <c r="C26" s="13" t="s">
        <v>128</v>
      </c>
      <c r="D26" s="14" t="n">
        <v>1271</v>
      </c>
      <c r="E26" s="14" t="n">
        <v>842</v>
      </c>
      <c r="F26" s="16" t="n">
        <v>96.3</v>
      </c>
      <c r="G26" s="14" t="n">
        <v>35</v>
      </c>
      <c r="H26" s="14" t="n">
        <v>245</v>
      </c>
      <c r="I26" s="14" t="n">
        <v>354</v>
      </c>
      <c r="J26" s="14" t="n">
        <v>195</v>
      </c>
      <c r="K26" s="14" t="n">
        <v>13</v>
      </c>
      <c r="L26" s="14" t="n">
        <v>0</v>
      </c>
      <c r="M26" s="14" t="n">
        <v>382</v>
      </c>
      <c r="N26" s="14" t="n">
        <v>47</v>
      </c>
    </row>
    <row r="27" customFormat="false" ht="15" hidden="false" customHeight="true" outlineLevel="0" collapsed="false">
      <c r="A27" s="13" t="n">
        <v>2026</v>
      </c>
      <c r="B27" s="13" t="s">
        <v>782</v>
      </c>
      <c r="C27" s="13" t="s">
        <v>128</v>
      </c>
      <c r="D27" s="14" t="n">
        <v>2160</v>
      </c>
      <c r="E27" s="14" t="n">
        <v>697</v>
      </c>
      <c r="F27" s="16" t="n">
        <v>95.88</v>
      </c>
      <c r="G27" s="14" t="n">
        <v>1</v>
      </c>
      <c r="H27" s="14" t="n">
        <v>78</v>
      </c>
      <c r="I27" s="14" t="n">
        <v>221</v>
      </c>
      <c r="J27" s="14" t="n">
        <v>285</v>
      </c>
      <c r="K27" s="14" t="n">
        <v>111</v>
      </c>
      <c r="L27" s="14" t="n">
        <v>1</v>
      </c>
      <c r="M27" s="14" t="n">
        <v>1374</v>
      </c>
      <c r="N27" s="14" t="n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20"/>
    <col collapsed="false" customWidth="true" hidden="false" outlineLevel="0" max="3" min="3" style="13" width="28"/>
    <col collapsed="false" customWidth="true" hidden="false" outlineLevel="0" max="14" min="4" style="13" width="12"/>
  </cols>
  <sheetData>
    <row r="1" customFormat="false" ht="15" hidden="false" customHeight="true" outlineLevel="0" collapsed="false">
      <c r="A1" s="13" t="s">
        <v>783</v>
      </c>
    </row>
    <row r="2" customFormat="false" ht="15" hidden="false" customHeight="true" outlineLevel="0" collapsed="false">
      <c r="A2" s="13" t="s">
        <v>784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114</v>
      </c>
      <c r="D4" s="13" t="s">
        <v>772</v>
      </c>
      <c r="E4" s="13" t="s">
        <v>5</v>
      </c>
      <c r="F4" s="13" t="s">
        <v>6</v>
      </c>
      <c r="G4" s="13" t="s">
        <v>115</v>
      </c>
      <c r="H4" s="13" t="s">
        <v>116</v>
      </c>
      <c r="I4" s="13" t="s">
        <v>117</v>
      </c>
      <c r="J4" s="13" t="s">
        <v>118</v>
      </c>
      <c r="K4" s="13" t="s">
        <v>119</v>
      </c>
      <c r="L4" s="13" t="s">
        <v>120</v>
      </c>
      <c r="M4" s="13" t="s">
        <v>479</v>
      </c>
      <c r="N4" s="13" t="s">
        <v>109</v>
      </c>
    </row>
    <row r="5" customFormat="false" ht="15" hidden="false" customHeight="true" outlineLevel="0" collapsed="false">
      <c r="A5" s="13" t="n">
        <v>2024</v>
      </c>
      <c r="B5" s="13" t="s">
        <v>777</v>
      </c>
      <c r="C5" s="13" t="s">
        <v>123</v>
      </c>
      <c r="D5" s="14" t="n">
        <v>11181</v>
      </c>
      <c r="E5" s="14" t="n">
        <v>10950</v>
      </c>
      <c r="F5" s="16" t="n">
        <f aca="false">ROUND(E5/D5*100,2)</f>
        <v>97.93</v>
      </c>
      <c r="G5" s="14" t="n">
        <v>5080</v>
      </c>
      <c r="H5" s="14" t="n">
        <v>3525</v>
      </c>
      <c r="I5" s="14" t="n">
        <v>1990</v>
      </c>
      <c r="J5" s="14" t="n">
        <v>343</v>
      </c>
      <c r="K5" s="14" t="n">
        <v>14</v>
      </c>
      <c r="L5" s="14" t="n">
        <v>0</v>
      </c>
      <c r="M5" s="14" t="n">
        <v>203</v>
      </c>
      <c r="N5" s="14" t="n">
        <v>26</v>
      </c>
    </row>
    <row r="6" customFormat="false" ht="15" hidden="false" customHeight="true" outlineLevel="0" collapsed="false">
      <c r="A6" s="13" t="n">
        <v>2024</v>
      </c>
      <c r="B6" s="13" t="s">
        <v>777</v>
      </c>
      <c r="C6" s="13" t="s">
        <v>126</v>
      </c>
      <c r="D6" s="14" t="n">
        <v>388</v>
      </c>
      <c r="E6" s="14" t="n">
        <v>379</v>
      </c>
      <c r="F6" s="16" t="n">
        <f aca="false">ROUND(E6/D6*100,2)</f>
        <v>97.68</v>
      </c>
      <c r="G6" s="14" t="n">
        <v>168</v>
      </c>
      <c r="H6" s="14" t="n">
        <v>133</v>
      </c>
      <c r="I6" s="14" t="n">
        <v>74</v>
      </c>
      <c r="J6" s="14" t="n">
        <v>3</v>
      </c>
      <c r="K6" s="14" t="n">
        <v>1</v>
      </c>
      <c r="L6" s="14" t="n">
        <v>0</v>
      </c>
      <c r="M6" s="14" t="n">
        <v>7</v>
      </c>
      <c r="N6" s="14" t="n">
        <v>2</v>
      </c>
    </row>
    <row r="7" customFormat="false" ht="15" hidden="false" customHeight="true" outlineLevel="0" collapsed="false">
      <c r="A7" s="13" t="n">
        <v>2024</v>
      </c>
      <c r="B7" s="13" t="s">
        <v>777</v>
      </c>
      <c r="C7" s="13" t="s">
        <v>128</v>
      </c>
      <c r="D7" s="14" t="n">
        <v>5351</v>
      </c>
      <c r="E7" s="14" t="n">
        <v>5126</v>
      </c>
      <c r="F7" s="16" t="n">
        <f aca="false">ROUND(E7/D7*100,2)</f>
        <v>95.8</v>
      </c>
      <c r="G7" s="14" t="n">
        <v>283</v>
      </c>
      <c r="H7" s="14" t="n">
        <v>1899</v>
      </c>
      <c r="I7" s="14" t="n">
        <v>2256</v>
      </c>
      <c r="J7" s="14" t="n">
        <v>639</v>
      </c>
      <c r="K7" s="14" t="n">
        <v>49</v>
      </c>
      <c r="L7" s="14" t="n">
        <v>1</v>
      </c>
      <c r="M7" s="14" t="n">
        <v>199</v>
      </c>
      <c r="N7" s="14" t="n">
        <v>25</v>
      </c>
    </row>
    <row r="8" customFormat="false" ht="15" hidden="false" customHeight="true" outlineLevel="0" collapsed="false">
      <c r="A8" s="13" t="n">
        <v>2024</v>
      </c>
      <c r="B8" s="13" t="s">
        <v>777</v>
      </c>
      <c r="C8" s="13" t="s">
        <v>130</v>
      </c>
      <c r="D8" s="14" t="n">
        <v>235</v>
      </c>
      <c r="E8" s="14" t="n">
        <v>228</v>
      </c>
      <c r="F8" s="16" t="n">
        <f aca="false">ROUND(E8/D8*100,2)</f>
        <v>97.02</v>
      </c>
      <c r="G8" s="14" t="n">
        <v>19</v>
      </c>
      <c r="H8" s="14" t="n">
        <v>123</v>
      </c>
      <c r="I8" s="14" t="n">
        <v>73</v>
      </c>
      <c r="J8" s="14" t="n">
        <v>12</v>
      </c>
      <c r="K8" s="14" t="n">
        <v>1</v>
      </c>
      <c r="L8" s="14" t="n">
        <v>0</v>
      </c>
      <c r="M8" s="14" t="n">
        <v>7</v>
      </c>
      <c r="N8" s="14" t="n">
        <v>0</v>
      </c>
    </row>
    <row r="9" customFormat="false" ht="15" hidden="false" customHeight="true" outlineLevel="0" collapsed="false">
      <c r="A9" s="13" t="n">
        <v>2024</v>
      </c>
      <c r="B9" s="13" t="s">
        <v>777</v>
      </c>
      <c r="C9" s="13" t="s">
        <v>778</v>
      </c>
      <c r="D9" s="14" t="n">
        <v>616</v>
      </c>
      <c r="E9" s="14" t="n">
        <v>560</v>
      </c>
      <c r="F9" s="16" t="n">
        <f aca="false">ROUND(E9/D9*100,2)</f>
        <v>90.91</v>
      </c>
      <c r="G9" s="14" t="n">
        <v>111</v>
      </c>
      <c r="H9" s="14" t="n">
        <v>217</v>
      </c>
      <c r="I9" s="14" t="n">
        <v>216</v>
      </c>
      <c r="J9" s="14" t="n">
        <v>16</v>
      </c>
      <c r="K9" s="14" t="n">
        <v>0</v>
      </c>
      <c r="L9" s="14" t="n">
        <v>0</v>
      </c>
      <c r="M9" s="14" t="n">
        <v>54</v>
      </c>
      <c r="N9" s="14" t="n">
        <v>2</v>
      </c>
    </row>
    <row r="10" customFormat="false" ht="15" hidden="false" customHeight="true" outlineLevel="0" collapsed="false">
      <c r="A10" s="13" t="n">
        <v>2024</v>
      </c>
      <c r="B10" s="13" t="s">
        <v>779</v>
      </c>
      <c r="C10" s="13" t="s">
        <v>123</v>
      </c>
      <c r="D10" s="14" t="n">
        <v>17764</v>
      </c>
      <c r="E10" s="14" t="n">
        <v>16635</v>
      </c>
      <c r="F10" s="16" t="n">
        <f aca="false">ROUND(E10/D10*100,2)</f>
        <v>93.64</v>
      </c>
      <c r="G10" s="14" t="n">
        <v>5466</v>
      </c>
      <c r="H10" s="14" t="n">
        <v>4654</v>
      </c>
      <c r="I10" s="14" t="n">
        <v>4050</v>
      </c>
      <c r="J10" s="14" t="n">
        <v>2301</v>
      </c>
      <c r="K10" s="14" t="n">
        <v>171</v>
      </c>
      <c r="L10" s="14" t="n">
        <v>3</v>
      </c>
      <c r="M10" s="14" t="n">
        <v>1038</v>
      </c>
      <c r="N10" s="14" t="n">
        <v>81</v>
      </c>
    </row>
    <row r="11" customFormat="false" ht="15" hidden="false" customHeight="true" outlineLevel="0" collapsed="false">
      <c r="A11" s="13" t="n">
        <v>2024</v>
      </c>
      <c r="B11" s="13" t="s">
        <v>779</v>
      </c>
      <c r="C11" s="13" t="s">
        <v>126</v>
      </c>
      <c r="D11" s="14" t="n">
        <v>3057</v>
      </c>
      <c r="E11" s="14" t="n">
        <v>2789</v>
      </c>
      <c r="F11" s="16" t="n">
        <f aca="false">ROUND(E11/D11*100,2)</f>
        <v>91.23</v>
      </c>
      <c r="G11" s="14" t="n">
        <v>604</v>
      </c>
      <c r="H11" s="14" t="n">
        <v>935</v>
      </c>
      <c r="I11" s="14" t="n">
        <v>700</v>
      </c>
      <c r="J11" s="14" t="n">
        <v>489</v>
      </c>
      <c r="K11" s="14" t="n">
        <v>64</v>
      </c>
      <c r="L11" s="14" t="n">
        <v>1</v>
      </c>
      <c r="M11" s="14" t="n">
        <v>254</v>
      </c>
      <c r="N11" s="14" t="n">
        <v>10</v>
      </c>
    </row>
    <row r="12" customFormat="false" ht="15" hidden="false" customHeight="true" outlineLevel="0" collapsed="false">
      <c r="A12" s="13" t="n">
        <v>2024</v>
      </c>
      <c r="B12" s="13" t="s">
        <v>779</v>
      </c>
      <c r="C12" s="13" t="s">
        <v>128</v>
      </c>
      <c r="D12" s="14" t="n">
        <v>5089</v>
      </c>
      <c r="E12" s="14" t="n">
        <v>4503</v>
      </c>
      <c r="F12" s="16" t="n">
        <f aca="false">ROUND(E12/D12*100,2)</f>
        <v>88.48</v>
      </c>
      <c r="G12" s="14" t="n">
        <v>45</v>
      </c>
      <c r="H12" s="14" t="n">
        <v>411</v>
      </c>
      <c r="I12" s="14" t="n">
        <v>1340</v>
      </c>
      <c r="J12" s="14" t="n">
        <v>2089</v>
      </c>
      <c r="K12" s="14" t="n">
        <v>617</v>
      </c>
      <c r="L12" s="14" t="n">
        <v>2</v>
      </c>
      <c r="M12" s="14" t="n">
        <v>549</v>
      </c>
      <c r="N12" s="14" t="n">
        <v>36</v>
      </c>
    </row>
    <row r="13" customFormat="false" ht="15" hidden="false" customHeight="true" outlineLevel="0" collapsed="false">
      <c r="A13" s="13" t="n">
        <v>2024</v>
      </c>
      <c r="B13" s="13" t="s">
        <v>779</v>
      </c>
      <c r="C13" s="13" t="s">
        <v>778</v>
      </c>
      <c r="D13" s="14" t="n">
        <v>7177</v>
      </c>
      <c r="E13" s="14" t="n">
        <v>6550</v>
      </c>
      <c r="F13" s="16" t="n">
        <f aca="false">ROUND(E13/D13*100,2)</f>
        <v>91.26</v>
      </c>
      <c r="G13" s="14" t="n">
        <v>1011</v>
      </c>
      <c r="H13" s="14" t="n">
        <v>1967</v>
      </c>
      <c r="I13" s="14" t="n">
        <v>2381</v>
      </c>
      <c r="J13" s="14" t="n">
        <v>1106</v>
      </c>
      <c r="K13" s="14" t="n">
        <v>85</v>
      </c>
      <c r="L13" s="14" t="n">
        <v>2</v>
      </c>
      <c r="M13" s="14" t="n">
        <v>580</v>
      </c>
      <c r="N13" s="14" t="n">
        <v>45</v>
      </c>
    </row>
    <row r="14" customFormat="false" ht="15" hidden="false" customHeight="true" outlineLevel="0" collapsed="false">
      <c r="A14" s="13" t="n">
        <v>2024</v>
      </c>
      <c r="B14" s="13" t="s">
        <v>779</v>
      </c>
      <c r="C14" s="13" t="s">
        <v>780</v>
      </c>
      <c r="D14" s="14" t="n">
        <v>17</v>
      </c>
      <c r="E14" s="14" t="n">
        <v>15</v>
      </c>
      <c r="F14" s="16" t="n">
        <f aca="false">ROUND(E14/D14*100,2)</f>
        <v>88.24</v>
      </c>
      <c r="G14" s="14" t="n">
        <v>1</v>
      </c>
      <c r="H14" s="14" t="n">
        <v>2</v>
      </c>
      <c r="I14" s="14" t="n">
        <v>9</v>
      </c>
      <c r="J14" s="14" t="n">
        <v>3</v>
      </c>
      <c r="K14" s="14" t="n">
        <v>0</v>
      </c>
      <c r="L14" s="14" t="n">
        <v>0</v>
      </c>
      <c r="M14" s="14" t="n">
        <v>2</v>
      </c>
      <c r="N14" s="14" t="n">
        <v>0</v>
      </c>
    </row>
    <row r="15" customFormat="false" ht="15" hidden="false" customHeight="true" outlineLevel="0" collapsed="false">
      <c r="A15" s="13" t="n">
        <v>2024</v>
      </c>
      <c r="B15" s="13" t="s">
        <v>781</v>
      </c>
      <c r="C15" s="13" t="s">
        <v>123</v>
      </c>
      <c r="D15" s="14" t="n">
        <v>1391</v>
      </c>
      <c r="E15" s="14" t="n">
        <v>1189</v>
      </c>
      <c r="F15" s="16" t="n">
        <f aca="false">ROUND(E15/D15*100,2)</f>
        <v>85.48</v>
      </c>
      <c r="G15" s="14" t="n">
        <v>837</v>
      </c>
      <c r="H15" s="14" t="n">
        <v>167</v>
      </c>
      <c r="I15" s="14" t="n">
        <v>110</v>
      </c>
      <c r="J15" s="14" t="n">
        <v>55</v>
      </c>
      <c r="K15" s="14" t="n">
        <v>18</v>
      </c>
      <c r="L15" s="14" t="n">
        <v>2</v>
      </c>
      <c r="M15" s="14" t="n">
        <v>161</v>
      </c>
      <c r="N15" s="14" t="n">
        <v>41</v>
      </c>
    </row>
    <row r="16" customFormat="false" ht="15" hidden="false" customHeight="true" outlineLevel="0" collapsed="false">
      <c r="A16" s="13" t="n">
        <v>2024</v>
      </c>
      <c r="B16" s="13" t="s">
        <v>781</v>
      </c>
      <c r="C16" s="13" t="s">
        <v>126</v>
      </c>
      <c r="D16" s="14" t="n">
        <v>13</v>
      </c>
      <c r="E16" s="14" t="n">
        <v>9</v>
      </c>
      <c r="F16" s="16" t="n">
        <f aca="false">ROUND(E16/D16*100,2)</f>
        <v>69.23</v>
      </c>
      <c r="G16" s="14" t="n">
        <v>0</v>
      </c>
      <c r="H16" s="14" t="n">
        <v>5</v>
      </c>
      <c r="I16" s="14" t="n">
        <v>2</v>
      </c>
      <c r="J16" s="14" t="n">
        <v>1</v>
      </c>
      <c r="K16" s="14" t="n">
        <v>1</v>
      </c>
      <c r="L16" s="14" t="n">
        <v>0</v>
      </c>
      <c r="M16" s="14" t="n">
        <v>3</v>
      </c>
      <c r="N16" s="14" t="n">
        <v>1</v>
      </c>
    </row>
    <row r="17" customFormat="false" ht="15" hidden="false" customHeight="true" outlineLevel="0" collapsed="false">
      <c r="A17" s="13" t="n">
        <v>2024</v>
      </c>
      <c r="B17" s="13" t="s">
        <v>781</v>
      </c>
      <c r="C17" s="13" t="s">
        <v>128</v>
      </c>
      <c r="D17" s="14" t="n">
        <v>2006</v>
      </c>
      <c r="E17" s="14" t="n">
        <v>1729</v>
      </c>
      <c r="F17" s="16" t="n">
        <f aca="false">ROUND(E17/D17*100,2)</f>
        <v>86.19</v>
      </c>
      <c r="G17" s="14" t="n">
        <v>22</v>
      </c>
      <c r="H17" s="14" t="n">
        <v>430</v>
      </c>
      <c r="I17" s="14" t="n">
        <v>771</v>
      </c>
      <c r="J17" s="14" t="n">
        <v>436</v>
      </c>
      <c r="K17" s="14" t="n">
        <v>70</v>
      </c>
      <c r="L17" s="14" t="n">
        <v>0</v>
      </c>
      <c r="M17" s="14" t="n">
        <v>253</v>
      </c>
      <c r="N17" s="14" t="n">
        <v>24</v>
      </c>
    </row>
    <row r="18" customFormat="false" ht="15" hidden="false" customHeight="true" outlineLevel="0" collapsed="false">
      <c r="A18" s="13" t="n">
        <v>2024</v>
      </c>
      <c r="B18" s="13" t="s">
        <v>781</v>
      </c>
      <c r="C18" s="13" t="s">
        <v>130</v>
      </c>
      <c r="D18" s="14" t="n">
        <v>2</v>
      </c>
      <c r="E18" s="14" t="n">
        <v>1</v>
      </c>
      <c r="F18" s="16" t="n">
        <f aca="false">ROUND(E18/D18*100,2)</f>
        <v>50</v>
      </c>
      <c r="G18" s="14" t="n">
        <v>0</v>
      </c>
      <c r="H18" s="14" t="n">
        <v>0</v>
      </c>
      <c r="I18" s="14" t="n">
        <v>0</v>
      </c>
      <c r="J18" s="14" t="n">
        <v>1</v>
      </c>
      <c r="K18" s="14" t="n">
        <v>0</v>
      </c>
      <c r="L18" s="14" t="n">
        <v>0</v>
      </c>
      <c r="M18" s="14" t="n">
        <v>1</v>
      </c>
      <c r="N18" s="14" t="n">
        <v>0</v>
      </c>
    </row>
    <row r="19" customFormat="false" ht="15" hidden="false" customHeight="true" outlineLevel="0" collapsed="false">
      <c r="A19" s="13" t="n">
        <v>2024</v>
      </c>
      <c r="B19" s="13" t="s">
        <v>781</v>
      </c>
      <c r="C19" s="13" t="s">
        <v>778</v>
      </c>
      <c r="D19" s="14" t="n">
        <v>18</v>
      </c>
      <c r="E19" s="14" t="n">
        <v>12</v>
      </c>
      <c r="F19" s="16" t="n">
        <f aca="false">ROUND(E19/D19*100,2)</f>
        <v>66.67</v>
      </c>
      <c r="G19" s="14" t="n">
        <v>1</v>
      </c>
      <c r="H19" s="14" t="n">
        <v>2</v>
      </c>
      <c r="I19" s="14" t="n">
        <v>8</v>
      </c>
      <c r="J19" s="14" t="n">
        <v>1</v>
      </c>
      <c r="K19" s="14" t="n">
        <v>0</v>
      </c>
      <c r="L19" s="14" t="n">
        <v>0</v>
      </c>
      <c r="M19" s="14" t="n">
        <v>6</v>
      </c>
      <c r="N19" s="14" t="n">
        <v>0</v>
      </c>
    </row>
    <row r="20" customFormat="false" ht="15" hidden="false" customHeight="true" outlineLevel="0" collapsed="false">
      <c r="A20" s="13" t="n">
        <v>2024</v>
      </c>
      <c r="B20" s="13" t="s">
        <v>782</v>
      </c>
      <c r="C20" s="13" t="s">
        <v>123</v>
      </c>
      <c r="D20" s="14" t="n">
        <v>2467</v>
      </c>
      <c r="E20" s="14" t="n">
        <v>2047</v>
      </c>
      <c r="F20" s="16" t="n">
        <f aca="false">ROUND(E20/D20*100,2)</f>
        <v>82.98</v>
      </c>
      <c r="G20" s="14" t="n">
        <v>1314</v>
      </c>
      <c r="H20" s="14" t="n">
        <v>261</v>
      </c>
      <c r="I20" s="14" t="n">
        <v>189</v>
      </c>
      <c r="J20" s="14" t="n">
        <v>193</v>
      </c>
      <c r="K20" s="14" t="n">
        <v>82</v>
      </c>
      <c r="L20" s="14" t="n">
        <v>8</v>
      </c>
      <c r="M20" s="14" t="n">
        <v>310</v>
      </c>
      <c r="N20" s="14" t="n">
        <v>110</v>
      </c>
    </row>
    <row r="21" customFormat="false" ht="15" hidden="false" customHeight="true" outlineLevel="0" collapsed="false">
      <c r="A21" s="13" t="n">
        <v>2024</v>
      </c>
      <c r="B21" s="13" t="s">
        <v>782</v>
      </c>
      <c r="C21" s="13" t="s">
        <v>126</v>
      </c>
      <c r="D21" s="14" t="n">
        <v>203</v>
      </c>
      <c r="E21" s="14" t="n">
        <v>155</v>
      </c>
      <c r="F21" s="16" t="n">
        <f aca="false">ROUND(E21/D21*100,2)</f>
        <v>76.35</v>
      </c>
      <c r="G21" s="14" t="n">
        <v>23</v>
      </c>
      <c r="H21" s="14" t="n">
        <v>34</v>
      </c>
      <c r="I21" s="14" t="n">
        <v>39</v>
      </c>
      <c r="J21" s="14" t="n">
        <v>42</v>
      </c>
      <c r="K21" s="14" t="n">
        <v>22</v>
      </c>
      <c r="L21" s="14" t="n">
        <v>1</v>
      </c>
      <c r="M21" s="14" t="n">
        <v>30</v>
      </c>
      <c r="N21" s="14" t="n">
        <v>12</v>
      </c>
    </row>
    <row r="22" customFormat="false" ht="15" hidden="false" customHeight="true" outlineLevel="0" collapsed="false">
      <c r="A22" s="13" t="n">
        <v>2024</v>
      </c>
      <c r="B22" s="13" t="s">
        <v>782</v>
      </c>
      <c r="C22" s="13" t="s">
        <v>128</v>
      </c>
      <c r="D22" s="14" t="n">
        <v>4063</v>
      </c>
      <c r="E22" s="14" t="n">
        <v>3100</v>
      </c>
      <c r="F22" s="16" t="n">
        <f aca="false">ROUND(E22/D22*100,2)</f>
        <v>76.3</v>
      </c>
      <c r="G22" s="14" t="n">
        <v>9</v>
      </c>
      <c r="H22" s="14" t="n">
        <v>145</v>
      </c>
      <c r="I22" s="14" t="n">
        <v>698</v>
      </c>
      <c r="J22" s="14" t="n">
        <v>1427</v>
      </c>
      <c r="K22" s="14" t="n">
        <v>800</v>
      </c>
      <c r="L22" s="14" t="n">
        <v>24</v>
      </c>
      <c r="M22" s="14" t="n">
        <v>884</v>
      </c>
      <c r="N22" s="14" t="n">
        <v>76</v>
      </c>
    </row>
    <row r="23" customFormat="false" ht="15" hidden="false" customHeight="true" outlineLevel="0" collapsed="false">
      <c r="A23" s="13" t="n">
        <v>2024</v>
      </c>
      <c r="B23" s="13" t="s">
        <v>782</v>
      </c>
      <c r="C23" s="13" t="s">
        <v>785</v>
      </c>
      <c r="D23" s="14" t="n">
        <v>1</v>
      </c>
      <c r="E23" s="14" t="n">
        <v>1</v>
      </c>
      <c r="F23" s="16" t="n">
        <f aca="false">ROUND(E23/D23*100,2)</f>
        <v>100</v>
      </c>
      <c r="G23" s="14" t="n">
        <v>0</v>
      </c>
      <c r="H23" s="14" t="n">
        <v>0</v>
      </c>
      <c r="I23" s="14" t="n">
        <v>1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</row>
    <row r="24" customFormat="false" ht="15" hidden="false" customHeight="true" outlineLevel="0" collapsed="false">
      <c r="A24" s="13" t="n">
        <v>2024</v>
      </c>
      <c r="B24" s="13" t="s">
        <v>782</v>
      </c>
      <c r="C24" s="13" t="s">
        <v>786</v>
      </c>
      <c r="D24" s="14" t="n">
        <v>2</v>
      </c>
      <c r="E24" s="14" t="n">
        <v>0</v>
      </c>
      <c r="F24" s="16" t="n">
        <f aca="false">ROUND(E24/D24*100,2)</f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2</v>
      </c>
      <c r="N24" s="14" t="n">
        <v>0</v>
      </c>
    </row>
    <row r="25" customFormat="false" ht="15" hidden="false" customHeight="true" outlineLevel="0" collapsed="false">
      <c r="A25" s="13" t="n">
        <v>2024</v>
      </c>
      <c r="B25" s="13" t="s">
        <v>782</v>
      </c>
      <c r="C25" s="13" t="s">
        <v>778</v>
      </c>
      <c r="D25" s="14" t="n">
        <v>176</v>
      </c>
      <c r="E25" s="14" t="n">
        <v>139</v>
      </c>
      <c r="F25" s="16" t="n">
        <f aca="false">ROUND(E25/D25*100,2)</f>
        <v>78.98</v>
      </c>
      <c r="G25" s="14" t="n">
        <v>6</v>
      </c>
      <c r="H25" s="14" t="n">
        <v>31</v>
      </c>
      <c r="I25" s="14" t="n">
        <v>51</v>
      </c>
      <c r="J25" s="14" t="n">
        <v>37</v>
      </c>
      <c r="K25" s="14" t="n">
        <v>15</v>
      </c>
      <c r="L25" s="14" t="n">
        <v>0</v>
      </c>
      <c r="M25" s="14" t="n">
        <v>30</v>
      </c>
      <c r="N25" s="14" t="n">
        <v>6</v>
      </c>
    </row>
    <row r="26" customFormat="false" ht="15" hidden="false" customHeight="true" outlineLevel="0" collapsed="false">
      <c r="A26" s="13" t="n">
        <v>2025</v>
      </c>
      <c r="B26" s="13" t="s">
        <v>777</v>
      </c>
      <c r="C26" s="13" t="s">
        <v>123</v>
      </c>
      <c r="D26" s="14" t="n">
        <v>12781</v>
      </c>
      <c r="E26" s="14" t="n">
        <v>11336</v>
      </c>
      <c r="F26" s="16" t="n">
        <f aca="false">ROUND(E26/D26*100,2)</f>
        <v>88.69</v>
      </c>
      <c r="G26" s="14" t="n">
        <v>3325</v>
      </c>
      <c r="H26" s="14" t="n">
        <v>4546</v>
      </c>
      <c r="I26" s="14" t="n">
        <v>2804</v>
      </c>
      <c r="J26" s="14" t="n">
        <v>643</v>
      </c>
      <c r="K26" s="14" t="n">
        <v>18</v>
      </c>
      <c r="L26" s="14" t="n">
        <v>0</v>
      </c>
      <c r="M26" s="14" t="n">
        <v>1382</v>
      </c>
      <c r="N26" s="14" t="n">
        <v>63</v>
      </c>
    </row>
    <row r="27" customFormat="false" ht="15" hidden="false" customHeight="true" outlineLevel="0" collapsed="false">
      <c r="A27" s="13" t="n">
        <v>2025</v>
      </c>
      <c r="B27" s="13" t="s">
        <v>777</v>
      </c>
      <c r="C27" s="13" t="s">
        <v>126</v>
      </c>
      <c r="D27" s="14" t="n">
        <v>433</v>
      </c>
      <c r="E27" s="14" t="n">
        <v>355</v>
      </c>
      <c r="F27" s="16" t="n">
        <f aca="false">ROUND(E27/D27*100,2)</f>
        <v>81.99</v>
      </c>
      <c r="G27" s="14" t="n">
        <v>96</v>
      </c>
      <c r="H27" s="14" t="n">
        <v>140</v>
      </c>
      <c r="I27" s="14" t="n">
        <v>99</v>
      </c>
      <c r="J27" s="14" t="n">
        <v>19</v>
      </c>
      <c r="K27" s="14" t="n">
        <v>1</v>
      </c>
      <c r="L27" s="14" t="n">
        <v>0</v>
      </c>
      <c r="M27" s="14" t="n">
        <v>77</v>
      </c>
      <c r="N27" s="14" t="n">
        <v>1</v>
      </c>
    </row>
    <row r="28" customFormat="false" ht="15" hidden="false" customHeight="true" outlineLevel="0" collapsed="false">
      <c r="A28" s="13" t="n">
        <v>2025</v>
      </c>
      <c r="B28" s="13" t="s">
        <v>777</v>
      </c>
      <c r="C28" s="13" t="s">
        <v>128</v>
      </c>
      <c r="D28" s="14" t="n">
        <v>5465</v>
      </c>
      <c r="E28" s="14" t="n">
        <v>4869</v>
      </c>
      <c r="F28" s="16" t="n">
        <f aca="false">ROUND(E28/D28*100,2)</f>
        <v>89.09</v>
      </c>
      <c r="G28" s="14" t="n">
        <v>157</v>
      </c>
      <c r="H28" s="14" t="n">
        <v>1327</v>
      </c>
      <c r="I28" s="14" t="n">
        <v>2335</v>
      </c>
      <c r="J28" s="14" t="n">
        <v>964</v>
      </c>
      <c r="K28" s="14" t="n">
        <v>86</v>
      </c>
      <c r="L28" s="14" t="n">
        <v>0</v>
      </c>
      <c r="M28" s="14" t="n">
        <v>577</v>
      </c>
      <c r="N28" s="14" t="n">
        <v>19</v>
      </c>
    </row>
    <row r="29" customFormat="false" ht="15" hidden="false" customHeight="true" outlineLevel="0" collapsed="false">
      <c r="A29" s="13" t="n">
        <v>2025</v>
      </c>
      <c r="B29" s="13" t="s">
        <v>777</v>
      </c>
      <c r="C29" s="13" t="s">
        <v>130</v>
      </c>
      <c r="D29" s="14" t="n">
        <v>190</v>
      </c>
      <c r="E29" s="14" t="n">
        <v>171</v>
      </c>
      <c r="F29" s="16" t="n">
        <f aca="false">ROUND(E29/D29*100,2)</f>
        <v>90</v>
      </c>
      <c r="G29" s="14" t="n">
        <v>5</v>
      </c>
      <c r="H29" s="14" t="n">
        <v>56</v>
      </c>
      <c r="I29" s="14" t="n">
        <v>90</v>
      </c>
      <c r="J29" s="14" t="n">
        <v>18</v>
      </c>
      <c r="K29" s="14" t="n">
        <v>2</v>
      </c>
      <c r="L29" s="14" t="n">
        <v>0</v>
      </c>
      <c r="M29" s="14" t="n">
        <v>19</v>
      </c>
      <c r="N29" s="14" t="n">
        <v>0</v>
      </c>
    </row>
    <row r="30" customFormat="false" ht="15" hidden="false" customHeight="true" outlineLevel="0" collapsed="false">
      <c r="A30" s="13" t="n">
        <v>2025</v>
      </c>
      <c r="B30" s="13" t="s">
        <v>777</v>
      </c>
      <c r="C30" s="13" t="s">
        <v>778</v>
      </c>
      <c r="D30" s="14" t="n">
        <v>826</v>
      </c>
      <c r="E30" s="14" t="n">
        <v>591</v>
      </c>
      <c r="F30" s="16" t="n">
        <f aca="false">ROUND(E30/D30*100,2)</f>
        <v>71.55</v>
      </c>
      <c r="G30" s="14" t="n">
        <v>92</v>
      </c>
      <c r="H30" s="14" t="n">
        <v>248</v>
      </c>
      <c r="I30" s="14" t="n">
        <v>208</v>
      </c>
      <c r="J30" s="14" t="n">
        <v>38</v>
      </c>
      <c r="K30" s="14" t="n">
        <v>5</v>
      </c>
      <c r="L30" s="14" t="n">
        <v>0</v>
      </c>
      <c r="M30" s="14" t="n">
        <v>233</v>
      </c>
      <c r="N30" s="14" t="n">
        <v>2</v>
      </c>
    </row>
    <row r="31" customFormat="false" ht="15" hidden="false" customHeight="true" outlineLevel="0" collapsed="false">
      <c r="A31" s="13" t="n">
        <v>2025</v>
      </c>
      <c r="B31" s="13" t="s">
        <v>779</v>
      </c>
      <c r="C31" s="13" t="s">
        <v>123</v>
      </c>
      <c r="D31" s="14" t="n">
        <v>17378</v>
      </c>
      <c r="E31" s="14" t="n">
        <v>12269</v>
      </c>
      <c r="F31" s="16" t="n">
        <f aca="false">ROUND(E31/D31*100,2)</f>
        <v>70.6</v>
      </c>
      <c r="G31" s="14" t="n">
        <v>1947</v>
      </c>
      <c r="H31" s="14" t="n">
        <v>3816</v>
      </c>
      <c r="I31" s="14" t="n">
        <v>4197</v>
      </c>
      <c r="J31" s="14" t="n">
        <v>2113</v>
      </c>
      <c r="K31" s="14" t="n">
        <v>196</v>
      </c>
      <c r="L31" s="14" t="n">
        <v>0</v>
      </c>
      <c r="M31" s="14" t="n">
        <v>5025</v>
      </c>
      <c r="N31" s="14" t="n">
        <v>84</v>
      </c>
    </row>
    <row r="32" customFormat="false" ht="15" hidden="false" customHeight="true" outlineLevel="0" collapsed="false">
      <c r="A32" s="13" t="n">
        <v>2025</v>
      </c>
      <c r="B32" s="13" t="s">
        <v>779</v>
      </c>
      <c r="C32" s="13" t="s">
        <v>126</v>
      </c>
      <c r="D32" s="14" t="n">
        <v>3015</v>
      </c>
      <c r="E32" s="14" t="n">
        <v>1673</v>
      </c>
      <c r="F32" s="16" t="n">
        <f aca="false">ROUND(E32/D32*100,2)</f>
        <v>55.49</v>
      </c>
      <c r="G32" s="14" t="n">
        <v>121</v>
      </c>
      <c r="H32" s="14" t="n">
        <v>478</v>
      </c>
      <c r="I32" s="14" t="n">
        <v>706</v>
      </c>
      <c r="J32" s="14" t="n">
        <v>333</v>
      </c>
      <c r="K32" s="14" t="n">
        <v>35</v>
      </c>
      <c r="L32" s="14" t="n">
        <v>0</v>
      </c>
      <c r="M32" s="14" t="n">
        <v>1332</v>
      </c>
      <c r="N32" s="14" t="n">
        <v>10</v>
      </c>
    </row>
    <row r="33" customFormat="false" ht="15" hidden="false" customHeight="true" outlineLevel="0" collapsed="false">
      <c r="A33" s="13" t="n">
        <v>2025</v>
      </c>
      <c r="B33" s="13" t="s">
        <v>779</v>
      </c>
      <c r="C33" s="13" t="s">
        <v>128</v>
      </c>
      <c r="D33" s="14" t="n">
        <v>4333</v>
      </c>
      <c r="E33" s="14" t="n">
        <v>3118</v>
      </c>
      <c r="F33" s="16" t="n">
        <f aca="false">ROUND(E33/D33*100,2)</f>
        <v>71.96</v>
      </c>
      <c r="G33" s="14" t="n">
        <v>26</v>
      </c>
      <c r="H33" s="14" t="n">
        <v>225</v>
      </c>
      <c r="I33" s="14" t="n">
        <v>889</v>
      </c>
      <c r="J33" s="14" t="n">
        <v>1443</v>
      </c>
      <c r="K33" s="14" t="n">
        <v>533</v>
      </c>
      <c r="L33" s="14" t="n">
        <v>2</v>
      </c>
      <c r="M33" s="14" t="n">
        <v>1178</v>
      </c>
      <c r="N33" s="14" t="n">
        <v>37</v>
      </c>
    </row>
    <row r="34" customFormat="false" ht="15" hidden="false" customHeight="true" outlineLevel="0" collapsed="false">
      <c r="A34" s="13" t="n">
        <v>2025</v>
      </c>
      <c r="B34" s="13" t="s">
        <v>779</v>
      </c>
      <c r="C34" s="13" t="s">
        <v>778</v>
      </c>
      <c r="D34" s="14" t="n">
        <v>9504</v>
      </c>
      <c r="E34" s="14" t="n">
        <v>4680</v>
      </c>
      <c r="F34" s="16" t="n">
        <f aca="false">ROUND(E34/D34*100,2)</f>
        <v>49.24</v>
      </c>
      <c r="G34" s="14" t="n">
        <v>213</v>
      </c>
      <c r="H34" s="14" t="n">
        <v>1278</v>
      </c>
      <c r="I34" s="14" t="n">
        <v>2193</v>
      </c>
      <c r="J34" s="14" t="n">
        <v>933</v>
      </c>
      <c r="K34" s="14" t="n">
        <v>63</v>
      </c>
      <c r="L34" s="14" t="n">
        <v>0</v>
      </c>
      <c r="M34" s="14" t="n">
        <v>4754</v>
      </c>
      <c r="N34" s="14" t="n">
        <v>70</v>
      </c>
    </row>
    <row r="35" customFormat="false" ht="15" hidden="false" customHeight="true" outlineLevel="0" collapsed="false">
      <c r="A35" s="13" t="n">
        <v>2025</v>
      </c>
      <c r="B35" s="13" t="s">
        <v>779</v>
      </c>
      <c r="C35" s="13" t="s">
        <v>780</v>
      </c>
      <c r="D35" s="14" t="n">
        <v>16</v>
      </c>
      <c r="E35" s="14" t="n">
        <v>12</v>
      </c>
      <c r="F35" s="16" t="n">
        <f aca="false">ROUND(E35/D35*100,2)</f>
        <v>75</v>
      </c>
      <c r="G35" s="14" t="n">
        <v>0</v>
      </c>
      <c r="H35" s="14" t="n">
        <v>2</v>
      </c>
      <c r="I35" s="14" t="n">
        <v>8</v>
      </c>
      <c r="J35" s="14" t="n">
        <v>2</v>
      </c>
      <c r="K35" s="14" t="n">
        <v>0</v>
      </c>
      <c r="L35" s="14" t="n">
        <v>0</v>
      </c>
      <c r="M35" s="14" t="n">
        <v>4</v>
      </c>
      <c r="N35" s="14" t="n">
        <v>0</v>
      </c>
    </row>
    <row r="36" customFormat="false" ht="15" hidden="false" customHeight="true" outlineLevel="0" collapsed="false">
      <c r="A36" s="13" t="n">
        <v>2025</v>
      </c>
      <c r="B36" s="13" t="s">
        <v>781</v>
      </c>
      <c r="C36" s="13" t="s">
        <v>123</v>
      </c>
      <c r="D36" s="14" t="n">
        <v>1034</v>
      </c>
      <c r="E36" s="14" t="n">
        <v>781</v>
      </c>
      <c r="F36" s="16" t="n">
        <f aca="false">ROUND(E36/D36*100,2)</f>
        <v>75.53</v>
      </c>
      <c r="G36" s="14" t="n">
        <v>615</v>
      </c>
      <c r="H36" s="14" t="n">
        <v>88</v>
      </c>
      <c r="I36" s="14" t="n">
        <v>37</v>
      </c>
      <c r="J36" s="14" t="n">
        <v>26</v>
      </c>
      <c r="K36" s="14" t="n">
        <v>13</v>
      </c>
      <c r="L36" s="14" t="n">
        <v>2</v>
      </c>
      <c r="M36" s="14" t="n">
        <v>211</v>
      </c>
      <c r="N36" s="14" t="n">
        <v>42</v>
      </c>
    </row>
    <row r="37" customFormat="false" ht="15" hidden="false" customHeight="true" outlineLevel="0" collapsed="false">
      <c r="A37" s="13" t="n">
        <v>2025</v>
      </c>
      <c r="B37" s="13" t="s">
        <v>781</v>
      </c>
      <c r="C37" s="13" t="s">
        <v>126</v>
      </c>
      <c r="D37" s="14" t="n">
        <v>10</v>
      </c>
      <c r="E37" s="14" t="n">
        <v>7</v>
      </c>
      <c r="F37" s="16" t="n">
        <f aca="false">ROUND(E37/D37*100,2)</f>
        <v>70</v>
      </c>
      <c r="G37" s="14" t="n">
        <v>1</v>
      </c>
      <c r="H37" s="14" t="n">
        <v>2</v>
      </c>
      <c r="I37" s="14" t="n">
        <v>2</v>
      </c>
      <c r="J37" s="14" t="n">
        <v>0</v>
      </c>
      <c r="K37" s="14" t="n">
        <v>2</v>
      </c>
      <c r="L37" s="14" t="n">
        <v>0</v>
      </c>
      <c r="M37" s="14" t="n">
        <v>2</v>
      </c>
      <c r="N37" s="14" t="n">
        <v>1</v>
      </c>
    </row>
    <row r="38" customFormat="false" ht="15" hidden="false" customHeight="true" outlineLevel="0" collapsed="false">
      <c r="A38" s="13" t="n">
        <v>2025</v>
      </c>
      <c r="B38" s="13" t="s">
        <v>781</v>
      </c>
      <c r="C38" s="13" t="s">
        <v>128</v>
      </c>
      <c r="D38" s="14" t="n">
        <v>1833</v>
      </c>
      <c r="E38" s="14" t="n">
        <v>1518</v>
      </c>
      <c r="F38" s="16" t="n">
        <f aca="false">ROUND(E38/D38*100,2)</f>
        <v>82.82</v>
      </c>
      <c r="G38" s="14" t="n">
        <v>26</v>
      </c>
      <c r="H38" s="14" t="n">
        <v>359</v>
      </c>
      <c r="I38" s="14" t="n">
        <v>677</v>
      </c>
      <c r="J38" s="14" t="n">
        <v>413</v>
      </c>
      <c r="K38" s="14" t="n">
        <v>43</v>
      </c>
      <c r="L38" s="14" t="n">
        <v>0</v>
      </c>
      <c r="M38" s="14" t="n">
        <v>287</v>
      </c>
      <c r="N38" s="14" t="n">
        <v>28</v>
      </c>
    </row>
    <row r="39" customFormat="false" ht="15" hidden="false" customHeight="true" outlineLevel="0" collapsed="false">
      <c r="A39" s="13" t="n">
        <v>2025</v>
      </c>
      <c r="B39" s="13" t="s">
        <v>781</v>
      </c>
      <c r="C39" s="13" t="s">
        <v>130</v>
      </c>
      <c r="D39" s="14" t="n">
        <v>3</v>
      </c>
      <c r="E39" s="14" t="n">
        <v>2</v>
      </c>
      <c r="F39" s="16" t="n">
        <f aca="false">ROUND(E39/D39*100,2)</f>
        <v>66.67</v>
      </c>
      <c r="G39" s="14" t="n">
        <v>0</v>
      </c>
      <c r="H39" s="14" t="n">
        <v>0</v>
      </c>
      <c r="I39" s="14" t="n">
        <v>1</v>
      </c>
      <c r="J39" s="14" t="n">
        <v>1</v>
      </c>
      <c r="K39" s="14" t="n">
        <v>0</v>
      </c>
      <c r="L39" s="14" t="n">
        <v>0</v>
      </c>
      <c r="M39" s="14" t="n">
        <v>0</v>
      </c>
      <c r="N39" s="14" t="n">
        <v>1</v>
      </c>
    </row>
    <row r="40" customFormat="false" ht="15" hidden="false" customHeight="true" outlineLevel="0" collapsed="false">
      <c r="A40" s="13" t="n">
        <v>2025</v>
      </c>
      <c r="B40" s="13" t="s">
        <v>781</v>
      </c>
      <c r="C40" s="13" t="s">
        <v>778</v>
      </c>
      <c r="D40" s="14" t="n">
        <v>16</v>
      </c>
      <c r="E40" s="14" t="n">
        <v>13</v>
      </c>
      <c r="F40" s="16" t="n">
        <f aca="false">ROUND(E40/D40*100,2)</f>
        <v>81.25</v>
      </c>
      <c r="G40" s="14" t="n">
        <v>0</v>
      </c>
      <c r="H40" s="14" t="n">
        <v>8</v>
      </c>
      <c r="I40" s="14" t="n">
        <v>2</v>
      </c>
      <c r="J40" s="14" t="n">
        <v>3</v>
      </c>
      <c r="K40" s="14" t="n">
        <v>0</v>
      </c>
      <c r="L40" s="14" t="n">
        <v>0</v>
      </c>
      <c r="M40" s="14" t="n">
        <v>3</v>
      </c>
      <c r="N40" s="14" t="n">
        <v>0</v>
      </c>
    </row>
    <row r="41" customFormat="false" ht="15" hidden="false" customHeight="true" outlineLevel="0" collapsed="false">
      <c r="A41" s="13" t="n">
        <v>2025</v>
      </c>
      <c r="B41" s="13" t="s">
        <v>782</v>
      </c>
      <c r="C41" s="13" t="s">
        <v>123</v>
      </c>
      <c r="D41" s="14" t="n">
        <v>2124</v>
      </c>
      <c r="E41" s="14" t="n">
        <v>1408</v>
      </c>
      <c r="F41" s="16" t="n">
        <f aca="false">ROUND(E41/D41*100,2)</f>
        <v>66.29</v>
      </c>
      <c r="G41" s="14" t="n">
        <v>958</v>
      </c>
      <c r="H41" s="14" t="n">
        <v>155</v>
      </c>
      <c r="I41" s="14" t="n">
        <v>106</v>
      </c>
      <c r="J41" s="14" t="n">
        <v>121</v>
      </c>
      <c r="K41" s="14" t="n">
        <v>53</v>
      </c>
      <c r="L41" s="14" t="n">
        <v>15</v>
      </c>
      <c r="M41" s="14" t="n">
        <v>596</v>
      </c>
      <c r="N41" s="14" t="n">
        <v>120</v>
      </c>
    </row>
    <row r="42" customFormat="false" ht="15" hidden="false" customHeight="true" outlineLevel="0" collapsed="false">
      <c r="A42" s="13" t="n">
        <v>2025</v>
      </c>
      <c r="B42" s="13" t="s">
        <v>782</v>
      </c>
      <c r="C42" s="13" t="s">
        <v>126</v>
      </c>
      <c r="D42" s="14" t="n">
        <v>128</v>
      </c>
      <c r="E42" s="14" t="n">
        <v>68</v>
      </c>
      <c r="F42" s="16" t="n">
        <f aca="false">ROUND(E42/D42*100,2)</f>
        <v>53.13</v>
      </c>
      <c r="G42" s="14" t="n">
        <v>6</v>
      </c>
      <c r="H42" s="14" t="n">
        <v>19</v>
      </c>
      <c r="I42" s="14" t="n">
        <v>17</v>
      </c>
      <c r="J42" s="14" t="n">
        <v>18</v>
      </c>
      <c r="K42" s="14" t="n">
        <v>8</v>
      </c>
      <c r="L42" s="14" t="n">
        <v>0</v>
      </c>
      <c r="M42" s="14" t="n">
        <v>49</v>
      </c>
      <c r="N42" s="14" t="n">
        <v>11</v>
      </c>
    </row>
    <row r="43" customFormat="false" ht="15" hidden="false" customHeight="true" outlineLevel="0" collapsed="false">
      <c r="A43" s="13" t="n">
        <v>2025</v>
      </c>
      <c r="B43" s="13" t="s">
        <v>782</v>
      </c>
      <c r="C43" s="13" t="s">
        <v>128</v>
      </c>
      <c r="D43" s="14" t="n">
        <v>3053</v>
      </c>
      <c r="E43" s="14" t="n">
        <v>1913</v>
      </c>
      <c r="F43" s="16" t="n">
        <f aca="false">ROUND(E43/D43*100,2)</f>
        <v>62.66</v>
      </c>
      <c r="G43" s="14" t="n">
        <v>0</v>
      </c>
      <c r="H43" s="14" t="n">
        <v>77</v>
      </c>
      <c r="I43" s="14" t="n">
        <v>449</v>
      </c>
      <c r="J43" s="14" t="n">
        <v>880</v>
      </c>
      <c r="K43" s="14" t="n">
        <v>500</v>
      </c>
      <c r="L43" s="14" t="n">
        <v>7</v>
      </c>
      <c r="M43" s="14" t="n">
        <v>1055</v>
      </c>
      <c r="N43" s="14" t="n">
        <v>85</v>
      </c>
    </row>
    <row r="44" customFormat="false" ht="15" hidden="false" customHeight="true" outlineLevel="0" collapsed="false">
      <c r="A44" s="13" t="n">
        <v>2025</v>
      </c>
      <c r="B44" s="13" t="s">
        <v>782</v>
      </c>
      <c r="C44" s="13" t="s">
        <v>778</v>
      </c>
      <c r="D44" s="14" t="n">
        <v>180</v>
      </c>
      <c r="E44" s="14" t="n">
        <v>118</v>
      </c>
      <c r="F44" s="16" t="n">
        <f aca="false">ROUND(E44/D44*100,2)</f>
        <v>65.56</v>
      </c>
      <c r="G44" s="14" t="n">
        <v>5</v>
      </c>
      <c r="H44" s="14" t="n">
        <v>23</v>
      </c>
      <c r="I44" s="14" t="n">
        <v>29</v>
      </c>
      <c r="J44" s="14" t="n">
        <v>54</v>
      </c>
      <c r="K44" s="14" t="n">
        <v>7</v>
      </c>
      <c r="L44" s="14" t="n">
        <v>0</v>
      </c>
      <c r="M44" s="14" t="n">
        <v>53</v>
      </c>
      <c r="N44" s="14" t="n">
        <v>9</v>
      </c>
    </row>
    <row r="45" customFormat="false" ht="15" hidden="false" customHeight="true" outlineLevel="0" collapsed="false">
      <c r="A45" s="13" t="n">
        <v>2026</v>
      </c>
      <c r="B45" s="13" t="s">
        <v>777</v>
      </c>
      <c r="C45" s="13" t="s">
        <v>123</v>
      </c>
      <c r="D45" s="14" t="n">
        <v>14701</v>
      </c>
      <c r="E45" s="14" t="n">
        <v>11644</v>
      </c>
      <c r="F45" s="16" t="n">
        <f aca="false">ROUND(E45/D45*100,2)</f>
        <v>79.21</v>
      </c>
      <c r="G45" s="14" t="n">
        <v>2077</v>
      </c>
      <c r="H45" s="14" t="n">
        <v>4378</v>
      </c>
      <c r="I45" s="14" t="n">
        <v>4383</v>
      </c>
      <c r="J45" s="14" t="n">
        <v>796</v>
      </c>
      <c r="K45" s="14" t="n">
        <v>10</v>
      </c>
      <c r="L45" s="14" t="n">
        <v>0</v>
      </c>
      <c r="M45" s="14" t="n">
        <v>2992</v>
      </c>
      <c r="N45" s="14" t="n">
        <v>65</v>
      </c>
    </row>
    <row r="46" customFormat="false" ht="15" hidden="false" customHeight="true" outlineLevel="0" collapsed="false">
      <c r="A46" s="13" t="n">
        <v>2026</v>
      </c>
      <c r="B46" s="13" t="s">
        <v>777</v>
      </c>
      <c r="C46" s="13" t="s">
        <v>126</v>
      </c>
      <c r="D46" s="14" t="n">
        <v>446</v>
      </c>
      <c r="E46" s="14" t="n">
        <v>337</v>
      </c>
      <c r="F46" s="16" t="n">
        <f aca="false">ROUND(E46/D46*100,2)</f>
        <v>75.56</v>
      </c>
      <c r="G46" s="14" t="n">
        <v>50</v>
      </c>
      <c r="H46" s="14" t="n">
        <v>130</v>
      </c>
      <c r="I46" s="14" t="n">
        <v>114</v>
      </c>
      <c r="J46" s="14" t="n">
        <v>42</v>
      </c>
      <c r="K46" s="14" t="n">
        <v>1</v>
      </c>
      <c r="L46" s="14" t="n">
        <v>0</v>
      </c>
      <c r="M46" s="14" t="n">
        <v>109</v>
      </c>
      <c r="N46" s="14" t="n">
        <v>0</v>
      </c>
    </row>
    <row r="47" customFormat="false" ht="15" hidden="false" customHeight="true" outlineLevel="0" collapsed="false">
      <c r="A47" s="13" t="n">
        <v>2026</v>
      </c>
      <c r="B47" s="13" t="s">
        <v>777</v>
      </c>
      <c r="C47" s="13" t="s">
        <v>128</v>
      </c>
      <c r="D47" s="14" t="n">
        <v>5012</v>
      </c>
      <c r="E47" s="14" t="n">
        <v>3170</v>
      </c>
      <c r="F47" s="16" t="n">
        <f aca="false">ROUND(E47/D47*100,2)</f>
        <v>63.25</v>
      </c>
      <c r="G47" s="14" t="n">
        <v>140</v>
      </c>
      <c r="H47" s="14" t="n">
        <v>994</v>
      </c>
      <c r="I47" s="14" t="n">
        <v>1609</v>
      </c>
      <c r="J47" s="14" t="n">
        <v>415</v>
      </c>
      <c r="K47" s="14" t="n">
        <v>12</v>
      </c>
      <c r="L47" s="14" t="n">
        <v>0</v>
      </c>
      <c r="M47" s="14" t="n">
        <v>1808</v>
      </c>
      <c r="N47" s="14" t="n">
        <v>34</v>
      </c>
    </row>
    <row r="48" customFormat="false" ht="15" hidden="false" customHeight="true" outlineLevel="0" collapsed="false">
      <c r="A48" s="13" t="n">
        <v>2026</v>
      </c>
      <c r="B48" s="13" t="s">
        <v>777</v>
      </c>
      <c r="C48" s="13" t="s">
        <v>130</v>
      </c>
      <c r="D48" s="14" t="n">
        <v>226</v>
      </c>
      <c r="E48" s="14" t="n">
        <v>153</v>
      </c>
      <c r="F48" s="16" t="n">
        <f aca="false">ROUND(E48/D48*100,2)</f>
        <v>67.7</v>
      </c>
      <c r="G48" s="14" t="n">
        <v>7</v>
      </c>
      <c r="H48" s="14" t="n">
        <v>49</v>
      </c>
      <c r="I48" s="14" t="n">
        <v>77</v>
      </c>
      <c r="J48" s="14" t="n">
        <v>19</v>
      </c>
      <c r="K48" s="14" t="n">
        <v>1</v>
      </c>
      <c r="L48" s="14" t="n">
        <v>0</v>
      </c>
      <c r="M48" s="14" t="n">
        <v>72</v>
      </c>
      <c r="N48" s="14" t="n">
        <v>1</v>
      </c>
    </row>
    <row r="49" customFormat="false" ht="15" hidden="false" customHeight="true" outlineLevel="0" collapsed="false">
      <c r="A49" s="13" t="n">
        <v>2026</v>
      </c>
      <c r="B49" s="13" t="s">
        <v>777</v>
      </c>
      <c r="C49" s="13" t="s">
        <v>778</v>
      </c>
      <c r="D49" s="14" t="n">
        <v>1111</v>
      </c>
      <c r="E49" s="14" t="n">
        <v>760</v>
      </c>
      <c r="F49" s="16" t="n">
        <f aca="false">ROUND(E49/D49*100,2)</f>
        <v>68.41</v>
      </c>
      <c r="G49" s="14" t="n">
        <v>72</v>
      </c>
      <c r="H49" s="14" t="n">
        <v>316</v>
      </c>
      <c r="I49" s="14" t="n">
        <v>291</v>
      </c>
      <c r="J49" s="14" t="n">
        <v>81</v>
      </c>
      <c r="K49" s="14" t="n">
        <v>0</v>
      </c>
      <c r="L49" s="14" t="n">
        <v>0</v>
      </c>
      <c r="M49" s="14" t="n">
        <v>347</v>
      </c>
      <c r="N49" s="14" t="n">
        <v>4</v>
      </c>
    </row>
    <row r="50" customFormat="false" ht="15" hidden="false" customHeight="true" outlineLevel="0" collapsed="false">
      <c r="A50" s="13" t="n">
        <v>2026</v>
      </c>
      <c r="B50" s="13" t="s">
        <v>779</v>
      </c>
      <c r="C50" s="13" t="s">
        <v>123</v>
      </c>
      <c r="D50" s="14" t="n">
        <v>17741</v>
      </c>
      <c r="E50" s="14" t="n">
        <v>8357</v>
      </c>
      <c r="F50" s="16" t="n">
        <f aca="false">ROUND(E50/D50*100,2)</f>
        <v>47.11</v>
      </c>
      <c r="G50" s="14" t="n">
        <v>935</v>
      </c>
      <c r="H50" s="14" t="n">
        <v>2094</v>
      </c>
      <c r="I50" s="14" t="n">
        <v>3418</v>
      </c>
      <c r="J50" s="14" t="n">
        <v>1798</v>
      </c>
      <c r="K50" s="14" t="n">
        <v>112</v>
      </c>
      <c r="L50" s="14" t="n">
        <v>0</v>
      </c>
      <c r="M50" s="14" t="n">
        <v>9221</v>
      </c>
      <c r="N50" s="14" t="n">
        <v>163</v>
      </c>
    </row>
    <row r="51" customFormat="false" ht="15" hidden="false" customHeight="true" outlineLevel="0" collapsed="false">
      <c r="A51" s="13" t="n">
        <v>2026</v>
      </c>
      <c r="B51" s="13" t="s">
        <v>779</v>
      </c>
      <c r="C51" s="13" t="s">
        <v>126</v>
      </c>
      <c r="D51" s="14" t="n">
        <v>3115</v>
      </c>
      <c r="E51" s="14" t="n">
        <v>1285</v>
      </c>
      <c r="F51" s="16" t="n">
        <f aca="false">ROUND(E51/D51*100,2)</f>
        <v>41.25</v>
      </c>
      <c r="G51" s="14" t="n">
        <v>72</v>
      </c>
      <c r="H51" s="14" t="n">
        <v>330</v>
      </c>
      <c r="I51" s="14" t="n">
        <v>572</v>
      </c>
      <c r="J51" s="14" t="n">
        <v>296</v>
      </c>
      <c r="K51" s="14" t="n">
        <v>15</v>
      </c>
      <c r="L51" s="14" t="n">
        <v>0</v>
      </c>
      <c r="M51" s="14" t="n">
        <v>1808</v>
      </c>
      <c r="N51" s="14" t="n">
        <v>22</v>
      </c>
    </row>
    <row r="52" customFormat="false" ht="15" hidden="false" customHeight="true" outlineLevel="0" collapsed="false">
      <c r="A52" s="13" t="n">
        <v>2026</v>
      </c>
      <c r="B52" s="13" t="s">
        <v>779</v>
      </c>
      <c r="C52" s="13" t="s">
        <v>128</v>
      </c>
      <c r="D52" s="14" t="n">
        <v>3456</v>
      </c>
      <c r="E52" s="14" t="n">
        <v>957</v>
      </c>
      <c r="F52" s="16" t="n">
        <f aca="false">ROUND(E52/D52*100,2)</f>
        <v>27.69</v>
      </c>
      <c r="G52" s="14" t="n">
        <v>31</v>
      </c>
      <c r="H52" s="14" t="n">
        <v>162</v>
      </c>
      <c r="I52" s="14" t="n">
        <v>365</v>
      </c>
      <c r="J52" s="14" t="n">
        <v>353</v>
      </c>
      <c r="K52" s="14" t="n">
        <v>46</v>
      </c>
      <c r="L52" s="14" t="n">
        <v>0</v>
      </c>
      <c r="M52" s="14" t="n">
        <v>2448</v>
      </c>
      <c r="N52" s="14" t="n">
        <v>51</v>
      </c>
    </row>
    <row r="53" customFormat="false" ht="15" hidden="false" customHeight="true" outlineLevel="0" collapsed="false">
      <c r="A53" s="13" t="n">
        <v>2026</v>
      </c>
      <c r="B53" s="13" t="s">
        <v>779</v>
      </c>
      <c r="C53" s="13" t="s">
        <v>778</v>
      </c>
      <c r="D53" s="14" t="n">
        <v>10905</v>
      </c>
      <c r="E53" s="14" t="n">
        <v>3155</v>
      </c>
      <c r="F53" s="16" t="n">
        <f aca="false">ROUND(E53/D53*100,2)</f>
        <v>28.93</v>
      </c>
      <c r="G53" s="14" t="n">
        <v>122</v>
      </c>
      <c r="H53" s="14" t="n">
        <v>557</v>
      </c>
      <c r="I53" s="14" t="n">
        <v>1492</v>
      </c>
      <c r="J53" s="14" t="n">
        <v>931</v>
      </c>
      <c r="K53" s="14" t="n">
        <v>53</v>
      </c>
      <c r="L53" s="14" t="n">
        <v>0</v>
      </c>
      <c r="M53" s="14" t="n">
        <v>7650</v>
      </c>
      <c r="N53" s="14" t="n">
        <v>100</v>
      </c>
    </row>
    <row r="54" customFormat="false" ht="15" hidden="false" customHeight="true" outlineLevel="0" collapsed="false">
      <c r="A54" s="13" t="n">
        <v>2026</v>
      </c>
      <c r="B54" s="13" t="s">
        <v>779</v>
      </c>
      <c r="C54" s="13" t="s">
        <v>780</v>
      </c>
      <c r="D54" s="14" t="n">
        <v>10</v>
      </c>
      <c r="E54" s="14" t="n">
        <v>2</v>
      </c>
      <c r="F54" s="16" t="n">
        <f aca="false">ROUND(E54/D54*100,2)</f>
        <v>20</v>
      </c>
      <c r="G54" s="14" t="n">
        <v>0</v>
      </c>
      <c r="H54" s="14" t="n">
        <v>0</v>
      </c>
      <c r="I54" s="14" t="n">
        <v>1</v>
      </c>
      <c r="J54" s="14" t="n">
        <v>1</v>
      </c>
      <c r="K54" s="14" t="n">
        <v>0</v>
      </c>
      <c r="L54" s="14" t="n">
        <v>0</v>
      </c>
      <c r="M54" s="14" t="n">
        <v>8</v>
      </c>
      <c r="N54" s="14" t="n">
        <v>0</v>
      </c>
    </row>
    <row r="55" customFormat="false" ht="15" hidden="false" customHeight="true" outlineLevel="0" collapsed="false">
      <c r="A55" s="13" t="n">
        <v>2026</v>
      </c>
      <c r="B55" s="13" t="s">
        <v>781</v>
      </c>
      <c r="C55" s="13" t="s">
        <v>123</v>
      </c>
      <c r="D55" s="14" t="n">
        <v>1831</v>
      </c>
      <c r="E55" s="14" t="n">
        <v>1304</v>
      </c>
      <c r="F55" s="16" t="n">
        <f aca="false">ROUND(E55/D55*100,2)</f>
        <v>71.22</v>
      </c>
      <c r="G55" s="14" t="n">
        <v>898</v>
      </c>
      <c r="H55" s="14" t="n">
        <v>183</v>
      </c>
      <c r="I55" s="14" t="n">
        <v>121</v>
      </c>
      <c r="J55" s="14" t="n">
        <v>87</v>
      </c>
      <c r="K55" s="14" t="n">
        <v>13</v>
      </c>
      <c r="L55" s="14" t="n">
        <v>2</v>
      </c>
      <c r="M55" s="14" t="n">
        <v>471</v>
      </c>
      <c r="N55" s="14" t="n">
        <v>56</v>
      </c>
    </row>
    <row r="56" customFormat="false" ht="15" hidden="false" customHeight="true" outlineLevel="0" collapsed="false">
      <c r="A56" s="13" t="n">
        <v>2026</v>
      </c>
      <c r="B56" s="13" t="s">
        <v>781</v>
      </c>
      <c r="C56" s="13" t="s">
        <v>126</v>
      </c>
      <c r="D56" s="14" t="n">
        <v>26</v>
      </c>
      <c r="E56" s="14" t="n">
        <v>23</v>
      </c>
      <c r="F56" s="16" t="n">
        <f aca="false">ROUND(E56/D56*100,2)</f>
        <v>88.46</v>
      </c>
      <c r="G56" s="14" t="n">
        <v>1</v>
      </c>
      <c r="H56" s="14" t="n">
        <v>5</v>
      </c>
      <c r="I56" s="14" t="n">
        <v>12</v>
      </c>
      <c r="J56" s="14" t="n">
        <v>5</v>
      </c>
      <c r="K56" s="14" t="n">
        <v>0</v>
      </c>
      <c r="L56" s="14" t="n">
        <v>0</v>
      </c>
      <c r="M56" s="14" t="n">
        <v>3</v>
      </c>
      <c r="N56" s="14" t="n">
        <v>0</v>
      </c>
    </row>
    <row r="57" customFormat="false" ht="15" hidden="false" customHeight="true" outlineLevel="0" collapsed="false">
      <c r="A57" s="13" t="n">
        <v>2026</v>
      </c>
      <c r="B57" s="13" t="s">
        <v>781</v>
      </c>
      <c r="C57" s="13" t="s">
        <v>128</v>
      </c>
      <c r="D57" s="14" t="n">
        <v>1495</v>
      </c>
      <c r="E57" s="14" t="n">
        <v>849</v>
      </c>
      <c r="F57" s="16" t="n">
        <f aca="false">ROUND(E57/D57*100,2)</f>
        <v>56.79</v>
      </c>
      <c r="G57" s="14" t="n">
        <v>16</v>
      </c>
      <c r="H57" s="14" t="n">
        <v>226</v>
      </c>
      <c r="I57" s="14" t="n">
        <v>385</v>
      </c>
      <c r="J57" s="14" t="n">
        <v>193</v>
      </c>
      <c r="K57" s="14" t="n">
        <v>29</v>
      </c>
      <c r="L57" s="14" t="n">
        <v>0</v>
      </c>
      <c r="M57" s="14" t="n">
        <v>632</v>
      </c>
      <c r="N57" s="14" t="n">
        <v>14</v>
      </c>
    </row>
    <row r="58" customFormat="false" ht="15" hidden="false" customHeight="true" outlineLevel="0" collapsed="false">
      <c r="A58" s="13" t="n">
        <v>2026</v>
      </c>
      <c r="B58" s="13" t="s">
        <v>781</v>
      </c>
      <c r="C58" s="13" t="s">
        <v>130</v>
      </c>
      <c r="D58" s="14" t="n">
        <v>3</v>
      </c>
      <c r="E58" s="14" t="n">
        <v>0</v>
      </c>
      <c r="F58" s="16" t="n">
        <f aca="false">ROUND(E58/D58*100,2)</f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3</v>
      </c>
      <c r="N58" s="14" t="n">
        <v>0</v>
      </c>
    </row>
    <row r="59" customFormat="false" ht="15" hidden="false" customHeight="true" outlineLevel="0" collapsed="false">
      <c r="A59" s="13" t="n">
        <v>2026</v>
      </c>
      <c r="B59" s="13" t="s">
        <v>781</v>
      </c>
      <c r="C59" s="13" t="s">
        <v>778</v>
      </c>
      <c r="D59" s="14" t="n">
        <v>71</v>
      </c>
      <c r="E59" s="14" t="n">
        <v>48</v>
      </c>
      <c r="F59" s="16" t="n">
        <f aca="false">ROUND(E59/D59*100,2)</f>
        <v>67.61</v>
      </c>
      <c r="G59" s="14" t="n">
        <v>2</v>
      </c>
      <c r="H59" s="14" t="n">
        <v>12</v>
      </c>
      <c r="I59" s="14" t="n">
        <v>24</v>
      </c>
      <c r="J59" s="14" t="n">
        <v>9</v>
      </c>
      <c r="K59" s="14" t="n">
        <v>1</v>
      </c>
      <c r="L59" s="14" t="n">
        <v>0</v>
      </c>
      <c r="M59" s="14" t="n">
        <v>20</v>
      </c>
      <c r="N59" s="14" t="n">
        <v>3</v>
      </c>
    </row>
    <row r="60" customFormat="false" ht="15" hidden="false" customHeight="true" outlineLevel="0" collapsed="false">
      <c r="A60" s="13" t="n">
        <v>2026</v>
      </c>
      <c r="B60" s="13" t="s">
        <v>782</v>
      </c>
      <c r="C60" s="13" t="s">
        <v>123</v>
      </c>
      <c r="D60" s="14" t="n">
        <v>2808</v>
      </c>
      <c r="E60" s="14" t="n">
        <v>1656</v>
      </c>
      <c r="F60" s="16" t="n">
        <f aca="false">ROUND(E60/D60*100,2)</f>
        <v>58.97</v>
      </c>
      <c r="G60" s="14" t="n">
        <v>851</v>
      </c>
      <c r="H60" s="14" t="n">
        <v>271</v>
      </c>
      <c r="I60" s="14" t="n">
        <v>196</v>
      </c>
      <c r="J60" s="14" t="n">
        <v>237</v>
      </c>
      <c r="K60" s="14" t="n">
        <v>97</v>
      </c>
      <c r="L60" s="14" t="n">
        <v>4</v>
      </c>
      <c r="M60" s="14" t="n">
        <v>1028</v>
      </c>
      <c r="N60" s="14" t="n">
        <v>124</v>
      </c>
    </row>
    <row r="61" customFormat="false" ht="15" hidden="false" customHeight="true" outlineLevel="0" collapsed="false">
      <c r="A61" s="13" t="n">
        <v>2026</v>
      </c>
      <c r="B61" s="13" t="s">
        <v>782</v>
      </c>
      <c r="C61" s="13" t="s">
        <v>126</v>
      </c>
      <c r="D61" s="14" t="n">
        <v>331</v>
      </c>
      <c r="E61" s="14" t="n">
        <v>169</v>
      </c>
      <c r="F61" s="16" t="n">
        <f aca="false">ROUND(E61/D61*100,2)</f>
        <v>51.06</v>
      </c>
      <c r="G61" s="14" t="n">
        <v>3</v>
      </c>
      <c r="H61" s="14" t="n">
        <v>30</v>
      </c>
      <c r="I61" s="14" t="n">
        <v>55</v>
      </c>
      <c r="J61" s="14" t="n">
        <v>53</v>
      </c>
      <c r="K61" s="14" t="n">
        <v>28</v>
      </c>
      <c r="L61" s="14" t="n">
        <v>0</v>
      </c>
      <c r="M61" s="14" t="n">
        <v>147</v>
      </c>
      <c r="N61" s="14" t="n">
        <v>15</v>
      </c>
    </row>
    <row r="62" customFormat="false" ht="15" hidden="false" customHeight="true" outlineLevel="0" collapsed="false">
      <c r="A62" s="13" t="n">
        <v>2026</v>
      </c>
      <c r="B62" s="13" t="s">
        <v>782</v>
      </c>
      <c r="C62" s="13" t="s">
        <v>128</v>
      </c>
      <c r="D62" s="14" t="n">
        <v>2473</v>
      </c>
      <c r="E62" s="14" t="n">
        <v>714</v>
      </c>
      <c r="F62" s="16" t="n">
        <f aca="false">ROUND(E62/D62*100,2)</f>
        <v>28.87</v>
      </c>
      <c r="G62" s="14" t="n">
        <v>2</v>
      </c>
      <c r="H62" s="14" t="n">
        <v>79</v>
      </c>
      <c r="I62" s="14" t="n">
        <v>223</v>
      </c>
      <c r="J62" s="14" t="n">
        <v>255</v>
      </c>
      <c r="K62" s="14" t="n">
        <v>150</v>
      </c>
      <c r="L62" s="14" t="n">
        <v>5</v>
      </c>
      <c r="M62" s="14" t="n">
        <v>1684</v>
      </c>
      <c r="N62" s="14" t="n">
        <v>75</v>
      </c>
    </row>
    <row r="63" customFormat="false" ht="15" hidden="false" customHeight="true" outlineLevel="0" collapsed="false">
      <c r="A63" s="13" t="n">
        <v>2026</v>
      </c>
      <c r="B63" s="13" t="s">
        <v>782</v>
      </c>
      <c r="C63" s="13" t="s">
        <v>778</v>
      </c>
      <c r="D63" s="14" t="n">
        <v>972</v>
      </c>
      <c r="E63" s="14" t="n">
        <v>520</v>
      </c>
      <c r="F63" s="16" t="n">
        <f aca="false">ROUND(E63/D63*100,2)</f>
        <v>53.5</v>
      </c>
      <c r="G63" s="14" t="n">
        <v>2</v>
      </c>
      <c r="H63" s="14" t="n">
        <v>63</v>
      </c>
      <c r="I63" s="14" t="n">
        <v>198</v>
      </c>
      <c r="J63" s="14" t="n">
        <v>211</v>
      </c>
      <c r="K63" s="14" t="n">
        <v>46</v>
      </c>
      <c r="L63" s="14" t="n">
        <v>0</v>
      </c>
      <c r="M63" s="14" t="n">
        <v>426</v>
      </c>
      <c r="N63" s="14" t="n">
        <v>26</v>
      </c>
    </row>
    <row r="64" customFormat="false" ht="15" hidden="false" customHeight="true" outlineLevel="0" collapsed="false">
      <c r="A64" s="13" t="n">
        <v>2026</v>
      </c>
      <c r="B64" s="13" t="s">
        <v>782</v>
      </c>
      <c r="C64" s="13" t="s">
        <v>780</v>
      </c>
      <c r="D64" s="14" t="n">
        <v>2</v>
      </c>
      <c r="E64" s="14" t="n">
        <v>0</v>
      </c>
      <c r="F64" s="16" t="n">
        <f aca="false">ROUND(E64/D64*100,2)</f>
        <v>0</v>
      </c>
      <c r="G64" s="14" t="n">
        <v>0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1</v>
      </c>
      <c r="N64" s="1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20"/>
    <col collapsed="false" customWidth="true" hidden="false" outlineLevel="0" max="13" min="3" style="13" width="12"/>
  </cols>
  <sheetData>
    <row r="1" customFormat="false" ht="15" hidden="false" customHeight="true" outlineLevel="0" collapsed="false">
      <c r="A1" s="13" t="s">
        <v>787</v>
      </c>
    </row>
    <row r="2" customFormat="false" ht="15" hidden="false" customHeight="true" outlineLevel="0" collapsed="false">
      <c r="A2" s="13" t="s">
        <v>788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772</v>
      </c>
      <c r="D4" s="13" t="s">
        <v>5</v>
      </c>
      <c r="E4" s="13" t="s">
        <v>6</v>
      </c>
      <c r="F4" s="13" t="s">
        <v>115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  <c r="L4" s="13" t="s">
        <v>360</v>
      </c>
      <c r="M4" s="13" t="s">
        <v>109</v>
      </c>
    </row>
    <row r="5" customFormat="false" ht="15" hidden="false" customHeight="true" outlineLevel="0" collapsed="false">
      <c r="A5" s="13" t="n">
        <v>2024</v>
      </c>
      <c r="B5" s="13" t="s">
        <v>777</v>
      </c>
      <c r="C5" s="14" t="n">
        <v>20483</v>
      </c>
      <c r="D5" s="14" t="n">
        <v>18440</v>
      </c>
      <c r="E5" s="16" t="n">
        <v>99.5</v>
      </c>
      <c r="F5" s="14" t="n">
        <v>5351</v>
      </c>
      <c r="G5" s="14" t="n">
        <v>5543</v>
      </c>
      <c r="H5" s="14" t="n">
        <v>5629</v>
      </c>
      <c r="I5" s="14" t="n">
        <v>1812</v>
      </c>
      <c r="J5" s="14" t="n">
        <v>105</v>
      </c>
      <c r="K5" s="14" t="n">
        <v>1</v>
      </c>
      <c r="L5" s="14" t="n">
        <v>1950</v>
      </c>
      <c r="M5" s="14" t="n">
        <v>92</v>
      </c>
    </row>
    <row r="6" customFormat="false" ht="15" hidden="false" customHeight="true" outlineLevel="0" collapsed="false">
      <c r="A6" s="13" t="n">
        <v>2024</v>
      </c>
      <c r="B6" s="13" t="s">
        <v>779</v>
      </c>
      <c r="C6" s="14" t="n">
        <v>37174</v>
      </c>
      <c r="D6" s="14" t="n">
        <v>28795</v>
      </c>
      <c r="E6" s="16" t="n">
        <v>99.3</v>
      </c>
      <c r="F6" s="14" t="n">
        <v>6378</v>
      </c>
      <c r="G6" s="14" t="n">
        <v>8186</v>
      </c>
      <c r="H6" s="14" t="n">
        <v>8456</v>
      </c>
      <c r="I6" s="14" t="n">
        <v>5071</v>
      </c>
      <c r="J6" s="14" t="n">
        <v>704</v>
      </c>
      <c r="K6" s="14" t="n">
        <v>1</v>
      </c>
      <c r="L6" s="14" t="n">
        <v>8102</v>
      </c>
      <c r="M6" s="14" t="n">
        <v>276</v>
      </c>
    </row>
    <row r="7" customFormat="false" ht="15" hidden="false" customHeight="true" outlineLevel="0" collapsed="false">
      <c r="A7" s="13" t="n">
        <v>2024</v>
      </c>
      <c r="B7" s="13" t="s">
        <v>781</v>
      </c>
      <c r="C7" s="14" t="n">
        <v>1776</v>
      </c>
      <c r="D7" s="14" t="n">
        <v>1325</v>
      </c>
      <c r="E7" s="16" t="n">
        <v>97.4</v>
      </c>
      <c r="F7" s="14" t="n">
        <v>60</v>
      </c>
      <c r="G7" s="14" t="n">
        <v>361</v>
      </c>
      <c r="H7" s="14" t="n">
        <v>536</v>
      </c>
      <c r="I7" s="14" t="n">
        <v>330</v>
      </c>
      <c r="J7" s="14" t="n">
        <v>41</v>
      </c>
      <c r="K7" s="14" t="n">
        <v>0</v>
      </c>
      <c r="L7" s="14" t="n">
        <v>404</v>
      </c>
      <c r="M7" s="14" t="n">
        <v>44</v>
      </c>
    </row>
    <row r="8" customFormat="false" ht="15" hidden="false" customHeight="true" outlineLevel="0" collapsed="false">
      <c r="A8" s="13" t="n">
        <v>2024</v>
      </c>
      <c r="B8" s="13" t="s">
        <v>782</v>
      </c>
      <c r="C8" s="14" t="n">
        <v>3453</v>
      </c>
      <c r="D8" s="14" t="n">
        <v>1647</v>
      </c>
      <c r="E8" s="16" t="n">
        <v>96.1</v>
      </c>
      <c r="F8" s="14" t="n">
        <v>2</v>
      </c>
      <c r="G8" s="14" t="n">
        <v>101</v>
      </c>
      <c r="H8" s="14" t="n">
        <v>480</v>
      </c>
      <c r="I8" s="14" t="n">
        <v>813</v>
      </c>
      <c r="J8" s="14" t="n">
        <v>264</v>
      </c>
      <c r="K8" s="14" t="n">
        <v>1</v>
      </c>
      <c r="L8" s="14" t="n">
        <v>1671</v>
      </c>
      <c r="M8" s="14" t="n">
        <v>121</v>
      </c>
    </row>
    <row r="9" customFormat="false" ht="15" hidden="false" customHeight="true" outlineLevel="0" collapsed="false">
      <c r="A9" s="13" t="n">
        <v>2024</v>
      </c>
      <c r="B9" s="13" t="s">
        <v>789</v>
      </c>
      <c r="C9" s="14" t="n">
        <v>62886</v>
      </c>
      <c r="D9" s="14" t="n">
        <v>50207</v>
      </c>
      <c r="E9" s="16" t="n">
        <v>99.1</v>
      </c>
      <c r="F9" s="14" t="n">
        <v>11791</v>
      </c>
      <c r="G9" s="14" t="n">
        <v>14191</v>
      </c>
      <c r="H9" s="14" t="n">
        <v>15101</v>
      </c>
      <c r="I9" s="14" t="n">
        <v>8026</v>
      </c>
      <c r="J9" s="14" t="n">
        <v>1114</v>
      </c>
      <c r="K9" s="14" t="n">
        <v>3</v>
      </c>
      <c r="L9" s="14" t="n">
        <v>12127</v>
      </c>
      <c r="M9" s="14" t="n">
        <v>533</v>
      </c>
    </row>
    <row r="10" customFormat="false" ht="15" hidden="false" customHeight="true" outlineLevel="0" collapsed="false">
      <c r="A10" s="13" t="n">
        <v>2026</v>
      </c>
      <c r="B10" s="13" t="s">
        <v>777</v>
      </c>
      <c r="C10" s="14" t="n">
        <v>23210</v>
      </c>
      <c r="D10" s="14" t="n">
        <v>16650</v>
      </c>
      <c r="E10" s="16" t="n">
        <v>99.51</v>
      </c>
      <c r="F10" s="14" t="n">
        <v>2099</v>
      </c>
      <c r="G10" s="14" t="n">
        <v>5631</v>
      </c>
      <c r="H10" s="14" t="n">
        <v>6558</v>
      </c>
      <c r="I10" s="14" t="n">
        <v>2236</v>
      </c>
      <c r="J10" s="14" t="n">
        <v>126</v>
      </c>
      <c r="K10" s="14" t="n">
        <v>0</v>
      </c>
      <c r="L10" s="14" t="n">
        <v>6447</v>
      </c>
      <c r="M10" s="14" t="n">
        <v>113</v>
      </c>
    </row>
    <row r="11" customFormat="false" ht="15" hidden="false" customHeight="true" outlineLevel="0" collapsed="false">
      <c r="A11" s="13" t="n">
        <v>2026</v>
      </c>
      <c r="B11" s="13" t="s">
        <v>779</v>
      </c>
      <c r="C11" s="14" t="n">
        <v>36964</v>
      </c>
      <c r="D11" s="14" t="n">
        <v>12980</v>
      </c>
      <c r="E11" s="16" t="n">
        <v>99.13</v>
      </c>
      <c r="F11" s="14" t="n">
        <v>1074</v>
      </c>
      <c r="G11" s="14" t="n">
        <v>2712</v>
      </c>
      <c r="H11" s="14" t="n">
        <v>4757</v>
      </c>
      <c r="I11" s="14" t="n">
        <v>3839</v>
      </c>
      <c r="J11" s="14" t="n">
        <v>593</v>
      </c>
      <c r="K11" s="14" t="n">
        <v>5</v>
      </c>
      <c r="L11" s="14" t="n">
        <v>23661</v>
      </c>
      <c r="M11" s="14" t="n">
        <v>323</v>
      </c>
    </row>
    <row r="12" customFormat="false" ht="15" hidden="false" customHeight="true" outlineLevel="0" collapsed="false">
      <c r="A12" s="13" t="n">
        <v>2026</v>
      </c>
      <c r="B12" s="13" t="s">
        <v>781</v>
      </c>
      <c r="C12" s="14" t="n">
        <v>1271</v>
      </c>
      <c r="D12" s="14" t="n">
        <v>842</v>
      </c>
      <c r="E12" s="16" t="n">
        <v>96.3</v>
      </c>
      <c r="F12" s="14" t="n">
        <v>35</v>
      </c>
      <c r="G12" s="14" t="n">
        <v>245</v>
      </c>
      <c r="H12" s="14" t="n">
        <v>354</v>
      </c>
      <c r="I12" s="14" t="n">
        <v>195</v>
      </c>
      <c r="J12" s="14" t="n">
        <v>13</v>
      </c>
      <c r="K12" s="14" t="n">
        <v>0</v>
      </c>
      <c r="L12" s="14" t="n">
        <v>382</v>
      </c>
      <c r="M12" s="14" t="n">
        <v>47</v>
      </c>
    </row>
    <row r="13" customFormat="false" ht="15" hidden="false" customHeight="true" outlineLevel="0" collapsed="false">
      <c r="A13" s="13" t="n">
        <v>2026</v>
      </c>
      <c r="B13" s="13" t="s">
        <v>782</v>
      </c>
      <c r="C13" s="14" t="n">
        <v>2160</v>
      </c>
      <c r="D13" s="14" t="n">
        <v>697</v>
      </c>
      <c r="E13" s="16" t="n">
        <v>95.88</v>
      </c>
      <c r="F13" s="14" t="n">
        <v>1</v>
      </c>
      <c r="G13" s="14" t="n">
        <v>78</v>
      </c>
      <c r="H13" s="14" t="n">
        <v>221</v>
      </c>
      <c r="I13" s="14" t="n">
        <v>285</v>
      </c>
      <c r="J13" s="14" t="n">
        <v>111</v>
      </c>
      <c r="K13" s="14" t="n">
        <v>1</v>
      </c>
      <c r="L13" s="14" t="n">
        <v>1374</v>
      </c>
      <c r="M13" s="14" t="n">
        <v>89</v>
      </c>
    </row>
    <row r="14" customFormat="false" ht="15" hidden="false" customHeight="true" outlineLevel="0" collapsed="false">
      <c r="A14" s="13" t="n">
        <v>2026</v>
      </c>
      <c r="B14" s="13" t="s">
        <v>789</v>
      </c>
      <c r="C14" s="14" t="n">
        <v>63605</v>
      </c>
      <c r="D14" s="14" t="n">
        <v>31169</v>
      </c>
      <c r="E14" s="16" t="n">
        <v>99.1</v>
      </c>
      <c r="F14" s="14" t="n">
        <v>3209</v>
      </c>
      <c r="G14" s="14" t="n">
        <v>8666</v>
      </c>
      <c r="H14" s="14" t="n">
        <v>11890</v>
      </c>
      <c r="I14" s="14" t="n">
        <v>6555</v>
      </c>
      <c r="J14" s="14" t="n">
        <v>843</v>
      </c>
      <c r="K14" s="14" t="n">
        <v>6</v>
      </c>
      <c r="L14" s="14" t="n">
        <v>31864</v>
      </c>
      <c r="M14" s="14" t="n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20"/>
    <col collapsed="false" customWidth="true" hidden="false" outlineLevel="0" max="13" min="3" style="13" width="12"/>
  </cols>
  <sheetData>
    <row r="1" customFormat="false" ht="15" hidden="false" customHeight="true" outlineLevel="0" collapsed="false">
      <c r="A1" s="13" t="s">
        <v>790</v>
      </c>
    </row>
    <row r="2" customFormat="false" ht="15" hidden="false" customHeight="true" outlineLevel="0" collapsed="false">
      <c r="A2" s="13" t="s">
        <v>791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772</v>
      </c>
      <c r="D4" s="13" t="s">
        <v>5</v>
      </c>
      <c r="E4" s="13" t="s">
        <v>6</v>
      </c>
      <c r="F4" s="13" t="s">
        <v>115</v>
      </c>
      <c r="G4" s="13" t="s">
        <v>116</v>
      </c>
      <c r="H4" s="13" t="s">
        <v>117</v>
      </c>
      <c r="I4" s="13" t="s">
        <v>118</v>
      </c>
      <c r="J4" s="13" t="s">
        <v>119</v>
      </c>
      <c r="K4" s="13" t="s">
        <v>120</v>
      </c>
      <c r="L4" s="13" t="s">
        <v>479</v>
      </c>
      <c r="M4" s="13" t="s">
        <v>109</v>
      </c>
    </row>
    <row r="5" customFormat="false" ht="15" hidden="false" customHeight="true" outlineLevel="0" collapsed="false">
      <c r="A5" s="13" t="n">
        <v>2024</v>
      </c>
      <c r="B5" s="13" t="s">
        <v>777</v>
      </c>
      <c r="C5" s="14" t="n">
        <v>17771</v>
      </c>
      <c r="D5" s="14" t="n">
        <v>17243</v>
      </c>
      <c r="E5" s="16" t="n">
        <f aca="false">ROUND(D5/C5*100,2)</f>
        <v>97.03</v>
      </c>
      <c r="F5" s="14" t="n">
        <v>5661</v>
      </c>
      <c r="G5" s="14" t="n">
        <v>5897</v>
      </c>
      <c r="H5" s="14" t="n">
        <v>4609</v>
      </c>
      <c r="I5" s="14" t="n">
        <v>1013</v>
      </c>
      <c r="J5" s="14" t="n">
        <v>65</v>
      </c>
      <c r="K5" s="14" t="n">
        <v>1</v>
      </c>
      <c r="L5" s="14" t="n">
        <v>470</v>
      </c>
      <c r="M5" s="14" t="n">
        <v>55</v>
      </c>
    </row>
    <row r="6" customFormat="false" ht="15" hidden="false" customHeight="true" outlineLevel="0" collapsed="false">
      <c r="A6" s="13" t="n">
        <v>2024</v>
      </c>
      <c r="B6" s="13" t="s">
        <v>779</v>
      </c>
      <c r="C6" s="14" t="n">
        <v>33104</v>
      </c>
      <c r="D6" s="14" t="n">
        <v>30492</v>
      </c>
      <c r="E6" s="16" t="n">
        <f aca="false">ROUND(D6/C6*100,2)</f>
        <v>92.11</v>
      </c>
      <c r="F6" s="14" t="n">
        <v>7127</v>
      </c>
      <c r="G6" s="14" t="n">
        <v>7969</v>
      </c>
      <c r="H6" s="14" t="n">
        <v>8480</v>
      </c>
      <c r="I6" s="14" t="n">
        <v>5988</v>
      </c>
      <c r="J6" s="14" t="n">
        <v>937</v>
      </c>
      <c r="K6" s="14" t="n">
        <v>8</v>
      </c>
      <c r="L6" s="14" t="n">
        <v>2423</v>
      </c>
      <c r="M6" s="14" t="n">
        <v>172</v>
      </c>
    </row>
    <row r="7" customFormat="false" ht="15" hidden="false" customHeight="true" outlineLevel="0" collapsed="false">
      <c r="A7" s="13" t="n">
        <v>2024</v>
      </c>
      <c r="B7" s="13" t="s">
        <v>781</v>
      </c>
      <c r="C7" s="14" t="n">
        <v>3430</v>
      </c>
      <c r="D7" s="14" t="n">
        <v>2940</v>
      </c>
      <c r="E7" s="16" t="n">
        <f aca="false">ROUND(D7/C7*100,2)</f>
        <v>85.71</v>
      </c>
      <c r="F7" s="14" t="n">
        <v>860</v>
      </c>
      <c r="G7" s="14" t="n">
        <v>604</v>
      </c>
      <c r="H7" s="14" t="n">
        <v>891</v>
      </c>
      <c r="I7" s="14" t="n">
        <v>494</v>
      </c>
      <c r="J7" s="14" t="n">
        <v>89</v>
      </c>
      <c r="K7" s="14" t="n">
        <v>2</v>
      </c>
      <c r="L7" s="14" t="n">
        <v>424</v>
      </c>
      <c r="M7" s="14" t="n">
        <v>66</v>
      </c>
    </row>
    <row r="8" customFormat="false" ht="15" hidden="false" customHeight="true" outlineLevel="0" collapsed="false">
      <c r="A8" s="13" t="n">
        <v>2024</v>
      </c>
      <c r="B8" s="13" t="s">
        <v>782</v>
      </c>
      <c r="C8" s="14" t="n">
        <v>6912</v>
      </c>
      <c r="D8" s="14" t="n">
        <v>5442</v>
      </c>
      <c r="E8" s="16" t="n">
        <f aca="false">ROUND(D8/C8*100,2)</f>
        <v>78.73</v>
      </c>
      <c r="F8" s="14" t="n">
        <v>1352</v>
      </c>
      <c r="G8" s="14" t="n">
        <v>471</v>
      </c>
      <c r="H8" s="14" t="n">
        <v>978</v>
      </c>
      <c r="I8" s="14" t="n">
        <v>1699</v>
      </c>
      <c r="J8" s="14" t="n">
        <v>919</v>
      </c>
      <c r="K8" s="14" t="n">
        <v>33</v>
      </c>
      <c r="L8" s="14" t="n">
        <v>1256</v>
      </c>
      <c r="M8" s="14" t="n">
        <v>204</v>
      </c>
    </row>
    <row r="9" customFormat="false" ht="15" hidden="false" customHeight="true" outlineLevel="0" collapsed="false">
      <c r="A9" s="13" t="n">
        <v>2024</v>
      </c>
      <c r="B9" s="13" t="s">
        <v>789</v>
      </c>
      <c r="C9" s="14" t="n">
        <v>61217</v>
      </c>
      <c r="D9" s="14" t="n">
        <v>56117</v>
      </c>
      <c r="E9" s="16" t="n">
        <f aca="false">ROUND(D9/C9*100,2)</f>
        <v>91.67</v>
      </c>
      <c r="F9" s="14" t="n">
        <v>15000</v>
      </c>
      <c r="G9" s="14" t="n">
        <v>14941</v>
      </c>
      <c r="H9" s="14" t="n">
        <v>14958</v>
      </c>
      <c r="I9" s="14" t="n">
        <v>9194</v>
      </c>
      <c r="J9" s="14" t="n">
        <v>2010</v>
      </c>
      <c r="K9" s="14" t="n">
        <v>44</v>
      </c>
      <c r="L9" s="14" t="n">
        <v>4573</v>
      </c>
      <c r="M9" s="14" t="n">
        <v>497</v>
      </c>
    </row>
    <row r="10" customFormat="false" ht="15" hidden="false" customHeight="true" outlineLevel="0" collapsed="false">
      <c r="A10" s="13" t="n">
        <v>2025</v>
      </c>
      <c r="B10" s="13" t="s">
        <v>777</v>
      </c>
      <c r="C10" s="14" t="n">
        <v>19695</v>
      </c>
      <c r="D10" s="14" t="n">
        <v>17322</v>
      </c>
      <c r="E10" s="16" t="n">
        <f aca="false">ROUND(D10/C10*100,2)</f>
        <v>87.95</v>
      </c>
      <c r="F10" s="14" t="n">
        <v>3675</v>
      </c>
      <c r="G10" s="14" t="n">
        <v>6317</v>
      </c>
      <c r="H10" s="14" t="n">
        <v>5536</v>
      </c>
      <c r="I10" s="14" t="n">
        <v>1682</v>
      </c>
      <c r="J10" s="14" t="n">
        <v>112</v>
      </c>
      <c r="K10" s="14" t="n">
        <v>0</v>
      </c>
      <c r="L10" s="14" t="n">
        <v>2288</v>
      </c>
    </row>
    <row r="11" customFormat="false" ht="15" hidden="false" customHeight="true" outlineLevel="0" collapsed="false">
      <c r="A11" s="13" t="n">
        <v>2025</v>
      </c>
      <c r="B11" s="13" t="s">
        <v>779</v>
      </c>
      <c r="C11" s="14" t="n">
        <v>34246</v>
      </c>
      <c r="D11" s="14" t="n">
        <v>21752</v>
      </c>
      <c r="E11" s="16" t="n">
        <f aca="false">ROUND(D11/C11*100,2)</f>
        <v>63.52</v>
      </c>
      <c r="F11" s="14" t="n">
        <v>2307</v>
      </c>
      <c r="G11" s="14" t="n">
        <v>5799</v>
      </c>
      <c r="H11" s="14" t="n">
        <v>7993</v>
      </c>
      <c r="I11" s="14" t="n">
        <v>4824</v>
      </c>
      <c r="J11" s="14" t="n">
        <v>827</v>
      </c>
      <c r="K11" s="14" t="n">
        <v>2</v>
      </c>
      <c r="L11" s="14" t="n">
        <v>12293</v>
      </c>
    </row>
    <row r="12" customFormat="false" ht="15" hidden="false" customHeight="true" outlineLevel="0" collapsed="false">
      <c r="A12" s="13" t="n">
        <v>2025</v>
      </c>
      <c r="B12" s="13" t="s">
        <v>781</v>
      </c>
      <c r="C12" s="14" t="n">
        <v>2896</v>
      </c>
      <c r="D12" s="14" t="n">
        <v>2321</v>
      </c>
      <c r="E12" s="16" t="n">
        <f aca="false">ROUND(D12/C12*100,2)</f>
        <v>80.15</v>
      </c>
      <c r="F12" s="14" t="n">
        <v>642</v>
      </c>
      <c r="G12" s="14" t="n">
        <v>457</v>
      </c>
      <c r="H12" s="14" t="n">
        <v>719</v>
      </c>
      <c r="I12" s="14" t="n">
        <v>443</v>
      </c>
      <c r="J12" s="14" t="n">
        <v>58</v>
      </c>
      <c r="K12" s="14" t="n">
        <v>2</v>
      </c>
      <c r="L12" s="14" t="n">
        <v>503</v>
      </c>
    </row>
    <row r="13" customFormat="false" ht="15" hidden="false" customHeight="true" outlineLevel="0" collapsed="false">
      <c r="A13" s="13" t="n">
        <v>2025</v>
      </c>
      <c r="B13" s="13" t="s">
        <v>782</v>
      </c>
      <c r="C13" s="14" t="n">
        <v>5485</v>
      </c>
      <c r="D13" s="14" t="n">
        <v>3507</v>
      </c>
      <c r="E13" s="16" t="n">
        <f aca="false">ROUND(D13/C13*100,2)</f>
        <v>63.94</v>
      </c>
      <c r="F13" s="14" t="n">
        <v>969</v>
      </c>
      <c r="G13" s="14" t="n">
        <v>274</v>
      </c>
      <c r="H13" s="14" t="n">
        <v>601</v>
      </c>
      <c r="I13" s="14" t="n">
        <v>1073</v>
      </c>
      <c r="J13" s="14" t="n">
        <v>568</v>
      </c>
      <c r="K13" s="14" t="n">
        <v>22</v>
      </c>
      <c r="L13" s="14" t="n">
        <v>1753</v>
      </c>
    </row>
    <row r="14" customFormat="false" ht="15" hidden="false" customHeight="true" outlineLevel="0" collapsed="false">
      <c r="A14" s="13" t="n">
        <v>2025</v>
      </c>
      <c r="B14" s="13" t="s">
        <v>789</v>
      </c>
      <c r="C14" s="14" t="n">
        <v>62322</v>
      </c>
      <c r="D14" s="14" t="n">
        <v>44902</v>
      </c>
      <c r="E14" s="16" t="n">
        <f aca="false">ROUND(D14/C14*100,2)</f>
        <v>72.05</v>
      </c>
      <c r="F14" s="14" t="n">
        <v>7593</v>
      </c>
      <c r="G14" s="14" t="n">
        <v>12847</v>
      </c>
      <c r="H14" s="14" t="n">
        <v>14849</v>
      </c>
      <c r="I14" s="14" t="n">
        <v>8022</v>
      </c>
      <c r="J14" s="14" t="n">
        <v>1565</v>
      </c>
      <c r="K14" s="14" t="n">
        <v>26</v>
      </c>
      <c r="L14" s="14" t="n">
        <v>16837</v>
      </c>
    </row>
    <row r="15" customFormat="false" ht="15" hidden="false" customHeight="true" outlineLevel="0" collapsed="false">
      <c r="A15" s="13" t="n">
        <v>2026</v>
      </c>
      <c r="B15" s="13" t="s">
        <v>777</v>
      </c>
      <c r="C15" s="14" t="n">
        <v>21496</v>
      </c>
      <c r="D15" s="14" t="n">
        <v>16064</v>
      </c>
      <c r="E15" s="16" t="n">
        <f aca="false">ROUND(D15/C15*100,2)</f>
        <v>74.73</v>
      </c>
      <c r="F15" s="14" t="n">
        <v>2346</v>
      </c>
      <c r="G15" s="14" t="n">
        <v>5867</v>
      </c>
      <c r="H15" s="14" t="n">
        <v>6474</v>
      </c>
      <c r="I15" s="14" t="n">
        <v>1353</v>
      </c>
      <c r="J15" s="14" t="n">
        <v>24</v>
      </c>
      <c r="K15" s="14" t="n">
        <v>0</v>
      </c>
      <c r="L15" s="14" t="n">
        <v>5328</v>
      </c>
      <c r="M15" s="13" t="n">
        <v>104</v>
      </c>
    </row>
    <row r="16" customFormat="false" ht="15" hidden="false" customHeight="true" outlineLevel="0" collapsed="false">
      <c r="A16" s="13" t="n">
        <v>2026</v>
      </c>
      <c r="B16" s="13" t="s">
        <v>779</v>
      </c>
      <c r="C16" s="14" t="n">
        <v>35227</v>
      </c>
      <c r="D16" s="14" t="n">
        <v>13756</v>
      </c>
      <c r="E16" s="16" t="n">
        <f aca="false">ROUND(D16/C16*100,2)</f>
        <v>39.05</v>
      </c>
      <c r="F16" s="14" t="n">
        <v>1160</v>
      </c>
      <c r="G16" s="14" t="n">
        <v>3143</v>
      </c>
      <c r="H16" s="14" t="n">
        <v>5848</v>
      </c>
      <c r="I16" s="14" t="n">
        <v>3379</v>
      </c>
      <c r="J16" s="14" t="n">
        <v>226</v>
      </c>
      <c r="K16" s="14" t="n">
        <v>0</v>
      </c>
      <c r="L16" s="14" t="n">
        <v>21135</v>
      </c>
      <c r="M16" s="13" t="n">
        <v>336</v>
      </c>
    </row>
    <row r="17" customFormat="false" ht="15" hidden="false" customHeight="true" outlineLevel="0" collapsed="false">
      <c r="A17" s="13" t="n">
        <v>2026</v>
      </c>
      <c r="B17" s="13" t="s">
        <v>781</v>
      </c>
      <c r="C17" s="14" t="n">
        <v>3426</v>
      </c>
      <c r="D17" s="14" t="n">
        <v>2224</v>
      </c>
      <c r="E17" s="16" t="n">
        <f aca="false">ROUND(D17/C17*100,2)</f>
        <v>64.92</v>
      </c>
      <c r="F17" s="14" t="n">
        <v>917</v>
      </c>
      <c r="G17" s="14" t="n">
        <v>426</v>
      </c>
      <c r="H17" s="14" t="n">
        <v>542</v>
      </c>
      <c r="I17" s="14" t="n">
        <v>294</v>
      </c>
      <c r="J17" s="14" t="n">
        <v>43</v>
      </c>
      <c r="K17" s="14" t="n">
        <v>2</v>
      </c>
      <c r="L17" s="14" t="n">
        <v>1129</v>
      </c>
      <c r="M17" s="13" t="n">
        <v>73</v>
      </c>
    </row>
    <row r="18" customFormat="false" ht="15" hidden="false" customHeight="true" outlineLevel="0" collapsed="false">
      <c r="A18" s="13" t="n">
        <v>2026</v>
      </c>
      <c r="B18" s="13" t="s">
        <v>782</v>
      </c>
      <c r="C18" s="14" t="n">
        <v>6586</v>
      </c>
      <c r="D18" s="14" t="n">
        <v>3059</v>
      </c>
      <c r="E18" s="16" t="n">
        <f aca="false">ROUND(D18/C18*100,2)</f>
        <v>46.45</v>
      </c>
      <c r="F18" s="14" t="n">
        <v>858</v>
      </c>
      <c r="G18" s="14" t="n">
        <v>443</v>
      </c>
      <c r="H18" s="14" t="n">
        <v>672</v>
      </c>
      <c r="I18" s="14" t="n">
        <v>756</v>
      </c>
      <c r="J18" s="14" t="n">
        <v>321</v>
      </c>
      <c r="K18" s="14" t="n">
        <v>9</v>
      </c>
      <c r="L18" s="14" t="n">
        <v>3286</v>
      </c>
      <c r="M18" s="13" t="n">
        <v>241</v>
      </c>
    </row>
    <row r="19" customFormat="false" ht="15" hidden="false" customHeight="true" outlineLevel="0" collapsed="false">
      <c r="A19" s="13" t="n">
        <v>2026</v>
      </c>
      <c r="B19" s="13" t="s">
        <v>789</v>
      </c>
      <c r="C19" s="14" t="n">
        <v>66735</v>
      </c>
      <c r="D19" s="14" t="n">
        <v>35103</v>
      </c>
      <c r="E19" s="16" t="n">
        <f aca="false">ROUND(D19/C19*100,2)</f>
        <v>52.6</v>
      </c>
      <c r="F19" s="14" t="n">
        <v>5281</v>
      </c>
      <c r="G19" s="14" t="n">
        <v>9879</v>
      </c>
      <c r="H19" s="14" t="n">
        <v>13536</v>
      </c>
      <c r="I19" s="14" t="n">
        <v>5782</v>
      </c>
      <c r="J19" s="14" t="n">
        <v>614</v>
      </c>
      <c r="K19" s="14" t="n">
        <v>11</v>
      </c>
      <c r="L19" s="14" t="n">
        <v>30878</v>
      </c>
      <c r="M19" s="13" t="n">
        <v>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40"/>
    <col collapsed="false" customWidth="true" hidden="false" outlineLevel="0" max="5" min="3" style="13" width="12"/>
  </cols>
  <sheetData>
    <row r="1" customFormat="false" ht="15" hidden="false" customHeight="true" outlineLevel="0" collapsed="false">
      <c r="A1" s="13" t="s">
        <v>792</v>
      </c>
    </row>
    <row r="2" customFormat="false" ht="15" hidden="false" customHeight="true" outlineLevel="0" collapsed="false">
      <c r="A2" s="13" t="s">
        <v>793</v>
      </c>
    </row>
    <row r="4" customFormat="false" ht="15" hidden="false" customHeight="true" outlineLevel="0" collapsed="false">
      <c r="A4" s="13" t="s">
        <v>3</v>
      </c>
      <c r="B4" s="13" t="s">
        <v>141</v>
      </c>
      <c r="C4" s="13" t="s">
        <v>4</v>
      </c>
      <c r="D4" s="13" t="s">
        <v>5</v>
      </c>
      <c r="E4" s="13" t="s">
        <v>6</v>
      </c>
    </row>
    <row r="5" customFormat="false" ht="15" hidden="false" customHeight="true" outlineLevel="0" collapsed="false">
      <c r="A5" s="13" t="n">
        <v>2024</v>
      </c>
      <c r="B5" s="13" t="s">
        <v>142</v>
      </c>
      <c r="C5" s="14" t="n">
        <v>62411</v>
      </c>
      <c r="D5" s="14" t="n">
        <v>60895</v>
      </c>
      <c r="E5" s="16" t="n">
        <v>97.57</v>
      </c>
    </row>
    <row r="6" customFormat="false" ht="15" hidden="false" customHeight="true" outlineLevel="0" collapsed="false">
      <c r="A6" s="13" t="n">
        <v>2024</v>
      </c>
      <c r="B6" s="13" t="s">
        <v>794</v>
      </c>
      <c r="C6" s="14" t="n">
        <v>62</v>
      </c>
      <c r="D6" s="14" t="n">
        <v>61</v>
      </c>
      <c r="E6" s="16" t="n">
        <v>98.39</v>
      </c>
    </row>
    <row r="7" customFormat="false" ht="15" hidden="false" customHeight="true" outlineLevel="0" collapsed="false">
      <c r="A7" s="13" t="n">
        <v>2024</v>
      </c>
      <c r="B7" s="13" t="s">
        <v>410</v>
      </c>
      <c r="C7" s="14" t="n">
        <v>62252</v>
      </c>
      <c r="D7" s="14" t="n">
        <v>60463</v>
      </c>
      <c r="E7" s="16" t="n">
        <v>97.13</v>
      </c>
    </row>
    <row r="8" customFormat="false" ht="15" hidden="false" customHeight="true" outlineLevel="0" collapsed="false">
      <c r="A8" s="13" t="n">
        <v>2024</v>
      </c>
      <c r="B8" s="13" t="s">
        <v>145</v>
      </c>
      <c r="C8" s="14" t="n">
        <v>24</v>
      </c>
      <c r="D8" s="14" t="n">
        <v>21</v>
      </c>
      <c r="E8" s="16" t="n">
        <v>87.5</v>
      </c>
    </row>
    <row r="9" customFormat="false" ht="15" hidden="false" customHeight="true" outlineLevel="0" collapsed="false">
      <c r="A9" s="13" t="n">
        <v>2024</v>
      </c>
      <c r="B9" s="13" t="s">
        <v>265</v>
      </c>
      <c r="C9" s="14" t="n">
        <v>2603</v>
      </c>
      <c r="D9" s="14" t="n">
        <v>2277</v>
      </c>
      <c r="E9" s="16" t="n">
        <v>87.48</v>
      </c>
    </row>
    <row r="10" customFormat="false" ht="15" hidden="false" customHeight="true" outlineLevel="0" collapsed="false">
      <c r="A10" s="13" t="n">
        <v>2024</v>
      </c>
      <c r="B10" s="13" t="s">
        <v>795</v>
      </c>
      <c r="C10" s="14" t="n">
        <v>17</v>
      </c>
      <c r="D10" s="14" t="n">
        <v>17</v>
      </c>
      <c r="E10" s="16" t="n">
        <v>100</v>
      </c>
    </row>
    <row r="11" customFormat="false" ht="15" hidden="false" customHeight="true" outlineLevel="0" collapsed="false">
      <c r="A11" s="13" t="n">
        <v>2024</v>
      </c>
      <c r="B11" s="13" t="s">
        <v>796</v>
      </c>
      <c r="C11" s="14" t="n">
        <v>59828</v>
      </c>
      <c r="D11" s="14" t="n">
        <v>58867</v>
      </c>
      <c r="E11" s="16" t="n">
        <v>98.39</v>
      </c>
    </row>
    <row r="12" customFormat="false" ht="15" hidden="false" customHeight="true" outlineLevel="0" collapsed="false">
      <c r="A12" s="13" t="n">
        <v>2024</v>
      </c>
      <c r="B12" s="13" t="s">
        <v>797</v>
      </c>
      <c r="C12" s="14" t="n">
        <v>269</v>
      </c>
      <c r="D12" s="14" t="n">
        <v>253</v>
      </c>
      <c r="E12" s="16" t="n">
        <v>94.05</v>
      </c>
    </row>
    <row r="13" customFormat="false" ht="15" hidden="false" customHeight="true" outlineLevel="0" collapsed="false">
      <c r="A13" s="13" t="n">
        <v>2024</v>
      </c>
      <c r="B13" s="13" t="s">
        <v>798</v>
      </c>
      <c r="C13" s="14" t="n">
        <v>17</v>
      </c>
      <c r="D13" s="14" t="n">
        <v>17</v>
      </c>
      <c r="E13" s="16" t="n">
        <v>100</v>
      </c>
    </row>
    <row r="14" customFormat="false" ht="15" hidden="false" customHeight="true" outlineLevel="0" collapsed="false">
      <c r="A14" s="13" t="n">
        <v>2024</v>
      </c>
      <c r="B14" s="13" t="s">
        <v>149</v>
      </c>
      <c r="C14" s="14" t="n">
        <v>57859</v>
      </c>
      <c r="D14" s="14" t="n">
        <v>56936</v>
      </c>
      <c r="E14" s="16" t="n">
        <v>98.4</v>
      </c>
    </row>
    <row r="15" customFormat="false" ht="15" hidden="false" customHeight="true" outlineLevel="0" collapsed="false">
      <c r="A15" s="13" t="n">
        <v>2024</v>
      </c>
      <c r="B15" s="13" t="s">
        <v>799</v>
      </c>
      <c r="C15" s="14" t="n">
        <v>26</v>
      </c>
      <c r="D15" s="14" t="n">
        <v>14</v>
      </c>
      <c r="E15" s="16" t="n">
        <v>53.85</v>
      </c>
    </row>
    <row r="16" customFormat="false" ht="15" hidden="false" customHeight="true" outlineLevel="0" collapsed="false">
      <c r="A16" s="13" t="n">
        <v>2024</v>
      </c>
      <c r="B16" s="13" t="s">
        <v>151</v>
      </c>
      <c r="C16" s="14" t="n">
        <v>6011</v>
      </c>
      <c r="D16" s="14" t="n">
        <v>5846</v>
      </c>
      <c r="E16" s="16" t="n">
        <v>97.26</v>
      </c>
    </row>
    <row r="17" customFormat="false" ht="15" hidden="false" customHeight="true" outlineLevel="0" collapsed="false">
      <c r="A17" s="13" t="n">
        <v>2024</v>
      </c>
      <c r="B17" s="13" t="s">
        <v>152</v>
      </c>
      <c r="C17" s="14" t="n">
        <v>2425</v>
      </c>
      <c r="D17" s="14" t="n">
        <v>2325</v>
      </c>
      <c r="E17" s="16" t="n">
        <v>95.88</v>
      </c>
    </row>
    <row r="18" customFormat="false" ht="15" hidden="false" customHeight="true" outlineLevel="0" collapsed="false">
      <c r="A18" s="13" t="n">
        <v>2024</v>
      </c>
      <c r="B18" s="13" t="s">
        <v>161</v>
      </c>
      <c r="C18" s="14" t="n">
        <v>527</v>
      </c>
      <c r="D18" s="14" t="n">
        <v>514</v>
      </c>
      <c r="E18" s="16" t="n">
        <v>97.53</v>
      </c>
    </row>
    <row r="19" customFormat="false" ht="15" hidden="false" customHeight="true" outlineLevel="0" collapsed="false">
      <c r="A19" s="13" t="n">
        <v>2024</v>
      </c>
      <c r="B19" s="13" t="s">
        <v>153</v>
      </c>
      <c r="C19" s="14" t="n">
        <v>707</v>
      </c>
      <c r="D19" s="14" t="n">
        <v>698</v>
      </c>
      <c r="E19" s="16" t="n">
        <v>98.73</v>
      </c>
    </row>
    <row r="20" customFormat="false" ht="15" hidden="false" customHeight="true" outlineLevel="0" collapsed="false">
      <c r="A20" s="13" t="n">
        <v>2024</v>
      </c>
      <c r="B20" s="13" t="s">
        <v>154</v>
      </c>
      <c r="C20" s="14" t="n">
        <v>10988</v>
      </c>
      <c r="D20" s="14" t="n">
        <v>10600</v>
      </c>
      <c r="E20" s="16" t="n">
        <v>96.47</v>
      </c>
    </row>
    <row r="21" customFormat="false" ht="15" hidden="false" customHeight="true" outlineLevel="0" collapsed="false">
      <c r="A21" s="13" t="n">
        <v>2024</v>
      </c>
      <c r="B21" s="13" t="s">
        <v>800</v>
      </c>
      <c r="C21" s="14" t="n">
        <v>1588</v>
      </c>
      <c r="D21" s="14" t="n">
        <v>1563</v>
      </c>
      <c r="E21" s="16" t="n">
        <v>98.43</v>
      </c>
    </row>
    <row r="22" customFormat="false" ht="15" hidden="false" customHeight="true" outlineLevel="0" collapsed="false">
      <c r="A22" s="13" t="n">
        <v>2024</v>
      </c>
      <c r="B22" s="13" t="s">
        <v>156</v>
      </c>
      <c r="C22" s="14" t="n">
        <v>12252</v>
      </c>
      <c r="D22" s="14" t="n">
        <v>11758</v>
      </c>
      <c r="E22" s="16" t="n">
        <v>95.97</v>
      </c>
    </row>
    <row r="23" customFormat="false" ht="15" hidden="false" customHeight="true" outlineLevel="0" collapsed="false">
      <c r="A23" s="13" t="n">
        <v>2024</v>
      </c>
      <c r="B23" s="13" t="s">
        <v>425</v>
      </c>
      <c r="C23" s="14" t="n">
        <v>109</v>
      </c>
      <c r="D23" s="14" t="n">
        <v>108</v>
      </c>
      <c r="E23" s="16" t="n">
        <v>99.08</v>
      </c>
    </row>
    <row r="24" customFormat="false" ht="15" hidden="false" customHeight="true" outlineLevel="0" collapsed="false">
      <c r="A24" s="13" t="n">
        <v>2024</v>
      </c>
      <c r="B24" s="13" t="s">
        <v>130</v>
      </c>
      <c r="C24" s="14" t="n">
        <v>7</v>
      </c>
      <c r="D24" s="14" t="n">
        <v>7</v>
      </c>
      <c r="E24" s="16" t="n">
        <v>100</v>
      </c>
    </row>
    <row r="25" customFormat="false" ht="15" hidden="false" customHeight="true" outlineLevel="0" collapsed="false">
      <c r="A25" s="13" t="n">
        <v>2024</v>
      </c>
      <c r="B25" s="13" t="s">
        <v>507</v>
      </c>
      <c r="C25" s="14" t="n">
        <v>68</v>
      </c>
      <c r="D25" s="14" t="n">
        <v>67</v>
      </c>
      <c r="E25" s="16" t="n">
        <v>98.53</v>
      </c>
    </row>
    <row r="26" customFormat="false" ht="15" hidden="false" customHeight="true" outlineLevel="0" collapsed="false">
      <c r="A26" s="13" t="n">
        <v>2024</v>
      </c>
      <c r="B26" s="13" t="s">
        <v>419</v>
      </c>
      <c r="C26" s="14" t="n">
        <v>12114</v>
      </c>
      <c r="D26" s="14" t="n">
        <v>11585</v>
      </c>
      <c r="E26" s="16" t="n">
        <v>95.63</v>
      </c>
    </row>
    <row r="27" customFormat="false" ht="15" hidden="false" customHeight="true" outlineLevel="0" collapsed="false">
      <c r="A27" s="13" t="n">
        <v>2024</v>
      </c>
      <c r="B27" s="13" t="s">
        <v>801</v>
      </c>
      <c r="C27" s="14" t="n">
        <v>4621</v>
      </c>
      <c r="D27" s="14" t="n">
        <v>4441</v>
      </c>
      <c r="E27" s="16" t="n">
        <v>96.1</v>
      </c>
    </row>
    <row r="28" customFormat="false" ht="15" hidden="false" customHeight="true" outlineLevel="0" collapsed="false">
      <c r="A28" s="13" t="n">
        <v>2024</v>
      </c>
      <c r="B28" s="13" t="s">
        <v>150</v>
      </c>
      <c r="C28" s="14" t="n">
        <v>1206</v>
      </c>
      <c r="D28" s="14" t="n">
        <v>1124</v>
      </c>
      <c r="E28" s="16" t="n">
        <v>93.2</v>
      </c>
    </row>
    <row r="29" customFormat="false" ht="15" hidden="false" customHeight="true" outlineLevel="0" collapsed="false">
      <c r="A29" s="13" t="n">
        <v>2024</v>
      </c>
      <c r="B29" s="13" t="s">
        <v>802</v>
      </c>
      <c r="C29" s="14" t="n">
        <v>174</v>
      </c>
      <c r="D29" s="14" t="n">
        <v>174</v>
      </c>
      <c r="E29" s="16" t="n">
        <v>100</v>
      </c>
    </row>
    <row r="30" customFormat="false" ht="15" hidden="false" customHeight="true" outlineLevel="0" collapsed="false">
      <c r="A30" s="13" t="n">
        <v>2024</v>
      </c>
      <c r="B30" s="13" t="s">
        <v>159</v>
      </c>
      <c r="C30" s="14" t="n">
        <v>790</v>
      </c>
      <c r="D30" s="14" t="n">
        <v>711</v>
      </c>
      <c r="E30" s="16" t="n">
        <v>90</v>
      </c>
    </row>
    <row r="31" customFormat="false" ht="15" hidden="false" customHeight="true" outlineLevel="0" collapsed="false">
      <c r="A31" s="13" t="n">
        <v>2024</v>
      </c>
      <c r="B31" s="13" t="s">
        <v>803</v>
      </c>
      <c r="C31" s="14" t="n">
        <v>831</v>
      </c>
      <c r="D31" s="14" t="n">
        <v>697</v>
      </c>
      <c r="E31" s="16" t="n">
        <v>83.87</v>
      </c>
    </row>
    <row r="32" customFormat="false" ht="15" hidden="false" customHeight="true" outlineLevel="0" collapsed="false">
      <c r="A32" s="13" t="n">
        <v>2024</v>
      </c>
      <c r="B32" s="13" t="s">
        <v>162</v>
      </c>
      <c r="C32" s="14" t="n">
        <v>895</v>
      </c>
      <c r="D32" s="14" t="n">
        <v>867</v>
      </c>
      <c r="E32" s="16" t="n">
        <v>96.87</v>
      </c>
    </row>
    <row r="33" customFormat="false" ht="15" hidden="false" customHeight="true" outlineLevel="0" collapsed="false">
      <c r="A33" s="13" t="n">
        <v>2024</v>
      </c>
      <c r="B33" s="13" t="s">
        <v>163</v>
      </c>
      <c r="C33" s="14" t="n">
        <v>2585</v>
      </c>
      <c r="D33" s="14" t="n">
        <v>2515</v>
      </c>
      <c r="E33" s="16" t="n">
        <v>97.29</v>
      </c>
    </row>
    <row r="34" customFormat="false" ht="15" hidden="false" customHeight="true" outlineLevel="0" collapsed="false">
      <c r="A34" s="13" t="n">
        <v>2024</v>
      </c>
      <c r="B34" s="13" t="s">
        <v>804</v>
      </c>
      <c r="C34" s="14" t="n">
        <v>388</v>
      </c>
      <c r="D34" s="14" t="n">
        <v>342</v>
      </c>
      <c r="E34" s="16" t="n">
        <v>88.14</v>
      </c>
    </row>
    <row r="35" customFormat="false" ht="15" hidden="false" customHeight="true" outlineLevel="0" collapsed="false">
      <c r="A35" s="13" t="n">
        <v>2024</v>
      </c>
      <c r="B35" s="13" t="s">
        <v>427</v>
      </c>
      <c r="C35" s="14" t="n">
        <v>433</v>
      </c>
      <c r="D35" s="14" t="n">
        <v>382</v>
      </c>
      <c r="E35" s="16" t="n">
        <v>88.22</v>
      </c>
    </row>
    <row r="36" customFormat="false" ht="15" hidden="false" customHeight="true" outlineLevel="0" collapsed="false">
      <c r="A36" s="13" t="n">
        <v>2024</v>
      </c>
      <c r="B36" s="13" t="s">
        <v>805</v>
      </c>
      <c r="C36" s="14" t="n">
        <v>2045</v>
      </c>
      <c r="D36" s="14" t="n">
        <v>1980</v>
      </c>
      <c r="E36" s="16" t="n">
        <v>96.82</v>
      </c>
    </row>
    <row r="37" customFormat="false" ht="15" hidden="false" customHeight="true" outlineLevel="0" collapsed="false">
      <c r="A37" s="13" t="n">
        <v>2024</v>
      </c>
      <c r="B37" s="13" t="s">
        <v>424</v>
      </c>
      <c r="C37" s="14" t="n">
        <v>1</v>
      </c>
      <c r="D37" s="14" t="n">
        <v>1</v>
      </c>
      <c r="E37" s="16" t="n">
        <v>100</v>
      </c>
    </row>
    <row r="38" customFormat="false" ht="15" hidden="false" customHeight="true" outlineLevel="0" collapsed="false">
      <c r="A38" s="13" t="n">
        <v>2024</v>
      </c>
      <c r="B38" s="13" t="s">
        <v>146</v>
      </c>
      <c r="C38" s="14" t="n">
        <v>236</v>
      </c>
      <c r="D38" s="14" t="n">
        <v>233</v>
      </c>
      <c r="E38" s="16" t="n">
        <v>98.73</v>
      </c>
    </row>
    <row r="39" customFormat="false" ht="15" hidden="false" customHeight="true" outlineLevel="0" collapsed="false">
      <c r="A39" s="13" t="n">
        <v>2024</v>
      </c>
      <c r="B39" s="13" t="s">
        <v>165</v>
      </c>
      <c r="C39" s="14" t="n">
        <v>45663</v>
      </c>
      <c r="D39" s="14" t="n">
        <v>43754</v>
      </c>
      <c r="E39" s="16" t="n">
        <v>95.82</v>
      </c>
    </row>
    <row r="40" customFormat="false" ht="15" hidden="false" customHeight="true" outlineLevel="0" collapsed="false">
      <c r="A40" s="13" t="n">
        <v>2024</v>
      </c>
      <c r="B40" s="13" t="s">
        <v>166</v>
      </c>
      <c r="C40" s="14" t="n">
        <v>38594</v>
      </c>
      <c r="D40" s="14" t="n">
        <v>37224</v>
      </c>
      <c r="E40" s="16" t="n">
        <v>96.45</v>
      </c>
    </row>
    <row r="41" customFormat="false" ht="15" hidden="false" customHeight="true" outlineLevel="0" collapsed="false">
      <c r="A41" s="13" t="n">
        <v>2024</v>
      </c>
      <c r="B41" s="13" t="s">
        <v>167</v>
      </c>
      <c r="C41" s="14" t="n">
        <v>34002</v>
      </c>
      <c r="D41" s="14" t="n">
        <v>32755</v>
      </c>
      <c r="E41" s="16" t="n">
        <v>96.33</v>
      </c>
    </row>
    <row r="42" customFormat="false" ht="15" hidden="false" customHeight="true" outlineLevel="0" collapsed="false">
      <c r="A42" s="13" t="n">
        <v>2024</v>
      </c>
      <c r="B42" s="13" t="s">
        <v>170</v>
      </c>
      <c r="C42" s="14" t="n">
        <v>9086</v>
      </c>
      <c r="D42" s="14" t="n">
        <v>8680</v>
      </c>
      <c r="E42" s="16" t="n">
        <v>95.53</v>
      </c>
    </row>
    <row r="43" customFormat="false" ht="15" hidden="false" customHeight="true" outlineLevel="0" collapsed="false">
      <c r="A43" s="13" t="n">
        <v>2024</v>
      </c>
      <c r="B43" s="13" t="s">
        <v>168</v>
      </c>
      <c r="C43" s="14" t="n">
        <v>657</v>
      </c>
      <c r="D43" s="14" t="n">
        <v>635</v>
      </c>
      <c r="E43" s="16" t="n">
        <v>96.65</v>
      </c>
    </row>
    <row r="44" customFormat="false" ht="15" hidden="false" customHeight="true" outlineLevel="0" collapsed="false">
      <c r="A44" s="13" t="n">
        <v>2024</v>
      </c>
      <c r="B44" s="13" t="s">
        <v>806</v>
      </c>
      <c r="C44" s="14" t="n">
        <v>1</v>
      </c>
      <c r="D44" s="14" t="n">
        <v>0</v>
      </c>
      <c r="E44" s="16" t="n">
        <v>0</v>
      </c>
    </row>
    <row r="45" customFormat="false" ht="15" hidden="false" customHeight="true" outlineLevel="0" collapsed="false">
      <c r="A45" s="13" t="n">
        <v>2024</v>
      </c>
      <c r="B45" s="13" t="s">
        <v>807</v>
      </c>
      <c r="C45" s="14" t="n">
        <v>1</v>
      </c>
      <c r="D45" s="14" t="n">
        <v>0</v>
      </c>
      <c r="E45" s="16" t="n">
        <v>0</v>
      </c>
    </row>
    <row r="46" customFormat="false" ht="15" hidden="false" customHeight="true" outlineLevel="0" collapsed="false">
      <c r="A46" s="13" t="n">
        <v>2024</v>
      </c>
      <c r="B46" s="13" t="s">
        <v>808</v>
      </c>
      <c r="C46" s="14" t="n">
        <v>1</v>
      </c>
      <c r="D46" s="14" t="n">
        <v>1</v>
      </c>
      <c r="E46" s="16" t="n">
        <v>100</v>
      </c>
    </row>
    <row r="47" customFormat="false" ht="15" hidden="false" customHeight="true" outlineLevel="0" collapsed="false">
      <c r="A47" s="13" t="n">
        <v>2024</v>
      </c>
      <c r="B47" s="13" t="s">
        <v>148</v>
      </c>
      <c r="C47" s="14" t="n">
        <v>237</v>
      </c>
      <c r="D47" s="14" t="n">
        <v>235</v>
      </c>
      <c r="E47" s="16" t="n">
        <v>99.16</v>
      </c>
    </row>
    <row r="48" customFormat="false" ht="15" hidden="false" customHeight="true" outlineLevel="0" collapsed="false">
      <c r="A48" s="13" t="n">
        <v>2025</v>
      </c>
      <c r="B48" s="13" t="s">
        <v>142</v>
      </c>
      <c r="C48" s="14" t="n">
        <v>64353</v>
      </c>
      <c r="D48" s="14" t="n">
        <v>60786</v>
      </c>
      <c r="E48" s="16" t="n">
        <v>94.46</v>
      </c>
    </row>
    <row r="49" customFormat="false" ht="15" hidden="false" customHeight="true" outlineLevel="0" collapsed="false">
      <c r="A49" s="13" t="n">
        <v>2025</v>
      </c>
      <c r="B49" s="13" t="s">
        <v>794</v>
      </c>
      <c r="C49" s="14" t="n">
        <v>44</v>
      </c>
      <c r="D49" s="14" t="n">
        <v>44</v>
      </c>
      <c r="E49" s="16" t="n">
        <v>100</v>
      </c>
    </row>
    <row r="50" customFormat="false" ht="15" hidden="false" customHeight="true" outlineLevel="0" collapsed="false">
      <c r="A50" s="13" t="n">
        <v>2025</v>
      </c>
      <c r="B50" s="13" t="s">
        <v>410</v>
      </c>
      <c r="C50" s="14" t="n">
        <v>63988</v>
      </c>
      <c r="D50" s="14" t="n">
        <v>60534</v>
      </c>
      <c r="E50" s="16" t="n">
        <v>94.6</v>
      </c>
    </row>
    <row r="51" customFormat="false" ht="15" hidden="false" customHeight="true" outlineLevel="0" collapsed="false">
      <c r="A51" s="13" t="n">
        <v>2025</v>
      </c>
      <c r="B51" s="13" t="s">
        <v>145</v>
      </c>
      <c r="C51" s="14" t="n">
        <v>42</v>
      </c>
      <c r="D51" s="14" t="n">
        <v>37</v>
      </c>
      <c r="E51" s="16" t="n">
        <v>88.1</v>
      </c>
    </row>
    <row r="52" customFormat="false" ht="15" hidden="false" customHeight="true" outlineLevel="0" collapsed="false">
      <c r="A52" s="13" t="n">
        <v>2025</v>
      </c>
      <c r="B52" s="13" t="s">
        <v>265</v>
      </c>
      <c r="C52" s="14" t="n">
        <v>2145</v>
      </c>
      <c r="D52" s="14" t="n">
        <v>1330</v>
      </c>
      <c r="E52" s="16" t="n">
        <v>62</v>
      </c>
    </row>
    <row r="53" customFormat="false" ht="15" hidden="false" customHeight="true" outlineLevel="0" collapsed="false">
      <c r="A53" s="13" t="n">
        <v>2025</v>
      </c>
      <c r="B53" s="13" t="s">
        <v>795</v>
      </c>
      <c r="C53" s="14" t="n">
        <v>16</v>
      </c>
      <c r="D53" s="14" t="n">
        <v>15</v>
      </c>
      <c r="E53" s="16" t="n">
        <v>93.75</v>
      </c>
    </row>
    <row r="54" customFormat="false" ht="15" hidden="false" customHeight="true" outlineLevel="0" collapsed="false">
      <c r="A54" s="13" t="n">
        <v>2025</v>
      </c>
      <c r="B54" s="13" t="s">
        <v>796</v>
      </c>
      <c r="C54" s="14" t="n">
        <v>61462</v>
      </c>
      <c r="D54" s="14" t="n">
        <v>58920</v>
      </c>
      <c r="E54" s="16" t="n">
        <v>95.86</v>
      </c>
    </row>
    <row r="55" customFormat="false" ht="15" hidden="false" customHeight="true" outlineLevel="0" collapsed="false">
      <c r="A55" s="13" t="n">
        <v>2025</v>
      </c>
      <c r="B55" s="13" t="s">
        <v>797</v>
      </c>
      <c r="C55" s="14" t="n">
        <v>281</v>
      </c>
      <c r="D55" s="14" t="n">
        <v>269</v>
      </c>
      <c r="E55" s="16" t="n">
        <v>95.73</v>
      </c>
    </row>
    <row r="56" customFormat="false" ht="15" hidden="false" customHeight="true" outlineLevel="0" collapsed="false">
      <c r="A56" s="13" t="n">
        <v>2025</v>
      </c>
      <c r="B56" s="13" t="s">
        <v>798</v>
      </c>
      <c r="C56" s="14" t="n">
        <v>16</v>
      </c>
      <c r="D56" s="14" t="n">
        <v>16</v>
      </c>
      <c r="E56" s="16" t="n">
        <v>100</v>
      </c>
    </row>
    <row r="57" customFormat="false" ht="15" hidden="false" customHeight="true" outlineLevel="0" collapsed="false">
      <c r="A57" s="13" t="n">
        <v>2025</v>
      </c>
      <c r="B57" s="13" t="s">
        <v>149</v>
      </c>
      <c r="C57" s="14" t="n">
        <v>59592</v>
      </c>
      <c r="D57" s="14" t="n">
        <v>56107</v>
      </c>
      <c r="E57" s="16" t="n">
        <v>94.15</v>
      </c>
    </row>
    <row r="58" customFormat="false" ht="15" hidden="false" customHeight="true" outlineLevel="0" collapsed="false">
      <c r="A58" s="13" t="n">
        <v>2025</v>
      </c>
      <c r="B58" s="13" t="s">
        <v>799</v>
      </c>
      <c r="C58" s="14" t="n">
        <v>14</v>
      </c>
      <c r="D58" s="14" t="n">
        <v>12</v>
      </c>
      <c r="E58" s="16" t="n">
        <v>85.71</v>
      </c>
    </row>
    <row r="59" customFormat="false" ht="15" hidden="false" customHeight="true" outlineLevel="0" collapsed="false">
      <c r="A59" s="13" t="n">
        <v>2025</v>
      </c>
      <c r="B59" s="13" t="s">
        <v>151</v>
      </c>
      <c r="C59" s="14" t="n">
        <v>5215</v>
      </c>
      <c r="D59" s="14" t="n">
        <v>4866</v>
      </c>
      <c r="E59" s="16" t="n">
        <v>93.31</v>
      </c>
    </row>
    <row r="60" customFormat="false" ht="15" hidden="false" customHeight="true" outlineLevel="0" collapsed="false">
      <c r="A60" s="13" t="n">
        <v>2025</v>
      </c>
      <c r="B60" s="13" t="s">
        <v>152</v>
      </c>
      <c r="C60" s="14" t="n">
        <v>2450</v>
      </c>
      <c r="D60" s="14" t="n">
        <v>2287</v>
      </c>
      <c r="E60" s="16" t="n">
        <v>93.35</v>
      </c>
    </row>
    <row r="61" customFormat="false" ht="15" hidden="false" customHeight="true" outlineLevel="0" collapsed="false">
      <c r="A61" s="13" t="n">
        <v>2025</v>
      </c>
      <c r="B61" s="13" t="s">
        <v>161</v>
      </c>
      <c r="C61" s="14" t="n">
        <v>500</v>
      </c>
      <c r="D61" s="14" t="n">
        <v>481</v>
      </c>
      <c r="E61" s="16" t="n">
        <v>96.2</v>
      </c>
    </row>
    <row r="62" customFormat="false" ht="15" hidden="false" customHeight="true" outlineLevel="0" collapsed="false">
      <c r="A62" s="13" t="n">
        <v>2025</v>
      </c>
      <c r="B62" s="13" t="s">
        <v>153</v>
      </c>
      <c r="C62" s="14" t="n">
        <v>799</v>
      </c>
      <c r="D62" s="14" t="n">
        <v>766</v>
      </c>
      <c r="E62" s="16" t="n">
        <v>95.87</v>
      </c>
    </row>
    <row r="63" customFormat="false" ht="15" hidden="false" customHeight="true" outlineLevel="0" collapsed="false">
      <c r="A63" s="13" t="n">
        <v>2025</v>
      </c>
      <c r="B63" s="13" t="s">
        <v>154</v>
      </c>
      <c r="C63" s="14" t="n">
        <v>10003</v>
      </c>
      <c r="D63" s="14" t="n">
        <v>9408</v>
      </c>
      <c r="E63" s="16" t="n">
        <v>94.05</v>
      </c>
    </row>
    <row r="64" customFormat="false" ht="15" hidden="false" customHeight="true" outlineLevel="0" collapsed="false">
      <c r="A64" s="13" t="n">
        <v>2025</v>
      </c>
      <c r="B64" s="13" t="s">
        <v>800</v>
      </c>
      <c r="C64" s="14" t="n">
        <v>1539</v>
      </c>
      <c r="D64" s="14" t="n">
        <v>1446</v>
      </c>
      <c r="E64" s="16" t="n">
        <v>93.96</v>
      </c>
    </row>
    <row r="65" customFormat="false" ht="15" hidden="false" customHeight="true" outlineLevel="0" collapsed="false">
      <c r="A65" s="13" t="n">
        <v>2025</v>
      </c>
      <c r="B65" s="13" t="s">
        <v>156</v>
      </c>
      <c r="C65" s="14" t="n">
        <v>14845</v>
      </c>
      <c r="D65" s="14" t="n">
        <v>9253</v>
      </c>
      <c r="E65" s="16" t="n">
        <v>62.33</v>
      </c>
    </row>
    <row r="66" customFormat="false" ht="15" hidden="false" customHeight="true" outlineLevel="0" collapsed="false">
      <c r="A66" s="13" t="n">
        <v>2025</v>
      </c>
      <c r="B66" s="13" t="s">
        <v>425</v>
      </c>
      <c r="C66" s="14" t="n">
        <v>57</v>
      </c>
      <c r="D66" s="14" t="n">
        <v>54</v>
      </c>
      <c r="E66" s="16" t="n">
        <v>94.74</v>
      </c>
    </row>
    <row r="67" customFormat="false" ht="15" hidden="false" customHeight="true" outlineLevel="0" collapsed="false">
      <c r="A67" s="13" t="n">
        <v>2025</v>
      </c>
      <c r="B67" s="13" t="s">
        <v>130</v>
      </c>
      <c r="C67" s="14" t="n">
        <v>6</v>
      </c>
      <c r="D67" s="14" t="n">
        <v>5</v>
      </c>
      <c r="E67" s="16" t="n">
        <v>83.33</v>
      </c>
    </row>
    <row r="68" customFormat="false" ht="15" hidden="false" customHeight="true" outlineLevel="0" collapsed="false">
      <c r="A68" s="13" t="n">
        <v>2025</v>
      </c>
      <c r="B68" s="13" t="s">
        <v>507</v>
      </c>
      <c r="C68" s="14" t="n">
        <v>37</v>
      </c>
      <c r="D68" s="14" t="n">
        <v>36</v>
      </c>
      <c r="E68" s="16" t="n">
        <v>97.3</v>
      </c>
    </row>
    <row r="69" customFormat="false" ht="15" hidden="false" customHeight="true" outlineLevel="0" collapsed="false">
      <c r="A69" s="13" t="n">
        <v>2025</v>
      </c>
      <c r="B69" s="13" t="s">
        <v>419</v>
      </c>
      <c r="C69" s="14" t="n">
        <v>10372</v>
      </c>
      <c r="D69" s="14" t="n">
        <v>9790</v>
      </c>
      <c r="E69" s="16" t="n">
        <v>94.39</v>
      </c>
    </row>
    <row r="70" customFormat="false" ht="15" hidden="false" customHeight="true" outlineLevel="0" collapsed="false">
      <c r="A70" s="13" t="n">
        <v>2025</v>
      </c>
      <c r="B70" s="13" t="s">
        <v>801</v>
      </c>
      <c r="C70" s="14" t="n">
        <v>4425</v>
      </c>
      <c r="D70" s="14" t="n">
        <v>4067</v>
      </c>
      <c r="E70" s="16" t="n">
        <v>91.91</v>
      </c>
    </row>
    <row r="71" customFormat="false" ht="15" hidden="false" customHeight="true" outlineLevel="0" collapsed="false">
      <c r="A71" s="13" t="n">
        <v>2025</v>
      </c>
      <c r="B71" s="13" t="s">
        <v>150</v>
      </c>
      <c r="C71" s="14" t="n">
        <v>1043</v>
      </c>
      <c r="D71" s="14" t="n">
        <v>997</v>
      </c>
      <c r="E71" s="16" t="n">
        <v>95.59</v>
      </c>
    </row>
    <row r="72" customFormat="false" ht="15" hidden="false" customHeight="true" outlineLevel="0" collapsed="false">
      <c r="A72" s="13" t="n">
        <v>2025</v>
      </c>
      <c r="B72" s="13" t="s">
        <v>802</v>
      </c>
      <c r="C72" s="14" t="n">
        <v>147</v>
      </c>
      <c r="D72" s="14" t="n">
        <v>144</v>
      </c>
      <c r="E72" s="16" t="n">
        <v>97.96</v>
      </c>
    </row>
    <row r="73" customFormat="false" ht="15" hidden="false" customHeight="true" outlineLevel="0" collapsed="false">
      <c r="A73" s="13" t="n">
        <v>2025</v>
      </c>
      <c r="B73" s="13" t="s">
        <v>159</v>
      </c>
      <c r="C73" s="14" t="n">
        <v>1036</v>
      </c>
      <c r="D73" s="14" t="n">
        <v>846</v>
      </c>
      <c r="E73" s="16" t="n">
        <v>81.66</v>
      </c>
    </row>
    <row r="74" customFormat="false" ht="15" hidden="false" customHeight="true" outlineLevel="0" collapsed="false">
      <c r="A74" s="13" t="n">
        <v>2025</v>
      </c>
      <c r="B74" s="13" t="s">
        <v>803</v>
      </c>
      <c r="C74" s="14" t="n">
        <v>709</v>
      </c>
      <c r="D74" s="14" t="n">
        <v>563</v>
      </c>
      <c r="E74" s="16" t="n">
        <v>79.41</v>
      </c>
    </row>
    <row r="75" customFormat="false" ht="15" hidden="false" customHeight="true" outlineLevel="0" collapsed="false">
      <c r="A75" s="13" t="n">
        <v>2025</v>
      </c>
      <c r="B75" s="13" t="s">
        <v>162</v>
      </c>
      <c r="C75" s="14" t="n">
        <v>770</v>
      </c>
      <c r="D75" s="14" t="n">
        <v>738</v>
      </c>
      <c r="E75" s="16" t="n">
        <v>95.84</v>
      </c>
    </row>
    <row r="76" customFormat="false" ht="15" hidden="false" customHeight="true" outlineLevel="0" collapsed="false">
      <c r="A76" s="13" t="n">
        <v>2025</v>
      </c>
      <c r="B76" s="13" t="s">
        <v>163</v>
      </c>
      <c r="C76" s="14" t="n">
        <v>2219</v>
      </c>
      <c r="D76" s="14" t="n">
        <v>2136</v>
      </c>
      <c r="E76" s="16" t="n">
        <v>96.26</v>
      </c>
    </row>
    <row r="77" customFormat="false" ht="15" hidden="false" customHeight="true" outlineLevel="0" collapsed="false">
      <c r="A77" s="13" t="n">
        <v>2025</v>
      </c>
      <c r="B77" s="13" t="s">
        <v>804</v>
      </c>
      <c r="C77" s="14" t="n">
        <v>418</v>
      </c>
      <c r="D77" s="14" t="n">
        <v>392</v>
      </c>
      <c r="E77" s="16" t="n">
        <v>93.78</v>
      </c>
    </row>
    <row r="78" customFormat="false" ht="15" hidden="false" customHeight="true" outlineLevel="0" collapsed="false">
      <c r="A78" s="13" t="n">
        <v>2025</v>
      </c>
      <c r="B78" s="13" t="s">
        <v>427</v>
      </c>
      <c r="C78" s="14" t="n">
        <v>468</v>
      </c>
      <c r="D78" s="14" t="n">
        <v>409</v>
      </c>
      <c r="E78" s="16" t="n">
        <v>87.39</v>
      </c>
    </row>
    <row r="79" customFormat="false" ht="15" hidden="false" customHeight="true" outlineLevel="0" collapsed="false">
      <c r="A79" s="13" t="n">
        <v>2025</v>
      </c>
      <c r="B79" s="13" t="s">
        <v>805</v>
      </c>
      <c r="C79" s="14" t="n">
        <v>2045</v>
      </c>
      <c r="D79" s="14" t="n">
        <v>1978</v>
      </c>
      <c r="E79" s="16" t="n">
        <v>96.72</v>
      </c>
    </row>
    <row r="80" customFormat="false" ht="15" hidden="false" customHeight="true" outlineLevel="0" collapsed="false">
      <c r="A80" s="13" t="n">
        <v>2025</v>
      </c>
      <c r="B80" s="13" t="s">
        <v>424</v>
      </c>
      <c r="C80" s="14" t="n">
        <v>2</v>
      </c>
      <c r="D80" s="14" t="n">
        <v>2</v>
      </c>
      <c r="E80" s="16" t="n">
        <v>100</v>
      </c>
    </row>
    <row r="81" customFormat="false" ht="15" hidden="false" customHeight="true" outlineLevel="0" collapsed="false">
      <c r="A81" s="13" t="n">
        <v>2025</v>
      </c>
      <c r="B81" s="13" t="s">
        <v>809</v>
      </c>
      <c r="C81" s="14" t="n">
        <v>190</v>
      </c>
      <c r="D81" s="14" t="n">
        <v>183</v>
      </c>
      <c r="E81" s="16" t="n">
        <v>96.32</v>
      </c>
    </row>
    <row r="82" customFormat="false" ht="15" hidden="false" customHeight="true" outlineLevel="0" collapsed="false">
      <c r="A82" s="13" t="n">
        <v>2025</v>
      </c>
      <c r="B82" s="13" t="s">
        <v>165</v>
      </c>
      <c r="C82" s="14" t="n">
        <v>50676</v>
      </c>
      <c r="D82" s="14" t="n">
        <v>44077</v>
      </c>
      <c r="E82" s="16" t="n">
        <v>86.98</v>
      </c>
    </row>
    <row r="83" customFormat="false" ht="15" hidden="false" customHeight="true" outlineLevel="0" collapsed="false">
      <c r="A83" s="13" t="n">
        <v>2025</v>
      </c>
      <c r="B83" s="13" t="s">
        <v>166</v>
      </c>
      <c r="C83" s="14" t="n">
        <v>38438</v>
      </c>
      <c r="D83" s="14" t="n">
        <v>33501</v>
      </c>
      <c r="E83" s="16" t="n">
        <v>87.16</v>
      </c>
    </row>
    <row r="84" customFormat="false" ht="15" hidden="false" customHeight="true" outlineLevel="0" collapsed="false">
      <c r="A84" s="13" t="n">
        <v>2025</v>
      </c>
      <c r="B84" s="13" t="s">
        <v>167</v>
      </c>
      <c r="C84" s="14" t="n">
        <v>34869</v>
      </c>
      <c r="D84" s="14" t="n">
        <v>30799</v>
      </c>
      <c r="E84" s="16" t="n">
        <v>88.33</v>
      </c>
    </row>
    <row r="85" customFormat="false" ht="15" hidden="false" customHeight="true" outlineLevel="0" collapsed="false">
      <c r="A85" s="13" t="n">
        <v>2025</v>
      </c>
      <c r="B85" s="13" t="s">
        <v>170</v>
      </c>
      <c r="C85" s="14" t="n">
        <v>11740</v>
      </c>
      <c r="D85" s="14" t="n">
        <v>10318</v>
      </c>
      <c r="E85" s="16" t="n">
        <v>87.89</v>
      </c>
    </row>
    <row r="86" customFormat="false" ht="15" hidden="false" customHeight="true" outlineLevel="0" collapsed="false">
      <c r="A86" s="13" t="n">
        <v>2025</v>
      </c>
      <c r="B86" s="13" t="s">
        <v>168</v>
      </c>
      <c r="C86" s="14" t="n">
        <v>496</v>
      </c>
      <c r="D86" s="14" t="n">
        <v>483</v>
      </c>
      <c r="E86" s="16" t="n">
        <v>97.38</v>
      </c>
    </row>
    <row r="87" customFormat="false" ht="15" hidden="false" customHeight="true" outlineLevel="0" collapsed="false">
      <c r="A87" s="13" t="n">
        <v>2025</v>
      </c>
      <c r="B87" s="13" t="s">
        <v>148</v>
      </c>
      <c r="C87" s="14" t="n">
        <v>191</v>
      </c>
      <c r="D87" s="14" t="n">
        <v>185</v>
      </c>
      <c r="E87" s="16" t="n">
        <v>96.86</v>
      </c>
    </row>
    <row r="88" customFormat="false" ht="15" hidden="false" customHeight="true" outlineLevel="0" collapsed="false">
      <c r="A88" s="13" t="n">
        <v>2026</v>
      </c>
      <c r="B88" s="13" t="s">
        <v>142</v>
      </c>
      <c r="C88" s="14" t="n">
        <v>67496</v>
      </c>
      <c r="D88" s="14" t="n">
        <v>61105</v>
      </c>
      <c r="E88" s="16" t="n">
        <v>90.53</v>
      </c>
    </row>
    <row r="89" customFormat="false" ht="15" hidden="false" customHeight="true" outlineLevel="0" collapsed="false">
      <c r="A89" s="13" t="n">
        <v>2026</v>
      </c>
      <c r="B89" s="13" t="s">
        <v>794</v>
      </c>
      <c r="C89" s="14" t="n">
        <v>66</v>
      </c>
      <c r="D89" s="14" t="n">
        <v>64</v>
      </c>
      <c r="E89" s="16" t="n">
        <v>96.97</v>
      </c>
    </row>
    <row r="90" customFormat="false" ht="15" hidden="false" customHeight="true" outlineLevel="0" collapsed="false">
      <c r="A90" s="13" t="n">
        <v>2026</v>
      </c>
      <c r="B90" s="13" t="s">
        <v>410</v>
      </c>
      <c r="C90" s="14" t="n">
        <v>65780</v>
      </c>
      <c r="D90" s="14" t="n">
        <v>62581</v>
      </c>
      <c r="E90" s="16" t="n">
        <v>95.14</v>
      </c>
    </row>
    <row r="91" customFormat="false" ht="15" hidden="false" customHeight="true" outlineLevel="0" collapsed="false">
      <c r="A91" s="13" t="n">
        <v>2026</v>
      </c>
      <c r="B91" s="13" t="s">
        <v>145</v>
      </c>
      <c r="C91" s="14" t="n">
        <v>80</v>
      </c>
      <c r="D91" s="14" t="n">
        <v>78</v>
      </c>
      <c r="E91" s="16" t="n">
        <v>97.5</v>
      </c>
    </row>
    <row r="92" customFormat="false" ht="15" hidden="false" customHeight="true" outlineLevel="0" collapsed="false">
      <c r="A92" s="13" t="n">
        <v>2026</v>
      </c>
      <c r="B92" s="13" t="s">
        <v>265</v>
      </c>
      <c r="C92" s="14" t="n">
        <v>1655</v>
      </c>
      <c r="D92" s="14" t="n">
        <v>875</v>
      </c>
      <c r="E92" s="16" t="n">
        <v>52.87</v>
      </c>
    </row>
    <row r="93" customFormat="false" ht="15" hidden="false" customHeight="true" outlineLevel="0" collapsed="false">
      <c r="A93" s="13" t="n">
        <v>2026</v>
      </c>
      <c r="B93" s="13" t="s">
        <v>795</v>
      </c>
      <c r="C93" s="14" t="n">
        <v>12</v>
      </c>
      <c r="D93" s="14" t="n">
        <v>12</v>
      </c>
      <c r="E93" s="16" t="n">
        <v>100</v>
      </c>
    </row>
    <row r="94" customFormat="false" ht="15" hidden="false" customHeight="true" outlineLevel="0" collapsed="false">
      <c r="A94" s="13" t="n">
        <v>2026</v>
      </c>
      <c r="B94" s="13" t="s">
        <v>796</v>
      </c>
      <c r="C94" s="14" t="n">
        <v>62965</v>
      </c>
      <c r="D94" s="14" t="n">
        <v>58058</v>
      </c>
      <c r="E94" s="16" t="n">
        <v>92.21</v>
      </c>
    </row>
    <row r="95" customFormat="false" ht="15" hidden="false" customHeight="true" outlineLevel="0" collapsed="false">
      <c r="A95" s="13" t="n">
        <v>2026</v>
      </c>
      <c r="B95" s="13" t="s">
        <v>797</v>
      </c>
      <c r="C95" s="14" t="n">
        <v>336</v>
      </c>
      <c r="D95" s="14" t="n">
        <v>306</v>
      </c>
      <c r="E95" s="16" t="n">
        <v>91.07</v>
      </c>
    </row>
    <row r="96" customFormat="false" ht="15" hidden="false" customHeight="true" outlineLevel="0" collapsed="false">
      <c r="A96" s="13" t="n">
        <v>2026</v>
      </c>
      <c r="B96" s="13" t="s">
        <v>798</v>
      </c>
      <c r="C96" s="14" t="n">
        <v>10</v>
      </c>
      <c r="D96" s="14" t="n">
        <v>10</v>
      </c>
      <c r="E96" s="16" t="n">
        <v>100</v>
      </c>
    </row>
    <row r="97" customFormat="false" ht="15" hidden="false" customHeight="true" outlineLevel="0" collapsed="false">
      <c r="A97" s="13" t="n">
        <v>2026</v>
      </c>
      <c r="B97" s="13" t="s">
        <v>149</v>
      </c>
      <c r="C97" s="14" t="n">
        <v>62903</v>
      </c>
      <c r="D97" s="14" t="n">
        <v>41446</v>
      </c>
      <c r="E97" s="16" t="n">
        <v>65.89</v>
      </c>
    </row>
    <row r="98" customFormat="false" ht="15" hidden="false" customHeight="true" outlineLevel="0" collapsed="false">
      <c r="A98" s="13" t="n">
        <v>2026</v>
      </c>
      <c r="B98" s="13" t="s">
        <v>799</v>
      </c>
      <c r="C98" s="14" t="n">
        <v>2</v>
      </c>
      <c r="D98" s="14" t="n">
        <v>2</v>
      </c>
      <c r="E98" s="16" t="n">
        <v>100</v>
      </c>
    </row>
    <row r="99" customFormat="false" ht="15" hidden="false" customHeight="true" outlineLevel="0" collapsed="false">
      <c r="A99" s="13" t="n">
        <v>2026</v>
      </c>
      <c r="B99" s="13" t="s">
        <v>151</v>
      </c>
      <c r="C99" s="14" t="n">
        <v>4323</v>
      </c>
      <c r="D99" s="14" t="n">
        <v>3685</v>
      </c>
      <c r="E99" s="16" t="n">
        <v>85.24</v>
      </c>
    </row>
    <row r="100" customFormat="false" ht="15" hidden="false" customHeight="true" outlineLevel="0" collapsed="false">
      <c r="A100" s="13" t="n">
        <v>2026</v>
      </c>
      <c r="B100" s="13" t="s">
        <v>152</v>
      </c>
      <c r="C100" s="14" t="n">
        <v>2204</v>
      </c>
      <c r="D100" s="14" t="n">
        <v>2059</v>
      </c>
      <c r="E100" s="16" t="n">
        <v>93.42</v>
      </c>
    </row>
    <row r="101" customFormat="false" ht="15" hidden="false" customHeight="true" outlineLevel="0" collapsed="false">
      <c r="A101" s="13" t="n">
        <v>2026</v>
      </c>
      <c r="B101" s="13" t="s">
        <v>161</v>
      </c>
      <c r="C101" s="14" t="n">
        <v>577</v>
      </c>
      <c r="D101" s="14" t="n">
        <v>541</v>
      </c>
      <c r="E101" s="16" t="n">
        <v>93.76</v>
      </c>
    </row>
    <row r="102" customFormat="false" ht="15" hidden="false" customHeight="true" outlineLevel="0" collapsed="false">
      <c r="A102" s="13" t="n">
        <v>2026</v>
      </c>
      <c r="B102" s="13" t="s">
        <v>153</v>
      </c>
      <c r="C102" s="14" t="n">
        <v>781</v>
      </c>
      <c r="D102" s="14" t="n">
        <v>769</v>
      </c>
      <c r="E102" s="16" t="n">
        <v>98.46</v>
      </c>
    </row>
    <row r="103" customFormat="false" ht="15" hidden="false" customHeight="true" outlineLevel="0" collapsed="false">
      <c r="A103" s="13" t="n">
        <v>2026</v>
      </c>
      <c r="B103" s="13" t="s">
        <v>154</v>
      </c>
      <c r="C103" s="14" t="n">
        <v>8170</v>
      </c>
      <c r="D103" s="14" t="n">
        <v>7702</v>
      </c>
      <c r="E103" s="16" t="n">
        <v>94.27</v>
      </c>
    </row>
    <row r="104" customFormat="false" ht="15" hidden="false" customHeight="true" outlineLevel="0" collapsed="false">
      <c r="A104" s="13" t="n">
        <v>2026</v>
      </c>
      <c r="B104" s="13" t="s">
        <v>800</v>
      </c>
      <c r="C104" s="14" t="n">
        <v>1726</v>
      </c>
      <c r="D104" s="14" t="n">
        <v>1591</v>
      </c>
      <c r="E104" s="16" t="n">
        <v>92.18</v>
      </c>
    </row>
    <row r="105" customFormat="false" ht="15" hidden="false" customHeight="true" outlineLevel="0" collapsed="false">
      <c r="A105" s="13" t="n">
        <v>2026</v>
      </c>
      <c r="B105" s="13" t="s">
        <v>156</v>
      </c>
      <c r="C105" s="14" t="n">
        <v>20043</v>
      </c>
      <c r="D105" s="14" t="n">
        <v>11423</v>
      </c>
      <c r="E105" s="16" t="n">
        <v>56.99</v>
      </c>
    </row>
    <row r="106" customFormat="false" ht="15" hidden="false" customHeight="true" outlineLevel="0" collapsed="false">
      <c r="A106" s="13" t="n">
        <v>2026</v>
      </c>
      <c r="B106" s="13" t="s">
        <v>425</v>
      </c>
      <c r="C106" s="14" t="n">
        <v>57</v>
      </c>
      <c r="D106" s="14" t="n">
        <v>55</v>
      </c>
      <c r="E106" s="16" t="n">
        <v>96.49</v>
      </c>
    </row>
    <row r="107" customFormat="false" ht="15" hidden="false" customHeight="true" outlineLevel="0" collapsed="false">
      <c r="A107" s="13" t="n">
        <v>2026</v>
      </c>
      <c r="B107" s="13" t="s">
        <v>130</v>
      </c>
      <c r="C107" s="14" t="n">
        <v>14</v>
      </c>
      <c r="D107" s="14" t="n">
        <v>14</v>
      </c>
      <c r="E107" s="16" t="n">
        <v>100</v>
      </c>
    </row>
    <row r="108" customFormat="false" ht="15" hidden="false" customHeight="true" outlineLevel="0" collapsed="false">
      <c r="A108" s="13" t="n">
        <v>2026</v>
      </c>
      <c r="B108" s="13" t="s">
        <v>507</v>
      </c>
      <c r="C108" s="14" t="n">
        <v>34</v>
      </c>
      <c r="D108" s="14" t="n">
        <v>34</v>
      </c>
      <c r="E108" s="16" t="n">
        <v>100</v>
      </c>
    </row>
    <row r="109" customFormat="false" ht="15" hidden="false" customHeight="true" outlineLevel="0" collapsed="false">
      <c r="A109" s="13" t="n">
        <v>2026</v>
      </c>
      <c r="B109" s="13" t="s">
        <v>419</v>
      </c>
      <c r="C109" s="14" t="n">
        <v>7886</v>
      </c>
      <c r="D109" s="14" t="n">
        <v>7365</v>
      </c>
      <c r="E109" s="16" t="n">
        <v>93.39</v>
      </c>
    </row>
    <row r="110" customFormat="false" ht="15" hidden="false" customHeight="true" outlineLevel="0" collapsed="false">
      <c r="A110" s="13" t="n">
        <v>2026</v>
      </c>
      <c r="B110" s="13" t="s">
        <v>801</v>
      </c>
      <c r="C110" s="14" t="n">
        <v>3822</v>
      </c>
      <c r="D110" s="14" t="n">
        <v>3642</v>
      </c>
      <c r="E110" s="16" t="n">
        <v>95.29</v>
      </c>
    </row>
    <row r="111" customFormat="false" ht="15" hidden="false" customHeight="true" outlineLevel="0" collapsed="false">
      <c r="A111" s="13" t="n">
        <v>2026</v>
      </c>
      <c r="B111" s="13" t="s">
        <v>150</v>
      </c>
      <c r="C111" s="14" t="n">
        <v>894</v>
      </c>
      <c r="D111" s="14" t="n">
        <v>752</v>
      </c>
      <c r="E111" s="16" t="n">
        <v>84.12</v>
      </c>
    </row>
    <row r="112" customFormat="false" ht="15" hidden="false" customHeight="true" outlineLevel="0" collapsed="false">
      <c r="A112" s="13" t="n">
        <v>2026</v>
      </c>
      <c r="B112" s="13" t="s">
        <v>802</v>
      </c>
      <c r="C112" s="14" t="n">
        <v>158</v>
      </c>
      <c r="D112" s="14" t="n">
        <v>156</v>
      </c>
      <c r="E112" s="16" t="n">
        <v>98.73</v>
      </c>
    </row>
    <row r="113" customFormat="false" ht="15" hidden="false" customHeight="true" outlineLevel="0" collapsed="false">
      <c r="A113" s="13" t="n">
        <v>2026</v>
      </c>
      <c r="B113" s="13" t="s">
        <v>159</v>
      </c>
      <c r="C113" s="14" t="n">
        <v>908</v>
      </c>
      <c r="D113" s="14" t="n">
        <v>860</v>
      </c>
      <c r="E113" s="16" t="n">
        <v>94.71</v>
      </c>
    </row>
    <row r="114" customFormat="false" ht="15" hidden="false" customHeight="true" outlineLevel="0" collapsed="false">
      <c r="A114" s="13" t="n">
        <v>2026</v>
      </c>
      <c r="B114" s="13" t="s">
        <v>803</v>
      </c>
      <c r="C114" s="14" t="n">
        <v>591</v>
      </c>
      <c r="D114" s="14" t="n">
        <v>243</v>
      </c>
      <c r="E114" s="16" t="n">
        <v>41.12</v>
      </c>
    </row>
    <row r="115" customFormat="false" ht="15" hidden="false" customHeight="true" outlineLevel="0" collapsed="false">
      <c r="A115" s="13" t="n">
        <v>2026</v>
      </c>
      <c r="B115" s="13" t="s">
        <v>162</v>
      </c>
      <c r="C115" s="14" t="n">
        <v>685</v>
      </c>
      <c r="D115" s="14" t="n">
        <v>663</v>
      </c>
      <c r="E115" s="16" t="n">
        <v>96.79</v>
      </c>
    </row>
    <row r="116" customFormat="false" ht="15" hidden="false" customHeight="true" outlineLevel="0" collapsed="false">
      <c r="A116" s="13" t="n">
        <v>2026</v>
      </c>
      <c r="B116" s="13" t="s">
        <v>163</v>
      </c>
      <c r="C116" s="14" t="n">
        <v>1641</v>
      </c>
      <c r="D116" s="14" t="n">
        <v>1574</v>
      </c>
      <c r="E116" s="16" t="n">
        <v>95.92</v>
      </c>
    </row>
    <row r="117" customFormat="false" ht="15" hidden="false" customHeight="true" outlineLevel="0" collapsed="false">
      <c r="A117" s="13" t="n">
        <v>2026</v>
      </c>
      <c r="B117" s="13" t="s">
        <v>804</v>
      </c>
      <c r="C117" s="14" t="n">
        <v>515</v>
      </c>
      <c r="D117" s="14" t="n">
        <v>479</v>
      </c>
      <c r="E117" s="16" t="n">
        <v>93.01</v>
      </c>
    </row>
    <row r="118" customFormat="false" ht="15" hidden="false" customHeight="true" outlineLevel="0" collapsed="false">
      <c r="A118" s="13" t="n">
        <v>2026</v>
      </c>
      <c r="B118" s="13" t="s">
        <v>427</v>
      </c>
      <c r="C118" s="14" t="n">
        <v>472</v>
      </c>
      <c r="D118" s="14" t="n">
        <v>454</v>
      </c>
      <c r="E118" s="16" t="n">
        <v>96.19</v>
      </c>
    </row>
    <row r="119" customFormat="false" ht="15" hidden="false" customHeight="true" outlineLevel="0" collapsed="false">
      <c r="A119" s="13" t="n">
        <v>2026</v>
      </c>
      <c r="B119" s="13" t="s">
        <v>805</v>
      </c>
      <c r="C119" s="14" t="n">
        <v>1905</v>
      </c>
      <c r="D119" s="14" t="n">
        <v>1692</v>
      </c>
      <c r="E119" s="16" t="n">
        <v>88.82</v>
      </c>
    </row>
    <row r="120" customFormat="false" ht="15" hidden="false" customHeight="true" outlineLevel="0" collapsed="false">
      <c r="A120" s="13" t="n">
        <v>2026</v>
      </c>
      <c r="B120" s="13" t="s">
        <v>424</v>
      </c>
      <c r="C120" s="14" t="n">
        <v>1</v>
      </c>
      <c r="D120" s="14" t="n">
        <v>1</v>
      </c>
      <c r="E120" s="16" t="n">
        <v>100</v>
      </c>
    </row>
    <row r="121" customFormat="false" ht="15" hidden="false" customHeight="true" outlineLevel="0" collapsed="false">
      <c r="A121" s="13" t="n">
        <v>2026</v>
      </c>
      <c r="B121" s="13" t="s">
        <v>146</v>
      </c>
      <c r="C121" s="14" t="n">
        <v>232</v>
      </c>
      <c r="D121" s="14" t="n">
        <v>226</v>
      </c>
      <c r="E121" s="16" t="n">
        <v>97.41</v>
      </c>
    </row>
    <row r="122" customFormat="false" ht="15" hidden="false" customHeight="true" outlineLevel="0" collapsed="false">
      <c r="A122" s="13" t="n">
        <v>2026</v>
      </c>
      <c r="B122" s="13" t="s">
        <v>165</v>
      </c>
      <c r="C122" s="14" t="n">
        <v>59282</v>
      </c>
      <c r="D122" s="14" t="n">
        <v>44652</v>
      </c>
      <c r="E122" s="16" t="n">
        <v>75.32</v>
      </c>
    </row>
    <row r="123" customFormat="false" ht="15" hidden="false" customHeight="true" outlineLevel="0" collapsed="false">
      <c r="A123" s="13" t="n">
        <v>2026</v>
      </c>
      <c r="B123" s="13" t="s">
        <v>166</v>
      </c>
      <c r="C123" s="14" t="n">
        <v>45158</v>
      </c>
      <c r="D123" s="14" t="n">
        <v>35342</v>
      </c>
      <c r="E123" s="16" t="n">
        <v>78.26</v>
      </c>
    </row>
    <row r="124" customFormat="false" ht="15" hidden="false" customHeight="true" outlineLevel="0" collapsed="false">
      <c r="A124" s="13" t="n">
        <v>2026</v>
      </c>
      <c r="B124" s="13" t="s">
        <v>167</v>
      </c>
      <c r="C124" s="14" t="n">
        <v>37719</v>
      </c>
      <c r="D124" s="14" t="n">
        <v>33107</v>
      </c>
      <c r="E124" s="16" t="n">
        <v>87.77</v>
      </c>
    </row>
    <row r="125" customFormat="false" ht="15" hidden="false" customHeight="true" outlineLevel="0" collapsed="false">
      <c r="A125" s="13" t="n">
        <v>2026</v>
      </c>
      <c r="B125" s="13" t="s">
        <v>170</v>
      </c>
      <c r="C125" s="14" t="n">
        <v>14098</v>
      </c>
      <c r="D125" s="14" t="n">
        <v>11236</v>
      </c>
      <c r="E125" s="16" t="n">
        <v>79.7</v>
      </c>
    </row>
    <row r="126" customFormat="false" ht="15" hidden="false" customHeight="true" outlineLevel="0" collapsed="false">
      <c r="A126" s="13" t="n">
        <v>2026</v>
      </c>
      <c r="B126" s="13" t="s">
        <v>168</v>
      </c>
      <c r="C126" s="14" t="n">
        <v>474</v>
      </c>
      <c r="D126" s="14" t="n">
        <v>406</v>
      </c>
      <c r="E126" s="16" t="n">
        <v>85.65</v>
      </c>
    </row>
    <row r="127" customFormat="false" ht="15" hidden="false" customHeight="true" outlineLevel="0" collapsed="false">
      <c r="A127" s="13" t="n">
        <v>2026</v>
      </c>
      <c r="B127" s="13" t="s">
        <v>148</v>
      </c>
      <c r="C127" s="14" t="n">
        <v>229</v>
      </c>
      <c r="D127" s="14" t="n">
        <v>224</v>
      </c>
      <c r="E127" s="16" t="n">
        <v>97.82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40"/>
    <col collapsed="false" customWidth="true" hidden="false" outlineLevel="0" max="5" min="3" style="13" width="12"/>
  </cols>
  <sheetData>
    <row r="1" customFormat="false" ht="15" hidden="false" customHeight="true" outlineLevel="0" collapsed="false">
      <c r="A1" s="13" t="s">
        <v>810</v>
      </c>
    </row>
    <row r="2" customFormat="false" ht="15" hidden="false" customHeight="true" outlineLevel="0" collapsed="false">
      <c r="A2" s="13" t="s">
        <v>811</v>
      </c>
    </row>
    <row r="4" customFormat="false" ht="15" hidden="false" customHeight="true" outlineLevel="0" collapsed="false">
      <c r="A4" s="13" t="s">
        <v>3</v>
      </c>
      <c r="B4" s="13" t="s">
        <v>141</v>
      </c>
      <c r="C4" s="13" t="s">
        <v>4</v>
      </c>
      <c r="D4" s="13" t="s">
        <v>5</v>
      </c>
      <c r="E4" s="13" t="s">
        <v>6</v>
      </c>
    </row>
    <row r="5" customFormat="false" ht="15" hidden="false" customHeight="true" outlineLevel="0" collapsed="false">
      <c r="A5" s="13" t="n">
        <v>2026</v>
      </c>
      <c r="B5" s="13" t="s">
        <v>142</v>
      </c>
      <c r="C5" s="13" t="n">
        <v>63605</v>
      </c>
      <c r="D5" s="13" t="n">
        <v>55660</v>
      </c>
      <c r="E5" s="13" t="n">
        <v>87.51</v>
      </c>
    </row>
    <row r="6" customFormat="false" ht="15" hidden="false" customHeight="true" outlineLevel="0" collapsed="false">
      <c r="A6" s="13" t="n">
        <v>2026</v>
      </c>
      <c r="B6" s="13" t="s">
        <v>794</v>
      </c>
      <c r="C6" s="13" t="n">
        <v>91</v>
      </c>
      <c r="D6" s="13" t="n">
        <v>82</v>
      </c>
      <c r="E6" s="13" t="n">
        <v>90.11</v>
      </c>
    </row>
    <row r="7" customFormat="false" ht="15" hidden="false" customHeight="true" outlineLevel="0" collapsed="false">
      <c r="A7" s="13" t="n">
        <v>2026</v>
      </c>
      <c r="B7" s="13" t="s">
        <v>410</v>
      </c>
      <c r="C7" s="13" t="n">
        <v>63549</v>
      </c>
      <c r="D7" s="13" t="n">
        <v>60226</v>
      </c>
      <c r="E7" s="13" t="n">
        <v>94.77</v>
      </c>
    </row>
    <row r="8" customFormat="false" ht="15" hidden="false" customHeight="true" outlineLevel="0" collapsed="false">
      <c r="A8" s="13" t="n">
        <v>2026</v>
      </c>
      <c r="B8" s="13" t="s">
        <v>145</v>
      </c>
      <c r="C8" s="13" t="n">
        <v>56</v>
      </c>
      <c r="D8" s="13" t="n">
        <v>54</v>
      </c>
      <c r="E8" s="13" t="n">
        <v>96.43</v>
      </c>
    </row>
    <row r="9" customFormat="false" ht="15" hidden="false" customHeight="true" outlineLevel="0" collapsed="false">
      <c r="A9" s="13" t="n">
        <v>2026</v>
      </c>
      <c r="B9" s="13" t="s">
        <v>265</v>
      </c>
      <c r="C9" s="13" t="n">
        <v>63279</v>
      </c>
      <c r="D9" s="13" t="n">
        <v>59205</v>
      </c>
      <c r="E9" s="13" t="n">
        <v>93.56</v>
      </c>
    </row>
    <row r="10" customFormat="false" ht="15" hidden="false" customHeight="true" outlineLevel="0" collapsed="false">
      <c r="A10" s="13" t="n">
        <v>2026</v>
      </c>
      <c r="B10" s="13" t="s">
        <v>796</v>
      </c>
      <c r="C10" s="13" t="n">
        <v>63279</v>
      </c>
      <c r="D10" s="13" t="n">
        <v>55823</v>
      </c>
      <c r="E10" s="13" t="n">
        <v>88.22</v>
      </c>
    </row>
    <row r="11" customFormat="false" ht="15" hidden="false" customHeight="true" outlineLevel="0" collapsed="false">
      <c r="A11" s="13" t="n">
        <v>2026</v>
      </c>
      <c r="B11" s="13" t="s">
        <v>797</v>
      </c>
      <c r="C11" s="13" t="n">
        <v>326</v>
      </c>
      <c r="D11" s="13" t="n">
        <v>291</v>
      </c>
      <c r="E11" s="13" t="n">
        <v>89.26</v>
      </c>
    </row>
    <row r="12" customFormat="false" ht="15" hidden="false" customHeight="true" outlineLevel="0" collapsed="false">
      <c r="A12" s="13" t="n">
        <v>2026</v>
      </c>
      <c r="B12" s="13" t="s">
        <v>151</v>
      </c>
      <c r="C12" s="13" t="n">
        <v>4343</v>
      </c>
      <c r="D12" s="13" t="n">
        <v>3351</v>
      </c>
      <c r="E12" s="13" t="n">
        <v>77.16</v>
      </c>
    </row>
    <row r="13" customFormat="false" ht="15" hidden="false" customHeight="true" outlineLevel="0" collapsed="false">
      <c r="A13" s="13" t="n">
        <v>2026</v>
      </c>
      <c r="B13" s="13" t="s">
        <v>152</v>
      </c>
      <c r="C13" s="13" t="n">
        <v>2343</v>
      </c>
      <c r="D13" s="13" t="n">
        <v>2061</v>
      </c>
      <c r="E13" s="13" t="n">
        <v>87.96</v>
      </c>
    </row>
    <row r="14" customFormat="false" ht="15" hidden="false" customHeight="true" outlineLevel="0" collapsed="false">
      <c r="A14" s="13" t="n">
        <v>2026</v>
      </c>
      <c r="B14" s="13" t="s">
        <v>161</v>
      </c>
      <c r="C14" s="13" t="n">
        <v>564</v>
      </c>
      <c r="D14" s="13" t="n">
        <v>514</v>
      </c>
      <c r="E14" s="13" t="n">
        <v>91.13</v>
      </c>
    </row>
    <row r="15" customFormat="false" ht="15" hidden="false" customHeight="true" outlineLevel="0" collapsed="false">
      <c r="A15" s="13" t="n">
        <v>2026</v>
      </c>
      <c r="B15" s="13" t="s">
        <v>153</v>
      </c>
      <c r="C15" s="13" t="n">
        <v>955</v>
      </c>
      <c r="D15" s="13" t="n">
        <v>884</v>
      </c>
      <c r="E15" s="13" t="n">
        <v>92.57</v>
      </c>
    </row>
    <row r="16" customFormat="false" ht="15" hidden="false" customHeight="true" outlineLevel="0" collapsed="false">
      <c r="A16" s="13" t="n">
        <v>2026</v>
      </c>
      <c r="B16" s="13" t="s">
        <v>154</v>
      </c>
      <c r="C16" s="13" t="n">
        <v>8001</v>
      </c>
      <c r="D16" s="13" t="n">
        <v>7187</v>
      </c>
      <c r="E16" s="13" t="n">
        <v>89.83</v>
      </c>
    </row>
    <row r="17" customFormat="false" ht="15" hidden="false" customHeight="true" outlineLevel="0" collapsed="false">
      <c r="A17" s="13" t="n">
        <v>2026</v>
      </c>
      <c r="B17" s="13" t="s">
        <v>800</v>
      </c>
      <c r="C17" s="13" t="n">
        <v>2029</v>
      </c>
      <c r="D17" s="13" t="n">
        <v>1908</v>
      </c>
      <c r="E17" s="13" t="n">
        <v>94.04</v>
      </c>
    </row>
    <row r="18" customFormat="false" ht="15" hidden="false" customHeight="true" outlineLevel="0" collapsed="false">
      <c r="A18" s="13" t="n">
        <v>2026</v>
      </c>
      <c r="B18" s="13" t="s">
        <v>156</v>
      </c>
      <c r="C18" s="13" t="n">
        <v>17507</v>
      </c>
      <c r="D18" s="13" t="n">
        <v>7301</v>
      </c>
      <c r="E18" s="13" t="n">
        <v>41.7</v>
      </c>
    </row>
    <row r="19" customFormat="false" ht="15" hidden="false" customHeight="true" outlineLevel="0" collapsed="false">
      <c r="A19" s="13" t="n">
        <v>2026</v>
      </c>
      <c r="B19" s="13" t="s">
        <v>425</v>
      </c>
      <c r="C19" s="13" t="n">
        <v>64</v>
      </c>
      <c r="D19" s="13" t="n">
        <v>55</v>
      </c>
      <c r="E19" s="13" t="n">
        <v>85.94</v>
      </c>
    </row>
    <row r="20" customFormat="false" ht="15" hidden="false" customHeight="true" outlineLevel="0" collapsed="false">
      <c r="A20" s="13" t="n">
        <v>2026</v>
      </c>
      <c r="B20" s="13" t="s">
        <v>130</v>
      </c>
      <c r="C20" s="13" t="n">
        <v>1</v>
      </c>
      <c r="D20" s="13" t="n">
        <v>1</v>
      </c>
      <c r="E20" s="13" t="n">
        <v>100</v>
      </c>
    </row>
    <row r="21" customFormat="false" ht="15" hidden="false" customHeight="true" outlineLevel="0" collapsed="false">
      <c r="A21" s="13" t="n">
        <v>2026</v>
      </c>
      <c r="B21" s="13" t="s">
        <v>507</v>
      </c>
      <c r="C21" s="13" t="n">
        <v>37</v>
      </c>
      <c r="D21" s="13" t="n">
        <v>37</v>
      </c>
      <c r="E21" s="13" t="n">
        <v>100</v>
      </c>
    </row>
    <row r="22" customFormat="false" ht="15" hidden="false" customHeight="true" outlineLevel="0" collapsed="false">
      <c r="A22" s="13" t="n">
        <v>2026</v>
      </c>
      <c r="B22" s="13" t="s">
        <v>419</v>
      </c>
      <c r="C22" s="13" t="n">
        <v>7711</v>
      </c>
      <c r="D22" s="13" t="n">
        <v>7130</v>
      </c>
      <c r="E22" s="13" t="n">
        <v>92.47</v>
      </c>
    </row>
    <row r="23" customFormat="false" ht="15" hidden="false" customHeight="true" outlineLevel="0" collapsed="false">
      <c r="A23" s="13" t="n">
        <v>2026</v>
      </c>
      <c r="B23" s="13" t="s">
        <v>801</v>
      </c>
      <c r="C23" s="13" t="n">
        <v>3742</v>
      </c>
      <c r="D23" s="13" t="n">
        <v>3515</v>
      </c>
      <c r="E23" s="13" t="n">
        <v>93.93</v>
      </c>
    </row>
    <row r="24" customFormat="false" ht="15" hidden="false" customHeight="true" outlineLevel="0" collapsed="false">
      <c r="A24" s="13" t="n">
        <v>2026</v>
      </c>
      <c r="B24" s="13" t="s">
        <v>150</v>
      </c>
      <c r="C24" s="13" t="n">
        <v>778</v>
      </c>
      <c r="D24" s="13" t="n">
        <v>724</v>
      </c>
      <c r="E24" s="13" t="n">
        <v>93.06</v>
      </c>
    </row>
    <row r="25" customFormat="false" ht="15" hidden="false" customHeight="true" outlineLevel="0" collapsed="false">
      <c r="A25" s="13" t="n">
        <v>2026</v>
      </c>
      <c r="B25" s="13" t="s">
        <v>802</v>
      </c>
      <c r="C25" s="13" t="n">
        <v>188</v>
      </c>
      <c r="D25" s="13" t="n">
        <v>176</v>
      </c>
      <c r="E25" s="13" t="n">
        <v>93.62</v>
      </c>
    </row>
    <row r="26" customFormat="false" ht="15" hidden="false" customHeight="true" outlineLevel="0" collapsed="false">
      <c r="A26" s="13" t="n">
        <v>2026</v>
      </c>
      <c r="B26" s="13" t="s">
        <v>159</v>
      </c>
      <c r="C26" s="13" t="n">
        <v>809</v>
      </c>
      <c r="D26" s="13" t="n">
        <v>695</v>
      </c>
      <c r="E26" s="13" t="n">
        <v>85.91</v>
      </c>
    </row>
    <row r="27" customFormat="false" ht="15" hidden="false" customHeight="true" outlineLevel="0" collapsed="false">
      <c r="A27" s="13" t="n">
        <v>2026</v>
      </c>
      <c r="B27" s="13" t="s">
        <v>803</v>
      </c>
      <c r="C27" s="13" t="n">
        <v>635</v>
      </c>
      <c r="D27" s="13" t="n">
        <v>320</v>
      </c>
      <c r="E27" s="13" t="n">
        <v>50.39</v>
      </c>
    </row>
    <row r="28" customFormat="false" ht="15" hidden="false" customHeight="true" outlineLevel="0" collapsed="false">
      <c r="A28" s="13" t="n">
        <v>2026</v>
      </c>
      <c r="B28" s="13" t="s">
        <v>162</v>
      </c>
      <c r="C28" s="13" t="n">
        <v>576</v>
      </c>
      <c r="D28" s="13" t="n">
        <v>534</v>
      </c>
      <c r="E28" s="13" t="n">
        <v>92.71</v>
      </c>
    </row>
    <row r="29" customFormat="false" ht="15" hidden="false" customHeight="true" outlineLevel="0" collapsed="false">
      <c r="A29" s="13" t="n">
        <v>2026</v>
      </c>
      <c r="B29" s="13" t="s">
        <v>163</v>
      </c>
      <c r="C29" s="13" t="n">
        <v>1810</v>
      </c>
      <c r="D29" s="13" t="n">
        <v>1734</v>
      </c>
      <c r="E29" s="13" t="n">
        <v>95.8</v>
      </c>
    </row>
    <row r="30" customFormat="false" ht="15" hidden="false" customHeight="true" outlineLevel="0" collapsed="false">
      <c r="A30" s="13" t="n">
        <v>2026</v>
      </c>
      <c r="B30" s="13" t="s">
        <v>804</v>
      </c>
      <c r="C30" s="13" t="n">
        <v>472</v>
      </c>
      <c r="D30" s="13" t="n">
        <v>432</v>
      </c>
      <c r="E30" s="13" t="n">
        <v>91.53</v>
      </c>
    </row>
    <row r="31" customFormat="false" ht="15" hidden="false" customHeight="true" outlineLevel="0" collapsed="false">
      <c r="A31" s="13" t="n">
        <v>2026</v>
      </c>
      <c r="B31" s="13" t="s">
        <v>427</v>
      </c>
      <c r="C31" s="13" t="n">
        <v>577</v>
      </c>
      <c r="D31" s="13" t="n">
        <v>514</v>
      </c>
      <c r="E31" s="13" t="n">
        <v>89.08</v>
      </c>
    </row>
    <row r="32" customFormat="false" ht="15" hidden="false" customHeight="true" outlineLevel="0" collapsed="false">
      <c r="A32" s="13" t="n">
        <v>2026</v>
      </c>
      <c r="B32" s="13" t="s">
        <v>805</v>
      </c>
      <c r="C32" s="13" t="n">
        <v>1716</v>
      </c>
      <c r="D32" s="13" t="n">
        <v>1366</v>
      </c>
      <c r="E32" s="13" t="n">
        <v>79.6</v>
      </c>
    </row>
    <row r="33" customFormat="false" ht="15" hidden="false" customHeight="true" outlineLevel="0" collapsed="false">
      <c r="A33" s="13" t="n">
        <v>2026</v>
      </c>
      <c r="B33" s="13" t="s">
        <v>424</v>
      </c>
      <c r="C33" s="13" t="n">
        <v>2</v>
      </c>
      <c r="D33" s="13" t="n">
        <v>1</v>
      </c>
      <c r="E33" s="13" t="n">
        <v>50</v>
      </c>
    </row>
    <row r="34" customFormat="false" ht="15" hidden="false" customHeight="true" outlineLevel="0" collapsed="false">
      <c r="A34" s="13" t="n">
        <v>2026</v>
      </c>
      <c r="B34" s="13" t="s">
        <v>146</v>
      </c>
      <c r="C34" s="13" t="n">
        <v>279</v>
      </c>
      <c r="D34" s="13" t="n">
        <v>260</v>
      </c>
      <c r="E34" s="13" t="n">
        <v>93.19</v>
      </c>
    </row>
    <row r="35" customFormat="false" ht="15" hidden="false" customHeight="true" outlineLevel="0" collapsed="false">
      <c r="A35" s="13" t="n">
        <v>2026</v>
      </c>
      <c r="B35" s="13" t="s">
        <v>165</v>
      </c>
      <c r="C35" s="13" t="n">
        <v>49754</v>
      </c>
      <c r="D35" s="13" t="n">
        <v>34022</v>
      </c>
      <c r="E35" s="13" t="n">
        <v>68.38</v>
      </c>
    </row>
    <row r="36" customFormat="false" ht="15" hidden="false" customHeight="true" outlineLevel="0" collapsed="false">
      <c r="A36" s="13" t="n">
        <v>2026</v>
      </c>
      <c r="B36" s="13" t="s">
        <v>166</v>
      </c>
      <c r="C36" s="13" t="n">
        <v>37343</v>
      </c>
      <c r="D36" s="13" t="n">
        <v>28001</v>
      </c>
      <c r="E36" s="13" t="n">
        <v>74.98</v>
      </c>
    </row>
    <row r="37" customFormat="false" ht="15" hidden="false" customHeight="true" outlineLevel="0" collapsed="false">
      <c r="A37" s="13" t="n">
        <v>2026</v>
      </c>
      <c r="B37" s="13" t="s">
        <v>167</v>
      </c>
      <c r="C37" s="13" t="n">
        <v>33312</v>
      </c>
      <c r="D37" s="13" t="n">
        <v>25946</v>
      </c>
      <c r="E37" s="13" t="n">
        <v>77.89</v>
      </c>
    </row>
    <row r="38" customFormat="false" ht="15" hidden="false" customHeight="true" outlineLevel="0" collapsed="false">
      <c r="A38" s="13" t="n">
        <v>2026</v>
      </c>
      <c r="B38" s="13" t="s">
        <v>170</v>
      </c>
      <c r="C38" s="13" t="n">
        <v>14542</v>
      </c>
      <c r="D38" s="13" t="n">
        <v>11247</v>
      </c>
      <c r="E38" s="13" t="n">
        <v>77.34</v>
      </c>
    </row>
    <row r="39" customFormat="false" ht="15" hidden="false" customHeight="true" outlineLevel="0" collapsed="false">
      <c r="A39" s="13" t="n">
        <v>2026</v>
      </c>
      <c r="B39" s="13" t="s">
        <v>168</v>
      </c>
      <c r="C39" s="13" t="n">
        <v>355</v>
      </c>
      <c r="D39" s="13" t="n">
        <v>259</v>
      </c>
      <c r="E39" s="13" t="n">
        <v>72.96</v>
      </c>
    </row>
    <row r="40" customFormat="false" ht="15" hidden="false" customHeight="true" outlineLevel="0" collapsed="false">
      <c r="A40" s="13" t="n">
        <v>2026</v>
      </c>
      <c r="B40" s="13" t="s">
        <v>148</v>
      </c>
      <c r="C40" s="13" t="n">
        <v>279</v>
      </c>
      <c r="D40" s="13" t="n">
        <v>251</v>
      </c>
      <c r="E40" s="13" t="n">
        <v>89.96</v>
      </c>
    </row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13" width="12"/>
  </cols>
  <sheetData>
    <row r="1" customFormat="false" ht="15" hidden="false" customHeight="true" outlineLevel="0" collapsed="false">
      <c r="A1" s="13" t="s">
        <v>3</v>
      </c>
      <c r="B1" s="13" t="s">
        <v>812</v>
      </c>
      <c r="C1" s="13" t="s">
        <v>813</v>
      </c>
      <c r="D1" s="13" t="s">
        <v>109</v>
      </c>
      <c r="E1" s="13" t="s">
        <v>4</v>
      </c>
      <c r="F1" s="13" t="s">
        <v>5</v>
      </c>
      <c r="G1" s="13" t="s">
        <v>480</v>
      </c>
      <c r="H1" s="13" t="s">
        <v>814</v>
      </c>
      <c r="I1" s="13" t="s">
        <v>815</v>
      </c>
      <c r="J1" s="13" t="s">
        <v>816</v>
      </c>
      <c r="K1" s="13" t="s">
        <v>817</v>
      </c>
      <c r="L1" s="13" t="s">
        <v>818</v>
      </c>
      <c r="M1" s="13" t="s">
        <v>819</v>
      </c>
      <c r="N1" s="13" t="s">
        <v>199</v>
      </c>
      <c r="O1" s="13" t="s">
        <v>116</v>
      </c>
      <c r="P1" s="13" t="s">
        <v>117</v>
      </c>
      <c r="Q1" s="13" t="s">
        <v>118</v>
      </c>
      <c r="R1" s="13" t="s">
        <v>119</v>
      </c>
      <c r="S1" s="13" t="s">
        <v>120</v>
      </c>
    </row>
    <row r="2" customFormat="false" ht="15" hidden="false" customHeight="true" outlineLevel="0" collapsed="false">
      <c r="A2" s="13" t="n">
        <v>2024</v>
      </c>
      <c r="B2" s="14" t="n">
        <v>64232</v>
      </c>
      <c r="C2" s="14" t="n">
        <v>24</v>
      </c>
      <c r="D2" s="14" t="n">
        <v>917</v>
      </c>
      <c r="E2" s="14" t="n">
        <v>63291</v>
      </c>
      <c r="F2" s="14" t="n">
        <v>35922</v>
      </c>
      <c r="G2" s="15" t="n">
        <v>0.5676</v>
      </c>
      <c r="H2" s="14" t="n">
        <v>24557</v>
      </c>
      <c r="I2" s="14" t="n">
        <v>11266</v>
      </c>
      <c r="J2" s="15" t="n">
        <v>0.4588</v>
      </c>
      <c r="K2" s="14" t="n">
        <v>38734</v>
      </c>
      <c r="L2" s="14" t="n">
        <v>24656</v>
      </c>
      <c r="M2" s="15" t="n">
        <v>0.6365</v>
      </c>
      <c r="N2" s="14" t="n">
        <v>2632</v>
      </c>
      <c r="O2" s="14" t="n">
        <v>5408</v>
      </c>
      <c r="P2" s="14" t="n">
        <v>9666</v>
      </c>
      <c r="Q2" s="14" t="n">
        <v>12243</v>
      </c>
      <c r="R2" s="14" t="n">
        <v>5612</v>
      </c>
      <c r="S2" s="14" t="n">
        <v>356</v>
      </c>
    </row>
    <row r="3" customFormat="false" ht="15" hidden="false" customHeight="true" outlineLevel="0" collapsed="false">
      <c r="A3" s="13" t="n">
        <v>2025</v>
      </c>
      <c r="B3" s="14" t="n">
        <v>59784</v>
      </c>
      <c r="C3" s="14" t="n">
        <v>31</v>
      </c>
      <c r="D3" s="14" t="n">
        <v>813</v>
      </c>
      <c r="E3" s="14" t="n">
        <v>58940</v>
      </c>
      <c r="F3" s="14" t="n">
        <v>31898</v>
      </c>
      <c r="G3" s="15" t="n">
        <v>0.5412</v>
      </c>
      <c r="H3" s="14" t="n">
        <v>21668</v>
      </c>
      <c r="I3" s="14" t="n">
        <v>8640</v>
      </c>
      <c r="J3" s="15" t="n">
        <v>0.3987</v>
      </c>
      <c r="K3" s="14" t="n">
        <v>37272</v>
      </c>
      <c r="L3" s="14" t="n">
        <v>23258</v>
      </c>
      <c r="M3" s="15" t="n">
        <v>0.624</v>
      </c>
      <c r="N3" s="14" t="n">
        <v>2352</v>
      </c>
      <c r="O3" s="14" t="n">
        <v>4588</v>
      </c>
      <c r="P3" s="14" t="n">
        <v>8652</v>
      </c>
      <c r="Q3" s="14" t="n">
        <v>10881</v>
      </c>
      <c r="R3" s="14" t="n">
        <v>5144</v>
      </c>
      <c r="S3" s="14" t="n">
        <v>277</v>
      </c>
    </row>
    <row r="4" customFormat="false" ht="15" hidden="false" customHeight="true" outlineLevel="0" collapsed="false">
      <c r="A4" s="13" t="n">
        <v>2026</v>
      </c>
      <c r="B4" s="14" t="n">
        <v>62233</v>
      </c>
      <c r="C4" s="14" t="n">
        <v>29</v>
      </c>
      <c r="D4" s="14" t="n">
        <v>795</v>
      </c>
      <c r="E4" s="14" t="n">
        <v>61409</v>
      </c>
      <c r="F4" s="14" t="n">
        <v>36896</v>
      </c>
      <c r="G4" s="15" t="n">
        <v>0.6008</v>
      </c>
      <c r="H4" s="14" t="n">
        <v>21821</v>
      </c>
      <c r="I4" s="14" t="n">
        <v>10152</v>
      </c>
      <c r="J4" s="15" t="n">
        <v>0.4652</v>
      </c>
      <c r="K4" s="14" t="n">
        <v>39588</v>
      </c>
      <c r="L4" s="14" t="n">
        <v>26744</v>
      </c>
      <c r="M4" s="15" t="n">
        <v>0.6756</v>
      </c>
      <c r="N4" s="14" t="n">
        <v>2671</v>
      </c>
      <c r="O4" s="14" t="n">
        <v>5577</v>
      </c>
      <c r="P4" s="14" t="n">
        <v>10176</v>
      </c>
      <c r="Q4" s="14" t="n">
        <v>12288</v>
      </c>
      <c r="R4" s="14" t="n">
        <v>5815</v>
      </c>
      <c r="S4" s="14" t="n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5"/>
    <col collapsed="false" customWidth="true" hidden="false" outlineLevel="0" max="3" min="3" style="13" width="17"/>
    <col collapsed="false" customWidth="true" hidden="false" outlineLevel="0" max="7" min="4" style="13" width="12"/>
  </cols>
  <sheetData>
    <row r="1" customFormat="false" ht="15" hidden="false" customHeight="true" outlineLevel="0" collapsed="false">
      <c r="A1" s="13" t="s">
        <v>3</v>
      </c>
      <c r="B1" s="13" t="s">
        <v>482</v>
      </c>
      <c r="C1" s="13" t="s">
        <v>114</v>
      </c>
      <c r="D1" s="13" t="s">
        <v>113</v>
      </c>
      <c r="E1" s="13" t="s">
        <v>820</v>
      </c>
      <c r="F1" s="13" t="s">
        <v>198</v>
      </c>
      <c r="G1" s="13" t="s">
        <v>480</v>
      </c>
    </row>
    <row r="2" customFormat="false" ht="15" hidden="false" customHeight="true" outlineLevel="0" collapsed="false">
      <c r="A2" s="13" t="n">
        <v>2024</v>
      </c>
      <c r="B2" s="13" t="s">
        <v>121</v>
      </c>
      <c r="C2" s="13" t="s">
        <v>128</v>
      </c>
      <c r="D2" s="13" t="s">
        <v>124</v>
      </c>
      <c r="E2" s="14" t="n">
        <v>2160</v>
      </c>
      <c r="F2" s="14" t="n">
        <v>859</v>
      </c>
      <c r="G2" s="15" t="n">
        <v>0.3977</v>
      </c>
    </row>
    <row r="3" customFormat="false" ht="15" hidden="false" customHeight="true" outlineLevel="0" collapsed="false">
      <c r="A3" s="13" t="n">
        <v>2024</v>
      </c>
      <c r="B3" s="13" t="s">
        <v>121</v>
      </c>
      <c r="C3" s="13" t="s">
        <v>128</v>
      </c>
      <c r="D3" s="13" t="s">
        <v>122</v>
      </c>
      <c r="E3" s="14" t="n">
        <v>9594</v>
      </c>
      <c r="F3" s="14" t="n">
        <v>6130</v>
      </c>
      <c r="G3" s="15" t="n">
        <v>0.6389</v>
      </c>
    </row>
    <row r="4" customFormat="false" ht="15" hidden="false" customHeight="true" outlineLevel="0" collapsed="false">
      <c r="A4" s="13" t="n">
        <v>2024</v>
      </c>
      <c r="B4" s="13" t="s">
        <v>121</v>
      </c>
      <c r="C4" s="13" t="s">
        <v>128</v>
      </c>
      <c r="D4" s="13" t="s">
        <v>192</v>
      </c>
      <c r="E4" s="14" t="n">
        <v>11754</v>
      </c>
      <c r="F4" s="14" t="n">
        <v>6989</v>
      </c>
      <c r="G4" s="15" t="n">
        <v>0.5946</v>
      </c>
    </row>
    <row r="5" customFormat="false" ht="15" hidden="false" customHeight="true" outlineLevel="0" collapsed="false">
      <c r="A5" s="13" t="n">
        <v>2024</v>
      </c>
      <c r="B5" s="13" t="s">
        <v>121</v>
      </c>
      <c r="C5" s="13" t="s">
        <v>123</v>
      </c>
      <c r="D5" s="13" t="s">
        <v>124</v>
      </c>
      <c r="E5" s="14" t="n">
        <v>2437</v>
      </c>
      <c r="F5" s="14" t="n">
        <v>1741</v>
      </c>
      <c r="G5" s="15" t="n">
        <v>0.7144</v>
      </c>
    </row>
    <row r="6" customFormat="false" ht="15" hidden="false" customHeight="true" outlineLevel="0" collapsed="false">
      <c r="A6" s="13" t="n">
        <v>2024</v>
      </c>
      <c r="B6" s="13" t="s">
        <v>121</v>
      </c>
      <c r="C6" s="13" t="s">
        <v>123</v>
      </c>
      <c r="D6" s="13" t="s">
        <v>122</v>
      </c>
      <c r="E6" s="14" t="n">
        <v>8166</v>
      </c>
      <c r="F6" s="14" t="n">
        <v>6876</v>
      </c>
      <c r="G6" s="15" t="n">
        <v>0.842</v>
      </c>
    </row>
    <row r="7" customFormat="false" ht="15" hidden="false" customHeight="true" outlineLevel="0" collapsed="false">
      <c r="A7" s="13" t="n">
        <v>2024</v>
      </c>
      <c r="B7" s="13" t="s">
        <v>121</v>
      </c>
      <c r="C7" s="13" t="s">
        <v>123</v>
      </c>
      <c r="D7" s="13" t="s">
        <v>192</v>
      </c>
      <c r="E7" s="14" t="n">
        <v>10603</v>
      </c>
      <c r="F7" s="14" t="n">
        <v>8617</v>
      </c>
      <c r="G7" s="15" t="n">
        <v>0.8127</v>
      </c>
    </row>
    <row r="8" customFormat="false" ht="15" hidden="false" customHeight="true" outlineLevel="0" collapsed="false">
      <c r="A8" s="13" t="n">
        <v>2024</v>
      </c>
      <c r="B8" s="13" t="s">
        <v>121</v>
      </c>
      <c r="C8" s="13" t="s">
        <v>126</v>
      </c>
      <c r="D8" s="13" t="s">
        <v>124</v>
      </c>
      <c r="E8" s="14" t="n">
        <v>2303</v>
      </c>
      <c r="F8" s="14" t="n">
        <v>1668</v>
      </c>
      <c r="G8" s="15" t="n">
        <v>0.7243</v>
      </c>
    </row>
    <row r="9" customFormat="false" ht="15" hidden="false" customHeight="true" outlineLevel="0" collapsed="false">
      <c r="A9" s="13" t="n">
        <v>2024</v>
      </c>
      <c r="B9" s="13" t="s">
        <v>121</v>
      </c>
      <c r="C9" s="13" t="s">
        <v>126</v>
      </c>
      <c r="D9" s="13" t="s">
        <v>122</v>
      </c>
      <c r="E9" s="14" t="n">
        <v>1733</v>
      </c>
      <c r="F9" s="14" t="n">
        <v>1461</v>
      </c>
      <c r="G9" s="15" t="n">
        <v>0.843</v>
      </c>
    </row>
    <row r="10" customFormat="false" ht="15" hidden="false" customHeight="true" outlineLevel="0" collapsed="false">
      <c r="A10" s="13" t="n">
        <v>2024</v>
      </c>
      <c r="B10" s="13" t="s">
        <v>121</v>
      </c>
      <c r="C10" s="13" t="s">
        <v>126</v>
      </c>
      <c r="D10" s="13" t="s">
        <v>192</v>
      </c>
      <c r="E10" s="14" t="n">
        <v>4036</v>
      </c>
      <c r="F10" s="14" t="n">
        <v>3129</v>
      </c>
      <c r="G10" s="15" t="n">
        <v>0.7753</v>
      </c>
    </row>
    <row r="11" customFormat="false" ht="15" hidden="false" customHeight="true" outlineLevel="0" collapsed="false">
      <c r="A11" s="13" t="n">
        <v>2024</v>
      </c>
      <c r="B11" s="13" t="s">
        <v>121</v>
      </c>
      <c r="C11" s="13" t="s">
        <v>821</v>
      </c>
      <c r="D11" s="13" t="s">
        <v>124</v>
      </c>
      <c r="E11" s="14" t="n">
        <v>8685</v>
      </c>
      <c r="F11" s="14" t="n">
        <v>4159</v>
      </c>
      <c r="G11" s="15" t="n">
        <v>0.4789</v>
      </c>
    </row>
    <row r="12" customFormat="false" ht="15" hidden="false" customHeight="true" outlineLevel="0" collapsed="false">
      <c r="A12" s="13" t="n">
        <v>2024</v>
      </c>
      <c r="B12" s="13" t="s">
        <v>121</v>
      </c>
      <c r="C12" s="13" t="s">
        <v>821</v>
      </c>
      <c r="D12" s="13" t="s">
        <v>122</v>
      </c>
      <c r="E12" s="14" t="n">
        <v>9299</v>
      </c>
      <c r="F12" s="14" t="n">
        <v>5961</v>
      </c>
      <c r="G12" s="15" t="n">
        <v>0.641</v>
      </c>
    </row>
    <row r="13" customFormat="false" ht="15" hidden="false" customHeight="true" outlineLevel="0" collapsed="false">
      <c r="A13" s="13" t="n">
        <v>2024</v>
      </c>
      <c r="B13" s="13" t="s">
        <v>121</v>
      </c>
      <c r="C13" s="13" t="s">
        <v>821</v>
      </c>
      <c r="D13" s="13" t="s">
        <v>192</v>
      </c>
      <c r="E13" s="14" t="n">
        <v>17984</v>
      </c>
      <c r="F13" s="14" t="n">
        <v>10120</v>
      </c>
      <c r="G13" s="15" t="n">
        <v>0.5627</v>
      </c>
    </row>
    <row r="14" customFormat="false" ht="15" hidden="false" customHeight="true" outlineLevel="0" collapsed="false">
      <c r="A14" s="13" t="n">
        <v>2024</v>
      </c>
      <c r="B14" s="13" t="s">
        <v>121</v>
      </c>
      <c r="C14" s="13" t="s">
        <v>203</v>
      </c>
      <c r="D14" s="13" t="s">
        <v>124</v>
      </c>
      <c r="E14" s="14" t="n">
        <v>1120</v>
      </c>
      <c r="F14" s="14" t="n">
        <v>706</v>
      </c>
      <c r="G14" s="15" t="n">
        <v>0.6304</v>
      </c>
    </row>
    <row r="15" customFormat="false" ht="15" hidden="false" customHeight="true" outlineLevel="0" collapsed="false">
      <c r="A15" s="13" t="n">
        <v>2024</v>
      </c>
      <c r="B15" s="13" t="s">
        <v>121</v>
      </c>
      <c r="C15" s="13" t="s">
        <v>203</v>
      </c>
      <c r="D15" s="13" t="s">
        <v>122</v>
      </c>
      <c r="E15" s="14" t="n">
        <v>703</v>
      </c>
      <c r="F15" s="14" t="n">
        <v>566</v>
      </c>
      <c r="G15" s="15" t="n">
        <v>0.8051</v>
      </c>
    </row>
    <row r="16" customFormat="false" ht="15" hidden="false" customHeight="true" outlineLevel="0" collapsed="false">
      <c r="A16" s="13" t="n">
        <v>2024</v>
      </c>
      <c r="B16" s="13" t="s">
        <v>121</v>
      </c>
      <c r="C16" s="13" t="s">
        <v>203</v>
      </c>
      <c r="D16" s="13" t="s">
        <v>192</v>
      </c>
      <c r="E16" s="14" t="n">
        <v>1823</v>
      </c>
      <c r="F16" s="14" t="n">
        <v>1272</v>
      </c>
      <c r="G16" s="15" t="n">
        <v>0.6978</v>
      </c>
    </row>
    <row r="17" customFormat="false" ht="15" hidden="false" customHeight="true" outlineLevel="0" collapsed="false">
      <c r="A17" s="13" t="n">
        <v>2024</v>
      </c>
      <c r="B17" s="13" t="s">
        <v>125</v>
      </c>
      <c r="C17" s="13" t="s">
        <v>128</v>
      </c>
      <c r="D17" s="13" t="s">
        <v>124</v>
      </c>
      <c r="E17" s="14" t="n">
        <v>3764</v>
      </c>
      <c r="F17" s="14" t="n">
        <v>833</v>
      </c>
      <c r="G17" s="15" t="n">
        <v>0.2213</v>
      </c>
    </row>
    <row r="18" customFormat="false" ht="15" hidden="false" customHeight="true" outlineLevel="0" collapsed="false">
      <c r="A18" s="13" t="n">
        <v>2024</v>
      </c>
      <c r="B18" s="13" t="s">
        <v>125</v>
      </c>
      <c r="C18" s="13" t="s">
        <v>128</v>
      </c>
      <c r="D18" s="13" t="s">
        <v>122</v>
      </c>
      <c r="E18" s="14" t="n">
        <v>5669</v>
      </c>
      <c r="F18" s="14" t="n">
        <v>2079</v>
      </c>
      <c r="G18" s="15" t="n">
        <v>0.3667</v>
      </c>
    </row>
    <row r="19" customFormat="false" ht="15" hidden="false" customHeight="true" outlineLevel="0" collapsed="false">
      <c r="A19" s="13" t="n">
        <v>2024</v>
      </c>
      <c r="B19" s="13" t="s">
        <v>125</v>
      </c>
      <c r="C19" s="13" t="s">
        <v>128</v>
      </c>
      <c r="D19" s="13" t="s">
        <v>192</v>
      </c>
      <c r="E19" s="14" t="n">
        <v>9433</v>
      </c>
      <c r="F19" s="14" t="n">
        <v>2912</v>
      </c>
      <c r="G19" s="15" t="n">
        <v>0.3087</v>
      </c>
    </row>
    <row r="20" customFormat="false" ht="15" hidden="false" customHeight="true" outlineLevel="0" collapsed="false">
      <c r="A20" s="13" t="n">
        <v>2024</v>
      </c>
      <c r="B20" s="13" t="s">
        <v>125</v>
      </c>
      <c r="C20" s="13" t="s">
        <v>123</v>
      </c>
      <c r="D20" s="13" t="s">
        <v>124</v>
      </c>
      <c r="E20" s="14" t="n">
        <v>570</v>
      </c>
      <c r="F20" s="14" t="n">
        <v>284</v>
      </c>
      <c r="G20" s="15" t="n">
        <v>0.4982</v>
      </c>
    </row>
    <row r="21" customFormat="false" ht="15" hidden="false" customHeight="true" outlineLevel="0" collapsed="false">
      <c r="A21" s="13" t="n">
        <v>2024</v>
      </c>
      <c r="B21" s="13" t="s">
        <v>125</v>
      </c>
      <c r="C21" s="13" t="s">
        <v>123</v>
      </c>
      <c r="D21" s="13" t="s">
        <v>122</v>
      </c>
      <c r="E21" s="14" t="n">
        <v>1336</v>
      </c>
      <c r="F21" s="14" t="n">
        <v>813</v>
      </c>
      <c r="G21" s="15" t="n">
        <v>0.6085</v>
      </c>
    </row>
    <row r="22" customFormat="false" ht="15" hidden="false" customHeight="true" outlineLevel="0" collapsed="false">
      <c r="A22" s="13" t="n">
        <v>2024</v>
      </c>
      <c r="B22" s="13" t="s">
        <v>125</v>
      </c>
      <c r="C22" s="13" t="s">
        <v>123</v>
      </c>
      <c r="D22" s="13" t="s">
        <v>192</v>
      </c>
      <c r="E22" s="14" t="n">
        <v>1906</v>
      </c>
      <c r="F22" s="14" t="n">
        <v>1097</v>
      </c>
      <c r="G22" s="15" t="n">
        <v>0.5756</v>
      </c>
    </row>
    <row r="23" customFormat="false" ht="15" hidden="false" customHeight="true" outlineLevel="0" collapsed="false">
      <c r="A23" s="13" t="n">
        <v>2024</v>
      </c>
      <c r="B23" s="13" t="s">
        <v>125</v>
      </c>
      <c r="C23" s="13" t="s">
        <v>126</v>
      </c>
      <c r="D23" s="13" t="s">
        <v>124</v>
      </c>
      <c r="E23" s="14" t="n">
        <v>657</v>
      </c>
      <c r="F23" s="14" t="n">
        <v>228</v>
      </c>
      <c r="G23" s="15" t="n">
        <v>0.347</v>
      </c>
    </row>
    <row r="24" customFormat="false" ht="15" hidden="false" customHeight="true" outlineLevel="0" collapsed="false">
      <c r="A24" s="13" t="n">
        <v>2024</v>
      </c>
      <c r="B24" s="13" t="s">
        <v>125</v>
      </c>
      <c r="C24" s="13" t="s">
        <v>126</v>
      </c>
      <c r="D24" s="13" t="s">
        <v>122</v>
      </c>
      <c r="E24" s="14" t="n">
        <v>389</v>
      </c>
      <c r="F24" s="14" t="n">
        <v>138</v>
      </c>
      <c r="G24" s="15" t="n">
        <v>0.3548</v>
      </c>
    </row>
    <row r="25" customFormat="false" ht="15" hidden="false" customHeight="true" outlineLevel="0" collapsed="false">
      <c r="A25" s="13" t="n">
        <v>2024</v>
      </c>
      <c r="B25" s="13" t="s">
        <v>125</v>
      </c>
      <c r="C25" s="13" t="s">
        <v>126</v>
      </c>
      <c r="D25" s="13" t="s">
        <v>192</v>
      </c>
      <c r="E25" s="14" t="n">
        <v>1046</v>
      </c>
      <c r="F25" s="14" t="n">
        <v>366</v>
      </c>
      <c r="G25" s="15" t="n">
        <v>0.3499</v>
      </c>
    </row>
    <row r="26" customFormat="false" ht="15" hidden="false" customHeight="true" outlineLevel="0" collapsed="false">
      <c r="A26" s="13" t="n">
        <v>2024</v>
      </c>
      <c r="B26" s="13" t="s">
        <v>125</v>
      </c>
      <c r="C26" s="13" t="s">
        <v>821</v>
      </c>
      <c r="D26" s="13" t="s">
        <v>124</v>
      </c>
      <c r="E26" s="14" t="n">
        <v>2177</v>
      </c>
      <c r="F26" s="14" t="n">
        <v>541</v>
      </c>
      <c r="G26" s="15" t="n">
        <v>0.2485</v>
      </c>
    </row>
    <row r="27" customFormat="false" ht="15" hidden="false" customHeight="true" outlineLevel="0" collapsed="false">
      <c r="A27" s="13" t="n">
        <v>2024</v>
      </c>
      <c r="B27" s="13" t="s">
        <v>125</v>
      </c>
      <c r="C27" s="13" t="s">
        <v>821</v>
      </c>
      <c r="D27" s="13" t="s">
        <v>122</v>
      </c>
      <c r="E27" s="14" t="n">
        <v>1591</v>
      </c>
      <c r="F27" s="14" t="n">
        <v>499</v>
      </c>
      <c r="G27" s="15" t="n">
        <v>0.3136</v>
      </c>
    </row>
    <row r="28" customFormat="false" ht="15" hidden="false" customHeight="true" outlineLevel="0" collapsed="false">
      <c r="A28" s="13" t="n">
        <v>2024</v>
      </c>
      <c r="B28" s="13" t="s">
        <v>125</v>
      </c>
      <c r="C28" s="13" t="s">
        <v>821</v>
      </c>
      <c r="D28" s="13" t="s">
        <v>192</v>
      </c>
      <c r="E28" s="14" t="n">
        <v>3768</v>
      </c>
      <c r="F28" s="14" t="n">
        <v>1040</v>
      </c>
      <c r="G28" s="15" t="n">
        <v>0.276</v>
      </c>
    </row>
    <row r="29" customFormat="false" ht="15" hidden="false" customHeight="true" outlineLevel="0" collapsed="false">
      <c r="A29" s="13" t="n">
        <v>2024</v>
      </c>
      <c r="B29" s="13" t="s">
        <v>125</v>
      </c>
      <c r="C29" s="13" t="s">
        <v>203</v>
      </c>
      <c r="D29" s="13" t="s">
        <v>124</v>
      </c>
      <c r="E29" s="14" t="n">
        <v>648</v>
      </c>
      <c r="F29" s="14" t="n">
        <v>212</v>
      </c>
      <c r="G29" s="15" t="n">
        <v>0.3272</v>
      </c>
    </row>
    <row r="30" customFormat="false" ht="15" hidden="false" customHeight="true" outlineLevel="0" collapsed="false">
      <c r="A30" s="13" t="n">
        <v>2024</v>
      </c>
      <c r="B30" s="13" t="s">
        <v>125</v>
      </c>
      <c r="C30" s="13" t="s">
        <v>203</v>
      </c>
      <c r="D30" s="13" t="s">
        <v>122</v>
      </c>
      <c r="E30" s="14" t="n">
        <v>233</v>
      </c>
      <c r="F30" s="14" t="n">
        <v>113</v>
      </c>
      <c r="G30" s="15" t="n">
        <v>0.485</v>
      </c>
    </row>
    <row r="31" customFormat="false" ht="15" hidden="false" customHeight="true" outlineLevel="0" collapsed="false">
      <c r="A31" s="13" t="n">
        <v>2024</v>
      </c>
      <c r="B31" s="13" t="s">
        <v>125</v>
      </c>
      <c r="C31" s="13" t="s">
        <v>203</v>
      </c>
      <c r="D31" s="13" t="s">
        <v>192</v>
      </c>
      <c r="E31" s="14" t="n">
        <v>881</v>
      </c>
      <c r="F31" s="14" t="n">
        <v>325</v>
      </c>
      <c r="G31" s="15" t="n">
        <v>0.3689</v>
      </c>
    </row>
    <row r="32" customFormat="false" ht="15" hidden="false" customHeight="true" outlineLevel="0" collapsed="false">
      <c r="A32" s="13" t="n">
        <v>2024</v>
      </c>
      <c r="B32" s="13" t="s">
        <v>195</v>
      </c>
      <c r="C32" s="13" t="s">
        <v>128</v>
      </c>
      <c r="D32" s="13" t="s">
        <v>124</v>
      </c>
      <c r="E32" s="14" t="n">
        <v>5924</v>
      </c>
      <c r="F32" s="14" t="n">
        <v>1692</v>
      </c>
      <c r="G32" s="15" t="n">
        <v>0.2856</v>
      </c>
    </row>
    <row r="33" customFormat="false" ht="15" hidden="false" customHeight="true" outlineLevel="0" collapsed="false">
      <c r="A33" s="13" t="n">
        <v>2024</v>
      </c>
      <c r="B33" s="13" t="s">
        <v>195</v>
      </c>
      <c r="C33" s="13" t="s">
        <v>128</v>
      </c>
      <c r="D33" s="13" t="s">
        <v>122</v>
      </c>
      <c r="E33" s="14" t="n">
        <v>15263</v>
      </c>
      <c r="F33" s="14" t="n">
        <v>8209</v>
      </c>
      <c r="G33" s="15" t="n">
        <v>0.5378</v>
      </c>
    </row>
    <row r="34" customFormat="false" ht="15" hidden="false" customHeight="true" outlineLevel="0" collapsed="false">
      <c r="A34" s="13" t="n">
        <v>2024</v>
      </c>
      <c r="B34" s="13" t="s">
        <v>195</v>
      </c>
      <c r="C34" s="13" t="s">
        <v>128</v>
      </c>
      <c r="D34" s="13" t="s">
        <v>192</v>
      </c>
      <c r="E34" s="14" t="n">
        <v>21187</v>
      </c>
      <c r="F34" s="14" t="n">
        <v>9901</v>
      </c>
      <c r="G34" s="15" t="n">
        <v>0.4673</v>
      </c>
    </row>
    <row r="35" customFormat="false" ht="15" hidden="false" customHeight="true" outlineLevel="0" collapsed="false">
      <c r="A35" s="13" t="n">
        <v>2024</v>
      </c>
      <c r="B35" s="13" t="s">
        <v>195</v>
      </c>
      <c r="C35" s="13" t="s">
        <v>123</v>
      </c>
      <c r="D35" s="13" t="s">
        <v>124</v>
      </c>
      <c r="E35" s="14" t="n">
        <v>3007</v>
      </c>
      <c r="F35" s="14" t="n">
        <v>2025</v>
      </c>
      <c r="G35" s="15" t="n">
        <v>0.6734</v>
      </c>
    </row>
    <row r="36" customFormat="false" ht="15" hidden="false" customHeight="true" outlineLevel="0" collapsed="false">
      <c r="A36" s="13" t="n">
        <v>2024</v>
      </c>
      <c r="B36" s="13" t="s">
        <v>195</v>
      </c>
      <c r="C36" s="13" t="s">
        <v>123</v>
      </c>
      <c r="D36" s="13" t="s">
        <v>122</v>
      </c>
      <c r="E36" s="14" t="n">
        <v>9502</v>
      </c>
      <c r="F36" s="14" t="n">
        <v>7689</v>
      </c>
      <c r="G36" s="15" t="n">
        <v>0.8091</v>
      </c>
    </row>
    <row r="37" customFormat="false" ht="15" hidden="false" customHeight="true" outlineLevel="0" collapsed="false">
      <c r="A37" s="13" t="n">
        <v>2024</v>
      </c>
      <c r="B37" s="13" t="s">
        <v>195</v>
      </c>
      <c r="C37" s="13" t="s">
        <v>123</v>
      </c>
      <c r="D37" s="13" t="s">
        <v>192</v>
      </c>
      <c r="E37" s="14" t="n">
        <v>12509</v>
      </c>
      <c r="F37" s="14" t="n">
        <v>9714</v>
      </c>
      <c r="G37" s="15" t="n">
        <v>0.7765</v>
      </c>
    </row>
    <row r="38" customFormat="false" ht="15" hidden="false" customHeight="true" outlineLevel="0" collapsed="false">
      <c r="A38" s="13" t="n">
        <v>2024</v>
      </c>
      <c r="B38" s="13" t="s">
        <v>195</v>
      </c>
      <c r="C38" s="13" t="s">
        <v>126</v>
      </c>
      <c r="D38" s="13" t="s">
        <v>124</v>
      </c>
      <c r="E38" s="14" t="n">
        <v>2960</v>
      </c>
      <c r="F38" s="14" t="n">
        <v>1896</v>
      </c>
      <c r="G38" s="15" t="n">
        <v>0.6405</v>
      </c>
    </row>
    <row r="39" customFormat="false" ht="15" hidden="false" customHeight="true" outlineLevel="0" collapsed="false">
      <c r="A39" s="13" t="n">
        <v>2024</v>
      </c>
      <c r="B39" s="13" t="s">
        <v>195</v>
      </c>
      <c r="C39" s="13" t="s">
        <v>126</v>
      </c>
      <c r="D39" s="13" t="s">
        <v>122</v>
      </c>
      <c r="E39" s="14" t="n">
        <v>2122</v>
      </c>
      <c r="F39" s="14" t="n">
        <v>1599</v>
      </c>
      <c r="G39" s="15" t="n">
        <v>0.7535</v>
      </c>
    </row>
    <row r="40" customFormat="false" ht="15" hidden="false" customHeight="true" outlineLevel="0" collapsed="false">
      <c r="A40" s="13" t="n">
        <v>2024</v>
      </c>
      <c r="B40" s="13" t="s">
        <v>195</v>
      </c>
      <c r="C40" s="13" t="s">
        <v>126</v>
      </c>
      <c r="D40" s="13" t="s">
        <v>192</v>
      </c>
      <c r="E40" s="14" t="n">
        <v>5082</v>
      </c>
      <c r="F40" s="14" t="n">
        <v>3495</v>
      </c>
      <c r="G40" s="15" t="n">
        <v>0.6877</v>
      </c>
    </row>
    <row r="41" customFormat="false" ht="15" hidden="false" customHeight="true" outlineLevel="0" collapsed="false">
      <c r="A41" s="13" t="n">
        <v>2024</v>
      </c>
      <c r="B41" s="13" t="s">
        <v>195</v>
      </c>
      <c r="C41" s="13" t="s">
        <v>821</v>
      </c>
      <c r="D41" s="13" t="s">
        <v>124</v>
      </c>
      <c r="E41" s="14" t="n">
        <v>10862</v>
      </c>
      <c r="F41" s="14" t="n">
        <v>4700</v>
      </c>
      <c r="G41" s="15" t="n">
        <v>0.4327</v>
      </c>
    </row>
    <row r="42" customFormat="false" ht="15" hidden="false" customHeight="true" outlineLevel="0" collapsed="false">
      <c r="A42" s="13" t="n">
        <v>2024</v>
      </c>
      <c r="B42" s="13" t="s">
        <v>195</v>
      </c>
      <c r="C42" s="13" t="s">
        <v>821</v>
      </c>
      <c r="D42" s="13" t="s">
        <v>122</v>
      </c>
      <c r="E42" s="14" t="n">
        <v>10890</v>
      </c>
      <c r="F42" s="14" t="n">
        <v>6460</v>
      </c>
      <c r="G42" s="15" t="n">
        <v>0.5932</v>
      </c>
    </row>
    <row r="43" customFormat="false" ht="15" hidden="false" customHeight="true" outlineLevel="0" collapsed="false">
      <c r="A43" s="13" t="n">
        <v>2024</v>
      </c>
      <c r="B43" s="13" t="s">
        <v>195</v>
      </c>
      <c r="C43" s="13" t="s">
        <v>821</v>
      </c>
      <c r="D43" s="13" t="s">
        <v>192</v>
      </c>
      <c r="E43" s="14" t="n">
        <v>21752</v>
      </c>
      <c r="F43" s="14" t="n">
        <v>11160</v>
      </c>
      <c r="G43" s="15" t="n">
        <v>0.513</v>
      </c>
    </row>
    <row r="44" customFormat="false" ht="15" hidden="false" customHeight="true" outlineLevel="0" collapsed="false">
      <c r="A44" s="13" t="n">
        <v>2024</v>
      </c>
      <c r="B44" s="13" t="s">
        <v>195</v>
      </c>
      <c r="C44" s="13" t="s">
        <v>203</v>
      </c>
      <c r="D44" s="13" t="s">
        <v>124</v>
      </c>
      <c r="E44" s="14" t="n">
        <v>1768</v>
      </c>
      <c r="F44" s="14" t="n">
        <v>918</v>
      </c>
      <c r="G44" s="15" t="n">
        <v>0.5192</v>
      </c>
    </row>
    <row r="45" customFormat="false" ht="15" hidden="false" customHeight="true" outlineLevel="0" collapsed="false">
      <c r="A45" s="13" t="n">
        <v>2024</v>
      </c>
      <c r="B45" s="13" t="s">
        <v>195</v>
      </c>
      <c r="C45" s="13" t="s">
        <v>203</v>
      </c>
      <c r="D45" s="13" t="s">
        <v>122</v>
      </c>
      <c r="E45" s="14" t="n">
        <v>936</v>
      </c>
      <c r="F45" s="14" t="n">
        <v>679</v>
      </c>
      <c r="G45" s="15" t="n">
        <v>0.7254</v>
      </c>
    </row>
    <row r="46" customFormat="false" ht="15" hidden="false" customHeight="true" outlineLevel="0" collapsed="false">
      <c r="A46" s="13" t="n">
        <v>2024</v>
      </c>
      <c r="B46" s="13" t="s">
        <v>195</v>
      </c>
      <c r="C46" s="13" t="s">
        <v>203</v>
      </c>
      <c r="D46" s="13" t="s">
        <v>192</v>
      </c>
      <c r="E46" s="14" t="n">
        <v>2704</v>
      </c>
      <c r="F46" s="14" t="n">
        <v>1597</v>
      </c>
      <c r="G46" s="15" t="n">
        <v>0.5906</v>
      </c>
    </row>
    <row r="47" customFormat="false" ht="15" hidden="false" customHeight="true" outlineLevel="0" collapsed="false">
      <c r="A47" s="13" t="n">
        <v>2025</v>
      </c>
      <c r="B47" s="13" t="s">
        <v>121</v>
      </c>
      <c r="C47" s="13" t="s">
        <v>128</v>
      </c>
      <c r="D47" s="13" t="s">
        <v>124</v>
      </c>
      <c r="E47" s="14" t="n">
        <v>2234</v>
      </c>
      <c r="F47" s="14" t="n">
        <v>703</v>
      </c>
      <c r="G47" s="15" t="n">
        <v>0.3147</v>
      </c>
    </row>
    <row r="48" customFormat="false" ht="15" hidden="false" customHeight="true" outlineLevel="0" collapsed="false">
      <c r="A48" s="13" t="n">
        <v>2025</v>
      </c>
      <c r="B48" s="13" t="s">
        <v>121</v>
      </c>
      <c r="C48" s="13" t="s">
        <v>128</v>
      </c>
      <c r="D48" s="13" t="s">
        <v>122</v>
      </c>
      <c r="E48" s="14" t="n">
        <v>9602</v>
      </c>
      <c r="F48" s="14" t="n">
        <v>5810</v>
      </c>
      <c r="G48" s="15" t="n">
        <v>0.6051</v>
      </c>
    </row>
    <row r="49" customFormat="false" ht="15" hidden="false" customHeight="true" outlineLevel="0" collapsed="false">
      <c r="A49" s="13" t="n">
        <v>2025</v>
      </c>
      <c r="B49" s="13" t="s">
        <v>121</v>
      </c>
      <c r="C49" s="13" t="s">
        <v>128</v>
      </c>
      <c r="D49" s="13" t="s">
        <v>192</v>
      </c>
      <c r="E49" s="14" t="n">
        <v>11836</v>
      </c>
      <c r="F49" s="14" t="n">
        <v>6513</v>
      </c>
      <c r="G49" s="15" t="n">
        <v>0.5503</v>
      </c>
    </row>
    <row r="50" customFormat="false" ht="15" hidden="false" customHeight="true" outlineLevel="0" collapsed="false">
      <c r="A50" s="13" t="n">
        <v>2025</v>
      </c>
      <c r="B50" s="13" t="s">
        <v>121</v>
      </c>
      <c r="C50" s="13" t="s">
        <v>123</v>
      </c>
      <c r="D50" s="13" t="s">
        <v>124</v>
      </c>
      <c r="E50" s="14" t="n">
        <v>1801</v>
      </c>
      <c r="F50" s="14" t="n">
        <v>1201</v>
      </c>
      <c r="G50" s="15" t="n">
        <v>0.6669</v>
      </c>
    </row>
    <row r="51" customFormat="false" ht="15" hidden="false" customHeight="true" outlineLevel="0" collapsed="false">
      <c r="A51" s="13" t="n">
        <v>2025</v>
      </c>
      <c r="B51" s="13" t="s">
        <v>121</v>
      </c>
      <c r="C51" s="13" t="s">
        <v>123</v>
      </c>
      <c r="D51" s="13" t="s">
        <v>122</v>
      </c>
      <c r="E51" s="14" t="n">
        <v>7475</v>
      </c>
      <c r="F51" s="14" t="n">
        <v>6127</v>
      </c>
      <c r="G51" s="15" t="n">
        <v>0.8197</v>
      </c>
    </row>
    <row r="52" customFormat="false" ht="15" hidden="false" customHeight="true" outlineLevel="0" collapsed="false">
      <c r="A52" s="13" t="n">
        <v>2025</v>
      </c>
      <c r="B52" s="13" t="s">
        <v>121</v>
      </c>
      <c r="C52" s="13" t="s">
        <v>123</v>
      </c>
      <c r="D52" s="13" t="s">
        <v>192</v>
      </c>
      <c r="E52" s="14" t="n">
        <v>9276</v>
      </c>
      <c r="F52" s="14" t="n">
        <v>7328</v>
      </c>
      <c r="G52" s="15" t="n">
        <v>0.79</v>
      </c>
    </row>
    <row r="53" customFormat="false" ht="15" hidden="false" customHeight="true" outlineLevel="0" collapsed="false">
      <c r="A53" s="13" t="n">
        <v>2025</v>
      </c>
      <c r="B53" s="13" t="s">
        <v>121</v>
      </c>
      <c r="C53" s="13" t="s">
        <v>126</v>
      </c>
      <c r="D53" s="13" t="s">
        <v>124</v>
      </c>
      <c r="E53" s="14" t="n">
        <v>1403</v>
      </c>
      <c r="F53" s="14" t="n">
        <v>976</v>
      </c>
      <c r="G53" s="15" t="n">
        <v>0.6957</v>
      </c>
    </row>
    <row r="54" customFormat="false" ht="15" hidden="false" customHeight="true" outlineLevel="0" collapsed="false">
      <c r="A54" s="13" t="n">
        <v>2025</v>
      </c>
      <c r="B54" s="13" t="s">
        <v>121</v>
      </c>
      <c r="C54" s="13" t="s">
        <v>126</v>
      </c>
      <c r="D54" s="13" t="s">
        <v>122</v>
      </c>
      <c r="E54" s="14" t="n">
        <v>1144</v>
      </c>
      <c r="F54" s="14" t="n">
        <v>931</v>
      </c>
      <c r="G54" s="15" t="n">
        <v>0.8138</v>
      </c>
    </row>
    <row r="55" customFormat="false" ht="15" hidden="false" customHeight="true" outlineLevel="0" collapsed="false">
      <c r="A55" s="13" t="n">
        <v>2025</v>
      </c>
      <c r="B55" s="13" t="s">
        <v>121</v>
      </c>
      <c r="C55" s="13" t="s">
        <v>126</v>
      </c>
      <c r="D55" s="13" t="s">
        <v>192</v>
      </c>
      <c r="E55" s="14" t="n">
        <v>2547</v>
      </c>
      <c r="F55" s="14" t="n">
        <v>1907</v>
      </c>
      <c r="G55" s="15" t="n">
        <v>0.7487</v>
      </c>
    </row>
    <row r="56" customFormat="false" ht="15" hidden="false" customHeight="true" outlineLevel="0" collapsed="false">
      <c r="A56" s="13" t="n">
        <v>2025</v>
      </c>
      <c r="B56" s="13" t="s">
        <v>121</v>
      </c>
      <c r="C56" s="13" t="s">
        <v>821</v>
      </c>
      <c r="D56" s="13" t="s">
        <v>124</v>
      </c>
      <c r="E56" s="14" t="n">
        <v>7631</v>
      </c>
      <c r="F56" s="14" t="n">
        <v>3625</v>
      </c>
      <c r="G56" s="15" t="n">
        <v>0.475</v>
      </c>
    </row>
    <row r="57" customFormat="false" ht="15" hidden="false" customHeight="true" outlineLevel="0" collapsed="false">
      <c r="A57" s="13" t="n">
        <v>2025</v>
      </c>
      <c r="B57" s="13" t="s">
        <v>121</v>
      </c>
      <c r="C57" s="13" t="s">
        <v>821</v>
      </c>
      <c r="D57" s="13" t="s">
        <v>122</v>
      </c>
      <c r="E57" s="14" t="n">
        <v>9190</v>
      </c>
      <c r="F57" s="14" t="n">
        <v>6153</v>
      </c>
      <c r="G57" s="15" t="n">
        <v>0.6695</v>
      </c>
    </row>
    <row r="58" customFormat="false" ht="15" hidden="false" customHeight="true" outlineLevel="0" collapsed="false">
      <c r="A58" s="13" t="n">
        <v>2025</v>
      </c>
      <c r="B58" s="13" t="s">
        <v>121</v>
      </c>
      <c r="C58" s="13" t="s">
        <v>821</v>
      </c>
      <c r="D58" s="13" t="s">
        <v>192</v>
      </c>
      <c r="E58" s="14" t="n">
        <v>16821</v>
      </c>
      <c r="F58" s="14" t="n">
        <v>9778</v>
      </c>
      <c r="G58" s="15" t="n">
        <v>0.5813</v>
      </c>
    </row>
    <row r="59" customFormat="false" ht="15" hidden="false" customHeight="true" outlineLevel="0" collapsed="false">
      <c r="A59" s="13" t="n">
        <v>2025</v>
      </c>
      <c r="B59" s="13" t="s">
        <v>121</v>
      </c>
      <c r="C59" s="13" t="s">
        <v>203</v>
      </c>
      <c r="D59" s="13" t="s">
        <v>124</v>
      </c>
      <c r="E59" s="14" t="n">
        <v>983</v>
      </c>
      <c r="F59" s="14" t="n">
        <v>512</v>
      </c>
      <c r="G59" s="15" t="n">
        <v>0.5214</v>
      </c>
    </row>
    <row r="60" customFormat="false" ht="15" hidden="false" customHeight="true" outlineLevel="0" collapsed="false">
      <c r="A60" s="13" t="n">
        <v>2025</v>
      </c>
      <c r="B60" s="13" t="s">
        <v>121</v>
      </c>
      <c r="C60" s="13" t="s">
        <v>203</v>
      </c>
      <c r="D60" s="13" t="s">
        <v>122</v>
      </c>
      <c r="E60" s="14" t="n">
        <v>801</v>
      </c>
      <c r="F60" s="14" t="n">
        <v>628</v>
      </c>
      <c r="G60" s="15" t="n">
        <v>0.784</v>
      </c>
    </row>
    <row r="61" customFormat="false" ht="15" hidden="false" customHeight="true" outlineLevel="0" collapsed="false">
      <c r="A61" s="13" t="n">
        <v>2025</v>
      </c>
      <c r="B61" s="13" t="s">
        <v>121</v>
      </c>
      <c r="C61" s="13" t="s">
        <v>203</v>
      </c>
      <c r="D61" s="13" t="s">
        <v>192</v>
      </c>
      <c r="E61" s="14" t="n">
        <v>1784</v>
      </c>
      <c r="F61" s="14" t="n">
        <v>1140</v>
      </c>
      <c r="G61" s="15" t="n">
        <v>0.6394</v>
      </c>
    </row>
    <row r="62" customFormat="false" ht="15" hidden="false" customHeight="true" outlineLevel="0" collapsed="false">
      <c r="A62" s="13" t="n">
        <v>2025</v>
      </c>
      <c r="B62" s="13" t="s">
        <v>125</v>
      </c>
      <c r="C62" s="13" t="s">
        <v>128</v>
      </c>
      <c r="D62" s="13" t="s">
        <v>124</v>
      </c>
      <c r="E62" s="14" t="n">
        <v>3359</v>
      </c>
      <c r="F62" s="14" t="n">
        <v>618</v>
      </c>
      <c r="G62" s="15" t="n">
        <v>0.184</v>
      </c>
    </row>
    <row r="63" customFormat="false" ht="15" hidden="false" customHeight="true" outlineLevel="0" collapsed="false">
      <c r="A63" s="13" t="n">
        <v>2025</v>
      </c>
      <c r="B63" s="13" t="s">
        <v>125</v>
      </c>
      <c r="C63" s="13" t="s">
        <v>128</v>
      </c>
      <c r="D63" s="13" t="s">
        <v>122</v>
      </c>
      <c r="E63" s="14" t="n">
        <v>5365</v>
      </c>
      <c r="F63" s="14" t="n">
        <v>2092</v>
      </c>
      <c r="G63" s="15" t="n">
        <v>0.3899</v>
      </c>
    </row>
    <row r="64" customFormat="false" ht="15" hidden="false" customHeight="true" outlineLevel="0" collapsed="false">
      <c r="A64" s="13" t="n">
        <v>2025</v>
      </c>
      <c r="B64" s="13" t="s">
        <v>125</v>
      </c>
      <c r="C64" s="13" t="s">
        <v>128</v>
      </c>
      <c r="D64" s="13" t="s">
        <v>192</v>
      </c>
      <c r="E64" s="14" t="n">
        <v>8724</v>
      </c>
      <c r="F64" s="14" t="n">
        <v>2710</v>
      </c>
      <c r="G64" s="15" t="n">
        <v>0.3106</v>
      </c>
    </row>
    <row r="65" customFormat="false" ht="15" hidden="false" customHeight="true" outlineLevel="0" collapsed="false">
      <c r="A65" s="13" t="n">
        <v>2025</v>
      </c>
      <c r="B65" s="13" t="s">
        <v>125</v>
      </c>
      <c r="C65" s="13" t="s">
        <v>123</v>
      </c>
      <c r="D65" s="13" t="s">
        <v>124</v>
      </c>
      <c r="E65" s="14" t="n">
        <v>634</v>
      </c>
      <c r="F65" s="14" t="n">
        <v>232</v>
      </c>
      <c r="G65" s="15" t="n">
        <v>0.3659</v>
      </c>
    </row>
    <row r="66" customFormat="false" ht="15" hidden="false" customHeight="true" outlineLevel="0" collapsed="false">
      <c r="A66" s="13" t="n">
        <v>2025</v>
      </c>
      <c r="B66" s="13" t="s">
        <v>125</v>
      </c>
      <c r="C66" s="13" t="s">
        <v>123</v>
      </c>
      <c r="D66" s="13" t="s">
        <v>122</v>
      </c>
      <c r="E66" s="14" t="n">
        <v>1333</v>
      </c>
      <c r="F66" s="14" t="n">
        <v>765</v>
      </c>
      <c r="G66" s="15" t="n">
        <v>0.5739</v>
      </c>
    </row>
    <row r="67" customFormat="false" ht="15" hidden="false" customHeight="true" outlineLevel="0" collapsed="false">
      <c r="A67" s="13" t="n">
        <v>2025</v>
      </c>
      <c r="B67" s="13" t="s">
        <v>125</v>
      </c>
      <c r="C67" s="13" t="s">
        <v>123</v>
      </c>
      <c r="D67" s="13" t="s">
        <v>192</v>
      </c>
      <c r="E67" s="14" t="n">
        <v>1967</v>
      </c>
      <c r="F67" s="14" t="n">
        <v>997</v>
      </c>
      <c r="G67" s="15" t="n">
        <v>0.5069</v>
      </c>
    </row>
    <row r="68" customFormat="false" ht="15" hidden="false" customHeight="true" outlineLevel="0" collapsed="false">
      <c r="A68" s="13" t="n">
        <v>2025</v>
      </c>
      <c r="B68" s="13" t="s">
        <v>125</v>
      </c>
      <c r="C68" s="13" t="s">
        <v>126</v>
      </c>
      <c r="D68" s="13" t="s">
        <v>124</v>
      </c>
      <c r="E68" s="14" t="n">
        <v>493</v>
      </c>
      <c r="F68" s="14" t="n">
        <v>125</v>
      </c>
      <c r="G68" s="15" t="n">
        <v>0.2535</v>
      </c>
    </row>
    <row r="69" customFormat="false" ht="15" hidden="false" customHeight="true" outlineLevel="0" collapsed="false">
      <c r="A69" s="13" t="n">
        <v>2025</v>
      </c>
      <c r="B69" s="13" t="s">
        <v>125</v>
      </c>
      <c r="C69" s="13" t="s">
        <v>126</v>
      </c>
      <c r="D69" s="13" t="s">
        <v>122</v>
      </c>
      <c r="E69" s="14" t="n">
        <v>269</v>
      </c>
      <c r="F69" s="14" t="n">
        <v>87</v>
      </c>
      <c r="G69" s="15" t="n">
        <v>0.3234</v>
      </c>
    </row>
    <row r="70" customFormat="false" ht="15" hidden="false" customHeight="true" outlineLevel="0" collapsed="false">
      <c r="A70" s="13" t="n">
        <v>2025</v>
      </c>
      <c r="B70" s="13" t="s">
        <v>125</v>
      </c>
      <c r="C70" s="13" t="s">
        <v>126</v>
      </c>
      <c r="D70" s="13" t="s">
        <v>192</v>
      </c>
      <c r="E70" s="14" t="n">
        <v>762</v>
      </c>
      <c r="F70" s="14" t="n">
        <v>212</v>
      </c>
      <c r="G70" s="15" t="n">
        <v>0.2782</v>
      </c>
    </row>
    <row r="71" customFormat="false" ht="15" hidden="false" customHeight="true" outlineLevel="0" collapsed="false">
      <c r="A71" s="13" t="n">
        <v>2025</v>
      </c>
      <c r="B71" s="13" t="s">
        <v>125</v>
      </c>
      <c r="C71" s="13" t="s">
        <v>821</v>
      </c>
      <c r="D71" s="13" t="s">
        <v>124</v>
      </c>
      <c r="E71" s="14" t="n">
        <v>2511</v>
      </c>
      <c r="F71" s="14" t="n">
        <v>507</v>
      </c>
      <c r="G71" s="15" t="n">
        <v>0.2019</v>
      </c>
    </row>
    <row r="72" customFormat="false" ht="15" hidden="false" customHeight="true" outlineLevel="0" collapsed="false">
      <c r="A72" s="13" t="n">
        <v>2025</v>
      </c>
      <c r="B72" s="13" t="s">
        <v>125</v>
      </c>
      <c r="C72" s="13" t="s">
        <v>821</v>
      </c>
      <c r="D72" s="13" t="s">
        <v>122</v>
      </c>
      <c r="E72" s="14" t="n">
        <v>1820</v>
      </c>
      <c r="F72" s="14" t="n">
        <v>523</v>
      </c>
      <c r="G72" s="15" t="n">
        <v>0.2874</v>
      </c>
    </row>
    <row r="73" customFormat="false" ht="15" hidden="false" customHeight="true" outlineLevel="0" collapsed="false">
      <c r="A73" s="13" t="n">
        <v>2025</v>
      </c>
      <c r="B73" s="13" t="s">
        <v>125</v>
      </c>
      <c r="C73" s="13" t="s">
        <v>821</v>
      </c>
      <c r="D73" s="13" t="s">
        <v>192</v>
      </c>
      <c r="E73" s="14" t="n">
        <v>4331</v>
      </c>
      <c r="F73" s="14" t="n">
        <v>1030</v>
      </c>
      <c r="G73" s="15" t="n">
        <v>0.2378</v>
      </c>
    </row>
    <row r="74" customFormat="false" ht="15" hidden="false" customHeight="true" outlineLevel="0" collapsed="false">
      <c r="A74" s="13" t="n">
        <v>2025</v>
      </c>
      <c r="B74" s="13" t="s">
        <v>125</v>
      </c>
      <c r="C74" s="13" t="s">
        <v>203</v>
      </c>
      <c r="D74" s="13" t="s">
        <v>124</v>
      </c>
      <c r="E74" s="14" t="n">
        <v>596</v>
      </c>
      <c r="F74" s="14" t="n">
        <v>130</v>
      </c>
      <c r="G74" s="15" t="n">
        <v>0.2181</v>
      </c>
    </row>
    <row r="75" customFormat="false" ht="15" hidden="false" customHeight="true" outlineLevel="0" collapsed="false">
      <c r="A75" s="13" t="n">
        <v>2025</v>
      </c>
      <c r="B75" s="13" t="s">
        <v>125</v>
      </c>
      <c r="C75" s="13" t="s">
        <v>203</v>
      </c>
      <c r="D75" s="13" t="s">
        <v>122</v>
      </c>
      <c r="E75" s="14" t="n">
        <v>252</v>
      </c>
      <c r="F75" s="14" t="n">
        <v>121</v>
      </c>
      <c r="G75" s="15" t="n">
        <v>0.4802</v>
      </c>
    </row>
    <row r="76" customFormat="false" ht="15" hidden="false" customHeight="true" outlineLevel="0" collapsed="false">
      <c r="A76" s="13" t="n">
        <v>2025</v>
      </c>
      <c r="B76" s="13" t="s">
        <v>125</v>
      </c>
      <c r="C76" s="13" t="s">
        <v>203</v>
      </c>
      <c r="D76" s="13" t="s">
        <v>192</v>
      </c>
      <c r="E76" s="14" t="n">
        <v>848</v>
      </c>
      <c r="F76" s="14" t="n">
        <v>251</v>
      </c>
      <c r="G76" s="15" t="n">
        <v>0.296</v>
      </c>
    </row>
    <row r="77" customFormat="false" ht="15" hidden="false" customHeight="true" outlineLevel="0" collapsed="false">
      <c r="A77" s="13" t="n">
        <v>2025</v>
      </c>
      <c r="B77" s="13" t="s">
        <v>195</v>
      </c>
      <c r="C77" s="13" t="s">
        <v>128</v>
      </c>
      <c r="D77" s="13" t="s">
        <v>124</v>
      </c>
      <c r="E77" s="14" t="n">
        <v>5593</v>
      </c>
      <c r="F77" s="14" t="n">
        <v>1321</v>
      </c>
      <c r="G77" s="15" t="n">
        <v>0.2361</v>
      </c>
    </row>
    <row r="78" customFormat="false" ht="15" hidden="false" customHeight="true" outlineLevel="0" collapsed="false">
      <c r="A78" s="13" t="n">
        <v>2025</v>
      </c>
      <c r="B78" s="13" t="s">
        <v>195</v>
      </c>
      <c r="C78" s="13" t="s">
        <v>128</v>
      </c>
      <c r="D78" s="13" t="s">
        <v>122</v>
      </c>
      <c r="E78" s="14" t="n">
        <v>14967</v>
      </c>
      <c r="F78" s="14" t="n">
        <v>7902</v>
      </c>
      <c r="G78" s="15" t="n">
        <v>0.528</v>
      </c>
    </row>
    <row r="79" customFormat="false" ht="15" hidden="false" customHeight="true" outlineLevel="0" collapsed="false">
      <c r="A79" s="13" t="n">
        <v>2025</v>
      </c>
      <c r="B79" s="13" t="s">
        <v>195</v>
      </c>
      <c r="C79" s="13" t="s">
        <v>128</v>
      </c>
      <c r="D79" s="13" t="s">
        <v>192</v>
      </c>
      <c r="E79" s="14" t="n">
        <v>20560</v>
      </c>
      <c r="F79" s="14" t="n">
        <v>9223</v>
      </c>
      <c r="G79" s="15" t="n">
        <v>0.4486</v>
      </c>
    </row>
    <row r="80" customFormat="false" ht="15" hidden="false" customHeight="true" outlineLevel="0" collapsed="false">
      <c r="A80" s="13" t="n">
        <v>2025</v>
      </c>
      <c r="B80" s="13" t="s">
        <v>195</v>
      </c>
      <c r="C80" s="13" t="s">
        <v>123</v>
      </c>
      <c r="D80" s="13" t="s">
        <v>124</v>
      </c>
      <c r="E80" s="14" t="n">
        <v>2435</v>
      </c>
      <c r="F80" s="14" t="n">
        <v>1433</v>
      </c>
      <c r="G80" s="15" t="n">
        <v>0.588</v>
      </c>
    </row>
    <row r="81" customFormat="false" ht="15" hidden="false" customHeight="true" outlineLevel="0" collapsed="false">
      <c r="A81" s="13" t="n">
        <v>2025</v>
      </c>
      <c r="B81" s="13" t="s">
        <v>195</v>
      </c>
      <c r="C81" s="13" t="s">
        <v>123</v>
      </c>
      <c r="D81" s="13" t="s">
        <v>122</v>
      </c>
      <c r="E81" s="14" t="n">
        <v>8808</v>
      </c>
      <c r="F81" s="14" t="n">
        <v>6892</v>
      </c>
      <c r="G81" s="15" t="n">
        <v>0.7824</v>
      </c>
    </row>
    <row r="82" customFormat="false" ht="15" hidden="false" customHeight="true" outlineLevel="0" collapsed="false">
      <c r="A82" s="13" t="n">
        <v>2025</v>
      </c>
      <c r="B82" s="13" t="s">
        <v>195</v>
      </c>
      <c r="C82" s="13" t="s">
        <v>123</v>
      </c>
      <c r="D82" s="13" t="s">
        <v>192</v>
      </c>
      <c r="E82" s="14" t="n">
        <v>11243</v>
      </c>
      <c r="F82" s="14" t="n">
        <v>8325</v>
      </c>
      <c r="G82" s="15" t="n">
        <v>0.7405</v>
      </c>
    </row>
    <row r="83" customFormat="false" ht="15" hidden="false" customHeight="true" outlineLevel="0" collapsed="false">
      <c r="A83" s="13" t="n">
        <v>2025</v>
      </c>
      <c r="B83" s="13" t="s">
        <v>195</v>
      </c>
      <c r="C83" s="13" t="s">
        <v>126</v>
      </c>
      <c r="D83" s="13" t="s">
        <v>124</v>
      </c>
      <c r="E83" s="14" t="n">
        <v>1896</v>
      </c>
      <c r="F83" s="14" t="n">
        <v>1101</v>
      </c>
      <c r="G83" s="15" t="n">
        <v>0.5807</v>
      </c>
    </row>
    <row r="84" customFormat="false" ht="15" hidden="false" customHeight="true" outlineLevel="0" collapsed="false">
      <c r="A84" s="13" t="n">
        <v>2025</v>
      </c>
      <c r="B84" s="13" t="s">
        <v>195</v>
      </c>
      <c r="C84" s="13" t="s">
        <v>126</v>
      </c>
      <c r="D84" s="13" t="s">
        <v>122</v>
      </c>
      <c r="E84" s="14" t="n">
        <v>1413</v>
      </c>
      <c r="F84" s="14" t="n">
        <v>1018</v>
      </c>
      <c r="G84" s="15" t="n">
        <v>0.7205</v>
      </c>
    </row>
    <row r="85" customFormat="false" ht="15" hidden="false" customHeight="true" outlineLevel="0" collapsed="false">
      <c r="A85" s="13" t="n">
        <v>2025</v>
      </c>
      <c r="B85" s="13" t="s">
        <v>195</v>
      </c>
      <c r="C85" s="13" t="s">
        <v>126</v>
      </c>
      <c r="D85" s="13" t="s">
        <v>192</v>
      </c>
      <c r="E85" s="14" t="n">
        <v>3309</v>
      </c>
      <c r="F85" s="14" t="n">
        <v>2119</v>
      </c>
      <c r="G85" s="15" t="n">
        <v>0.6404</v>
      </c>
    </row>
    <row r="86" customFormat="false" ht="15" hidden="false" customHeight="true" outlineLevel="0" collapsed="false">
      <c r="A86" s="13" t="n">
        <v>2025</v>
      </c>
      <c r="B86" s="13" t="s">
        <v>195</v>
      </c>
      <c r="C86" s="13" t="s">
        <v>821</v>
      </c>
      <c r="D86" s="13" t="s">
        <v>124</v>
      </c>
      <c r="E86" s="14" t="n">
        <v>10142</v>
      </c>
      <c r="F86" s="14" t="n">
        <v>4132</v>
      </c>
      <c r="G86" s="15" t="n">
        <v>0.407</v>
      </c>
    </row>
    <row r="87" customFormat="false" ht="15" hidden="false" customHeight="true" outlineLevel="0" collapsed="false">
      <c r="A87" s="13" t="n">
        <v>2025</v>
      </c>
      <c r="B87" s="13" t="s">
        <v>195</v>
      </c>
      <c r="C87" s="13" t="s">
        <v>821</v>
      </c>
      <c r="D87" s="13" t="s">
        <v>122</v>
      </c>
      <c r="E87" s="14" t="n">
        <v>11010</v>
      </c>
      <c r="F87" s="14" t="n">
        <v>6676</v>
      </c>
      <c r="G87" s="15" t="n">
        <v>0.606</v>
      </c>
    </row>
    <row r="88" customFormat="false" ht="15" hidden="false" customHeight="true" outlineLevel="0" collapsed="false">
      <c r="A88" s="13" t="n">
        <v>2025</v>
      </c>
      <c r="B88" s="13" t="s">
        <v>195</v>
      </c>
      <c r="C88" s="13" t="s">
        <v>821</v>
      </c>
      <c r="D88" s="13" t="s">
        <v>192</v>
      </c>
      <c r="E88" s="14" t="n">
        <v>21152</v>
      </c>
      <c r="F88" s="14" t="n">
        <v>10808</v>
      </c>
      <c r="G88" s="15" t="n">
        <v>0.511</v>
      </c>
    </row>
    <row r="89" customFormat="false" ht="15" hidden="false" customHeight="true" outlineLevel="0" collapsed="false">
      <c r="A89" s="13" t="n">
        <v>2025</v>
      </c>
      <c r="B89" s="13" t="s">
        <v>195</v>
      </c>
      <c r="C89" s="13" t="s">
        <v>203</v>
      </c>
      <c r="D89" s="13" t="s">
        <v>124</v>
      </c>
      <c r="E89" s="14" t="n">
        <v>1579</v>
      </c>
      <c r="F89" s="14" t="n">
        <v>642</v>
      </c>
      <c r="G89" s="15" t="n">
        <v>0.407</v>
      </c>
    </row>
    <row r="90" customFormat="false" ht="15" hidden="false" customHeight="true" outlineLevel="0" collapsed="false">
      <c r="A90" s="13" t="n">
        <v>2025</v>
      </c>
      <c r="B90" s="13" t="s">
        <v>195</v>
      </c>
      <c r="C90" s="13" t="s">
        <v>203</v>
      </c>
      <c r="D90" s="13" t="s">
        <v>122</v>
      </c>
      <c r="E90" s="14" t="n">
        <v>1053</v>
      </c>
      <c r="F90" s="14" t="n">
        <v>749</v>
      </c>
      <c r="G90" s="15" t="n">
        <v>0.7113</v>
      </c>
    </row>
    <row r="91" customFormat="false" ht="15" hidden="false" customHeight="true" outlineLevel="0" collapsed="false">
      <c r="A91" s="13" t="n">
        <v>2025</v>
      </c>
      <c r="B91" s="13" t="s">
        <v>195</v>
      </c>
      <c r="C91" s="13" t="s">
        <v>203</v>
      </c>
      <c r="D91" s="13" t="s">
        <v>192</v>
      </c>
      <c r="E91" s="14" t="n">
        <v>2632</v>
      </c>
      <c r="F91" s="14" t="n">
        <v>1391</v>
      </c>
      <c r="G91" s="15" t="n">
        <v>0.53</v>
      </c>
    </row>
    <row r="92" customFormat="false" ht="15" hidden="false" customHeight="true" outlineLevel="0" collapsed="false">
      <c r="A92" s="13" t="n">
        <v>2026</v>
      </c>
      <c r="B92" s="13" t="s">
        <v>121</v>
      </c>
      <c r="C92" s="13" t="s">
        <v>128</v>
      </c>
      <c r="D92" s="13" t="s">
        <v>124</v>
      </c>
      <c r="E92" s="14" t="n">
        <v>2547</v>
      </c>
      <c r="F92" s="14" t="n">
        <v>998</v>
      </c>
      <c r="G92" s="15" t="n">
        <v>0.3918</v>
      </c>
    </row>
    <row r="93" customFormat="false" ht="15" hidden="false" customHeight="true" outlineLevel="0" collapsed="false">
      <c r="A93" s="13" t="n">
        <v>2026</v>
      </c>
      <c r="B93" s="13" t="s">
        <v>121</v>
      </c>
      <c r="C93" s="13" t="s">
        <v>128</v>
      </c>
      <c r="D93" s="13" t="s">
        <v>122</v>
      </c>
      <c r="E93" s="14" t="n">
        <v>10154</v>
      </c>
      <c r="F93" s="14" t="n">
        <v>6961</v>
      </c>
      <c r="G93" s="15" t="n">
        <v>0.6855</v>
      </c>
    </row>
    <row r="94" customFormat="false" ht="15" hidden="false" customHeight="true" outlineLevel="0" collapsed="false">
      <c r="A94" s="13" t="n">
        <v>2026</v>
      </c>
      <c r="B94" s="13" t="s">
        <v>121</v>
      </c>
      <c r="C94" s="13" t="s">
        <v>128</v>
      </c>
      <c r="D94" s="13" t="s">
        <v>192</v>
      </c>
      <c r="E94" s="14" t="n">
        <v>12701</v>
      </c>
      <c r="F94" s="14" t="n">
        <v>7959</v>
      </c>
      <c r="G94" s="15" t="n">
        <v>0.6266</v>
      </c>
    </row>
    <row r="95" customFormat="false" ht="15" hidden="false" customHeight="true" outlineLevel="0" collapsed="false">
      <c r="A95" s="13" t="n">
        <v>2026</v>
      </c>
      <c r="B95" s="13" t="s">
        <v>121</v>
      </c>
      <c r="C95" s="13" t="s">
        <v>123</v>
      </c>
      <c r="D95" s="13" t="s">
        <v>124</v>
      </c>
      <c r="E95" s="14" t="n">
        <v>1677</v>
      </c>
      <c r="F95" s="14" t="n">
        <v>1054</v>
      </c>
      <c r="G95" s="15" t="n">
        <v>0.6285</v>
      </c>
    </row>
    <row r="96" customFormat="false" ht="15" hidden="false" customHeight="true" outlineLevel="0" collapsed="false">
      <c r="A96" s="13" t="n">
        <v>2026</v>
      </c>
      <c r="B96" s="13" t="s">
        <v>121</v>
      </c>
      <c r="C96" s="13" t="s">
        <v>123</v>
      </c>
      <c r="D96" s="13" t="s">
        <v>122</v>
      </c>
      <c r="E96" s="14" t="n">
        <v>7585</v>
      </c>
      <c r="F96" s="14" t="n">
        <v>6100</v>
      </c>
      <c r="G96" s="15" t="n">
        <v>0.8042</v>
      </c>
    </row>
    <row r="97" customFormat="false" ht="15" hidden="false" customHeight="true" outlineLevel="0" collapsed="false">
      <c r="A97" s="13" t="n">
        <v>2026</v>
      </c>
      <c r="B97" s="13" t="s">
        <v>121</v>
      </c>
      <c r="C97" s="13" t="s">
        <v>123</v>
      </c>
      <c r="D97" s="13" t="s">
        <v>192</v>
      </c>
      <c r="E97" s="14" t="n">
        <v>9262</v>
      </c>
      <c r="F97" s="14" t="n">
        <v>7154</v>
      </c>
      <c r="G97" s="15" t="n">
        <v>0.7724</v>
      </c>
    </row>
    <row r="98" customFormat="false" ht="15" hidden="false" customHeight="true" outlineLevel="0" collapsed="false">
      <c r="A98" s="13" t="n">
        <v>2026</v>
      </c>
      <c r="B98" s="13" t="s">
        <v>121</v>
      </c>
      <c r="C98" s="13" t="s">
        <v>126</v>
      </c>
      <c r="D98" s="13" t="s">
        <v>124</v>
      </c>
      <c r="E98" s="14" t="n">
        <v>1193</v>
      </c>
      <c r="F98" s="14" t="n">
        <v>824</v>
      </c>
      <c r="G98" s="15" t="n">
        <v>0.6907</v>
      </c>
    </row>
    <row r="99" customFormat="false" ht="15" hidden="false" customHeight="true" outlineLevel="0" collapsed="false">
      <c r="A99" s="13" t="n">
        <v>2026</v>
      </c>
      <c r="B99" s="13" t="s">
        <v>121</v>
      </c>
      <c r="C99" s="13" t="s">
        <v>126</v>
      </c>
      <c r="D99" s="13" t="s">
        <v>122</v>
      </c>
      <c r="E99" s="14" t="n">
        <v>985</v>
      </c>
      <c r="F99" s="14" t="n">
        <v>802</v>
      </c>
      <c r="G99" s="15" t="n">
        <v>0.8142</v>
      </c>
    </row>
    <row r="100" customFormat="false" ht="15" hidden="false" customHeight="true" outlineLevel="0" collapsed="false">
      <c r="A100" s="13" t="n">
        <v>2026</v>
      </c>
      <c r="B100" s="13" t="s">
        <v>121</v>
      </c>
      <c r="C100" s="13" t="s">
        <v>126</v>
      </c>
      <c r="D100" s="13" t="s">
        <v>192</v>
      </c>
      <c r="E100" s="14" t="n">
        <v>2178</v>
      </c>
      <c r="F100" s="14" t="n">
        <v>1626</v>
      </c>
      <c r="G100" s="15" t="n">
        <v>0.7466</v>
      </c>
    </row>
    <row r="101" customFormat="false" ht="15" hidden="false" customHeight="true" outlineLevel="0" collapsed="false">
      <c r="A101" s="13" t="n">
        <v>2026</v>
      </c>
      <c r="B101" s="13" t="s">
        <v>121</v>
      </c>
      <c r="C101" s="13" t="s">
        <v>821</v>
      </c>
      <c r="D101" s="13" t="s">
        <v>124</v>
      </c>
      <c r="E101" s="14" t="n">
        <v>8379</v>
      </c>
      <c r="F101" s="14" t="n">
        <v>4564</v>
      </c>
      <c r="G101" s="15" t="n">
        <v>0.5447</v>
      </c>
    </row>
    <row r="102" customFormat="false" ht="15" hidden="false" customHeight="true" outlineLevel="0" collapsed="false">
      <c r="A102" s="13" t="n">
        <v>2026</v>
      </c>
      <c r="B102" s="13" t="s">
        <v>121</v>
      </c>
      <c r="C102" s="13" t="s">
        <v>821</v>
      </c>
      <c r="D102" s="13" t="s">
        <v>122</v>
      </c>
      <c r="E102" s="14" t="n">
        <v>11237</v>
      </c>
      <c r="F102" s="14" t="n">
        <v>8211</v>
      </c>
      <c r="G102" s="15" t="n">
        <v>0.7307</v>
      </c>
    </row>
    <row r="103" customFormat="false" ht="15" hidden="false" customHeight="true" outlineLevel="0" collapsed="false">
      <c r="A103" s="13" t="n">
        <v>2026</v>
      </c>
      <c r="B103" s="13" t="s">
        <v>121</v>
      </c>
      <c r="C103" s="13" t="s">
        <v>821</v>
      </c>
      <c r="D103" s="13" t="s">
        <v>192</v>
      </c>
      <c r="E103" s="14" t="n">
        <v>19616</v>
      </c>
      <c r="F103" s="14" t="n">
        <v>12775</v>
      </c>
      <c r="G103" s="15" t="n">
        <v>0.6513</v>
      </c>
    </row>
    <row r="104" customFormat="false" ht="15" hidden="false" customHeight="true" outlineLevel="0" collapsed="false">
      <c r="A104" s="13" t="n">
        <v>2026</v>
      </c>
      <c r="B104" s="13" t="s">
        <v>121</v>
      </c>
      <c r="C104" s="13" t="s">
        <v>203</v>
      </c>
      <c r="D104" s="13" t="s">
        <v>124</v>
      </c>
      <c r="E104" s="14" t="n">
        <v>890</v>
      </c>
      <c r="F104" s="14" t="n">
        <v>561</v>
      </c>
      <c r="G104" s="15" t="n">
        <v>0.6303</v>
      </c>
    </row>
    <row r="105" customFormat="false" ht="15" hidden="false" customHeight="true" outlineLevel="0" collapsed="false">
      <c r="A105" s="13" t="n">
        <v>2026</v>
      </c>
      <c r="B105" s="13" t="s">
        <v>121</v>
      </c>
      <c r="C105" s="13" t="s">
        <v>203</v>
      </c>
      <c r="D105" s="13" t="s">
        <v>122</v>
      </c>
      <c r="E105" s="14" t="n">
        <v>680</v>
      </c>
      <c r="F105" s="14" t="n">
        <v>570</v>
      </c>
      <c r="G105" s="15" t="n">
        <v>0.8382</v>
      </c>
    </row>
    <row r="106" customFormat="false" ht="15" hidden="false" customHeight="true" outlineLevel="0" collapsed="false">
      <c r="A106" s="13" t="n">
        <v>2026</v>
      </c>
      <c r="B106" s="13" t="s">
        <v>121</v>
      </c>
      <c r="C106" s="13" t="s">
        <v>203</v>
      </c>
      <c r="D106" s="13" t="s">
        <v>192</v>
      </c>
      <c r="E106" s="14" t="n">
        <v>1570</v>
      </c>
      <c r="F106" s="14" t="n">
        <v>1131</v>
      </c>
      <c r="G106" s="15" t="n">
        <v>0.7204</v>
      </c>
    </row>
    <row r="107" customFormat="false" ht="15" hidden="false" customHeight="true" outlineLevel="0" collapsed="false">
      <c r="A107" s="13" t="n">
        <v>2026</v>
      </c>
      <c r="B107" s="13" t="s">
        <v>125</v>
      </c>
      <c r="C107" s="13" t="s">
        <v>128</v>
      </c>
      <c r="D107" s="13" t="s">
        <v>124</v>
      </c>
      <c r="E107" s="14" t="n">
        <v>3428</v>
      </c>
      <c r="F107" s="14" t="n">
        <v>992</v>
      </c>
      <c r="G107" s="15" t="n">
        <v>0.2894</v>
      </c>
    </row>
    <row r="108" customFormat="false" ht="15" hidden="false" customHeight="true" outlineLevel="0" collapsed="false">
      <c r="A108" s="13" t="n">
        <v>2026</v>
      </c>
      <c r="B108" s="13" t="s">
        <v>125</v>
      </c>
      <c r="C108" s="13" t="s">
        <v>128</v>
      </c>
      <c r="D108" s="13" t="s">
        <v>122</v>
      </c>
      <c r="E108" s="14" t="n">
        <v>5618</v>
      </c>
      <c r="F108" s="14" t="n">
        <v>2642</v>
      </c>
      <c r="G108" s="15" t="n">
        <v>0.4703</v>
      </c>
    </row>
    <row r="109" customFormat="false" ht="15" hidden="false" customHeight="true" outlineLevel="0" collapsed="false">
      <c r="A109" s="13" t="n">
        <v>2026</v>
      </c>
      <c r="B109" s="13" t="s">
        <v>125</v>
      </c>
      <c r="C109" s="13" t="s">
        <v>128</v>
      </c>
      <c r="D109" s="13" t="s">
        <v>192</v>
      </c>
      <c r="E109" s="14" t="n">
        <v>9046</v>
      </c>
      <c r="F109" s="14" t="n">
        <v>3634</v>
      </c>
      <c r="G109" s="15" t="n">
        <v>0.4017</v>
      </c>
    </row>
    <row r="110" customFormat="false" ht="15" hidden="false" customHeight="true" outlineLevel="0" collapsed="false">
      <c r="A110" s="13" t="n">
        <v>2026</v>
      </c>
      <c r="B110" s="13" t="s">
        <v>125</v>
      </c>
      <c r="C110" s="13" t="s">
        <v>123</v>
      </c>
      <c r="D110" s="13" t="s">
        <v>124</v>
      </c>
      <c r="E110" s="14" t="n">
        <v>478</v>
      </c>
      <c r="F110" s="14" t="n">
        <v>177</v>
      </c>
      <c r="G110" s="15" t="n">
        <v>0.3703</v>
      </c>
    </row>
    <row r="111" customFormat="false" ht="15" hidden="false" customHeight="true" outlineLevel="0" collapsed="false">
      <c r="A111" s="13" t="n">
        <v>2026</v>
      </c>
      <c r="B111" s="13" t="s">
        <v>125</v>
      </c>
      <c r="C111" s="13" t="s">
        <v>123</v>
      </c>
      <c r="D111" s="13" t="s">
        <v>122</v>
      </c>
      <c r="E111" s="14" t="n">
        <v>1191</v>
      </c>
      <c r="F111" s="14" t="n">
        <v>645</v>
      </c>
      <c r="G111" s="15" t="n">
        <v>0.5416</v>
      </c>
    </row>
    <row r="112" customFormat="false" ht="15" hidden="false" customHeight="true" outlineLevel="0" collapsed="false">
      <c r="A112" s="13" t="n">
        <v>2026</v>
      </c>
      <c r="B112" s="13" t="s">
        <v>125</v>
      </c>
      <c r="C112" s="13" t="s">
        <v>123</v>
      </c>
      <c r="D112" s="13" t="s">
        <v>192</v>
      </c>
      <c r="E112" s="14" t="n">
        <v>1669</v>
      </c>
      <c r="F112" s="14" t="n">
        <v>822</v>
      </c>
      <c r="G112" s="15" t="n">
        <v>0.4925</v>
      </c>
    </row>
    <row r="113" customFormat="false" ht="15" hidden="false" customHeight="true" outlineLevel="0" collapsed="false">
      <c r="A113" s="13" t="n">
        <v>2026</v>
      </c>
      <c r="B113" s="13" t="s">
        <v>125</v>
      </c>
      <c r="C113" s="13" t="s">
        <v>126</v>
      </c>
      <c r="D113" s="13" t="s">
        <v>124</v>
      </c>
      <c r="E113" s="14" t="n">
        <v>309</v>
      </c>
      <c r="F113" s="14" t="n">
        <v>95</v>
      </c>
      <c r="G113" s="15" t="n">
        <v>0.3074</v>
      </c>
    </row>
    <row r="114" customFormat="false" ht="15" hidden="false" customHeight="true" outlineLevel="0" collapsed="false">
      <c r="A114" s="13" t="n">
        <v>2026</v>
      </c>
      <c r="B114" s="13" t="s">
        <v>125</v>
      </c>
      <c r="C114" s="13" t="s">
        <v>126</v>
      </c>
      <c r="D114" s="13" t="s">
        <v>122</v>
      </c>
      <c r="E114" s="14" t="n">
        <v>172</v>
      </c>
      <c r="F114" s="14" t="n">
        <v>74</v>
      </c>
      <c r="G114" s="15" t="n">
        <v>0.4302</v>
      </c>
    </row>
    <row r="115" customFormat="false" ht="15" hidden="false" customHeight="true" outlineLevel="0" collapsed="false">
      <c r="A115" s="13" t="n">
        <v>2026</v>
      </c>
      <c r="B115" s="13" t="s">
        <v>125</v>
      </c>
      <c r="C115" s="13" t="s">
        <v>126</v>
      </c>
      <c r="D115" s="13" t="s">
        <v>192</v>
      </c>
      <c r="E115" s="14" t="n">
        <v>481</v>
      </c>
      <c r="F115" s="14" t="n">
        <v>169</v>
      </c>
      <c r="G115" s="15" t="n">
        <v>0.3514</v>
      </c>
    </row>
    <row r="116" customFormat="false" ht="15" hidden="false" customHeight="true" outlineLevel="0" collapsed="false">
      <c r="A116" s="13" t="n">
        <v>2026</v>
      </c>
      <c r="B116" s="13" t="s">
        <v>125</v>
      </c>
      <c r="C116" s="13" t="s">
        <v>821</v>
      </c>
      <c r="D116" s="13" t="s">
        <v>124</v>
      </c>
      <c r="E116" s="14" t="n">
        <v>2283</v>
      </c>
      <c r="F116" s="14" t="n">
        <v>646</v>
      </c>
      <c r="G116" s="15" t="n">
        <v>0.283</v>
      </c>
    </row>
    <row r="117" customFormat="false" ht="15" hidden="false" customHeight="true" outlineLevel="0" collapsed="false">
      <c r="A117" s="13" t="n">
        <v>2026</v>
      </c>
      <c r="B117" s="13" t="s">
        <v>125</v>
      </c>
      <c r="C117" s="13" t="s">
        <v>821</v>
      </c>
      <c r="D117" s="13" t="s">
        <v>122</v>
      </c>
      <c r="E117" s="14" t="n">
        <v>1677</v>
      </c>
      <c r="F117" s="14" t="n">
        <v>576</v>
      </c>
      <c r="G117" s="15" t="n">
        <v>0.3435</v>
      </c>
    </row>
    <row r="118" customFormat="false" ht="15" hidden="false" customHeight="true" outlineLevel="0" collapsed="false">
      <c r="A118" s="13" t="n">
        <v>2026</v>
      </c>
      <c r="B118" s="13" t="s">
        <v>125</v>
      </c>
      <c r="C118" s="13" t="s">
        <v>821</v>
      </c>
      <c r="D118" s="13" t="s">
        <v>192</v>
      </c>
      <c r="E118" s="14" t="n">
        <v>3960</v>
      </c>
      <c r="F118" s="14" t="n">
        <v>1222</v>
      </c>
      <c r="G118" s="15" t="n">
        <v>0.3086</v>
      </c>
    </row>
    <row r="119" customFormat="false" ht="15" hidden="false" customHeight="true" outlineLevel="0" collapsed="false">
      <c r="A119" s="13" t="n">
        <v>2026</v>
      </c>
      <c r="B119" s="13" t="s">
        <v>125</v>
      </c>
      <c r="C119" s="13" t="s">
        <v>203</v>
      </c>
      <c r="D119" s="13" t="s">
        <v>124</v>
      </c>
      <c r="E119" s="14" t="n">
        <v>605</v>
      </c>
      <c r="F119" s="14" t="n">
        <v>214</v>
      </c>
      <c r="G119" s="15" t="n">
        <v>0.3537</v>
      </c>
    </row>
    <row r="120" customFormat="false" ht="15" hidden="false" customHeight="true" outlineLevel="0" collapsed="false">
      <c r="A120" s="13" t="n">
        <v>2026</v>
      </c>
      <c r="B120" s="13" t="s">
        <v>125</v>
      </c>
      <c r="C120" s="13" t="s">
        <v>203</v>
      </c>
      <c r="D120" s="13" t="s">
        <v>122</v>
      </c>
      <c r="E120" s="14" t="n">
        <v>278</v>
      </c>
      <c r="F120" s="14" t="n">
        <v>152</v>
      </c>
      <c r="G120" s="15" t="n">
        <v>0.5468</v>
      </c>
    </row>
    <row r="121" customFormat="false" ht="15" hidden="false" customHeight="true" outlineLevel="0" collapsed="false">
      <c r="A121" s="13" t="n">
        <v>2026</v>
      </c>
      <c r="B121" s="13" t="s">
        <v>125</v>
      </c>
      <c r="C121" s="13" t="s">
        <v>203</v>
      </c>
      <c r="D121" s="13" t="s">
        <v>192</v>
      </c>
      <c r="E121" s="14" t="n">
        <v>883</v>
      </c>
      <c r="F121" s="14" t="n">
        <v>366</v>
      </c>
      <c r="G121" s="15" t="n">
        <v>0.4145</v>
      </c>
    </row>
    <row r="122" customFormat="false" ht="15" hidden="false" customHeight="true" outlineLevel="0" collapsed="false">
      <c r="A122" s="13" t="n">
        <v>2026</v>
      </c>
      <c r="B122" s="13" t="s">
        <v>195</v>
      </c>
      <c r="C122" s="13" t="s">
        <v>128</v>
      </c>
      <c r="D122" s="13" t="s">
        <v>124</v>
      </c>
      <c r="E122" s="14" t="n">
        <v>5975</v>
      </c>
      <c r="F122" s="14" t="n">
        <v>1990</v>
      </c>
      <c r="G122" s="15" t="n">
        <v>0.333</v>
      </c>
    </row>
    <row r="123" customFormat="false" ht="15" hidden="false" customHeight="true" outlineLevel="0" collapsed="false">
      <c r="A123" s="13" t="n">
        <v>2026</v>
      </c>
      <c r="B123" s="13" t="s">
        <v>195</v>
      </c>
      <c r="C123" s="13" t="s">
        <v>128</v>
      </c>
      <c r="D123" s="13" t="s">
        <v>122</v>
      </c>
      <c r="E123" s="14" t="n">
        <v>15772</v>
      </c>
      <c r="F123" s="14" t="n">
        <v>9603</v>
      </c>
      <c r="G123" s="15" t="n">
        <v>0.6088</v>
      </c>
    </row>
    <row r="124" customFormat="false" ht="15" hidden="false" customHeight="true" outlineLevel="0" collapsed="false">
      <c r="A124" s="13" t="n">
        <v>2026</v>
      </c>
      <c r="B124" s="13" t="s">
        <v>195</v>
      </c>
      <c r="C124" s="13" t="s">
        <v>128</v>
      </c>
      <c r="D124" s="13" t="s">
        <v>192</v>
      </c>
      <c r="E124" s="14" t="n">
        <v>21747</v>
      </c>
      <c r="F124" s="14" t="n">
        <v>11593</v>
      </c>
      <c r="G124" s="15" t="n">
        <v>0.533</v>
      </c>
    </row>
    <row r="125" customFormat="false" ht="15" hidden="false" customHeight="true" outlineLevel="0" collapsed="false">
      <c r="A125" s="13" t="n">
        <v>2026</v>
      </c>
      <c r="B125" s="13" t="s">
        <v>195</v>
      </c>
      <c r="C125" s="13" t="s">
        <v>123</v>
      </c>
      <c r="D125" s="13" t="s">
        <v>124</v>
      </c>
      <c r="E125" s="14" t="n">
        <v>2155</v>
      </c>
      <c r="F125" s="14" t="n">
        <v>1231</v>
      </c>
      <c r="G125" s="15" t="n">
        <v>0.5712</v>
      </c>
    </row>
    <row r="126" customFormat="false" ht="15" hidden="false" customHeight="true" outlineLevel="0" collapsed="false">
      <c r="A126" s="13" t="n">
        <v>2026</v>
      </c>
      <c r="B126" s="13" t="s">
        <v>195</v>
      </c>
      <c r="C126" s="13" t="s">
        <v>123</v>
      </c>
      <c r="D126" s="13" t="s">
        <v>122</v>
      </c>
      <c r="E126" s="14" t="n">
        <v>8776</v>
      </c>
      <c r="F126" s="14" t="n">
        <v>6745</v>
      </c>
      <c r="G126" s="15" t="n">
        <v>0.7685</v>
      </c>
    </row>
    <row r="127" customFormat="false" ht="15" hidden="false" customHeight="true" outlineLevel="0" collapsed="false">
      <c r="A127" s="13" t="n">
        <v>2026</v>
      </c>
      <c r="B127" s="13" t="s">
        <v>195</v>
      </c>
      <c r="C127" s="13" t="s">
        <v>123</v>
      </c>
      <c r="D127" s="13" t="s">
        <v>192</v>
      </c>
      <c r="E127" s="14" t="n">
        <v>10931</v>
      </c>
      <c r="F127" s="14" t="n">
        <v>7976</v>
      </c>
      <c r="G127" s="15" t="n">
        <v>0.7296</v>
      </c>
    </row>
    <row r="128" customFormat="false" ht="15" hidden="false" customHeight="true" outlineLevel="0" collapsed="false">
      <c r="A128" s="13" t="n">
        <v>2026</v>
      </c>
      <c r="B128" s="13" t="s">
        <v>195</v>
      </c>
      <c r="C128" s="13" t="s">
        <v>126</v>
      </c>
      <c r="D128" s="13" t="s">
        <v>124</v>
      </c>
      <c r="E128" s="14" t="n">
        <v>1502</v>
      </c>
      <c r="F128" s="14" t="n">
        <v>919</v>
      </c>
      <c r="G128" s="15" t="n">
        <v>0.6118</v>
      </c>
    </row>
    <row r="129" customFormat="false" ht="15" hidden="false" customHeight="true" outlineLevel="0" collapsed="false">
      <c r="A129" s="13" t="n">
        <v>2026</v>
      </c>
      <c r="B129" s="13" t="s">
        <v>195</v>
      </c>
      <c r="C129" s="13" t="s">
        <v>126</v>
      </c>
      <c r="D129" s="13" t="s">
        <v>122</v>
      </c>
      <c r="E129" s="14" t="n">
        <v>1157</v>
      </c>
      <c r="F129" s="14" t="n">
        <v>876</v>
      </c>
      <c r="G129" s="15" t="n">
        <v>0.7571</v>
      </c>
    </row>
    <row r="130" customFormat="false" ht="15" hidden="false" customHeight="true" outlineLevel="0" collapsed="false">
      <c r="A130" s="13" t="n">
        <v>2026</v>
      </c>
      <c r="B130" s="13" t="s">
        <v>195</v>
      </c>
      <c r="C130" s="13" t="s">
        <v>126</v>
      </c>
      <c r="D130" s="13" t="s">
        <v>192</v>
      </c>
      <c r="E130" s="14" t="n">
        <v>2659</v>
      </c>
      <c r="F130" s="14" t="n">
        <v>1795</v>
      </c>
      <c r="G130" s="15" t="n">
        <v>0.675</v>
      </c>
    </row>
    <row r="131" customFormat="false" ht="15" hidden="false" customHeight="true" outlineLevel="0" collapsed="false">
      <c r="A131" s="13" t="n">
        <v>2026</v>
      </c>
      <c r="B131" s="13" t="s">
        <v>195</v>
      </c>
      <c r="C131" s="13" t="s">
        <v>821</v>
      </c>
      <c r="D131" s="13" t="s">
        <v>124</v>
      </c>
      <c r="E131" s="14" t="n">
        <v>10662</v>
      </c>
      <c r="F131" s="14" t="n">
        <v>5210</v>
      </c>
      <c r="G131" s="15" t="n">
        <v>0.4886</v>
      </c>
    </row>
    <row r="132" customFormat="false" ht="15" hidden="false" customHeight="true" outlineLevel="0" collapsed="false">
      <c r="A132" s="13" t="n">
        <v>2026</v>
      </c>
      <c r="B132" s="13" t="s">
        <v>195</v>
      </c>
      <c r="C132" s="13" t="s">
        <v>821</v>
      </c>
      <c r="D132" s="13" t="s">
        <v>122</v>
      </c>
      <c r="E132" s="14" t="n">
        <v>12914</v>
      </c>
      <c r="F132" s="14" t="n">
        <v>8787</v>
      </c>
      <c r="G132" s="15" t="n">
        <v>0.6804</v>
      </c>
    </row>
    <row r="133" customFormat="false" ht="15" hidden="false" customHeight="true" outlineLevel="0" collapsed="false">
      <c r="A133" s="13" t="n">
        <v>2026</v>
      </c>
      <c r="B133" s="13" t="s">
        <v>195</v>
      </c>
      <c r="C133" s="13" t="s">
        <v>821</v>
      </c>
      <c r="D133" s="13" t="s">
        <v>192</v>
      </c>
      <c r="E133" s="14" t="n">
        <v>23576</v>
      </c>
      <c r="F133" s="14" t="n">
        <v>13997</v>
      </c>
      <c r="G133" s="15" t="n">
        <v>0.5936</v>
      </c>
    </row>
    <row r="134" customFormat="false" ht="15" hidden="false" customHeight="true" outlineLevel="0" collapsed="false">
      <c r="A134" s="13" t="n">
        <v>2026</v>
      </c>
      <c r="B134" s="13" t="s">
        <v>195</v>
      </c>
      <c r="C134" s="13" t="s">
        <v>203</v>
      </c>
      <c r="D134" s="13" t="s">
        <v>124</v>
      </c>
      <c r="E134" s="14" t="n">
        <v>1495</v>
      </c>
      <c r="F134" s="14" t="n">
        <v>775</v>
      </c>
      <c r="G134" s="15" t="n">
        <v>0.5183</v>
      </c>
    </row>
    <row r="135" customFormat="false" ht="15" hidden="false" customHeight="true" outlineLevel="0" collapsed="false">
      <c r="A135" s="13" t="n">
        <v>2026</v>
      </c>
      <c r="B135" s="13" t="s">
        <v>195</v>
      </c>
      <c r="C135" s="13" t="s">
        <v>203</v>
      </c>
      <c r="D135" s="13" t="s">
        <v>122</v>
      </c>
      <c r="E135" s="14" t="n">
        <v>958</v>
      </c>
      <c r="F135" s="14" t="n">
        <v>722</v>
      </c>
      <c r="G135" s="15" t="n">
        <v>0.7536</v>
      </c>
    </row>
    <row r="136" customFormat="false" ht="15" hidden="false" customHeight="true" outlineLevel="0" collapsed="false">
      <c r="A136" s="13" t="n">
        <v>2026</v>
      </c>
      <c r="B136" s="13" t="s">
        <v>195</v>
      </c>
      <c r="C136" s="13" t="s">
        <v>203</v>
      </c>
      <c r="D136" s="13" t="s">
        <v>192</v>
      </c>
      <c r="E136" s="14" t="n">
        <v>2453</v>
      </c>
      <c r="F136" s="14" t="n">
        <v>1497</v>
      </c>
      <c r="G136" s="15" t="n">
        <v>0.6102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7"/>
    <col collapsed="false" customWidth="true" hidden="false" outlineLevel="0" max="11" min="3" style="13" width="12"/>
  </cols>
  <sheetData>
    <row r="1" customFormat="false" ht="15" hidden="false" customHeight="true" outlineLevel="0" collapsed="false">
      <c r="A1" s="13" t="s">
        <v>3</v>
      </c>
      <c r="B1" s="13" t="s">
        <v>114</v>
      </c>
      <c r="C1" s="13" t="s">
        <v>187</v>
      </c>
      <c r="D1" s="13" t="s">
        <v>820</v>
      </c>
      <c r="E1" s="13" t="s">
        <v>5</v>
      </c>
      <c r="F1" s="13" t="s">
        <v>199</v>
      </c>
      <c r="G1" s="13" t="s">
        <v>116</v>
      </c>
      <c r="H1" s="13" t="s">
        <v>117</v>
      </c>
      <c r="I1" s="13" t="s">
        <v>118</v>
      </c>
      <c r="J1" s="13" t="s">
        <v>119</v>
      </c>
      <c r="K1" s="13" t="s">
        <v>120</v>
      </c>
    </row>
    <row r="2" customFormat="false" ht="15" hidden="false" customHeight="true" outlineLevel="0" collapsed="false">
      <c r="A2" s="13" t="n">
        <v>2024</v>
      </c>
      <c r="B2" s="13" t="s">
        <v>128</v>
      </c>
      <c r="C2" s="13" t="s">
        <v>121</v>
      </c>
      <c r="D2" s="14" t="n">
        <v>11754</v>
      </c>
      <c r="E2" s="14" t="n">
        <v>6989</v>
      </c>
      <c r="F2" s="14" t="n">
        <v>55</v>
      </c>
      <c r="G2" s="14" t="n">
        <v>585</v>
      </c>
      <c r="H2" s="14" t="n">
        <v>2011</v>
      </c>
      <c r="I2" s="14" t="n">
        <v>2976</v>
      </c>
      <c r="J2" s="14" t="n">
        <v>1333</v>
      </c>
      <c r="K2" s="14" t="n">
        <v>29</v>
      </c>
    </row>
    <row r="3" customFormat="false" ht="15" hidden="false" customHeight="true" outlineLevel="0" collapsed="false">
      <c r="A3" s="13" t="n">
        <v>2024</v>
      </c>
      <c r="B3" s="13" t="s">
        <v>128</v>
      </c>
      <c r="C3" s="13" t="s">
        <v>125</v>
      </c>
      <c r="D3" s="14" t="n">
        <v>9433</v>
      </c>
      <c r="E3" s="14" t="n">
        <v>2912</v>
      </c>
      <c r="F3" s="14" t="n">
        <v>18</v>
      </c>
      <c r="G3" s="14" t="n">
        <v>201</v>
      </c>
      <c r="H3" s="14" t="n">
        <v>538</v>
      </c>
      <c r="I3" s="14" t="n">
        <v>908</v>
      </c>
      <c r="J3" s="14" t="n">
        <v>1073</v>
      </c>
      <c r="K3" s="14" t="n">
        <v>170</v>
      </c>
    </row>
    <row r="4" customFormat="false" ht="15" hidden="false" customHeight="true" outlineLevel="0" collapsed="false">
      <c r="A4" s="13" t="n">
        <v>2024</v>
      </c>
      <c r="B4" s="13" t="s">
        <v>128</v>
      </c>
      <c r="C4" s="13" t="s">
        <v>192</v>
      </c>
      <c r="D4" s="14" t="n">
        <v>21187</v>
      </c>
      <c r="E4" s="14" t="n">
        <v>9901</v>
      </c>
      <c r="F4" s="14" t="n">
        <v>73</v>
      </c>
      <c r="G4" s="14" t="n">
        <v>786</v>
      </c>
      <c r="H4" s="14" t="n">
        <v>2549</v>
      </c>
      <c r="I4" s="14" t="n">
        <v>3884</v>
      </c>
      <c r="J4" s="14" t="n">
        <v>2406</v>
      </c>
      <c r="K4" s="14" t="n">
        <v>199</v>
      </c>
    </row>
    <row r="5" customFormat="false" ht="15" hidden="false" customHeight="true" outlineLevel="0" collapsed="false">
      <c r="A5" s="13" t="n">
        <v>2024</v>
      </c>
      <c r="B5" s="13" t="s">
        <v>123</v>
      </c>
      <c r="C5" s="13" t="s">
        <v>121</v>
      </c>
      <c r="D5" s="14" t="n">
        <v>10603</v>
      </c>
      <c r="E5" s="14" t="n">
        <v>8617</v>
      </c>
      <c r="F5" s="14" t="n">
        <v>1390</v>
      </c>
      <c r="G5" s="14" t="n">
        <v>2097</v>
      </c>
      <c r="H5" s="14" t="n">
        <v>2597</v>
      </c>
      <c r="I5" s="14" t="n">
        <v>2170</v>
      </c>
      <c r="J5" s="14" t="n">
        <v>361</v>
      </c>
      <c r="K5" s="14" t="n">
        <v>2</v>
      </c>
    </row>
    <row r="6" customFormat="false" ht="15" hidden="false" customHeight="true" outlineLevel="0" collapsed="false">
      <c r="A6" s="13" t="n">
        <v>2024</v>
      </c>
      <c r="B6" s="13" t="s">
        <v>123</v>
      </c>
      <c r="C6" s="13" t="s">
        <v>125</v>
      </c>
      <c r="D6" s="14" t="n">
        <v>1906</v>
      </c>
      <c r="E6" s="14" t="n">
        <v>1097</v>
      </c>
      <c r="F6" s="14" t="n">
        <v>274</v>
      </c>
      <c r="G6" s="14" t="n">
        <v>91</v>
      </c>
      <c r="H6" s="14" t="n">
        <v>103</v>
      </c>
      <c r="I6" s="14" t="n">
        <v>281</v>
      </c>
      <c r="J6" s="14" t="n">
        <v>336</v>
      </c>
      <c r="K6" s="14" t="n">
        <v>12</v>
      </c>
    </row>
    <row r="7" customFormat="false" ht="15" hidden="false" customHeight="true" outlineLevel="0" collapsed="false">
      <c r="A7" s="13" t="n">
        <v>2024</v>
      </c>
      <c r="B7" s="13" t="s">
        <v>123</v>
      </c>
      <c r="C7" s="13" t="s">
        <v>192</v>
      </c>
      <c r="D7" s="14" t="n">
        <v>12509</v>
      </c>
      <c r="E7" s="14" t="n">
        <v>9714</v>
      </c>
      <c r="F7" s="14" t="n">
        <v>1664</v>
      </c>
      <c r="G7" s="14" t="n">
        <v>2188</v>
      </c>
      <c r="H7" s="14" t="n">
        <v>2700</v>
      </c>
      <c r="I7" s="14" t="n">
        <v>2451</v>
      </c>
      <c r="J7" s="14" t="n">
        <v>697</v>
      </c>
      <c r="K7" s="14" t="n">
        <v>14</v>
      </c>
    </row>
    <row r="8" customFormat="false" ht="15" hidden="false" customHeight="true" outlineLevel="0" collapsed="false">
      <c r="A8" s="13" t="n">
        <v>2024</v>
      </c>
      <c r="B8" s="13" t="s">
        <v>126</v>
      </c>
      <c r="C8" s="13" t="s">
        <v>121</v>
      </c>
      <c r="D8" s="14" t="n">
        <v>4036</v>
      </c>
      <c r="E8" s="14" t="n">
        <v>3129</v>
      </c>
      <c r="F8" s="14" t="n">
        <v>415</v>
      </c>
      <c r="G8" s="14" t="n">
        <v>720</v>
      </c>
      <c r="H8" s="14" t="n">
        <v>959</v>
      </c>
      <c r="I8" s="14" t="n">
        <v>881</v>
      </c>
      <c r="J8" s="14" t="n">
        <v>154</v>
      </c>
      <c r="K8" s="14" t="n">
        <v>0</v>
      </c>
    </row>
    <row r="9" customFormat="false" ht="15" hidden="false" customHeight="true" outlineLevel="0" collapsed="false">
      <c r="A9" s="13" t="n">
        <v>2024</v>
      </c>
      <c r="B9" s="13" t="s">
        <v>126</v>
      </c>
      <c r="C9" s="13" t="s">
        <v>125</v>
      </c>
      <c r="D9" s="14" t="n">
        <v>1046</v>
      </c>
      <c r="E9" s="14" t="n">
        <v>366</v>
      </c>
      <c r="F9" s="14" t="n">
        <v>2</v>
      </c>
      <c r="G9" s="14" t="n">
        <v>4</v>
      </c>
      <c r="H9" s="14" t="n">
        <v>26</v>
      </c>
      <c r="I9" s="14" t="n">
        <v>123</v>
      </c>
      <c r="J9" s="14" t="n">
        <v>197</v>
      </c>
      <c r="K9" s="14" t="n">
        <v>13</v>
      </c>
    </row>
    <row r="10" customFormat="false" ht="15" hidden="false" customHeight="true" outlineLevel="0" collapsed="false">
      <c r="A10" s="13" t="n">
        <v>2024</v>
      </c>
      <c r="B10" s="13" t="s">
        <v>126</v>
      </c>
      <c r="C10" s="13" t="s">
        <v>192</v>
      </c>
      <c r="D10" s="14" t="n">
        <v>5082</v>
      </c>
      <c r="E10" s="14" t="n">
        <v>3495</v>
      </c>
      <c r="F10" s="14" t="n">
        <v>417</v>
      </c>
      <c r="G10" s="14" t="n">
        <v>724</v>
      </c>
      <c r="H10" s="14" t="n">
        <v>985</v>
      </c>
      <c r="I10" s="14" t="n">
        <v>1004</v>
      </c>
      <c r="J10" s="14" t="n">
        <v>351</v>
      </c>
      <c r="K10" s="14" t="n">
        <v>13</v>
      </c>
    </row>
    <row r="11" customFormat="false" ht="15" hidden="false" customHeight="true" outlineLevel="0" collapsed="false">
      <c r="A11" s="13" t="n">
        <v>2024</v>
      </c>
      <c r="B11" s="13" t="s">
        <v>821</v>
      </c>
      <c r="C11" s="13" t="s">
        <v>121</v>
      </c>
      <c r="D11" s="14" t="n">
        <v>17984</v>
      </c>
      <c r="E11" s="14" t="n">
        <v>10120</v>
      </c>
      <c r="F11" s="14" t="n">
        <v>440</v>
      </c>
      <c r="G11" s="14" t="n">
        <v>1537</v>
      </c>
      <c r="H11" s="14" t="n">
        <v>3052</v>
      </c>
      <c r="I11" s="14" t="n">
        <v>4031</v>
      </c>
      <c r="J11" s="14" t="n">
        <v>1054</v>
      </c>
      <c r="K11" s="14" t="n">
        <v>6</v>
      </c>
    </row>
    <row r="12" customFormat="false" ht="15" hidden="false" customHeight="true" outlineLevel="0" collapsed="false">
      <c r="A12" s="13" t="n">
        <v>2024</v>
      </c>
      <c r="B12" s="13" t="s">
        <v>821</v>
      </c>
      <c r="C12" s="13" t="s">
        <v>125</v>
      </c>
      <c r="D12" s="14" t="n">
        <v>3768</v>
      </c>
      <c r="E12" s="14" t="n">
        <v>1040</v>
      </c>
      <c r="F12" s="14" t="n">
        <v>1</v>
      </c>
      <c r="G12" s="14" t="n">
        <v>6</v>
      </c>
      <c r="H12" s="14" t="n">
        <v>20</v>
      </c>
      <c r="I12" s="14" t="n">
        <v>286</v>
      </c>
      <c r="J12" s="14" t="n">
        <v>656</v>
      </c>
      <c r="K12" s="14" t="n">
        <v>71</v>
      </c>
    </row>
    <row r="13" customFormat="false" ht="15" hidden="false" customHeight="true" outlineLevel="0" collapsed="false">
      <c r="A13" s="13" t="n">
        <v>2024</v>
      </c>
      <c r="B13" s="13" t="s">
        <v>821</v>
      </c>
      <c r="C13" s="13" t="s">
        <v>192</v>
      </c>
      <c r="D13" s="14" t="n">
        <v>21752</v>
      </c>
      <c r="E13" s="14" t="n">
        <v>11160</v>
      </c>
      <c r="F13" s="14" t="n">
        <v>441</v>
      </c>
      <c r="G13" s="14" t="n">
        <v>1543</v>
      </c>
      <c r="H13" s="14" t="n">
        <v>3072</v>
      </c>
      <c r="I13" s="14" t="n">
        <v>4317</v>
      </c>
      <c r="J13" s="14" t="n">
        <v>1710</v>
      </c>
      <c r="K13" s="14" t="n">
        <v>77</v>
      </c>
    </row>
    <row r="14" customFormat="false" ht="15" hidden="false" customHeight="true" outlineLevel="0" collapsed="false">
      <c r="A14" s="13" t="n">
        <v>2024</v>
      </c>
      <c r="B14" s="13" t="s">
        <v>203</v>
      </c>
      <c r="C14" s="13" t="s">
        <v>121</v>
      </c>
      <c r="D14" s="14" t="n">
        <v>1823</v>
      </c>
      <c r="E14" s="14" t="n">
        <v>1272</v>
      </c>
      <c r="F14" s="14" t="n">
        <v>36</v>
      </c>
      <c r="G14" s="14" t="n">
        <v>156</v>
      </c>
      <c r="H14" s="14" t="n">
        <v>312</v>
      </c>
      <c r="I14" s="14" t="n">
        <v>464</v>
      </c>
      <c r="J14" s="14" t="n">
        <v>287</v>
      </c>
      <c r="K14" s="14" t="n">
        <v>17</v>
      </c>
    </row>
    <row r="15" customFormat="false" ht="15" hidden="false" customHeight="true" outlineLevel="0" collapsed="false">
      <c r="A15" s="13" t="n">
        <v>2024</v>
      </c>
      <c r="B15" s="13" t="s">
        <v>203</v>
      </c>
      <c r="C15" s="13" t="s">
        <v>125</v>
      </c>
      <c r="D15" s="14" t="n">
        <v>881</v>
      </c>
      <c r="E15" s="14" t="n">
        <v>325</v>
      </c>
      <c r="F15" s="14" t="n">
        <v>1</v>
      </c>
      <c r="G15" s="14" t="n">
        <v>6</v>
      </c>
      <c r="H15" s="14" t="n">
        <v>36</v>
      </c>
      <c r="I15" s="14" t="n">
        <v>97</v>
      </c>
      <c r="J15" s="14" t="n">
        <v>149</v>
      </c>
      <c r="K15" s="14" t="n">
        <v>36</v>
      </c>
    </row>
    <row r="16" customFormat="false" ht="15" hidden="false" customHeight="true" outlineLevel="0" collapsed="false">
      <c r="A16" s="13" t="n">
        <v>2024</v>
      </c>
      <c r="B16" s="13" t="s">
        <v>203</v>
      </c>
      <c r="C16" s="13" t="s">
        <v>192</v>
      </c>
      <c r="D16" s="14" t="n">
        <v>2704</v>
      </c>
      <c r="E16" s="14" t="n">
        <v>1597</v>
      </c>
      <c r="F16" s="14" t="n">
        <v>37</v>
      </c>
      <c r="G16" s="14" t="n">
        <v>162</v>
      </c>
      <c r="H16" s="14" t="n">
        <v>348</v>
      </c>
      <c r="I16" s="14" t="n">
        <v>561</v>
      </c>
      <c r="J16" s="14" t="n">
        <v>436</v>
      </c>
      <c r="K16" s="14" t="n">
        <v>53</v>
      </c>
    </row>
    <row r="17" customFormat="false" ht="15" hidden="false" customHeight="true" outlineLevel="0" collapsed="false">
      <c r="A17" s="13" t="n">
        <v>2025</v>
      </c>
      <c r="B17" s="13" t="s">
        <v>128</v>
      </c>
      <c r="C17" s="13" t="s">
        <v>121</v>
      </c>
      <c r="D17" s="14" t="n">
        <v>11836</v>
      </c>
      <c r="E17" s="14" t="n">
        <v>6513</v>
      </c>
      <c r="F17" s="14" t="n">
        <v>61</v>
      </c>
      <c r="G17" s="14" t="n">
        <v>637</v>
      </c>
      <c r="H17" s="14" t="n">
        <v>1890</v>
      </c>
      <c r="I17" s="14" t="n">
        <v>2556</v>
      </c>
      <c r="J17" s="14" t="n">
        <v>1314</v>
      </c>
      <c r="K17" s="14" t="n">
        <v>55</v>
      </c>
    </row>
    <row r="18" customFormat="false" ht="15" hidden="false" customHeight="true" outlineLevel="0" collapsed="false">
      <c r="A18" s="13" t="n">
        <v>2025</v>
      </c>
      <c r="B18" s="13" t="s">
        <v>128</v>
      </c>
      <c r="C18" s="13" t="s">
        <v>125</v>
      </c>
      <c r="D18" s="14" t="n">
        <v>8724</v>
      </c>
      <c r="E18" s="14" t="n">
        <v>2710</v>
      </c>
      <c r="F18" s="14" t="n">
        <v>26</v>
      </c>
      <c r="G18" s="14" t="n">
        <v>220</v>
      </c>
      <c r="H18" s="14" t="n">
        <v>578</v>
      </c>
      <c r="I18" s="14" t="n">
        <v>831</v>
      </c>
      <c r="J18" s="14" t="n">
        <v>920</v>
      </c>
      <c r="K18" s="14" t="n">
        <v>132</v>
      </c>
    </row>
    <row r="19" customFormat="false" ht="15" hidden="false" customHeight="true" outlineLevel="0" collapsed="false">
      <c r="A19" s="13" t="n">
        <v>2025</v>
      </c>
      <c r="B19" s="13" t="s">
        <v>128</v>
      </c>
      <c r="C19" s="13" t="s">
        <v>192</v>
      </c>
      <c r="D19" s="14" t="n">
        <v>20560</v>
      </c>
      <c r="E19" s="14" t="n">
        <v>9223</v>
      </c>
      <c r="F19" s="14" t="n">
        <v>87</v>
      </c>
      <c r="G19" s="14" t="n">
        <v>857</v>
      </c>
      <c r="H19" s="14" t="n">
        <v>2468</v>
      </c>
      <c r="I19" s="14" t="n">
        <v>2387</v>
      </c>
      <c r="J19" s="14" t="n">
        <v>2234</v>
      </c>
      <c r="K19" s="14" t="n">
        <v>187</v>
      </c>
    </row>
    <row r="20" customFormat="false" ht="15" hidden="false" customHeight="true" outlineLevel="0" collapsed="false">
      <c r="A20" s="13" t="n">
        <v>2025</v>
      </c>
      <c r="B20" s="13" t="s">
        <v>123</v>
      </c>
      <c r="C20" s="13" t="s">
        <v>121</v>
      </c>
      <c r="D20" s="14" t="n">
        <v>9276</v>
      </c>
      <c r="E20" s="14" t="n">
        <v>7328</v>
      </c>
      <c r="F20" s="14" t="n">
        <v>1052</v>
      </c>
      <c r="G20" s="14" t="n">
        <v>1569</v>
      </c>
      <c r="H20" s="14" t="n">
        <v>2257</v>
      </c>
      <c r="I20" s="14" t="n">
        <v>2059</v>
      </c>
      <c r="J20" s="14" t="n">
        <v>387</v>
      </c>
      <c r="K20" s="14" t="n">
        <v>4</v>
      </c>
    </row>
    <row r="21" customFormat="false" ht="15" hidden="false" customHeight="true" outlineLevel="0" collapsed="false">
      <c r="A21" s="13" t="n">
        <v>2025</v>
      </c>
      <c r="B21" s="13" t="s">
        <v>123</v>
      </c>
      <c r="C21" s="13" t="s">
        <v>125</v>
      </c>
      <c r="D21" s="14" t="n">
        <v>1967</v>
      </c>
      <c r="E21" s="14" t="n">
        <v>997</v>
      </c>
      <c r="F21" s="14" t="n">
        <v>328</v>
      </c>
      <c r="G21" s="14" t="n">
        <v>86</v>
      </c>
      <c r="H21" s="14" t="n">
        <v>80</v>
      </c>
      <c r="I21" s="14" t="n">
        <v>289</v>
      </c>
      <c r="J21" s="14" t="n">
        <v>207</v>
      </c>
      <c r="K21" s="14" t="n">
        <v>6</v>
      </c>
    </row>
    <row r="22" customFormat="false" ht="15" hidden="false" customHeight="true" outlineLevel="0" collapsed="false">
      <c r="A22" s="13" t="n">
        <v>2025</v>
      </c>
      <c r="B22" s="13" t="s">
        <v>123</v>
      </c>
      <c r="C22" s="13" t="s">
        <v>192</v>
      </c>
      <c r="D22" s="14" t="n">
        <v>11243</v>
      </c>
      <c r="E22" s="14" t="n">
        <v>8325</v>
      </c>
      <c r="F22" s="14" t="n">
        <v>1380</v>
      </c>
      <c r="G22" s="14" t="n">
        <v>1655</v>
      </c>
      <c r="H22" s="14" t="n">
        <v>2337</v>
      </c>
      <c r="I22" s="14" t="n">
        <v>2348</v>
      </c>
      <c r="J22" s="14" t="n">
        <v>594</v>
      </c>
      <c r="K22" s="14" t="n">
        <v>10</v>
      </c>
    </row>
    <row r="23" customFormat="false" ht="15" hidden="false" customHeight="true" outlineLevel="0" collapsed="false">
      <c r="A23" s="13" t="n">
        <v>2025</v>
      </c>
      <c r="B23" s="13" t="s">
        <v>126</v>
      </c>
      <c r="C23" s="13" t="s">
        <v>121</v>
      </c>
      <c r="D23" s="14" t="n">
        <v>2547</v>
      </c>
      <c r="E23" s="14" t="n">
        <v>1907</v>
      </c>
      <c r="F23" s="14" t="n">
        <v>336</v>
      </c>
      <c r="G23" s="14" t="n">
        <v>410</v>
      </c>
      <c r="H23" s="14" t="n">
        <v>554</v>
      </c>
      <c r="I23" s="14" t="n">
        <v>486</v>
      </c>
      <c r="J23" s="14" t="n">
        <v>119</v>
      </c>
      <c r="K23" s="14" t="n">
        <v>2</v>
      </c>
    </row>
    <row r="24" customFormat="false" ht="15" hidden="false" customHeight="true" outlineLevel="0" collapsed="false">
      <c r="A24" s="13" t="n">
        <v>2025</v>
      </c>
      <c r="B24" s="13" t="s">
        <v>126</v>
      </c>
      <c r="C24" s="13" t="s">
        <v>125</v>
      </c>
      <c r="D24" s="14" t="n">
        <v>762</v>
      </c>
      <c r="E24" s="14" t="n">
        <v>212</v>
      </c>
      <c r="F24" s="14" t="n">
        <v>4</v>
      </c>
      <c r="G24" s="14" t="n">
        <v>10</v>
      </c>
      <c r="H24" s="14" t="n">
        <v>16</v>
      </c>
      <c r="I24" s="14" t="n">
        <v>92</v>
      </c>
      <c r="J24" s="14" t="n">
        <v>88</v>
      </c>
      <c r="K24" s="14" t="n">
        <v>2</v>
      </c>
    </row>
    <row r="25" customFormat="false" ht="15" hidden="false" customHeight="true" outlineLevel="0" collapsed="false">
      <c r="A25" s="13" t="n">
        <v>2025</v>
      </c>
      <c r="B25" s="13" t="s">
        <v>126</v>
      </c>
      <c r="C25" s="13" t="s">
        <v>192</v>
      </c>
      <c r="D25" s="14" t="n">
        <v>3309</v>
      </c>
      <c r="E25" s="14" t="n">
        <v>2119</v>
      </c>
      <c r="F25" s="14" t="n">
        <v>340</v>
      </c>
      <c r="G25" s="14" t="n">
        <v>420</v>
      </c>
      <c r="H25" s="14" t="n">
        <v>570</v>
      </c>
      <c r="I25" s="14" t="n">
        <v>578</v>
      </c>
      <c r="J25" s="14" t="n">
        <v>207</v>
      </c>
      <c r="K25" s="14" t="n">
        <v>4</v>
      </c>
    </row>
    <row r="26" customFormat="false" ht="15" hidden="false" customHeight="true" outlineLevel="0" collapsed="false">
      <c r="A26" s="13" t="n">
        <v>2025</v>
      </c>
      <c r="B26" s="13" t="s">
        <v>821</v>
      </c>
      <c r="C26" s="13" t="s">
        <v>121</v>
      </c>
      <c r="D26" s="14" t="n">
        <v>16821</v>
      </c>
      <c r="E26" s="14" t="n">
        <v>9778</v>
      </c>
      <c r="F26" s="14" t="n">
        <v>501</v>
      </c>
      <c r="G26" s="14" t="n">
        <v>1512</v>
      </c>
      <c r="H26" s="14" t="n">
        <v>2936</v>
      </c>
      <c r="I26" s="14" t="n">
        <v>3694</v>
      </c>
      <c r="J26" s="14" t="n">
        <v>1126</v>
      </c>
      <c r="K26" s="14" t="n">
        <v>9</v>
      </c>
    </row>
    <row r="27" customFormat="false" ht="15" hidden="false" customHeight="true" outlineLevel="0" collapsed="false">
      <c r="A27" s="13" t="n">
        <v>2025</v>
      </c>
      <c r="B27" s="13" t="s">
        <v>821</v>
      </c>
      <c r="C27" s="13" t="s">
        <v>125</v>
      </c>
      <c r="D27" s="14" t="n">
        <v>4331</v>
      </c>
      <c r="E27" s="14" t="n">
        <v>1030</v>
      </c>
      <c r="F27" s="14" t="n">
        <v>2</v>
      </c>
      <c r="G27" s="14" t="n">
        <v>3</v>
      </c>
      <c r="H27" s="14" t="n">
        <v>39</v>
      </c>
      <c r="I27" s="14" t="n">
        <v>395</v>
      </c>
      <c r="J27" s="14" t="n">
        <v>570</v>
      </c>
      <c r="K27" s="14" t="n">
        <v>21</v>
      </c>
    </row>
    <row r="28" customFormat="false" ht="15" hidden="false" customHeight="true" outlineLevel="0" collapsed="false">
      <c r="A28" s="13" t="n">
        <v>2025</v>
      </c>
      <c r="B28" s="13" t="s">
        <v>821</v>
      </c>
      <c r="C28" s="13" t="s">
        <v>192</v>
      </c>
      <c r="D28" s="14" t="n">
        <v>21152</v>
      </c>
      <c r="E28" s="14" t="n">
        <v>10808</v>
      </c>
      <c r="F28" s="14" t="n">
        <v>503</v>
      </c>
      <c r="G28" s="14" t="n">
        <v>1515</v>
      </c>
      <c r="H28" s="14" t="n">
        <v>2975</v>
      </c>
      <c r="I28" s="14" t="n">
        <v>4089</v>
      </c>
      <c r="J28" s="14" t="n">
        <v>1696</v>
      </c>
      <c r="K28" s="14" t="n">
        <v>30</v>
      </c>
    </row>
    <row r="29" customFormat="false" ht="15" hidden="false" customHeight="true" outlineLevel="0" collapsed="false">
      <c r="A29" s="13" t="n">
        <v>2025</v>
      </c>
      <c r="B29" s="13" t="s">
        <v>203</v>
      </c>
      <c r="C29" s="13" t="s">
        <v>121</v>
      </c>
      <c r="D29" s="14" t="n">
        <v>1784</v>
      </c>
      <c r="E29" s="14" t="n">
        <v>1140</v>
      </c>
      <c r="F29" s="14" t="n">
        <v>30</v>
      </c>
      <c r="G29" s="14" t="n">
        <v>121</v>
      </c>
      <c r="H29" s="14" t="n">
        <v>268</v>
      </c>
      <c r="I29" s="14" t="n">
        <v>399</v>
      </c>
      <c r="J29" s="14" t="n">
        <v>297</v>
      </c>
      <c r="K29" s="14" t="n">
        <v>25</v>
      </c>
    </row>
    <row r="30" customFormat="false" ht="15" hidden="false" customHeight="true" outlineLevel="0" collapsed="false">
      <c r="A30" s="13" t="n">
        <v>2025</v>
      </c>
      <c r="B30" s="13" t="s">
        <v>203</v>
      </c>
      <c r="C30" s="13" t="s">
        <v>125</v>
      </c>
      <c r="D30" s="14" t="n">
        <v>848</v>
      </c>
      <c r="E30" s="14" t="n">
        <v>251</v>
      </c>
      <c r="F30" s="14" t="n">
        <v>2</v>
      </c>
      <c r="G30" s="14" t="n">
        <v>12</v>
      </c>
      <c r="H30" s="14" t="n">
        <v>29</v>
      </c>
      <c r="I30" s="14" t="n">
        <v>73</v>
      </c>
      <c r="J30" s="14" t="n">
        <v>114</v>
      </c>
      <c r="K30" s="14" t="n">
        <v>21</v>
      </c>
    </row>
    <row r="31" customFormat="false" ht="15" hidden="false" customHeight="true" outlineLevel="0" collapsed="false">
      <c r="A31" s="13" t="n">
        <v>2025</v>
      </c>
      <c r="B31" s="13" t="s">
        <v>203</v>
      </c>
      <c r="C31" s="13" t="s">
        <v>192</v>
      </c>
      <c r="D31" s="14" t="n">
        <v>2632</v>
      </c>
      <c r="E31" s="14" t="n">
        <v>1391</v>
      </c>
      <c r="F31" s="14" t="n">
        <v>32</v>
      </c>
      <c r="G31" s="14" t="n">
        <v>133</v>
      </c>
      <c r="H31" s="14" t="n">
        <v>297</v>
      </c>
      <c r="I31" s="14" t="n">
        <v>472</v>
      </c>
      <c r="J31" s="14" t="n">
        <v>411</v>
      </c>
      <c r="K31" s="14" t="n">
        <v>46</v>
      </c>
    </row>
    <row r="32" customFormat="false" ht="15" hidden="false" customHeight="true" outlineLevel="0" collapsed="false">
      <c r="A32" s="13" t="n">
        <v>2026</v>
      </c>
      <c r="B32" s="13" t="s">
        <v>128</v>
      </c>
      <c r="C32" s="13" t="s">
        <v>121</v>
      </c>
      <c r="D32" s="14" t="n">
        <v>12701</v>
      </c>
      <c r="E32" s="14" t="n">
        <v>7959</v>
      </c>
      <c r="F32" s="14" t="n">
        <v>101</v>
      </c>
      <c r="G32" s="14" t="n">
        <v>873</v>
      </c>
      <c r="H32" s="14" t="n">
        <v>2413</v>
      </c>
      <c r="I32" s="14" t="n">
        <v>3083</v>
      </c>
      <c r="J32" s="14" t="n">
        <v>1440</v>
      </c>
      <c r="K32" s="14" t="n">
        <v>49</v>
      </c>
    </row>
    <row r="33" customFormat="false" ht="15" hidden="false" customHeight="true" outlineLevel="0" collapsed="false">
      <c r="A33" s="13" t="n">
        <v>2026</v>
      </c>
      <c r="B33" s="13" t="s">
        <v>128</v>
      </c>
      <c r="C33" s="13" t="s">
        <v>125</v>
      </c>
      <c r="D33" s="14" t="n">
        <v>9046</v>
      </c>
      <c r="E33" s="14" t="n">
        <v>3634</v>
      </c>
      <c r="F33" s="14" t="n">
        <v>35</v>
      </c>
      <c r="G33" s="14" t="n">
        <v>273</v>
      </c>
      <c r="H33" s="14" t="n">
        <v>680</v>
      </c>
      <c r="I33" s="14" t="n">
        <v>1160</v>
      </c>
      <c r="J33" s="14" t="n">
        <v>1296</v>
      </c>
      <c r="K33" s="14" t="n">
        <v>186</v>
      </c>
    </row>
    <row r="34" customFormat="false" ht="15" hidden="false" customHeight="true" outlineLevel="0" collapsed="false">
      <c r="A34" s="13" t="n">
        <v>2026</v>
      </c>
      <c r="B34" s="13" t="s">
        <v>128</v>
      </c>
      <c r="C34" s="13" t="s">
        <v>192</v>
      </c>
      <c r="D34" s="14" t="n">
        <v>21747</v>
      </c>
      <c r="E34" s="14" t="n">
        <v>11593</v>
      </c>
      <c r="F34" s="14" t="n">
        <v>136</v>
      </c>
      <c r="G34" s="14" t="n">
        <v>1146</v>
      </c>
      <c r="H34" s="14" t="n">
        <v>3093</v>
      </c>
      <c r="I34" s="14" t="n">
        <v>4243</v>
      </c>
      <c r="J34" s="14" t="n">
        <v>2736</v>
      </c>
      <c r="K34" s="14" t="n">
        <v>235</v>
      </c>
    </row>
    <row r="35" customFormat="false" ht="15" hidden="false" customHeight="true" outlineLevel="0" collapsed="false">
      <c r="A35" s="13" t="n">
        <v>2026</v>
      </c>
      <c r="B35" s="13" t="s">
        <v>123</v>
      </c>
      <c r="C35" s="13" t="s">
        <v>121</v>
      </c>
      <c r="D35" s="14" t="n">
        <v>9262</v>
      </c>
      <c r="E35" s="14" t="n">
        <v>7154</v>
      </c>
      <c r="F35" s="14" t="n">
        <v>1133</v>
      </c>
      <c r="G35" s="14" t="n">
        <v>1666</v>
      </c>
      <c r="H35" s="14" t="n">
        <v>2225</v>
      </c>
      <c r="I35" s="14" t="n">
        <v>1857</v>
      </c>
      <c r="J35" s="14" t="n">
        <v>271</v>
      </c>
      <c r="K35" s="14" t="n">
        <v>2</v>
      </c>
    </row>
    <row r="36" customFormat="false" ht="15" hidden="false" customHeight="true" outlineLevel="0" collapsed="false">
      <c r="A36" s="13" t="n">
        <v>2026</v>
      </c>
      <c r="B36" s="13" t="s">
        <v>123</v>
      </c>
      <c r="C36" s="13" t="s">
        <v>125</v>
      </c>
      <c r="D36" s="14" t="n">
        <v>1669</v>
      </c>
      <c r="E36" s="14" t="n">
        <v>822</v>
      </c>
      <c r="F36" s="14" t="n">
        <v>197</v>
      </c>
      <c r="G36" s="14" t="n">
        <v>51</v>
      </c>
      <c r="H36" s="14" t="n">
        <v>71</v>
      </c>
      <c r="I36" s="14" t="n">
        <v>241</v>
      </c>
      <c r="J36" s="14" t="n">
        <v>261</v>
      </c>
      <c r="K36" s="14" t="n">
        <v>1</v>
      </c>
    </row>
    <row r="37" customFormat="false" ht="15" hidden="false" customHeight="true" outlineLevel="0" collapsed="false">
      <c r="A37" s="13" t="n">
        <v>2026</v>
      </c>
      <c r="B37" s="13" t="s">
        <v>123</v>
      </c>
      <c r="C37" s="13" t="s">
        <v>192</v>
      </c>
      <c r="D37" s="14" t="n">
        <v>10931</v>
      </c>
      <c r="E37" s="14" t="n">
        <v>7976</v>
      </c>
      <c r="F37" s="14" t="n">
        <v>1330</v>
      </c>
      <c r="G37" s="14" t="n">
        <v>1717</v>
      </c>
      <c r="H37" s="14" t="n">
        <v>2296</v>
      </c>
      <c r="I37" s="14" t="n">
        <v>2098</v>
      </c>
      <c r="J37" s="14" t="n">
        <v>532</v>
      </c>
      <c r="K37" s="14" t="n">
        <v>3</v>
      </c>
    </row>
    <row r="38" customFormat="false" ht="15" hidden="false" customHeight="true" outlineLevel="0" collapsed="false">
      <c r="A38" s="13" t="n">
        <v>2026</v>
      </c>
      <c r="B38" s="13" t="s">
        <v>126</v>
      </c>
      <c r="C38" s="13" t="s">
        <v>121</v>
      </c>
      <c r="D38" s="14" t="n">
        <v>2178</v>
      </c>
      <c r="E38" s="14" t="n">
        <v>1626</v>
      </c>
      <c r="F38" s="14" t="n">
        <v>260</v>
      </c>
      <c r="G38" s="14" t="n">
        <v>406</v>
      </c>
      <c r="H38" s="14" t="n">
        <v>470</v>
      </c>
      <c r="I38" s="14" t="n">
        <v>417</v>
      </c>
      <c r="J38" s="14" t="n">
        <v>73</v>
      </c>
      <c r="K38" s="14" t="n">
        <v>0</v>
      </c>
    </row>
    <row r="39" customFormat="false" ht="15" hidden="false" customHeight="true" outlineLevel="0" collapsed="false">
      <c r="A39" s="13" t="n">
        <v>2026</v>
      </c>
      <c r="B39" s="13" t="s">
        <v>126</v>
      </c>
      <c r="C39" s="13" t="s">
        <v>125</v>
      </c>
      <c r="D39" s="14" t="n">
        <v>481</v>
      </c>
      <c r="E39" s="14" t="n">
        <v>169</v>
      </c>
      <c r="F39" s="14" t="n">
        <v>0</v>
      </c>
      <c r="G39" s="14" t="n">
        <v>0</v>
      </c>
      <c r="H39" s="14" t="n">
        <v>18</v>
      </c>
      <c r="I39" s="14" t="n">
        <v>73</v>
      </c>
      <c r="J39" s="14" t="n">
        <v>74</v>
      </c>
      <c r="K39" s="14" t="n">
        <v>4</v>
      </c>
    </row>
    <row r="40" customFormat="false" ht="15" hidden="false" customHeight="true" outlineLevel="0" collapsed="false">
      <c r="A40" s="13" t="n">
        <v>2026</v>
      </c>
      <c r="B40" s="13" t="s">
        <v>126</v>
      </c>
      <c r="C40" s="13" t="s">
        <v>192</v>
      </c>
      <c r="D40" s="14" t="n">
        <v>2659</v>
      </c>
      <c r="E40" s="14" t="n">
        <v>1795</v>
      </c>
      <c r="F40" s="14" t="n">
        <v>260</v>
      </c>
      <c r="G40" s="14" t="n">
        <v>406</v>
      </c>
      <c r="H40" s="14" t="n">
        <v>488</v>
      </c>
      <c r="I40" s="14" t="n">
        <v>490</v>
      </c>
      <c r="J40" s="14" t="n">
        <v>147</v>
      </c>
      <c r="K40" s="14" t="n">
        <v>4</v>
      </c>
    </row>
    <row r="41" customFormat="false" ht="15" hidden="false" customHeight="true" outlineLevel="0" collapsed="false">
      <c r="A41" s="13" t="n">
        <v>2026</v>
      </c>
      <c r="B41" s="13" t="s">
        <v>821</v>
      </c>
      <c r="C41" s="13" t="s">
        <v>121</v>
      </c>
      <c r="D41" s="14" t="n">
        <v>19616</v>
      </c>
      <c r="E41" s="14" t="n">
        <v>12775</v>
      </c>
      <c r="F41" s="14" t="n">
        <v>878</v>
      </c>
      <c r="G41" s="14" t="n">
        <v>2157</v>
      </c>
      <c r="H41" s="14" t="n">
        <v>3897</v>
      </c>
      <c r="I41" s="14" t="n">
        <v>4546</v>
      </c>
      <c r="J41" s="14" t="n">
        <v>1287</v>
      </c>
      <c r="K41" s="14" t="n">
        <v>10</v>
      </c>
    </row>
    <row r="42" customFormat="false" ht="15" hidden="false" customHeight="true" outlineLevel="0" collapsed="false">
      <c r="A42" s="13" t="n">
        <v>2026</v>
      </c>
      <c r="B42" s="13" t="s">
        <v>821</v>
      </c>
      <c r="C42" s="13" t="s">
        <v>125</v>
      </c>
      <c r="D42" s="14" t="n">
        <v>3960</v>
      </c>
      <c r="E42" s="14" t="n">
        <v>1222</v>
      </c>
      <c r="F42" s="14" t="n">
        <v>0</v>
      </c>
      <c r="G42" s="14" t="n">
        <v>2</v>
      </c>
      <c r="H42" s="14" t="n">
        <v>54</v>
      </c>
      <c r="I42" s="14" t="n">
        <v>412</v>
      </c>
      <c r="J42" s="14" t="n">
        <v>718</v>
      </c>
      <c r="K42" s="14" t="n">
        <v>36</v>
      </c>
    </row>
    <row r="43" customFormat="false" ht="15" hidden="false" customHeight="true" outlineLevel="0" collapsed="false">
      <c r="A43" s="13" t="n">
        <v>2026</v>
      </c>
      <c r="B43" s="13" t="s">
        <v>821</v>
      </c>
      <c r="C43" s="13" t="s">
        <v>192</v>
      </c>
      <c r="D43" s="14" t="n">
        <v>23576</v>
      </c>
      <c r="E43" s="14" t="n">
        <v>13997</v>
      </c>
      <c r="F43" s="14" t="n">
        <v>878</v>
      </c>
      <c r="G43" s="14" t="n">
        <v>2159</v>
      </c>
      <c r="H43" s="14" t="n">
        <v>3951</v>
      </c>
      <c r="I43" s="14" t="n">
        <v>4958</v>
      </c>
      <c r="J43" s="14" t="n">
        <v>2005</v>
      </c>
      <c r="K43" s="14" t="n">
        <v>46</v>
      </c>
    </row>
    <row r="44" customFormat="false" ht="15" hidden="false" customHeight="true" outlineLevel="0" collapsed="false">
      <c r="A44" s="13" t="n">
        <v>2026</v>
      </c>
      <c r="B44" s="13" t="s">
        <v>203</v>
      </c>
      <c r="C44" s="13" t="s">
        <v>121</v>
      </c>
      <c r="D44" s="14" t="n">
        <v>1570</v>
      </c>
      <c r="E44" s="14" t="n">
        <v>1131</v>
      </c>
      <c r="F44" s="14" t="n">
        <v>65</v>
      </c>
      <c r="G44" s="14" t="n">
        <v>135</v>
      </c>
      <c r="H44" s="14" t="n">
        <v>290</v>
      </c>
      <c r="I44" s="14" t="n">
        <v>384</v>
      </c>
      <c r="J44" s="14" t="n">
        <v>239</v>
      </c>
      <c r="K44" s="14" t="n">
        <v>18</v>
      </c>
    </row>
    <row r="45" customFormat="false" ht="15" hidden="false" customHeight="true" outlineLevel="0" collapsed="false">
      <c r="A45" s="13" t="n">
        <v>2026</v>
      </c>
      <c r="B45" s="13" t="s">
        <v>203</v>
      </c>
      <c r="C45" s="13" t="s">
        <v>125</v>
      </c>
      <c r="D45" s="14" t="n">
        <v>883</v>
      </c>
      <c r="E45" s="14" t="n">
        <v>366</v>
      </c>
      <c r="F45" s="14" t="n">
        <v>1</v>
      </c>
      <c r="G45" s="14" t="n">
        <v>14</v>
      </c>
      <c r="H45" s="14" t="n">
        <v>44</v>
      </c>
      <c r="I45" s="14" t="n">
        <v>93</v>
      </c>
      <c r="J45" s="14" t="n">
        <v>155</v>
      </c>
      <c r="K45" s="14" t="n">
        <v>59</v>
      </c>
    </row>
    <row r="46" customFormat="false" ht="15" hidden="false" customHeight="true" outlineLevel="0" collapsed="false">
      <c r="A46" s="13" t="n">
        <v>2026</v>
      </c>
      <c r="B46" s="13" t="s">
        <v>203</v>
      </c>
      <c r="C46" s="13" t="s">
        <v>192</v>
      </c>
      <c r="D46" s="14" t="n">
        <v>2453</v>
      </c>
      <c r="E46" s="14" t="n">
        <v>3950</v>
      </c>
      <c r="F46" s="14" t="n">
        <v>66</v>
      </c>
      <c r="G46" s="14" t="n">
        <v>149</v>
      </c>
      <c r="H46" s="14" t="n">
        <v>334</v>
      </c>
      <c r="I46" s="14" t="n">
        <v>477</v>
      </c>
      <c r="J46" s="14" t="n">
        <v>394</v>
      </c>
      <c r="K46" s="14" t="n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3" width="12"/>
    <col collapsed="false" customWidth="true" hidden="false" outlineLevel="0" max="3" min="3" style="13" width="17"/>
    <col collapsed="false" customWidth="true" hidden="false" outlineLevel="0" max="12" min="4" style="13" width="12"/>
  </cols>
  <sheetData>
    <row r="1" customFormat="false" ht="15" hidden="false" customHeight="true" outlineLevel="0" collapsed="false">
      <c r="A1" s="13" t="s">
        <v>3</v>
      </c>
      <c r="B1" s="13" t="s">
        <v>113</v>
      </c>
      <c r="C1" s="13" t="s">
        <v>114</v>
      </c>
      <c r="D1" s="13" t="s">
        <v>187</v>
      </c>
      <c r="E1" s="13" t="s">
        <v>820</v>
      </c>
      <c r="F1" s="13" t="s">
        <v>5</v>
      </c>
      <c r="G1" s="13" t="s">
        <v>199</v>
      </c>
      <c r="H1" s="13" t="s">
        <v>116</v>
      </c>
      <c r="I1" s="13" t="s">
        <v>117</v>
      </c>
      <c r="J1" s="13" t="s">
        <v>118</v>
      </c>
      <c r="K1" s="13" t="s">
        <v>119</v>
      </c>
      <c r="L1" s="13" t="s">
        <v>120</v>
      </c>
    </row>
    <row r="2" customFormat="false" ht="15" hidden="false" customHeight="true" outlineLevel="0" collapsed="false">
      <c r="A2" s="13" t="n">
        <v>2024</v>
      </c>
      <c r="B2" s="13" t="s">
        <v>124</v>
      </c>
      <c r="C2" s="13" t="s">
        <v>128</v>
      </c>
      <c r="D2" s="13" t="s">
        <v>121</v>
      </c>
      <c r="E2" s="14" t="n">
        <v>2160</v>
      </c>
      <c r="F2" s="14" t="n">
        <v>859</v>
      </c>
      <c r="G2" s="14" t="n">
        <v>3</v>
      </c>
      <c r="H2" s="14" t="n">
        <v>35</v>
      </c>
      <c r="I2" s="14" t="n">
        <v>137</v>
      </c>
      <c r="J2" s="14" t="n">
        <v>394</v>
      </c>
      <c r="K2" s="14" t="n">
        <v>281</v>
      </c>
      <c r="L2" s="14" t="n">
        <v>9</v>
      </c>
    </row>
    <row r="3" customFormat="false" ht="15" hidden="false" customHeight="true" outlineLevel="0" collapsed="false">
      <c r="A3" s="13" t="n">
        <v>2024</v>
      </c>
      <c r="B3" s="13" t="s">
        <v>124</v>
      </c>
      <c r="C3" s="13" t="s">
        <v>128</v>
      </c>
      <c r="D3" s="13" t="s">
        <v>125</v>
      </c>
      <c r="E3" s="14" t="n">
        <v>3764</v>
      </c>
      <c r="F3" s="14" t="n">
        <v>833</v>
      </c>
      <c r="G3" s="14" t="n">
        <v>6</v>
      </c>
      <c r="H3" s="14" t="n">
        <v>46</v>
      </c>
      <c r="I3" s="14" t="n">
        <v>107</v>
      </c>
      <c r="J3" s="14" t="n">
        <v>242</v>
      </c>
      <c r="K3" s="14" t="n">
        <v>349</v>
      </c>
      <c r="L3" s="14" t="n">
        <v>80</v>
      </c>
    </row>
    <row r="4" customFormat="false" ht="15" hidden="false" customHeight="true" outlineLevel="0" collapsed="false">
      <c r="A4" s="13" t="n">
        <v>2024</v>
      </c>
      <c r="B4" s="13" t="s">
        <v>124</v>
      </c>
      <c r="C4" s="13" t="s">
        <v>128</v>
      </c>
      <c r="D4" s="13" t="s">
        <v>192</v>
      </c>
      <c r="E4" s="14" t="n">
        <v>5924</v>
      </c>
      <c r="F4" s="14" t="n">
        <v>1692</v>
      </c>
      <c r="G4" s="14" t="n">
        <v>9</v>
      </c>
      <c r="H4" s="14" t="n">
        <v>81</v>
      </c>
      <c r="I4" s="14" t="n">
        <v>244</v>
      </c>
      <c r="J4" s="14" t="n">
        <v>636</v>
      </c>
      <c r="K4" s="14" t="n">
        <v>630</v>
      </c>
      <c r="L4" s="14" t="n">
        <v>89</v>
      </c>
    </row>
    <row r="5" customFormat="false" ht="15" hidden="false" customHeight="true" outlineLevel="0" collapsed="false">
      <c r="A5" s="13" t="n">
        <v>2024</v>
      </c>
      <c r="B5" s="13" t="s">
        <v>124</v>
      </c>
      <c r="C5" s="13" t="s">
        <v>123</v>
      </c>
      <c r="D5" s="13" t="s">
        <v>121</v>
      </c>
      <c r="E5" s="14" t="n">
        <v>2437</v>
      </c>
      <c r="F5" s="14" t="n">
        <v>1741</v>
      </c>
      <c r="G5" s="14" t="n">
        <v>246</v>
      </c>
      <c r="H5" s="14" t="n">
        <v>395</v>
      </c>
      <c r="I5" s="14" t="n">
        <v>496</v>
      </c>
      <c r="J5" s="14" t="n">
        <v>478</v>
      </c>
      <c r="K5" s="14" t="n">
        <v>125</v>
      </c>
      <c r="L5" s="14" t="n">
        <v>1</v>
      </c>
    </row>
    <row r="6" customFormat="false" ht="15" hidden="false" customHeight="true" outlineLevel="0" collapsed="false">
      <c r="A6" s="13" t="n">
        <v>2024</v>
      </c>
      <c r="B6" s="13" t="s">
        <v>124</v>
      </c>
      <c r="C6" s="13" t="s">
        <v>123</v>
      </c>
      <c r="D6" s="13" t="s">
        <v>125</v>
      </c>
      <c r="E6" s="14" t="n">
        <v>570</v>
      </c>
      <c r="F6" s="14" t="n">
        <v>284</v>
      </c>
      <c r="G6" s="14" t="n">
        <v>56</v>
      </c>
      <c r="H6" s="14" t="n">
        <v>28</v>
      </c>
      <c r="I6" s="14" t="n">
        <v>27</v>
      </c>
      <c r="J6" s="14" t="n">
        <v>75</v>
      </c>
      <c r="K6" s="14" t="n">
        <v>95</v>
      </c>
      <c r="L6" s="14" t="n">
        <v>3</v>
      </c>
    </row>
    <row r="7" customFormat="false" ht="15" hidden="false" customHeight="true" outlineLevel="0" collapsed="false">
      <c r="A7" s="13" t="n">
        <v>2024</v>
      </c>
      <c r="B7" s="13" t="s">
        <v>124</v>
      </c>
      <c r="C7" s="13" t="s">
        <v>123</v>
      </c>
      <c r="D7" s="13" t="s">
        <v>192</v>
      </c>
      <c r="E7" s="14" t="n">
        <v>3007</v>
      </c>
      <c r="F7" s="14" t="n">
        <v>2025</v>
      </c>
      <c r="G7" s="14" t="n">
        <v>302</v>
      </c>
      <c r="H7" s="14" t="n">
        <v>423</v>
      </c>
      <c r="I7" s="14" t="n">
        <v>523</v>
      </c>
      <c r="J7" s="14" t="n">
        <v>553</v>
      </c>
      <c r="K7" s="14" t="n">
        <v>220</v>
      </c>
      <c r="L7" s="14" t="n">
        <v>4</v>
      </c>
    </row>
    <row r="8" customFormat="false" ht="15" hidden="false" customHeight="true" outlineLevel="0" collapsed="false">
      <c r="A8" s="13" t="n">
        <v>2024</v>
      </c>
      <c r="B8" s="13" t="s">
        <v>124</v>
      </c>
      <c r="C8" s="13" t="s">
        <v>126</v>
      </c>
      <c r="D8" s="13" t="s">
        <v>121</v>
      </c>
      <c r="E8" s="14" t="n">
        <v>2303</v>
      </c>
      <c r="F8" s="14" t="n">
        <v>1668</v>
      </c>
      <c r="G8" s="14" t="n">
        <v>223</v>
      </c>
      <c r="H8" s="14" t="n">
        <v>367</v>
      </c>
      <c r="I8" s="14" t="n">
        <v>502</v>
      </c>
      <c r="J8" s="14" t="n">
        <v>488</v>
      </c>
      <c r="K8" s="14" t="n">
        <v>88</v>
      </c>
      <c r="L8" s="14" t="n">
        <v>0</v>
      </c>
    </row>
    <row r="9" customFormat="false" ht="15" hidden="false" customHeight="true" outlineLevel="0" collapsed="false">
      <c r="A9" s="13" t="n">
        <v>2024</v>
      </c>
      <c r="B9" s="13" t="s">
        <v>124</v>
      </c>
      <c r="C9" s="13" t="s">
        <v>126</v>
      </c>
      <c r="D9" s="13" t="s">
        <v>125</v>
      </c>
      <c r="E9" s="14" t="n">
        <v>657</v>
      </c>
      <c r="F9" s="14" t="n">
        <v>228</v>
      </c>
      <c r="G9" s="14" t="n">
        <v>1</v>
      </c>
      <c r="H9" s="14" t="n">
        <v>3</v>
      </c>
      <c r="I9" s="14" t="n">
        <v>22</v>
      </c>
      <c r="J9" s="14" t="n">
        <v>75</v>
      </c>
      <c r="K9" s="14" t="n">
        <v>121</v>
      </c>
      <c r="L9" s="14" t="n">
        <v>6</v>
      </c>
    </row>
    <row r="10" customFormat="false" ht="15" hidden="false" customHeight="true" outlineLevel="0" collapsed="false">
      <c r="A10" s="13" t="n">
        <v>2024</v>
      </c>
      <c r="B10" s="13" t="s">
        <v>124</v>
      </c>
      <c r="C10" s="13" t="s">
        <v>126</v>
      </c>
      <c r="D10" s="13" t="s">
        <v>192</v>
      </c>
      <c r="E10" s="14" t="n">
        <v>2960</v>
      </c>
      <c r="F10" s="14" t="n">
        <v>1896</v>
      </c>
      <c r="G10" s="14" t="n">
        <v>224</v>
      </c>
      <c r="H10" s="14" t="n">
        <v>370</v>
      </c>
      <c r="I10" s="14" t="n">
        <v>524</v>
      </c>
      <c r="J10" s="14" t="n">
        <v>563</v>
      </c>
      <c r="K10" s="14" t="n">
        <v>209</v>
      </c>
      <c r="L10" s="14" t="n">
        <v>6</v>
      </c>
    </row>
    <row r="11" customFormat="false" ht="15" hidden="false" customHeight="true" outlineLevel="0" collapsed="false">
      <c r="A11" s="13" t="n">
        <v>2024</v>
      </c>
      <c r="B11" s="13" t="s">
        <v>124</v>
      </c>
      <c r="C11" s="13" t="s">
        <v>821</v>
      </c>
      <c r="D11" s="13" t="s">
        <v>121</v>
      </c>
      <c r="E11" s="14" t="n">
        <v>8685</v>
      </c>
      <c r="F11" s="14" t="n">
        <v>4159</v>
      </c>
      <c r="G11" s="14" t="n">
        <v>153</v>
      </c>
      <c r="H11" s="14" t="n">
        <v>570</v>
      </c>
      <c r="I11" s="14" t="n">
        <v>1085</v>
      </c>
      <c r="J11" s="14" t="n">
        <v>1730</v>
      </c>
      <c r="K11" s="14" t="n">
        <v>617</v>
      </c>
      <c r="L11" s="14" t="n">
        <v>4</v>
      </c>
    </row>
    <row r="12" customFormat="false" ht="15" hidden="false" customHeight="true" outlineLevel="0" collapsed="false">
      <c r="A12" s="13" t="n">
        <v>2024</v>
      </c>
      <c r="B12" s="13" t="s">
        <v>124</v>
      </c>
      <c r="C12" s="13" t="s">
        <v>821</v>
      </c>
      <c r="D12" s="13" t="s">
        <v>125</v>
      </c>
      <c r="E12" s="14" t="n">
        <v>2177</v>
      </c>
      <c r="F12" s="14" t="n">
        <v>541</v>
      </c>
      <c r="G12" s="14" t="n">
        <v>1</v>
      </c>
      <c r="H12" s="14" t="n">
        <v>4</v>
      </c>
      <c r="I12" s="14" t="n">
        <v>10</v>
      </c>
      <c r="J12" s="14" t="n">
        <v>131</v>
      </c>
      <c r="K12" s="14" t="n">
        <v>347</v>
      </c>
      <c r="L12" s="14" t="n">
        <v>48</v>
      </c>
    </row>
    <row r="13" customFormat="false" ht="15" hidden="false" customHeight="true" outlineLevel="0" collapsed="false">
      <c r="A13" s="13" t="n">
        <v>2024</v>
      </c>
      <c r="B13" s="13" t="s">
        <v>124</v>
      </c>
      <c r="C13" s="13" t="s">
        <v>821</v>
      </c>
      <c r="D13" s="13" t="s">
        <v>192</v>
      </c>
      <c r="E13" s="14" t="n">
        <v>10862</v>
      </c>
      <c r="F13" s="14" t="n">
        <v>4700</v>
      </c>
      <c r="G13" s="14" t="n">
        <v>154</v>
      </c>
      <c r="H13" s="14" t="n">
        <v>574</v>
      </c>
      <c r="I13" s="14" t="n">
        <v>1095</v>
      </c>
      <c r="J13" s="14" t="n">
        <v>1861</v>
      </c>
      <c r="K13" s="14" t="n">
        <v>964</v>
      </c>
      <c r="L13" s="14" t="n">
        <v>52</v>
      </c>
    </row>
    <row r="14" customFormat="false" ht="15" hidden="false" customHeight="true" outlineLevel="0" collapsed="false">
      <c r="A14" s="13" t="n">
        <v>2024</v>
      </c>
      <c r="B14" s="13" t="s">
        <v>124</v>
      </c>
      <c r="C14" s="13" t="s">
        <v>203</v>
      </c>
      <c r="D14" s="13" t="s">
        <v>121</v>
      </c>
      <c r="E14" s="14" t="n">
        <v>1120</v>
      </c>
      <c r="F14" s="14" t="n">
        <v>706</v>
      </c>
      <c r="G14" s="14" t="n">
        <v>9</v>
      </c>
      <c r="H14" s="14" t="n">
        <v>52</v>
      </c>
      <c r="I14" s="14" t="n">
        <v>149</v>
      </c>
      <c r="J14" s="14" t="n">
        <v>280</v>
      </c>
      <c r="K14" s="14" t="n">
        <v>204</v>
      </c>
      <c r="L14" s="14" t="n">
        <v>12</v>
      </c>
    </row>
    <row r="15" customFormat="false" ht="15" hidden="false" customHeight="true" outlineLevel="0" collapsed="false">
      <c r="A15" s="13" t="n">
        <v>2024</v>
      </c>
      <c r="B15" s="13" t="s">
        <v>124</v>
      </c>
      <c r="C15" s="13" t="s">
        <v>203</v>
      </c>
      <c r="D15" s="13" t="s">
        <v>125</v>
      </c>
      <c r="E15" s="14" t="n">
        <v>648</v>
      </c>
      <c r="F15" s="14" t="n">
        <v>212</v>
      </c>
      <c r="G15" s="14" t="n">
        <v>0</v>
      </c>
      <c r="H15" s="14" t="n">
        <v>2</v>
      </c>
      <c r="I15" s="14" t="n">
        <v>15</v>
      </c>
      <c r="J15" s="14" t="n">
        <v>67</v>
      </c>
      <c r="K15" s="14" t="n">
        <v>99</v>
      </c>
      <c r="L15" s="14" t="n">
        <v>29</v>
      </c>
    </row>
    <row r="16" customFormat="false" ht="15" hidden="false" customHeight="true" outlineLevel="0" collapsed="false">
      <c r="A16" s="13" t="n">
        <v>2024</v>
      </c>
      <c r="B16" s="13" t="s">
        <v>124</v>
      </c>
      <c r="C16" s="13" t="s">
        <v>203</v>
      </c>
      <c r="D16" s="13" t="s">
        <v>192</v>
      </c>
      <c r="E16" s="14" t="n">
        <v>1768</v>
      </c>
      <c r="F16" s="14" t="n">
        <v>918</v>
      </c>
      <c r="G16" s="14" t="n">
        <v>9</v>
      </c>
      <c r="H16" s="14" t="n">
        <v>54</v>
      </c>
      <c r="I16" s="14" t="n">
        <v>164</v>
      </c>
      <c r="J16" s="14" t="n">
        <v>347</v>
      </c>
      <c r="K16" s="14" t="n">
        <v>303</v>
      </c>
      <c r="L16" s="14" t="n">
        <v>41</v>
      </c>
    </row>
    <row r="17" customFormat="false" ht="15" hidden="false" customHeight="true" outlineLevel="0" collapsed="false">
      <c r="A17" s="13" t="n">
        <v>2024</v>
      </c>
      <c r="B17" s="13" t="s">
        <v>122</v>
      </c>
      <c r="C17" s="13" t="s">
        <v>128</v>
      </c>
      <c r="D17" s="13" t="s">
        <v>121</v>
      </c>
      <c r="E17" s="14" t="n">
        <v>9594</v>
      </c>
      <c r="F17" s="14" t="n">
        <v>6130</v>
      </c>
      <c r="G17" s="14" t="n">
        <v>52</v>
      </c>
      <c r="H17" s="14" t="n">
        <v>550</v>
      </c>
      <c r="I17" s="14" t="n">
        <v>1874</v>
      </c>
      <c r="J17" s="14" t="n">
        <v>2582</v>
      </c>
      <c r="K17" s="14" t="n">
        <v>1052</v>
      </c>
      <c r="L17" s="14" t="n">
        <v>20</v>
      </c>
    </row>
    <row r="18" customFormat="false" ht="15" hidden="false" customHeight="true" outlineLevel="0" collapsed="false">
      <c r="A18" s="13" t="n">
        <v>2024</v>
      </c>
      <c r="B18" s="13" t="s">
        <v>122</v>
      </c>
      <c r="C18" s="13" t="s">
        <v>128</v>
      </c>
      <c r="D18" s="13" t="s">
        <v>125</v>
      </c>
      <c r="E18" s="14" t="n">
        <v>5669</v>
      </c>
      <c r="F18" s="14" t="n">
        <v>2079</v>
      </c>
      <c r="G18" s="14" t="n">
        <v>12</v>
      </c>
      <c r="H18" s="14" t="n">
        <v>155</v>
      </c>
      <c r="I18" s="14" t="n">
        <v>431</v>
      </c>
      <c r="J18" s="14" t="n">
        <v>666</v>
      </c>
      <c r="K18" s="14" t="n">
        <v>724</v>
      </c>
      <c r="L18" s="14" t="n">
        <v>90</v>
      </c>
    </row>
    <row r="19" customFormat="false" ht="15" hidden="false" customHeight="true" outlineLevel="0" collapsed="false">
      <c r="A19" s="13" t="n">
        <v>2024</v>
      </c>
      <c r="B19" s="13" t="s">
        <v>122</v>
      </c>
      <c r="C19" s="13" t="s">
        <v>128</v>
      </c>
      <c r="D19" s="13" t="s">
        <v>192</v>
      </c>
      <c r="E19" s="14" t="n">
        <v>15263</v>
      </c>
      <c r="F19" s="14" t="n">
        <v>8209</v>
      </c>
      <c r="G19" s="14" t="n">
        <v>64</v>
      </c>
      <c r="H19" s="14" t="n">
        <v>705</v>
      </c>
      <c r="I19" s="14" t="n">
        <v>2305</v>
      </c>
      <c r="J19" s="14" t="n">
        <v>3248</v>
      </c>
      <c r="K19" s="14" t="n">
        <v>1776</v>
      </c>
      <c r="L19" s="14" t="n">
        <v>110</v>
      </c>
    </row>
    <row r="20" customFormat="false" ht="15" hidden="false" customHeight="true" outlineLevel="0" collapsed="false">
      <c r="A20" s="13" t="n">
        <v>2024</v>
      </c>
      <c r="B20" s="13" t="s">
        <v>122</v>
      </c>
      <c r="C20" s="13" t="s">
        <v>123</v>
      </c>
      <c r="D20" s="13" t="s">
        <v>121</v>
      </c>
      <c r="E20" s="14" t="n">
        <v>8166</v>
      </c>
      <c r="F20" s="14" t="n">
        <v>6876</v>
      </c>
      <c r="G20" s="14" t="n">
        <v>1144</v>
      </c>
      <c r="H20" s="14" t="n">
        <v>1702</v>
      </c>
      <c r="I20" s="14" t="n">
        <v>2101</v>
      </c>
      <c r="J20" s="14" t="n">
        <v>1692</v>
      </c>
      <c r="K20" s="14" t="n">
        <v>236</v>
      </c>
      <c r="L20" s="14" t="n">
        <v>1</v>
      </c>
    </row>
    <row r="21" customFormat="false" ht="15" hidden="false" customHeight="true" outlineLevel="0" collapsed="false">
      <c r="A21" s="13" t="n">
        <v>2024</v>
      </c>
      <c r="B21" s="13" t="s">
        <v>122</v>
      </c>
      <c r="C21" s="13" t="s">
        <v>123</v>
      </c>
      <c r="D21" s="13" t="s">
        <v>125</v>
      </c>
      <c r="E21" s="14" t="n">
        <v>1336</v>
      </c>
      <c r="F21" s="14" t="n">
        <v>813</v>
      </c>
      <c r="G21" s="14" t="n">
        <v>218</v>
      </c>
      <c r="H21" s="14" t="n">
        <v>63</v>
      </c>
      <c r="I21" s="14" t="n">
        <v>76</v>
      </c>
      <c r="J21" s="14" t="n">
        <v>206</v>
      </c>
      <c r="K21" s="14" t="n">
        <v>241</v>
      </c>
      <c r="L21" s="14" t="n">
        <v>9</v>
      </c>
    </row>
    <row r="22" customFormat="false" ht="15" hidden="false" customHeight="true" outlineLevel="0" collapsed="false">
      <c r="A22" s="13" t="n">
        <v>2024</v>
      </c>
      <c r="B22" s="13" t="s">
        <v>122</v>
      </c>
      <c r="C22" s="13" t="s">
        <v>123</v>
      </c>
      <c r="D22" s="13" t="s">
        <v>192</v>
      </c>
      <c r="E22" s="14" t="n">
        <v>9502</v>
      </c>
      <c r="F22" s="14" t="n">
        <v>7689</v>
      </c>
      <c r="G22" s="14" t="n">
        <v>1362</v>
      </c>
      <c r="H22" s="14" t="n">
        <v>1765</v>
      </c>
      <c r="I22" s="14" t="n">
        <v>2177</v>
      </c>
      <c r="J22" s="14" t="n">
        <v>1898</v>
      </c>
      <c r="K22" s="14" t="n">
        <v>477</v>
      </c>
      <c r="L22" s="14" t="n">
        <v>10</v>
      </c>
    </row>
    <row r="23" customFormat="false" ht="15" hidden="false" customHeight="true" outlineLevel="0" collapsed="false">
      <c r="A23" s="13" t="n">
        <v>2024</v>
      </c>
      <c r="B23" s="13" t="s">
        <v>122</v>
      </c>
      <c r="C23" s="13" t="s">
        <v>126</v>
      </c>
      <c r="D23" s="13" t="s">
        <v>121</v>
      </c>
      <c r="E23" s="14" t="n">
        <v>1733</v>
      </c>
      <c r="F23" s="14" t="n">
        <v>1461</v>
      </c>
      <c r="G23" s="14" t="n">
        <v>192</v>
      </c>
      <c r="H23" s="14" t="n">
        <v>353</v>
      </c>
      <c r="I23" s="14" t="n">
        <v>457</v>
      </c>
      <c r="J23" s="14" t="n">
        <v>393</v>
      </c>
      <c r="K23" s="14" t="n">
        <v>66</v>
      </c>
      <c r="L23" s="14" t="n">
        <v>0</v>
      </c>
    </row>
    <row r="24" customFormat="false" ht="15" hidden="false" customHeight="true" outlineLevel="0" collapsed="false">
      <c r="A24" s="13" t="n">
        <v>2024</v>
      </c>
      <c r="B24" s="13" t="s">
        <v>122</v>
      </c>
      <c r="C24" s="13" t="s">
        <v>126</v>
      </c>
      <c r="D24" s="13" t="s">
        <v>125</v>
      </c>
      <c r="E24" s="14" t="n">
        <v>389</v>
      </c>
      <c r="F24" s="14" t="n">
        <v>138</v>
      </c>
      <c r="G24" s="14" t="n">
        <v>1</v>
      </c>
      <c r="H24" s="14" t="n">
        <v>1</v>
      </c>
      <c r="I24" s="14" t="n">
        <v>4</v>
      </c>
      <c r="J24" s="14" t="n">
        <v>48</v>
      </c>
      <c r="K24" s="14" t="n">
        <v>76</v>
      </c>
      <c r="L24" s="14" t="n">
        <v>7</v>
      </c>
    </row>
    <row r="25" customFormat="false" ht="15" hidden="false" customHeight="true" outlineLevel="0" collapsed="false">
      <c r="A25" s="13" t="n">
        <v>2024</v>
      </c>
      <c r="B25" s="13" t="s">
        <v>122</v>
      </c>
      <c r="C25" s="13" t="s">
        <v>126</v>
      </c>
      <c r="D25" s="13" t="s">
        <v>192</v>
      </c>
      <c r="E25" s="14" t="n">
        <v>2122</v>
      </c>
      <c r="F25" s="14" t="n">
        <v>1599</v>
      </c>
      <c r="G25" s="14" t="n">
        <v>193</v>
      </c>
      <c r="H25" s="14" t="n">
        <v>354</v>
      </c>
      <c r="I25" s="14" t="n">
        <v>461</v>
      </c>
      <c r="J25" s="14" t="n">
        <v>441</v>
      </c>
      <c r="K25" s="14" t="n">
        <v>142</v>
      </c>
      <c r="L25" s="14" t="n">
        <v>7</v>
      </c>
    </row>
    <row r="26" customFormat="false" ht="15" hidden="false" customHeight="true" outlineLevel="0" collapsed="false">
      <c r="A26" s="13" t="n">
        <v>2024</v>
      </c>
      <c r="B26" s="13" t="s">
        <v>122</v>
      </c>
      <c r="C26" s="13" t="s">
        <v>821</v>
      </c>
      <c r="D26" s="13" t="s">
        <v>121</v>
      </c>
      <c r="E26" s="14" t="n">
        <v>9299</v>
      </c>
      <c r="F26" s="14" t="n">
        <v>5961</v>
      </c>
      <c r="G26" s="14" t="n">
        <v>287</v>
      </c>
      <c r="H26" s="14" t="n">
        <v>967</v>
      </c>
      <c r="I26" s="14" t="n">
        <v>1967</v>
      </c>
      <c r="J26" s="14" t="n">
        <v>2301</v>
      </c>
      <c r="K26" s="14" t="n">
        <v>437</v>
      </c>
      <c r="L26" s="14" t="n">
        <v>2</v>
      </c>
    </row>
    <row r="27" customFormat="false" ht="15" hidden="false" customHeight="true" outlineLevel="0" collapsed="false">
      <c r="A27" s="13" t="n">
        <v>2024</v>
      </c>
      <c r="B27" s="13" t="s">
        <v>122</v>
      </c>
      <c r="C27" s="13" t="s">
        <v>821</v>
      </c>
      <c r="D27" s="13" t="s">
        <v>125</v>
      </c>
      <c r="E27" s="14" t="n">
        <v>1591</v>
      </c>
      <c r="F27" s="14" t="n">
        <v>499</v>
      </c>
      <c r="G27" s="14" t="n">
        <v>0</v>
      </c>
      <c r="H27" s="14" t="n">
        <v>2</v>
      </c>
      <c r="I27" s="14" t="n">
        <v>10</v>
      </c>
      <c r="J27" s="14" t="n">
        <v>155</v>
      </c>
      <c r="K27" s="14" t="n">
        <v>309</v>
      </c>
      <c r="L27" s="14" t="n">
        <v>23</v>
      </c>
    </row>
    <row r="28" customFormat="false" ht="15" hidden="false" customHeight="true" outlineLevel="0" collapsed="false">
      <c r="A28" s="13" t="n">
        <v>2024</v>
      </c>
      <c r="B28" s="13" t="s">
        <v>122</v>
      </c>
      <c r="C28" s="13" t="s">
        <v>821</v>
      </c>
      <c r="D28" s="13" t="s">
        <v>192</v>
      </c>
      <c r="E28" s="14" t="n">
        <v>10890</v>
      </c>
      <c r="F28" s="14" t="n">
        <v>6460</v>
      </c>
      <c r="G28" s="14" t="n">
        <v>287</v>
      </c>
      <c r="H28" s="14" t="n">
        <v>969</v>
      </c>
      <c r="I28" s="14" t="n">
        <v>1977</v>
      </c>
      <c r="J28" s="14" t="n">
        <v>2456</v>
      </c>
      <c r="K28" s="14" t="n">
        <v>746</v>
      </c>
      <c r="L28" s="14" t="n">
        <v>25</v>
      </c>
    </row>
    <row r="29" customFormat="false" ht="15" hidden="false" customHeight="true" outlineLevel="0" collapsed="false">
      <c r="A29" s="13" t="n">
        <v>2024</v>
      </c>
      <c r="B29" s="13" t="s">
        <v>122</v>
      </c>
      <c r="C29" s="13" t="s">
        <v>203</v>
      </c>
      <c r="D29" s="13" t="s">
        <v>121</v>
      </c>
      <c r="E29" s="14" t="n">
        <v>703</v>
      </c>
      <c r="F29" s="14" t="n">
        <v>566</v>
      </c>
      <c r="G29" s="14" t="n">
        <v>27</v>
      </c>
      <c r="H29" s="14" t="n">
        <v>104</v>
      </c>
      <c r="I29" s="14" t="n">
        <v>163</v>
      </c>
      <c r="J29" s="14" t="n">
        <v>184</v>
      </c>
      <c r="K29" s="14" t="n">
        <v>83</v>
      </c>
      <c r="L29" s="14" t="n">
        <v>5</v>
      </c>
    </row>
    <row r="30" customFormat="false" ht="15" hidden="false" customHeight="true" outlineLevel="0" collapsed="false">
      <c r="A30" s="13" t="n">
        <v>2024</v>
      </c>
      <c r="B30" s="13" t="s">
        <v>122</v>
      </c>
      <c r="C30" s="13" t="s">
        <v>203</v>
      </c>
      <c r="D30" s="13" t="s">
        <v>125</v>
      </c>
      <c r="E30" s="14" t="n">
        <v>233</v>
      </c>
      <c r="F30" s="14" t="n">
        <v>113</v>
      </c>
      <c r="G30" s="14" t="n">
        <v>1</v>
      </c>
      <c r="H30" s="14" t="n">
        <v>4</v>
      </c>
      <c r="I30" s="14" t="n">
        <v>21</v>
      </c>
      <c r="J30" s="14" t="n">
        <v>30</v>
      </c>
      <c r="K30" s="14" t="n">
        <v>50</v>
      </c>
      <c r="L30" s="14" t="n">
        <v>7</v>
      </c>
    </row>
    <row r="31" customFormat="false" ht="15" hidden="false" customHeight="true" outlineLevel="0" collapsed="false">
      <c r="A31" s="13" t="n">
        <v>2024</v>
      </c>
      <c r="B31" s="13" t="s">
        <v>122</v>
      </c>
      <c r="C31" s="13" t="s">
        <v>203</v>
      </c>
      <c r="D31" s="13" t="s">
        <v>192</v>
      </c>
      <c r="E31" s="14" t="n">
        <v>936</v>
      </c>
      <c r="F31" s="14" t="n">
        <v>679</v>
      </c>
      <c r="G31" s="14" t="n">
        <v>28</v>
      </c>
      <c r="H31" s="14" t="n">
        <v>108</v>
      </c>
      <c r="I31" s="14" t="n">
        <v>184</v>
      </c>
      <c r="J31" s="14" t="n">
        <v>214</v>
      </c>
      <c r="K31" s="14" t="n">
        <v>113</v>
      </c>
      <c r="L31" s="14" t="n">
        <v>12</v>
      </c>
    </row>
    <row r="32" customFormat="false" ht="15" hidden="false" customHeight="true" outlineLevel="0" collapsed="false">
      <c r="A32" s="13" t="n">
        <v>2025</v>
      </c>
      <c r="B32" s="13" t="s">
        <v>124</v>
      </c>
      <c r="C32" s="13" t="s">
        <v>128</v>
      </c>
      <c r="D32" s="13" t="s">
        <v>121</v>
      </c>
      <c r="E32" s="14" t="n">
        <v>2234</v>
      </c>
      <c r="F32" s="14" t="n">
        <v>703</v>
      </c>
      <c r="G32" s="14" t="n">
        <v>4</v>
      </c>
      <c r="H32" s="14" t="n">
        <v>28</v>
      </c>
      <c r="I32" s="14" t="n">
        <v>123</v>
      </c>
      <c r="J32" s="14" t="n">
        <v>293</v>
      </c>
      <c r="K32" s="14" t="n">
        <v>238</v>
      </c>
      <c r="L32" s="14" t="n">
        <v>17</v>
      </c>
    </row>
    <row r="33" customFormat="false" ht="15" hidden="false" customHeight="true" outlineLevel="0" collapsed="false">
      <c r="A33" s="13" t="n">
        <v>2025</v>
      </c>
      <c r="B33" s="13" t="s">
        <v>124</v>
      </c>
      <c r="C33" s="13" t="s">
        <v>128</v>
      </c>
      <c r="D33" s="13" t="s">
        <v>125</v>
      </c>
      <c r="E33" s="14" t="n">
        <v>3359</v>
      </c>
      <c r="F33" s="14" t="n">
        <v>618</v>
      </c>
      <c r="G33" s="14" t="n">
        <v>4</v>
      </c>
      <c r="H33" s="14" t="n">
        <v>20</v>
      </c>
      <c r="I33" s="14" t="n">
        <v>102</v>
      </c>
      <c r="J33" s="14" t="n">
        <v>174</v>
      </c>
      <c r="K33" s="14" t="n">
        <v>257</v>
      </c>
      <c r="L33" s="14" t="n">
        <v>58</v>
      </c>
    </row>
    <row r="34" customFormat="false" ht="15" hidden="false" customHeight="true" outlineLevel="0" collapsed="false">
      <c r="A34" s="13" t="n">
        <v>2025</v>
      </c>
      <c r="B34" s="13" t="s">
        <v>124</v>
      </c>
      <c r="C34" s="13" t="s">
        <v>128</v>
      </c>
      <c r="D34" s="13" t="s">
        <v>192</v>
      </c>
      <c r="E34" s="14" t="n">
        <v>5593</v>
      </c>
      <c r="F34" s="14" t="n">
        <v>1321</v>
      </c>
      <c r="G34" s="14" t="n">
        <v>8</v>
      </c>
      <c r="H34" s="14" t="n">
        <v>48</v>
      </c>
      <c r="I34" s="14" t="n">
        <v>225</v>
      </c>
      <c r="J34" s="14" t="n">
        <v>467</v>
      </c>
      <c r="K34" s="14" t="n">
        <v>495</v>
      </c>
      <c r="L34" s="14" t="n">
        <v>75</v>
      </c>
    </row>
    <row r="35" customFormat="false" ht="15" hidden="false" customHeight="true" outlineLevel="0" collapsed="false">
      <c r="A35" s="13" t="n">
        <v>2025</v>
      </c>
      <c r="B35" s="13" t="s">
        <v>124</v>
      </c>
      <c r="C35" s="13" t="s">
        <v>123</v>
      </c>
      <c r="D35" s="13" t="s">
        <v>121</v>
      </c>
      <c r="E35" s="14" t="n">
        <v>1801</v>
      </c>
      <c r="F35" s="14" t="n">
        <v>1201</v>
      </c>
      <c r="G35" s="14" t="n">
        <v>193</v>
      </c>
      <c r="H35" s="14" t="n">
        <v>228</v>
      </c>
      <c r="I35" s="14" t="n">
        <v>320</v>
      </c>
      <c r="J35" s="14" t="n">
        <v>373</v>
      </c>
      <c r="K35" s="14" t="n">
        <v>84</v>
      </c>
      <c r="L35" s="14" t="n">
        <v>3</v>
      </c>
    </row>
    <row r="36" customFormat="false" ht="15" hidden="false" customHeight="true" outlineLevel="0" collapsed="false">
      <c r="A36" s="13" t="n">
        <v>2025</v>
      </c>
      <c r="B36" s="13" t="s">
        <v>124</v>
      </c>
      <c r="C36" s="13" t="s">
        <v>123</v>
      </c>
      <c r="D36" s="13" t="s">
        <v>125</v>
      </c>
      <c r="E36" s="14" t="n">
        <v>634</v>
      </c>
      <c r="F36" s="14" t="n">
        <v>232</v>
      </c>
      <c r="G36" s="14" t="n">
        <v>54</v>
      </c>
      <c r="H36" s="14" t="n">
        <v>19</v>
      </c>
      <c r="I36" s="14" t="n">
        <v>19</v>
      </c>
      <c r="J36" s="14" t="n">
        <v>65</v>
      </c>
      <c r="K36" s="14" t="n">
        <v>69</v>
      </c>
      <c r="L36" s="14" t="n">
        <v>5</v>
      </c>
    </row>
    <row r="37" customFormat="false" ht="15" hidden="false" customHeight="true" outlineLevel="0" collapsed="false">
      <c r="A37" s="13" t="n">
        <v>2025</v>
      </c>
      <c r="B37" s="13" t="s">
        <v>124</v>
      </c>
      <c r="C37" s="13" t="s">
        <v>123</v>
      </c>
      <c r="D37" s="13" t="s">
        <v>192</v>
      </c>
      <c r="E37" s="14" t="n">
        <v>2435</v>
      </c>
      <c r="F37" s="14" t="n">
        <v>1433</v>
      </c>
      <c r="G37" s="14" t="n">
        <v>247</v>
      </c>
      <c r="H37" s="14" t="n">
        <v>247</v>
      </c>
      <c r="I37" s="14" t="n">
        <v>339</v>
      </c>
      <c r="J37" s="14" t="n">
        <v>438</v>
      </c>
      <c r="K37" s="14" t="n">
        <v>153</v>
      </c>
      <c r="L37" s="14" t="n">
        <v>8</v>
      </c>
    </row>
    <row r="38" customFormat="false" ht="15" hidden="false" customHeight="true" outlineLevel="0" collapsed="false">
      <c r="A38" s="13" t="n">
        <v>2025</v>
      </c>
      <c r="B38" s="13" t="s">
        <v>124</v>
      </c>
      <c r="C38" s="13" t="s">
        <v>126</v>
      </c>
      <c r="D38" s="13" t="s">
        <v>121</v>
      </c>
      <c r="E38" s="14" t="n">
        <v>1403</v>
      </c>
      <c r="F38" s="14" t="n">
        <v>976</v>
      </c>
      <c r="G38" s="14" t="n">
        <v>174</v>
      </c>
      <c r="H38" s="14" t="n">
        <v>197</v>
      </c>
      <c r="I38" s="14" t="n">
        <v>268</v>
      </c>
      <c r="J38" s="14" t="n">
        <v>262</v>
      </c>
      <c r="K38" s="14" t="n">
        <v>73</v>
      </c>
      <c r="L38" s="14" t="n">
        <v>2</v>
      </c>
    </row>
    <row r="39" customFormat="false" ht="15" hidden="false" customHeight="true" outlineLevel="0" collapsed="false">
      <c r="A39" s="13" t="n">
        <v>2025</v>
      </c>
      <c r="B39" s="13" t="s">
        <v>124</v>
      </c>
      <c r="C39" s="13" t="s">
        <v>126</v>
      </c>
      <c r="D39" s="13" t="s">
        <v>125</v>
      </c>
      <c r="E39" s="14" t="n">
        <v>493</v>
      </c>
      <c r="F39" s="14" t="n">
        <v>125</v>
      </c>
      <c r="G39" s="14" t="n">
        <v>2</v>
      </c>
      <c r="H39" s="14" t="n">
        <v>6</v>
      </c>
      <c r="I39" s="14" t="n">
        <v>10</v>
      </c>
      <c r="J39" s="14" t="n">
        <v>53</v>
      </c>
      <c r="K39" s="14" t="n">
        <v>53</v>
      </c>
      <c r="L39" s="14" t="n">
        <v>1</v>
      </c>
    </row>
    <row r="40" customFormat="false" ht="15" hidden="false" customHeight="true" outlineLevel="0" collapsed="false">
      <c r="A40" s="13" t="n">
        <v>2025</v>
      </c>
      <c r="B40" s="13" t="s">
        <v>124</v>
      </c>
      <c r="C40" s="13" t="s">
        <v>126</v>
      </c>
      <c r="D40" s="13" t="s">
        <v>192</v>
      </c>
      <c r="E40" s="14" t="n">
        <v>1896</v>
      </c>
      <c r="F40" s="14" t="n">
        <v>1101</v>
      </c>
      <c r="G40" s="14" t="n">
        <v>176</v>
      </c>
      <c r="H40" s="14" t="n">
        <v>203</v>
      </c>
      <c r="I40" s="14" t="n">
        <v>278</v>
      </c>
      <c r="J40" s="14" t="n">
        <v>315</v>
      </c>
      <c r="K40" s="14" t="n">
        <v>126</v>
      </c>
      <c r="L40" s="14" t="n">
        <v>3</v>
      </c>
    </row>
    <row r="41" customFormat="false" ht="15" hidden="false" customHeight="true" outlineLevel="0" collapsed="false">
      <c r="A41" s="13" t="n">
        <v>2025</v>
      </c>
      <c r="B41" s="13" t="s">
        <v>124</v>
      </c>
      <c r="C41" s="13" t="s">
        <v>821</v>
      </c>
      <c r="D41" s="13" t="s">
        <v>121</v>
      </c>
      <c r="E41" s="14" t="n">
        <v>7631</v>
      </c>
      <c r="F41" s="14" t="n">
        <v>3625</v>
      </c>
      <c r="G41" s="14" t="n">
        <v>149</v>
      </c>
      <c r="H41" s="14" t="n">
        <v>489</v>
      </c>
      <c r="I41" s="14" t="n">
        <v>928</v>
      </c>
      <c r="J41" s="14" t="n">
        <v>1430</v>
      </c>
      <c r="K41" s="14" t="n">
        <v>623</v>
      </c>
      <c r="L41" s="14" t="n">
        <v>6</v>
      </c>
    </row>
    <row r="42" customFormat="false" ht="15" hidden="false" customHeight="true" outlineLevel="0" collapsed="false">
      <c r="A42" s="13" t="n">
        <v>2025</v>
      </c>
      <c r="B42" s="13" t="s">
        <v>124</v>
      </c>
      <c r="C42" s="13" t="s">
        <v>821</v>
      </c>
      <c r="D42" s="13" t="s">
        <v>125</v>
      </c>
      <c r="E42" s="14" t="n">
        <v>2511</v>
      </c>
      <c r="F42" s="14" t="n">
        <v>507</v>
      </c>
      <c r="G42" s="14" t="n">
        <v>0</v>
      </c>
      <c r="H42" s="14" t="n">
        <v>0</v>
      </c>
      <c r="I42" s="14" t="n">
        <v>16</v>
      </c>
      <c r="J42" s="14" t="n">
        <v>155</v>
      </c>
      <c r="K42" s="14" t="n">
        <v>317</v>
      </c>
      <c r="L42" s="14" t="n">
        <v>19</v>
      </c>
    </row>
    <row r="43" customFormat="false" ht="15" hidden="false" customHeight="true" outlineLevel="0" collapsed="false">
      <c r="A43" s="13" t="n">
        <v>2025</v>
      </c>
      <c r="B43" s="13" t="s">
        <v>124</v>
      </c>
      <c r="C43" s="13" t="s">
        <v>821</v>
      </c>
      <c r="D43" s="13" t="s">
        <v>192</v>
      </c>
      <c r="E43" s="14" t="n">
        <v>10142</v>
      </c>
      <c r="F43" s="14" t="n">
        <v>4132</v>
      </c>
      <c r="G43" s="14" t="n">
        <v>149</v>
      </c>
      <c r="H43" s="14" t="n">
        <v>489</v>
      </c>
      <c r="I43" s="14" t="n">
        <v>944</v>
      </c>
      <c r="J43" s="14" t="n">
        <v>1585</v>
      </c>
      <c r="K43" s="14" t="n">
        <v>940</v>
      </c>
      <c r="L43" s="14" t="n">
        <v>25</v>
      </c>
    </row>
    <row r="44" customFormat="false" ht="15" hidden="false" customHeight="true" outlineLevel="0" collapsed="false">
      <c r="A44" s="13" t="n">
        <v>2025</v>
      </c>
      <c r="B44" s="13" t="s">
        <v>124</v>
      </c>
      <c r="C44" s="13" t="s">
        <v>203</v>
      </c>
      <c r="D44" s="13" t="s">
        <v>121</v>
      </c>
      <c r="E44" s="14" t="n">
        <v>983</v>
      </c>
      <c r="F44" s="14" t="n">
        <v>512</v>
      </c>
      <c r="G44" s="14" t="n">
        <v>6</v>
      </c>
      <c r="H44" s="14" t="n">
        <v>29</v>
      </c>
      <c r="I44" s="14" t="n">
        <v>110</v>
      </c>
      <c r="J44" s="14" t="n">
        <v>158</v>
      </c>
      <c r="K44" s="14" t="n">
        <v>188</v>
      </c>
      <c r="L44" s="14" t="n">
        <v>21</v>
      </c>
    </row>
    <row r="45" customFormat="false" ht="15" hidden="false" customHeight="true" outlineLevel="0" collapsed="false">
      <c r="A45" s="13" t="n">
        <v>2025</v>
      </c>
      <c r="B45" s="13" t="s">
        <v>124</v>
      </c>
      <c r="C45" s="13" t="s">
        <v>203</v>
      </c>
      <c r="D45" s="13" t="s">
        <v>125</v>
      </c>
      <c r="E45" s="14" t="n">
        <v>596</v>
      </c>
      <c r="F45" s="14" t="n">
        <v>130</v>
      </c>
      <c r="G45" s="14" t="n">
        <v>1</v>
      </c>
      <c r="H45" s="14" t="n">
        <v>5</v>
      </c>
      <c r="I45" s="14" t="n">
        <v>7</v>
      </c>
      <c r="J45" s="14" t="n">
        <v>37</v>
      </c>
      <c r="K45" s="14" t="n">
        <v>68</v>
      </c>
      <c r="L45" s="14" t="n">
        <v>12</v>
      </c>
    </row>
    <row r="46" customFormat="false" ht="15" hidden="false" customHeight="true" outlineLevel="0" collapsed="false">
      <c r="A46" s="13" t="n">
        <v>2025</v>
      </c>
      <c r="B46" s="13" t="s">
        <v>124</v>
      </c>
      <c r="C46" s="13" t="s">
        <v>203</v>
      </c>
      <c r="D46" s="13" t="s">
        <v>192</v>
      </c>
      <c r="E46" s="14" t="n">
        <v>1579</v>
      </c>
      <c r="F46" s="14" t="n">
        <v>642</v>
      </c>
      <c r="G46" s="14" t="n">
        <v>7</v>
      </c>
      <c r="H46" s="14" t="n">
        <v>34</v>
      </c>
      <c r="I46" s="14" t="n">
        <v>117</v>
      </c>
      <c r="J46" s="14" t="n">
        <v>195</v>
      </c>
      <c r="K46" s="14" t="n">
        <v>256</v>
      </c>
      <c r="L46" s="14" t="n">
        <v>33</v>
      </c>
    </row>
    <row r="47" customFormat="false" ht="15" hidden="false" customHeight="true" outlineLevel="0" collapsed="false">
      <c r="A47" s="13" t="n">
        <v>2025</v>
      </c>
      <c r="B47" s="13" t="s">
        <v>122</v>
      </c>
      <c r="C47" s="13" t="s">
        <v>128</v>
      </c>
      <c r="D47" s="13" t="s">
        <v>121</v>
      </c>
      <c r="E47" s="14" t="n">
        <v>9602</v>
      </c>
      <c r="F47" s="14" t="n">
        <v>5810</v>
      </c>
      <c r="G47" s="14" t="n">
        <v>57</v>
      </c>
      <c r="H47" s="14" t="n">
        <v>609</v>
      </c>
      <c r="I47" s="14" t="n">
        <v>1767</v>
      </c>
      <c r="J47" s="14" t="n">
        <v>2263</v>
      </c>
      <c r="K47" s="14" t="n">
        <v>1076</v>
      </c>
      <c r="L47" s="14" t="n">
        <v>38</v>
      </c>
    </row>
    <row r="48" customFormat="false" ht="15" hidden="false" customHeight="true" outlineLevel="0" collapsed="false">
      <c r="A48" s="13" t="n">
        <v>2025</v>
      </c>
      <c r="B48" s="13" t="s">
        <v>122</v>
      </c>
      <c r="C48" s="13" t="s">
        <v>128</v>
      </c>
      <c r="D48" s="13" t="s">
        <v>125</v>
      </c>
      <c r="E48" s="14" t="n">
        <v>5365</v>
      </c>
      <c r="F48" s="14" t="n">
        <v>2092</v>
      </c>
      <c r="G48" s="14" t="n">
        <v>22</v>
      </c>
      <c r="H48" s="14" t="n">
        <v>200</v>
      </c>
      <c r="I48" s="14" t="n">
        <v>476</v>
      </c>
      <c r="J48" s="14" t="n">
        <v>657</v>
      </c>
      <c r="K48" s="14" t="n">
        <v>663</v>
      </c>
      <c r="L48" s="14" t="n">
        <v>74</v>
      </c>
    </row>
    <row r="49" customFormat="false" ht="15" hidden="false" customHeight="true" outlineLevel="0" collapsed="false">
      <c r="A49" s="13" t="n">
        <v>2025</v>
      </c>
      <c r="B49" s="13" t="s">
        <v>122</v>
      </c>
      <c r="C49" s="13" t="s">
        <v>128</v>
      </c>
      <c r="D49" s="13" t="s">
        <v>192</v>
      </c>
      <c r="E49" s="14" t="n">
        <v>14967</v>
      </c>
      <c r="F49" s="14" t="n">
        <v>7902</v>
      </c>
      <c r="G49" s="14" t="n">
        <v>79</v>
      </c>
      <c r="H49" s="14" t="n">
        <v>809</v>
      </c>
      <c r="I49" s="14" t="n">
        <v>2243</v>
      </c>
      <c r="J49" s="14" t="n">
        <v>2920</v>
      </c>
      <c r="K49" s="14" t="n">
        <v>1739</v>
      </c>
      <c r="L49" s="14" t="n">
        <v>112</v>
      </c>
    </row>
    <row r="50" customFormat="false" ht="15" hidden="false" customHeight="true" outlineLevel="0" collapsed="false">
      <c r="A50" s="13" t="n">
        <v>2025</v>
      </c>
      <c r="B50" s="13" t="s">
        <v>122</v>
      </c>
      <c r="C50" s="13" t="s">
        <v>123</v>
      </c>
      <c r="D50" s="13" t="s">
        <v>121</v>
      </c>
      <c r="E50" s="14" t="n">
        <v>7475</v>
      </c>
      <c r="F50" s="14" t="n">
        <v>6127</v>
      </c>
      <c r="G50" s="14" t="n">
        <v>859</v>
      </c>
      <c r="H50" s="14" t="n">
        <v>1341</v>
      </c>
      <c r="I50" s="14" t="n">
        <v>1937</v>
      </c>
      <c r="J50" s="14" t="n">
        <v>1686</v>
      </c>
      <c r="K50" s="14" t="n">
        <v>303</v>
      </c>
      <c r="L50" s="14" t="n">
        <v>1</v>
      </c>
    </row>
    <row r="51" customFormat="false" ht="15" hidden="false" customHeight="true" outlineLevel="0" collapsed="false">
      <c r="A51" s="13" t="n">
        <v>2025</v>
      </c>
      <c r="B51" s="13" t="s">
        <v>122</v>
      </c>
      <c r="C51" s="13" t="s">
        <v>123</v>
      </c>
      <c r="D51" s="13" t="s">
        <v>125</v>
      </c>
      <c r="E51" s="14" t="n">
        <v>1333</v>
      </c>
      <c r="F51" s="14" t="n">
        <v>765</v>
      </c>
      <c r="G51" s="14" t="n">
        <v>274</v>
      </c>
      <c r="H51" s="14" t="n">
        <v>67</v>
      </c>
      <c r="I51" s="14" t="n">
        <v>61</v>
      </c>
      <c r="J51" s="14" t="n">
        <v>224</v>
      </c>
      <c r="K51" s="14" t="n">
        <v>138</v>
      </c>
      <c r="L51" s="14" t="n">
        <v>1</v>
      </c>
    </row>
    <row r="52" customFormat="false" ht="15" hidden="false" customHeight="true" outlineLevel="0" collapsed="false">
      <c r="A52" s="13" t="n">
        <v>2025</v>
      </c>
      <c r="B52" s="13" t="s">
        <v>122</v>
      </c>
      <c r="C52" s="13" t="s">
        <v>123</v>
      </c>
      <c r="D52" s="13" t="s">
        <v>192</v>
      </c>
      <c r="E52" s="14" t="n">
        <v>8808</v>
      </c>
      <c r="F52" s="14" t="n">
        <v>6892</v>
      </c>
      <c r="G52" s="14" t="n">
        <v>1133</v>
      </c>
      <c r="H52" s="14" t="n">
        <v>1408</v>
      </c>
      <c r="I52" s="14" t="n">
        <v>1998</v>
      </c>
      <c r="J52" s="14" t="n">
        <v>1910</v>
      </c>
      <c r="K52" s="14" t="n">
        <v>441</v>
      </c>
      <c r="L52" s="14" t="n">
        <v>2</v>
      </c>
    </row>
    <row r="53" customFormat="false" ht="15" hidden="false" customHeight="true" outlineLevel="0" collapsed="false">
      <c r="A53" s="13" t="n">
        <v>2025</v>
      </c>
      <c r="B53" s="13" t="s">
        <v>122</v>
      </c>
      <c r="C53" s="13" t="s">
        <v>126</v>
      </c>
      <c r="D53" s="13" t="s">
        <v>121</v>
      </c>
      <c r="E53" s="14" t="n">
        <v>1144</v>
      </c>
      <c r="F53" s="14" t="n">
        <v>931</v>
      </c>
      <c r="G53" s="14" t="n">
        <v>162</v>
      </c>
      <c r="H53" s="14" t="n">
        <v>213</v>
      </c>
      <c r="I53" s="14" t="n">
        <v>286</v>
      </c>
      <c r="J53" s="14" t="n">
        <v>224</v>
      </c>
      <c r="K53" s="14" t="n">
        <v>46</v>
      </c>
      <c r="L53" s="14" t="n">
        <v>0</v>
      </c>
    </row>
    <row r="54" customFormat="false" ht="15" hidden="false" customHeight="true" outlineLevel="0" collapsed="false">
      <c r="A54" s="13" t="n">
        <v>2025</v>
      </c>
      <c r="B54" s="13" t="s">
        <v>122</v>
      </c>
      <c r="C54" s="13" t="s">
        <v>126</v>
      </c>
      <c r="D54" s="13" t="s">
        <v>125</v>
      </c>
      <c r="E54" s="14" t="n">
        <v>269</v>
      </c>
      <c r="F54" s="14" t="n">
        <v>87</v>
      </c>
      <c r="G54" s="14" t="n">
        <v>2</v>
      </c>
      <c r="H54" s="14" t="n">
        <v>4</v>
      </c>
      <c r="I54" s="14" t="n">
        <v>6</v>
      </c>
      <c r="J54" s="14" t="n">
        <v>39</v>
      </c>
      <c r="K54" s="14" t="n">
        <v>35</v>
      </c>
      <c r="L54" s="14" t="n">
        <v>1</v>
      </c>
    </row>
    <row r="55" customFormat="false" ht="15" hidden="false" customHeight="true" outlineLevel="0" collapsed="false">
      <c r="A55" s="13" t="n">
        <v>2025</v>
      </c>
      <c r="B55" s="13" t="s">
        <v>122</v>
      </c>
      <c r="C55" s="13" t="s">
        <v>126</v>
      </c>
      <c r="D55" s="13" t="s">
        <v>192</v>
      </c>
      <c r="E55" s="14" t="n">
        <v>1413</v>
      </c>
      <c r="F55" s="14" t="n">
        <v>1018</v>
      </c>
      <c r="G55" s="14" t="n">
        <v>164</v>
      </c>
      <c r="H55" s="14" t="n">
        <v>217</v>
      </c>
      <c r="I55" s="14" t="n">
        <v>292</v>
      </c>
      <c r="J55" s="14" t="n">
        <v>263</v>
      </c>
      <c r="K55" s="14" t="n">
        <v>81</v>
      </c>
      <c r="L55" s="14" t="n">
        <v>1</v>
      </c>
    </row>
    <row r="56" customFormat="false" ht="15" hidden="false" customHeight="true" outlineLevel="0" collapsed="false">
      <c r="A56" s="13" t="n">
        <v>2025</v>
      </c>
      <c r="B56" s="13" t="s">
        <v>122</v>
      </c>
      <c r="C56" s="13" t="s">
        <v>821</v>
      </c>
      <c r="D56" s="13" t="s">
        <v>121</v>
      </c>
      <c r="E56" s="14" t="n">
        <v>9190</v>
      </c>
      <c r="F56" s="14" t="n">
        <v>6153</v>
      </c>
      <c r="G56" s="14" t="n">
        <v>352</v>
      </c>
      <c r="H56" s="14" t="n">
        <v>1023</v>
      </c>
      <c r="I56" s="14" t="n">
        <v>2008</v>
      </c>
      <c r="J56" s="14" t="n">
        <v>2264</v>
      </c>
      <c r="K56" s="14" t="n">
        <v>503</v>
      </c>
      <c r="L56" s="14" t="n">
        <v>3</v>
      </c>
    </row>
    <row r="57" customFormat="false" ht="15" hidden="false" customHeight="true" outlineLevel="0" collapsed="false">
      <c r="A57" s="13" t="n">
        <v>2025</v>
      </c>
      <c r="B57" s="13" t="s">
        <v>122</v>
      </c>
      <c r="C57" s="13" t="s">
        <v>821</v>
      </c>
      <c r="D57" s="13" t="s">
        <v>125</v>
      </c>
      <c r="E57" s="14" t="n">
        <v>1820</v>
      </c>
      <c r="F57" s="14" t="n">
        <v>523</v>
      </c>
      <c r="G57" s="14" t="n">
        <v>2</v>
      </c>
      <c r="H57" s="14" t="n">
        <v>3</v>
      </c>
      <c r="I57" s="14" t="n">
        <v>23</v>
      </c>
      <c r="J57" s="14" t="n">
        <v>240</v>
      </c>
      <c r="K57" s="14" t="n">
        <v>253</v>
      </c>
      <c r="L57" s="14" t="n">
        <v>2</v>
      </c>
    </row>
    <row r="58" customFormat="false" ht="15" hidden="false" customHeight="true" outlineLevel="0" collapsed="false">
      <c r="A58" s="13" t="n">
        <v>2025</v>
      </c>
      <c r="B58" s="13" t="s">
        <v>122</v>
      </c>
      <c r="C58" s="13" t="s">
        <v>821</v>
      </c>
      <c r="D58" s="13" t="s">
        <v>192</v>
      </c>
      <c r="E58" s="14" t="n">
        <v>11010</v>
      </c>
      <c r="F58" s="14" t="n">
        <v>6676</v>
      </c>
      <c r="G58" s="14" t="n">
        <v>354</v>
      </c>
      <c r="H58" s="14" t="n">
        <v>1026</v>
      </c>
      <c r="I58" s="14" t="n">
        <v>2031</v>
      </c>
      <c r="J58" s="14" t="n">
        <v>2504</v>
      </c>
      <c r="K58" s="14" t="n">
        <v>756</v>
      </c>
      <c r="L58" s="14" t="n">
        <v>5</v>
      </c>
    </row>
    <row r="59" customFormat="false" ht="15" hidden="false" customHeight="true" outlineLevel="0" collapsed="false">
      <c r="A59" s="13" t="n">
        <v>2025</v>
      </c>
      <c r="B59" s="13" t="s">
        <v>122</v>
      </c>
      <c r="C59" s="13" t="s">
        <v>203</v>
      </c>
      <c r="D59" s="13" t="s">
        <v>121</v>
      </c>
      <c r="E59" s="14" t="n">
        <v>801</v>
      </c>
      <c r="F59" s="14" t="n">
        <v>628</v>
      </c>
      <c r="G59" s="14" t="n">
        <v>24</v>
      </c>
      <c r="H59" s="14" t="n">
        <v>92</v>
      </c>
      <c r="I59" s="14" t="n">
        <v>158</v>
      </c>
      <c r="J59" s="14" t="n">
        <v>241</v>
      </c>
      <c r="K59" s="14" t="n">
        <v>109</v>
      </c>
      <c r="L59" s="14" t="n">
        <v>4</v>
      </c>
    </row>
    <row r="60" customFormat="false" ht="15" hidden="false" customHeight="true" outlineLevel="0" collapsed="false">
      <c r="A60" s="13" t="n">
        <v>2025</v>
      </c>
      <c r="B60" s="13" t="s">
        <v>122</v>
      </c>
      <c r="C60" s="13" t="s">
        <v>203</v>
      </c>
      <c r="D60" s="13" t="s">
        <v>125</v>
      </c>
      <c r="E60" s="14" t="n">
        <v>252</v>
      </c>
      <c r="F60" s="14" t="n">
        <v>121</v>
      </c>
      <c r="G60" s="14" t="n">
        <v>1</v>
      </c>
      <c r="H60" s="14" t="n">
        <v>7</v>
      </c>
      <c r="I60" s="14" t="n">
        <v>22</v>
      </c>
      <c r="J60" s="14" t="n">
        <v>36</v>
      </c>
      <c r="K60" s="14" t="n">
        <v>46</v>
      </c>
      <c r="L60" s="14" t="n">
        <v>9</v>
      </c>
    </row>
    <row r="61" customFormat="false" ht="15" hidden="false" customHeight="true" outlineLevel="0" collapsed="false">
      <c r="A61" s="13" t="n">
        <v>2025</v>
      </c>
      <c r="B61" s="13" t="s">
        <v>122</v>
      </c>
      <c r="C61" s="13" t="s">
        <v>203</v>
      </c>
      <c r="D61" s="13" t="s">
        <v>192</v>
      </c>
      <c r="E61" s="14" t="n">
        <v>1053</v>
      </c>
      <c r="F61" s="14" t="n">
        <v>749</v>
      </c>
      <c r="G61" s="14" t="n">
        <v>25</v>
      </c>
      <c r="H61" s="14" t="n">
        <v>99</v>
      </c>
      <c r="I61" s="14" t="n">
        <v>180</v>
      </c>
      <c r="J61" s="14" t="n">
        <v>277</v>
      </c>
      <c r="K61" s="14" t="n">
        <v>155</v>
      </c>
      <c r="L61" s="14" t="n">
        <v>13</v>
      </c>
    </row>
    <row r="62" customFormat="false" ht="15" hidden="false" customHeight="true" outlineLevel="0" collapsed="false">
      <c r="A62" s="13" t="n">
        <v>2026</v>
      </c>
      <c r="B62" s="13" t="s">
        <v>124</v>
      </c>
      <c r="C62" s="13" t="s">
        <v>128</v>
      </c>
      <c r="D62" s="13" t="s">
        <v>121</v>
      </c>
      <c r="E62" s="14" t="n">
        <v>2547</v>
      </c>
      <c r="F62" s="14" t="n">
        <v>998</v>
      </c>
      <c r="G62" s="14" t="n">
        <v>5</v>
      </c>
      <c r="H62" s="14" t="n">
        <v>46</v>
      </c>
      <c r="I62" s="14" t="n">
        <v>208</v>
      </c>
      <c r="J62" s="14" t="n">
        <v>411</v>
      </c>
      <c r="K62" s="14" t="n">
        <v>314</v>
      </c>
      <c r="L62" s="14" t="n">
        <v>14</v>
      </c>
    </row>
    <row r="63" customFormat="false" ht="15" hidden="false" customHeight="true" outlineLevel="0" collapsed="false">
      <c r="A63" s="13" t="n">
        <v>2026</v>
      </c>
      <c r="B63" s="13" t="s">
        <v>124</v>
      </c>
      <c r="C63" s="13" t="s">
        <v>128</v>
      </c>
      <c r="D63" s="13" t="s">
        <v>125</v>
      </c>
      <c r="E63" s="14" t="n">
        <v>3428</v>
      </c>
      <c r="F63" s="14" t="n">
        <v>992</v>
      </c>
      <c r="G63" s="14" t="n">
        <v>7</v>
      </c>
      <c r="H63" s="14" t="n">
        <v>57</v>
      </c>
      <c r="I63" s="14" t="n">
        <v>150</v>
      </c>
      <c r="J63" s="14" t="n">
        <v>273</v>
      </c>
      <c r="K63" s="14" t="n">
        <v>416</v>
      </c>
      <c r="L63" s="14" t="n">
        <v>87</v>
      </c>
    </row>
    <row r="64" customFormat="false" ht="15" hidden="false" customHeight="true" outlineLevel="0" collapsed="false">
      <c r="A64" s="13" t="n">
        <v>2026</v>
      </c>
      <c r="B64" s="13" t="s">
        <v>124</v>
      </c>
      <c r="C64" s="13" t="s">
        <v>128</v>
      </c>
      <c r="D64" s="13" t="s">
        <v>192</v>
      </c>
      <c r="E64" s="14" t="n">
        <v>5975</v>
      </c>
      <c r="F64" s="14" t="n">
        <v>1990</v>
      </c>
      <c r="G64" s="14" t="n">
        <v>12</v>
      </c>
      <c r="H64" s="14" t="n">
        <v>103</v>
      </c>
      <c r="I64" s="14" t="n">
        <v>358</v>
      </c>
      <c r="J64" s="14" t="n">
        <v>684</v>
      </c>
      <c r="K64" s="14" t="n">
        <v>730</v>
      </c>
      <c r="L64" s="14" t="n">
        <v>101</v>
      </c>
    </row>
    <row r="65" customFormat="false" ht="15" hidden="false" customHeight="true" outlineLevel="0" collapsed="false">
      <c r="A65" s="13" t="n">
        <v>2026</v>
      </c>
      <c r="B65" s="13" t="s">
        <v>124</v>
      </c>
      <c r="C65" s="13" t="s">
        <v>123</v>
      </c>
      <c r="D65" s="13" t="s">
        <v>121</v>
      </c>
      <c r="E65" s="14" t="n">
        <v>1677</v>
      </c>
      <c r="F65" s="14" t="n">
        <v>1054</v>
      </c>
      <c r="G65" s="14" t="n">
        <v>140</v>
      </c>
      <c r="H65" s="14" t="n">
        <v>240</v>
      </c>
      <c r="I65" s="14" t="n">
        <v>300</v>
      </c>
      <c r="J65" s="14" t="n">
        <v>314</v>
      </c>
      <c r="K65" s="14" t="n">
        <v>58</v>
      </c>
      <c r="L65" s="14" t="n">
        <v>2</v>
      </c>
    </row>
    <row r="66" customFormat="false" ht="15" hidden="false" customHeight="true" outlineLevel="0" collapsed="false">
      <c r="A66" s="13" t="n">
        <v>2026</v>
      </c>
      <c r="B66" s="13" t="s">
        <v>124</v>
      </c>
      <c r="C66" s="13" t="s">
        <v>123</v>
      </c>
      <c r="D66" s="13" t="s">
        <v>125</v>
      </c>
      <c r="E66" s="14" t="n">
        <v>478</v>
      </c>
      <c r="F66" s="14" t="n">
        <v>177</v>
      </c>
      <c r="G66" s="14" t="n">
        <v>29</v>
      </c>
      <c r="H66" s="14" t="n">
        <v>6</v>
      </c>
      <c r="I66" s="14" t="n">
        <v>16</v>
      </c>
      <c r="J66" s="14" t="n">
        <v>57</v>
      </c>
      <c r="K66" s="14" t="n">
        <v>68</v>
      </c>
      <c r="L66" s="14" t="n">
        <v>1</v>
      </c>
    </row>
    <row r="67" customFormat="false" ht="15" hidden="false" customHeight="true" outlineLevel="0" collapsed="false">
      <c r="A67" s="13" t="n">
        <v>2026</v>
      </c>
      <c r="B67" s="13" t="s">
        <v>124</v>
      </c>
      <c r="C67" s="13" t="s">
        <v>123</v>
      </c>
      <c r="D67" s="13" t="s">
        <v>192</v>
      </c>
      <c r="E67" s="14" t="n">
        <v>2155</v>
      </c>
      <c r="F67" s="14" t="n">
        <v>1231</v>
      </c>
      <c r="G67" s="14" t="n">
        <v>169</v>
      </c>
      <c r="H67" s="14" t="n">
        <v>246</v>
      </c>
      <c r="I67" s="14" t="n">
        <v>316</v>
      </c>
      <c r="J67" s="14" t="n">
        <v>371</v>
      </c>
      <c r="K67" s="14" t="n">
        <v>126</v>
      </c>
      <c r="L67" s="14" t="n">
        <v>3</v>
      </c>
    </row>
    <row r="68" customFormat="false" ht="15" hidden="false" customHeight="true" outlineLevel="0" collapsed="false">
      <c r="A68" s="13" t="n">
        <v>2026</v>
      </c>
      <c r="B68" s="13" t="s">
        <v>124</v>
      </c>
      <c r="C68" s="13" t="s">
        <v>126</v>
      </c>
      <c r="D68" s="13" t="s">
        <v>121</v>
      </c>
      <c r="E68" s="14" t="n">
        <v>1193</v>
      </c>
      <c r="F68" s="14" t="n">
        <v>824</v>
      </c>
      <c r="G68" s="14" t="n">
        <v>117</v>
      </c>
      <c r="H68" s="14" t="n">
        <v>202</v>
      </c>
      <c r="I68" s="14" t="n">
        <v>235</v>
      </c>
      <c r="J68" s="14" t="n">
        <v>228</v>
      </c>
      <c r="K68" s="14" t="n">
        <v>42</v>
      </c>
      <c r="L68" s="14" t="n">
        <v>0</v>
      </c>
    </row>
    <row r="69" customFormat="false" ht="15" hidden="false" customHeight="true" outlineLevel="0" collapsed="false">
      <c r="A69" s="13" t="n">
        <v>2026</v>
      </c>
      <c r="B69" s="13" t="s">
        <v>124</v>
      </c>
      <c r="C69" s="13" t="s">
        <v>126</v>
      </c>
      <c r="D69" s="13" t="s">
        <v>125</v>
      </c>
      <c r="E69" s="14" t="n">
        <v>309</v>
      </c>
      <c r="F69" s="14" t="n">
        <v>95</v>
      </c>
      <c r="G69" s="14" t="n">
        <v>0</v>
      </c>
      <c r="H69" s="14" t="n">
        <v>0</v>
      </c>
      <c r="I69" s="14" t="n">
        <v>12</v>
      </c>
      <c r="J69" s="14" t="n">
        <v>35</v>
      </c>
      <c r="K69" s="14" t="n">
        <v>48</v>
      </c>
      <c r="L69" s="14" t="n">
        <v>0</v>
      </c>
    </row>
    <row r="70" customFormat="false" ht="15" hidden="false" customHeight="true" outlineLevel="0" collapsed="false">
      <c r="A70" s="13" t="n">
        <v>2026</v>
      </c>
      <c r="B70" s="13" t="s">
        <v>124</v>
      </c>
      <c r="C70" s="13" t="s">
        <v>126</v>
      </c>
      <c r="D70" s="13" t="s">
        <v>192</v>
      </c>
      <c r="E70" s="14" t="n">
        <v>1502</v>
      </c>
      <c r="F70" s="14" t="n">
        <v>919</v>
      </c>
      <c r="G70" s="14" t="n">
        <v>117</v>
      </c>
      <c r="H70" s="14" t="n">
        <v>202</v>
      </c>
      <c r="I70" s="14" t="n">
        <v>247</v>
      </c>
      <c r="J70" s="14" t="n">
        <v>263</v>
      </c>
      <c r="K70" s="14" t="n">
        <v>90</v>
      </c>
      <c r="L70" s="14" t="n">
        <v>0</v>
      </c>
    </row>
    <row r="71" customFormat="false" ht="15" hidden="false" customHeight="true" outlineLevel="0" collapsed="false">
      <c r="A71" s="13" t="n">
        <v>2026</v>
      </c>
      <c r="B71" s="13" t="s">
        <v>124</v>
      </c>
      <c r="C71" s="13" t="s">
        <v>821</v>
      </c>
      <c r="D71" s="13" t="s">
        <v>121</v>
      </c>
      <c r="E71" s="14" t="n">
        <v>8379</v>
      </c>
      <c r="F71" s="14" t="n">
        <v>4564</v>
      </c>
      <c r="G71" s="14" t="n">
        <v>236</v>
      </c>
      <c r="H71" s="14" t="n">
        <v>656</v>
      </c>
      <c r="I71" s="14" t="n">
        <v>1293</v>
      </c>
      <c r="J71" s="14" t="n">
        <v>1725</v>
      </c>
      <c r="K71" s="14" t="n">
        <v>647</v>
      </c>
      <c r="L71" s="14" t="n">
        <v>7</v>
      </c>
    </row>
    <row r="72" customFormat="false" ht="15" hidden="false" customHeight="true" outlineLevel="0" collapsed="false">
      <c r="A72" s="13" t="n">
        <v>2026</v>
      </c>
      <c r="B72" s="13" t="s">
        <v>124</v>
      </c>
      <c r="C72" s="13" t="s">
        <v>821</v>
      </c>
      <c r="D72" s="13" t="s">
        <v>125</v>
      </c>
      <c r="E72" s="14" t="n">
        <v>2283</v>
      </c>
      <c r="F72" s="14" t="n">
        <v>646</v>
      </c>
      <c r="G72" s="14" t="n">
        <v>0</v>
      </c>
      <c r="H72" s="14" t="n">
        <v>1</v>
      </c>
      <c r="I72" s="14" t="n">
        <v>29</v>
      </c>
      <c r="J72" s="14" t="n">
        <v>166</v>
      </c>
      <c r="K72" s="14" t="n">
        <v>422</v>
      </c>
      <c r="L72" s="14" t="n">
        <v>28</v>
      </c>
    </row>
    <row r="73" customFormat="false" ht="15" hidden="false" customHeight="true" outlineLevel="0" collapsed="false">
      <c r="A73" s="13" t="n">
        <v>2026</v>
      </c>
      <c r="B73" s="13" t="s">
        <v>124</v>
      </c>
      <c r="C73" s="13" t="s">
        <v>821</v>
      </c>
      <c r="D73" s="13" t="s">
        <v>192</v>
      </c>
      <c r="E73" s="14" t="n">
        <v>10662</v>
      </c>
      <c r="F73" s="14" t="n">
        <v>5210</v>
      </c>
      <c r="G73" s="14" t="n">
        <v>236</v>
      </c>
      <c r="H73" s="14" t="n">
        <v>657</v>
      </c>
      <c r="I73" s="14" t="n">
        <v>1322</v>
      </c>
      <c r="J73" s="14" t="n">
        <v>1891</v>
      </c>
      <c r="K73" s="14" t="n">
        <v>1069</v>
      </c>
      <c r="L73" s="14" t="n">
        <v>35</v>
      </c>
    </row>
    <row r="74" customFormat="false" ht="15" hidden="false" customHeight="true" outlineLevel="0" collapsed="false">
      <c r="A74" s="13" t="n">
        <v>2026</v>
      </c>
      <c r="B74" s="13" t="s">
        <v>124</v>
      </c>
      <c r="C74" s="13" t="s">
        <v>203</v>
      </c>
      <c r="D74" s="13" t="s">
        <v>121</v>
      </c>
      <c r="E74" s="14" t="n">
        <v>890</v>
      </c>
      <c r="F74" s="14" t="n">
        <v>561</v>
      </c>
      <c r="G74" s="14" t="n">
        <v>21</v>
      </c>
      <c r="H74" s="14" t="n">
        <v>43</v>
      </c>
      <c r="I74" s="14" t="n">
        <v>89</v>
      </c>
      <c r="J74" s="14" t="n">
        <v>217</v>
      </c>
      <c r="K74" s="14" t="n">
        <v>175</v>
      </c>
      <c r="L74" s="14" t="n">
        <v>16</v>
      </c>
    </row>
    <row r="75" customFormat="false" ht="15" hidden="false" customHeight="true" outlineLevel="0" collapsed="false">
      <c r="A75" s="13" t="n">
        <v>2026</v>
      </c>
      <c r="B75" s="13" t="s">
        <v>124</v>
      </c>
      <c r="C75" s="13" t="s">
        <v>203</v>
      </c>
      <c r="D75" s="13" t="s">
        <v>125</v>
      </c>
      <c r="E75" s="14" t="n">
        <v>605</v>
      </c>
      <c r="F75" s="14" t="n">
        <v>214</v>
      </c>
      <c r="G75" s="14" t="n">
        <v>0</v>
      </c>
      <c r="H75" s="14" t="n">
        <v>1</v>
      </c>
      <c r="I75" s="14" t="n">
        <v>9</v>
      </c>
      <c r="J75" s="14" t="n">
        <v>46</v>
      </c>
      <c r="K75" s="14" t="n">
        <v>110</v>
      </c>
      <c r="L75" s="14" t="n">
        <v>48</v>
      </c>
    </row>
    <row r="76" customFormat="false" ht="15" hidden="false" customHeight="true" outlineLevel="0" collapsed="false">
      <c r="A76" s="13" t="n">
        <v>2026</v>
      </c>
      <c r="B76" s="13" t="s">
        <v>124</v>
      </c>
      <c r="C76" s="13" t="s">
        <v>203</v>
      </c>
      <c r="D76" s="13" t="s">
        <v>192</v>
      </c>
      <c r="E76" s="14" t="n">
        <v>1495</v>
      </c>
      <c r="F76" s="14" t="n">
        <v>775</v>
      </c>
      <c r="G76" s="14" t="n">
        <v>21</v>
      </c>
      <c r="H76" s="14" t="n">
        <v>44</v>
      </c>
      <c r="I76" s="14" t="n">
        <v>98</v>
      </c>
      <c r="J76" s="14" t="n">
        <v>263</v>
      </c>
      <c r="K76" s="14" t="n">
        <v>285</v>
      </c>
      <c r="L76" s="14" t="n">
        <v>64</v>
      </c>
    </row>
    <row r="77" customFormat="false" ht="15" hidden="false" customHeight="true" outlineLevel="0" collapsed="false">
      <c r="A77" s="13" t="n">
        <v>2026</v>
      </c>
      <c r="B77" s="13" t="s">
        <v>122</v>
      </c>
      <c r="C77" s="13" t="s">
        <v>128</v>
      </c>
      <c r="D77" s="13" t="s">
        <v>121</v>
      </c>
      <c r="E77" s="14" t="n">
        <v>10154</v>
      </c>
      <c r="F77" s="14" t="n">
        <v>6961</v>
      </c>
      <c r="G77" s="14" t="n">
        <v>96</v>
      </c>
      <c r="H77" s="14" t="n">
        <v>827</v>
      </c>
      <c r="I77" s="14" t="n">
        <v>2205</v>
      </c>
      <c r="J77" s="14" t="n">
        <v>2672</v>
      </c>
      <c r="K77" s="14" t="n">
        <v>1126</v>
      </c>
      <c r="L77" s="14" t="n">
        <v>35</v>
      </c>
    </row>
    <row r="78" customFormat="false" ht="15" hidden="false" customHeight="true" outlineLevel="0" collapsed="false">
      <c r="A78" s="13" t="n">
        <v>2026</v>
      </c>
      <c r="B78" s="13" t="s">
        <v>122</v>
      </c>
      <c r="C78" s="13" t="s">
        <v>128</v>
      </c>
      <c r="D78" s="13" t="s">
        <v>125</v>
      </c>
      <c r="E78" s="14" t="n">
        <v>5618</v>
      </c>
      <c r="F78" s="14" t="n">
        <v>2642</v>
      </c>
      <c r="G78" s="14" t="n">
        <v>28</v>
      </c>
      <c r="H78" s="14" t="n">
        <v>216</v>
      </c>
      <c r="I78" s="14" t="n">
        <v>530</v>
      </c>
      <c r="J78" s="14" t="n">
        <v>887</v>
      </c>
      <c r="K78" s="14" t="n">
        <v>880</v>
      </c>
      <c r="L78" s="14" t="n">
        <v>99</v>
      </c>
    </row>
    <row r="79" customFormat="false" ht="15" hidden="false" customHeight="true" outlineLevel="0" collapsed="false">
      <c r="A79" s="13" t="n">
        <v>2026</v>
      </c>
      <c r="B79" s="13" t="s">
        <v>122</v>
      </c>
      <c r="C79" s="13" t="s">
        <v>128</v>
      </c>
      <c r="D79" s="13" t="s">
        <v>192</v>
      </c>
      <c r="E79" s="14" t="n">
        <v>15772</v>
      </c>
      <c r="F79" s="14" t="n">
        <v>9603</v>
      </c>
      <c r="G79" s="14" t="n">
        <v>124</v>
      </c>
      <c r="H79" s="14" t="n">
        <v>1043</v>
      </c>
      <c r="I79" s="14" t="n">
        <v>2735</v>
      </c>
      <c r="J79" s="14" t="n">
        <v>3559</v>
      </c>
      <c r="K79" s="14" t="n">
        <v>2006</v>
      </c>
      <c r="L79" s="14" t="n">
        <v>134</v>
      </c>
    </row>
    <row r="80" customFormat="false" ht="15" hidden="false" customHeight="true" outlineLevel="0" collapsed="false">
      <c r="A80" s="13" t="n">
        <v>2026</v>
      </c>
      <c r="B80" s="13" t="s">
        <v>122</v>
      </c>
      <c r="C80" s="13" t="s">
        <v>123</v>
      </c>
      <c r="D80" s="13" t="s">
        <v>121</v>
      </c>
      <c r="E80" s="14" t="n">
        <v>7585</v>
      </c>
      <c r="F80" s="14" t="n">
        <v>6100</v>
      </c>
      <c r="G80" s="14" t="n">
        <v>993</v>
      </c>
      <c r="H80" s="14" t="n">
        <v>1426</v>
      </c>
      <c r="I80" s="14" t="n">
        <v>1925</v>
      </c>
      <c r="J80" s="14" t="n">
        <v>1543</v>
      </c>
      <c r="K80" s="14" t="n">
        <v>213</v>
      </c>
      <c r="L80" s="14" t="n">
        <v>0</v>
      </c>
    </row>
    <row r="81" customFormat="false" ht="15" hidden="false" customHeight="true" outlineLevel="0" collapsed="false">
      <c r="A81" s="13" t="n">
        <v>2026</v>
      </c>
      <c r="B81" s="13" t="s">
        <v>122</v>
      </c>
      <c r="C81" s="13" t="s">
        <v>123</v>
      </c>
      <c r="D81" s="13" t="s">
        <v>125</v>
      </c>
      <c r="E81" s="14" t="n">
        <v>1191</v>
      </c>
      <c r="F81" s="14" t="n">
        <v>645</v>
      </c>
      <c r="G81" s="14" t="n">
        <v>168</v>
      </c>
      <c r="H81" s="14" t="n">
        <v>45</v>
      </c>
      <c r="I81" s="14" t="n">
        <v>55</v>
      </c>
      <c r="J81" s="14" t="n">
        <v>184</v>
      </c>
      <c r="K81" s="14" t="n">
        <v>193</v>
      </c>
      <c r="L81" s="14" t="n">
        <v>0</v>
      </c>
    </row>
    <row r="82" customFormat="false" ht="15" hidden="false" customHeight="true" outlineLevel="0" collapsed="false">
      <c r="A82" s="13" t="n">
        <v>2026</v>
      </c>
      <c r="B82" s="13" t="s">
        <v>122</v>
      </c>
      <c r="C82" s="13" t="s">
        <v>123</v>
      </c>
      <c r="D82" s="13" t="s">
        <v>192</v>
      </c>
      <c r="E82" s="14" t="n">
        <v>8776</v>
      </c>
      <c r="F82" s="14" t="n">
        <v>6745</v>
      </c>
      <c r="G82" s="14" t="n">
        <v>1161</v>
      </c>
      <c r="H82" s="14" t="n">
        <v>1471</v>
      </c>
      <c r="I82" s="14" t="n">
        <v>1980</v>
      </c>
      <c r="J82" s="14" t="n">
        <v>1727</v>
      </c>
      <c r="K82" s="14" t="n">
        <v>406</v>
      </c>
      <c r="L82" s="14" t="n">
        <v>0</v>
      </c>
    </row>
    <row r="83" customFormat="false" ht="15" hidden="false" customHeight="true" outlineLevel="0" collapsed="false">
      <c r="A83" s="13" t="n">
        <v>2026</v>
      </c>
      <c r="B83" s="13" t="s">
        <v>122</v>
      </c>
      <c r="C83" s="13" t="s">
        <v>126</v>
      </c>
      <c r="D83" s="13" t="s">
        <v>121</v>
      </c>
      <c r="E83" s="14" t="n">
        <v>985</v>
      </c>
      <c r="F83" s="14" t="n">
        <v>802</v>
      </c>
      <c r="G83" s="14" t="n">
        <v>143</v>
      </c>
      <c r="H83" s="14" t="n">
        <v>204</v>
      </c>
      <c r="I83" s="14" t="n">
        <v>235</v>
      </c>
      <c r="J83" s="14" t="n">
        <v>189</v>
      </c>
      <c r="K83" s="14" t="n">
        <v>31</v>
      </c>
      <c r="L83" s="14" t="n">
        <v>0</v>
      </c>
    </row>
    <row r="84" customFormat="false" ht="15" hidden="false" customHeight="true" outlineLevel="0" collapsed="false">
      <c r="A84" s="13" t="n">
        <v>2026</v>
      </c>
      <c r="B84" s="13" t="s">
        <v>122</v>
      </c>
      <c r="C84" s="13" t="s">
        <v>126</v>
      </c>
      <c r="D84" s="13" t="s">
        <v>125</v>
      </c>
      <c r="E84" s="14" t="n">
        <v>172</v>
      </c>
      <c r="F84" s="14" t="n">
        <v>74</v>
      </c>
      <c r="G84" s="14" t="n">
        <v>0</v>
      </c>
      <c r="H84" s="14" t="n">
        <v>0</v>
      </c>
      <c r="I84" s="14" t="n">
        <v>6</v>
      </c>
      <c r="J84" s="14" t="n">
        <v>38</v>
      </c>
      <c r="K84" s="14" t="n">
        <v>26</v>
      </c>
      <c r="L84" s="14" t="n">
        <v>4</v>
      </c>
    </row>
    <row r="85" customFormat="false" ht="15" hidden="false" customHeight="true" outlineLevel="0" collapsed="false">
      <c r="A85" s="13" t="n">
        <v>2026</v>
      </c>
      <c r="B85" s="13" t="s">
        <v>122</v>
      </c>
      <c r="C85" s="13" t="s">
        <v>126</v>
      </c>
      <c r="D85" s="13" t="s">
        <v>192</v>
      </c>
      <c r="E85" s="14" t="n">
        <v>1157</v>
      </c>
      <c r="F85" s="14" t="n">
        <v>876</v>
      </c>
      <c r="G85" s="14" t="n">
        <v>143</v>
      </c>
      <c r="H85" s="14" t="n">
        <v>204</v>
      </c>
      <c r="I85" s="14" t="n">
        <v>241</v>
      </c>
      <c r="J85" s="14" t="n">
        <v>227</v>
      </c>
      <c r="K85" s="14" t="n">
        <v>57</v>
      </c>
      <c r="L85" s="14" t="n">
        <v>4</v>
      </c>
    </row>
    <row r="86" customFormat="false" ht="15" hidden="false" customHeight="true" outlineLevel="0" collapsed="false">
      <c r="A86" s="13" t="n">
        <v>2026</v>
      </c>
      <c r="B86" s="13" t="s">
        <v>122</v>
      </c>
      <c r="C86" s="13" t="s">
        <v>821</v>
      </c>
      <c r="D86" s="13" t="s">
        <v>121</v>
      </c>
      <c r="E86" s="14" t="n">
        <v>11237</v>
      </c>
      <c r="F86" s="14" t="n">
        <v>8211</v>
      </c>
      <c r="G86" s="14" t="n">
        <v>642</v>
      </c>
      <c r="H86" s="14" t="n">
        <v>1501</v>
      </c>
      <c r="I86" s="14" t="n">
        <v>2604</v>
      </c>
      <c r="J86" s="14" t="n">
        <v>2821</v>
      </c>
      <c r="K86" s="14" t="n">
        <v>640</v>
      </c>
      <c r="L86" s="14" t="n">
        <v>3</v>
      </c>
    </row>
    <row r="87" customFormat="false" ht="15" hidden="false" customHeight="true" outlineLevel="0" collapsed="false">
      <c r="A87" s="13" t="n">
        <v>2026</v>
      </c>
      <c r="B87" s="13" t="s">
        <v>122</v>
      </c>
      <c r="C87" s="13" t="s">
        <v>821</v>
      </c>
      <c r="D87" s="13" t="s">
        <v>125</v>
      </c>
      <c r="E87" s="14" t="n">
        <v>1677</v>
      </c>
      <c r="F87" s="14" t="n">
        <v>576</v>
      </c>
      <c r="G87" s="14" t="n">
        <v>0</v>
      </c>
      <c r="H87" s="14" t="n">
        <v>1</v>
      </c>
      <c r="I87" s="14" t="n">
        <v>25</v>
      </c>
      <c r="J87" s="14" t="n">
        <v>246</v>
      </c>
      <c r="K87" s="14" t="n">
        <v>296</v>
      </c>
      <c r="L87" s="14" t="n">
        <v>8</v>
      </c>
    </row>
    <row r="88" customFormat="false" ht="15" hidden="false" customHeight="true" outlineLevel="0" collapsed="false">
      <c r="A88" s="13" t="n">
        <v>2026</v>
      </c>
      <c r="B88" s="13" t="s">
        <v>122</v>
      </c>
      <c r="C88" s="13" t="s">
        <v>821</v>
      </c>
      <c r="D88" s="13" t="s">
        <v>192</v>
      </c>
      <c r="E88" s="14" t="n">
        <v>12914</v>
      </c>
      <c r="F88" s="14" t="n">
        <v>8787</v>
      </c>
      <c r="G88" s="14" t="n">
        <v>642</v>
      </c>
      <c r="H88" s="14" t="n">
        <v>1502</v>
      </c>
      <c r="I88" s="14" t="n">
        <v>2629</v>
      </c>
      <c r="J88" s="14" t="n">
        <v>3067</v>
      </c>
      <c r="K88" s="14" t="n">
        <v>936</v>
      </c>
      <c r="L88" s="14" t="n">
        <v>11</v>
      </c>
    </row>
    <row r="89" customFormat="false" ht="15" hidden="false" customHeight="true" outlineLevel="0" collapsed="false">
      <c r="A89" s="13" t="n">
        <v>2026</v>
      </c>
      <c r="B89" s="13" t="s">
        <v>122</v>
      </c>
      <c r="C89" s="13" t="s">
        <v>203</v>
      </c>
      <c r="D89" s="13" t="s">
        <v>121</v>
      </c>
      <c r="E89" s="14" t="n">
        <v>680</v>
      </c>
      <c r="F89" s="14" t="n">
        <v>570</v>
      </c>
      <c r="G89" s="14" t="n">
        <v>44</v>
      </c>
      <c r="H89" s="14" t="n">
        <v>92</v>
      </c>
      <c r="I89" s="14" t="n">
        <v>201</v>
      </c>
      <c r="J89" s="14" t="n">
        <v>167</v>
      </c>
      <c r="K89" s="14" t="n">
        <v>64</v>
      </c>
      <c r="L89" s="14" t="n">
        <v>2</v>
      </c>
    </row>
    <row r="90" customFormat="false" ht="15" hidden="false" customHeight="true" outlineLevel="0" collapsed="false">
      <c r="A90" s="13" t="n">
        <v>2026</v>
      </c>
      <c r="B90" s="13" t="s">
        <v>122</v>
      </c>
      <c r="C90" s="13" t="s">
        <v>203</v>
      </c>
      <c r="D90" s="13" t="s">
        <v>125</v>
      </c>
      <c r="E90" s="14" t="n">
        <v>278</v>
      </c>
      <c r="F90" s="14" t="n">
        <v>152</v>
      </c>
      <c r="G90" s="14" t="n">
        <v>1</v>
      </c>
      <c r="H90" s="14" t="n">
        <v>13</v>
      </c>
      <c r="I90" s="14" t="n">
        <v>35</v>
      </c>
      <c r="J90" s="14" t="n">
        <v>47</v>
      </c>
      <c r="K90" s="14" t="n">
        <v>45</v>
      </c>
      <c r="L90" s="14" t="n">
        <v>11</v>
      </c>
    </row>
    <row r="91" customFormat="false" ht="15" hidden="false" customHeight="true" outlineLevel="0" collapsed="false">
      <c r="A91" s="13" t="n">
        <v>2026</v>
      </c>
      <c r="B91" s="13" t="s">
        <v>122</v>
      </c>
      <c r="C91" s="13" t="s">
        <v>203</v>
      </c>
      <c r="D91" s="13" t="s">
        <v>192</v>
      </c>
      <c r="E91" s="14" t="n">
        <v>958</v>
      </c>
      <c r="F91" s="14" t="n">
        <v>722</v>
      </c>
      <c r="G91" s="14" t="n">
        <v>45</v>
      </c>
      <c r="H91" s="14" t="n">
        <v>105</v>
      </c>
      <c r="I91" s="14" t="n">
        <v>236</v>
      </c>
      <c r="J91" s="14" t="n">
        <v>214</v>
      </c>
      <c r="K91" s="14" t="n">
        <v>109</v>
      </c>
      <c r="L91" s="14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3" width="12"/>
    <col collapsed="false" customWidth="true" hidden="false" outlineLevel="0" max="3" min="3" style="13" width="32"/>
    <col collapsed="false" customWidth="true" hidden="false" outlineLevel="0" max="4" min="4" style="13" width="13"/>
    <col collapsed="false" customWidth="true" hidden="false" outlineLevel="0" max="8" min="5" style="13" width="12"/>
  </cols>
  <sheetData>
    <row r="1" customFormat="false" ht="15" hidden="false" customHeight="true" outlineLevel="0" collapsed="false">
      <c r="A1" s="13" t="s">
        <v>3</v>
      </c>
      <c r="B1" s="13" t="s">
        <v>113</v>
      </c>
      <c r="C1" s="13" t="s">
        <v>822</v>
      </c>
      <c r="D1" s="13" t="s">
        <v>483</v>
      </c>
      <c r="E1" s="13" t="s">
        <v>373</v>
      </c>
      <c r="F1" s="13" t="s">
        <v>4</v>
      </c>
      <c r="G1" s="13" t="s">
        <v>5</v>
      </c>
      <c r="H1" s="13" t="s">
        <v>480</v>
      </c>
    </row>
    <row r="2" customFormat="false" ht="15" hidden="false" customHeight="true" outlineLevel="0" collapsed="false">
      <c r="A2" s="13" t="n">
        <v>2024</v>
      </c>
      <c r="B2" s="13" t="s">
        <v>124</v>
      </c>
      <c r="C2" s="13" t="s">
        <v>823</v>
      </c>
      <c r="D2" s="13" t="s">
        <v>357</v>
      </c>
      <c r="E2" s="14" t="n">
        <v>3970</v>
      </c>
      <c r="F2" s="14" t="n">
        <v>3940</v>
      </c>
      <c r="G2" s="14" t="n">
        <v>1761</v>
      </c>
      <c r="H2" s="15" t="n">
        <v>0.4469</v>
      </c>
    </row>
    <row r="3" customFormat="false" ht="15" hidden="false" customHeight="true" outlineLevel="0" collapsed="false">
      <c r="A3" s="13" t="n">
        <v>2024</v>
      </c>
      <c r="B3" s="13" t="s">
        <v>124</v>
      </c>
      <c r="C3" s="13" t="s">
        <v>824</v>
      </c>
      <c r="D3" s="13" t="s">
        <v>357</v>
      </c>
      <c r="E3" s="14" t="n">
        <v>12899</v>
      </c>
      <c r="F3" s="14" t="n">
        <v>12765</v>
      </c>
      <c r="G3" s="14" t="n">
        <v>7372</v>
      </c>
      <c r="H3" s="15" t="n">
        <v>0.5775</v>
      </c>
    </row>
    <row r="4" customFormat="false" ht="15" hidden="false" customHeight="true" outlineLevel="0" collapsed="false">
      <c r="A4" s="13" t="n">
        <v>2024</v>
      </c>
      <c r="B4" s="13" t="s">
        <v>124</v>
      </c>
      <c r="C4" s="13" t="s">
        <v>825</v>
      </c>
      <c r="D4" s="13" t="s">
        <v>357</v>
      </c>
      <c r="E4" s="14" t="n">
        <v>8232</v>
      </c>
      <c r="F4" s="14" t="n">
        <v>7852</v>
      </c>
      <c r="G4" s="14" t="n">
        <v>2133</v>
      </c>
      <c r="H4" s="15" t="n">
        <v>0.2716</v>
      </c>
    </row>
    <row r="5" customFormat="false" ht="15" hidden="false" customHeight="true" outlineLevel="0" collapsed="false">
      <c r="A5" s="13" t="n">
        <v>2024</v>
      </c>
      <c r="B5" s="13" t="s">
        <v>124</v>
      </c>
      <c r="C5" s="13" t="s">
        <v>650</v>
      </c>
      <c r="D5" s="13" t="s">
        <v>650</v>
      </c>
      <c r="E5" s="14" t="n">
        <v>25101</v>
      </c>
      <c r="F5" s="14" t="n">
        <v>24557</v>
      </c>
      <c r="G5" s="14" t="n">
        <v>11266</v>
      </c>
      <c r="H5" s="15" t="n">
        <v>0.4587</v>
      </c>
    </row>
    <row r="6" customFormat="false" ht="15" hidden="false" customHeight="true" outlineLevel="0" collapsed="false">
      <c r="A6" s="13" t="n">
        <v>2024</v>
      </c>
      <c r="B6" s="13" t="s">
        <v>122</v>
      </c>
      <c r="C6" s="13" t="s">
        <v>823</v>
      </c>
      <c r="D6" s="13" t="s">
        <v>357</v>
      </c>
      <c r="E6" s="14" t="n">
        <v>14156</v>
      </c>
      <c r="F6" s="14" t="n">
        <v>14064</v>
      </c>
      <c r="G6" s="14" t="n">
        <v>9403</v>
      </c>
      <c r="H6" s="15" t="n">
        <v>0.6685</v>
      </c>
    </row>
    <row r="7" customFormat="false" ht="15" hidden="false" customHeight="true" outlineLevel="0" collapsed="false">
      <c r="A7" s="13" t="n">
        <v>2024</v>
      </c>
      <c r="B7" s="13" t="s">
        <v>122</v>
      </c>
      <c r="C7" s="13" t="s">
        <v>824</v>
      </c>
      <c r="D7" s="13" t="s">
        <v>357</v>
      </c>
      <c r="E7" s="14" t="n">
        <v>15532</v>
      </c>
      <c r="F7" s="14" t="n">
        <v>15431</v>
      </c>
      <c r="G7" s="14" t="n">
        <v>11591</v>
      </c>
      <c r="H7" s="15" t="n">
        <v>0.7511</v>
      </c>
    </row>
    <row r="8" customFormat="false" ht="15" hidden="false" customHeight="true" outlineLevel="0" collapsed="false">
      <c r="A8" s="13" t="n">
        <v>2024</v>
      </c>
      <c r="B8" s="13" t="s">
        <v>122</v>
      </c>
      <c r="C8" s="13" t="s">
        <v>825</v>
      </c>
      <c r="D8" s="13" t="s">
        <v>357</v>
      </c>
      <c r="E8" s="14" t="n">
        <v>9443</v>
      </c>
      <c r="F8" s="14" t="n">
        <v>9239</v>
      </c>
      <c r="G8" s="14" t="n">
        <v>3662</v>
      </c>
      <c r="H8" s="15" t="n">
        <v>0.3963</v>
      </c>
    </row>
    <row r="9" customFormat="false" ht="15" hidden="false" customHeight="true" outlineLevel="0" collapsed="false">
      <c r="A9" s="13" t="n">
        <v>2024</v>
      </c>
      <c r="B9" s="13" t="s">
        <v>122</v>
      </c>
      <c r="C9" s="13" t="s">
        <v>650</v>
      </c>
      <c r="D9" s="13" t="s">
        <v>650</v>
      </c>
      <c r="E9" s="14" t="n">
        <v>39131</v>
      </c>
      <c r="F9" s="14" t="n">
        <v>38734</v>
      </c>
      <c r="G9" s="14" t="n">
        <v>24656</v>
      </c>
      <c r="H9" s="15" t="n">
        <v>0.6365</v>
      </c>
    </row>
    <row r="10" customFormat="false" ht="15" hidden="false" customHeight="true" outlineLevel="0" collapsed="false">
      <c r="A10" s="13" t="n">
        <v>2024</v>
      </c>
      <c r="B10" s="13" t="s">
        <v>192</v>
      </c>
      <c r="C10" s="13" t="s">
        <v>823</v>
      </c>
      <c r="D10" s="13" t="s">
        <v>357</v>
      </c>
      <c r="E10" s="14" t="n">
        <v>18126</v>
      </c>
      <c r="F10" s="14" t="n">
        <v>18004</v>
      </c>
      <c r="G10" s="14" t="n">
        <v>11164</v>
      </c>
      <c r="H10" s="15" t="n">
        <v>0.62</v>
      </c>
    </row>
    <row r="11" customFormat="false" ht="15" hidden="false" customHeight="true" outlineLevel="0" collapsed="false">
      <c r="A11" s="13" t="n">
        <v>2024</v>
      </c>
      <c r="B11" s="13" t="s">
        <v>192</v>
      </c>
      <c r="C11" s="13" t="s">
        <v>824</v>
      </c>
      <c r="D11" s="13" t="s">
        <v>357</v>
      </c>
      <c r="E11" s="14" t="n">
        <v>28431</v>
      </c>
      <c r="F11" s="14" t="n">
        <v>28196</v>
      </c>
      <c r="G11" s="14" t="n">
        <v>18963</v>
      </c>
      <c r="H11" s="15" t="n">
        <v>0.6725</v>
      </c>
    </row>
    <row r="12" customFormat="false" ht="15" hidden="false" customHeight="true" outlineLevel="0" collapsed="false">
      <c r="A12" s="13" t="n">
        <v>2024</v>
      </c>
      <c r="B12" s="13" t="s">
        <v>192</v>
      </c>
      <c r="C12" s="13" t="s">
        <v>825</v>
      </c>
      <c r="D12" s="13" t="s">
        <v>357</v>
      </c>
      <c r="E12" s="14" t="n">
        <v>17675</v>
      </c>
      <c r="F12" s="14" t="n">
        <v>17091</v>
      </c>
      <c r="G12" s="14" t="n">
        <v>5795</v>
      </c>
      <c r="H12" s="15" t="n">
        <v>0.339</v>
      </c>
    </row>
    <row r="13" customFormat="false" ht="15" hidden="false" customHeight="true" outlineLevel="0" collapsed="false">
      <c r="A13" s="13" t="n">
        <v>2024</v>
      </c>
      <c r="B13" s="13" t="s">
        <v>192</v>
      </c>
      <c r="C13" s="13" t="s">
        <v>137</v>
      </c>
      <c r="D13" s="13" t="s">
        <v>137</v>
      </c>
      <c r="E13" s="14" t="n">
        <v>64232</v>
      </c>
      <c r="F13" s="14" t="n">
        <v>63291</v>
      </c>
      <c r="G13" s="14" t="n">
        <v>35922</v>
      </c>
      <c r="H13" s="15" t="n">
        <v>0.5675</v>
      </c>
    </row>
    <row r="14" customFormat="false" ht="15" hidden="false" customHeight="true" outlineLevel="0" collapsed="false">
      <c r="A14" s="13" t="n">
        <v>2025</v>
      </c>
      <c r="B14" s="13" t="s">
        <v>124</v>
      </c>
      <c r="C14" s="13" t="s">
        <v>823</v>
      </c>
      <c r="D14" s="13" t="s">
        <v>357</v>
      </c>
      <c r="E14" s="14" t="n">
        <v>3138</v>
      </c>
      <c r="F14" s="14" t="n">
        <v>3111</v>
      </c>
      <c r="G14" s="14" t="n">
        <v>1327</v>
      </c>
      <c r="H14" s="15" t="n">
        <v>0.4265</v>
      </c>
    </row>
    <row r="15" customFormat="false" ht="15" hidden="false" customHeight="true" outlineLevel="0" collapsed="false">
      <c r="A15" s="13" t="n">
        <v>2025</v>
      </c>
      <c r="B15" s="13" t="s">
        <v>124</v>
      </c>
      <c r="C15" s="13" t="s">
        <v>824</v>
      </c>
      <c r="D15" s="13" t="s">
        <v>357</v>
      </c>
      <c r="E15" s="14" t="n">
        <v>11068</v>
      </c>
      <c r="F15" s="14" t="n">
        <v>10941</v>
      </c>
      <c r="G15" s="14" t="n">
        <v>5690</v>
      </c>
      <c r="H15" s="15" t="n">
        <v>0.52</v>
      </c>
    </row>
    <row r="16" customFormat="false" ht="15" hidden="false" customHeight="true" outlineLevel="0" collapsed="false">
      <c r="A16" s="13" t="n">
        <v>2025</v>
      </c>
      <c r="B16" s="13" t="s">
        <v>124</v>
      </c>
      <c r="C16" s="13" t="s">
        <v>825</v>
      </c>
      <c r="D16" s="13" t="s">
        <v>357</v>
      </c>
      <c r="E16" s="14" t="n">
        <v>7924</v>
      </c>
      <c r="F16" s="14" t="n">
        <v>7616</v>
      </c>
      <c r="G16" s="14" t="n">
        <v>1623</v>
      </c>
      <c r="H16" s="15" t="n">
        <v>0.213</v>
      </c>
    </row>
    <row r="17" customFormat="false" ht="15" hidden="false" customHeight="true" outlineLevel="0" collapsed="false">
      <c r="A17" s="13" t="n">
        <v>2025</v>
      </c>
      <c r="B17" s="13" t="s">
        <v>124</v>
      </c>
      <c r="C17" s="13" t="s">
        <v>650</v>
      </c>
      <c r="D17" s="13" t="s">
        <v>650</v>
      </c>
      <c r="E17" s="14" t="n">
        <v>22130</v>
      </c>
      <c r="F17" s="14" t="n">
        <v>21668</v>
      </c>
      <c r="G17" s="14" t="n">
        <v>8640</v>
      </c>
      <c r="H17" s="15" t="n">
        <v>0.399</v>
      </c>
    </row>
    <row r="18" customFormat="false" ht="15" hidden="false" customHeight="true" outlineLevel="0" collapsed="false">
      <c r="A18" s="13" t="n">
        <v>2025</v>
      </c>
      <c r="B18" s="13" t="s">
        <v>122</v>
      </c>
      <c r="C18" s="13" t="s">
        <v>823</v>
      </c>
      <c r="D18" s="13" t="s">
        <v>357</v>
      </c>
      <c r="E18" s="14" t="n">
        <v>12856</v>
      </c>
      <c r="F18" s="14" t="n">
        <v>12793</v>
      </c>
      <c r="G18" s="14" t="n">
        <v>8372</v>
      </c>
      <c r="H18" s="15" t="n">
        <v>0.6544</v>
      </c>
    </row>
    <row r="19" customFormat="false" ht="15" hidden="false" customHeight="true" outlineLevel="0" collapsed="false">
      <c r="A19" s="13" t="n">
        <v>2025</v>
      </c>
      <c r="B19" s="13" t="s">
        <v>122</v>
      </c>
      <c r="C19" s="13" t="s">
        <v>824</v>
      </c>
      <c r="D19" s="13" t="s">
        <v>357</v>
      </c>
      <c r="E19" s="14" t="n">
        <v>15538</v>
      </c>
      <c r="F19" s="14" t="n">
        <v>15419</v>
      </c>
      <c r="G19" s="14" t="n">
        <v>11277</v>
      </c>
      <c r="H19" s="15" t="n">
        <v>0.7313</v>
      </c>
    </row>
    <row r="20" customFormat="false" ht="15" hidden="false" customHeight="true" outlineLevel="0" collapsed="false">
      <c r="A20" s="13" t="n">
        <v>2025</v>
      </c>
      <c r="B20" s="13" t="s">
        <v>122</v>
      </c>
      <c r="C20" s="13" t="s">
        <v>825</v>
      </c>
      <c r="D20" s="13" t="s">
        <v>357</v>
      </c>
      <c r="E20" s="14" t="n">
        <v>9260</v>
      </c>
      <c r="F20" s="14" t="n">
        <v>9060</v>
      </c>
      <c r="G20" s="14" t="n">
        <v>3609</v>
      </c>
      <c r="H20" s="15" t="n">
        <v>0.399</v>
      </c>
    </row>
    <row r="21" customFormat="false" ht="15" hidden="false" customHeight="true" outlineLevel="0" collapsed="false">
      <c r="A21" s="13" t="n">
        <v>2025</v>
      </c>
      <c r="B21" s="13" t="s">
        <v>122</v>
      </c>
      <c r="C21" s="13" t="s">
        <v>650</v>
      </c>
      <c r="D21" s="13" t="s">
        <v>650</v>
      </c>
      <c r="E21" s="14" t="n">
        <v>37654</v>
      </c>
      <c r="F21" s="14" t="n">
        <v>37272</v>
      </c>
      <c r="G21" s="14" t="n">
        <v>23258</v>
      </c>
      <c r="H21" s="15" t="n">
        <v>0.624</v>
      </c>
    </row>
    <row r="22" customFormat="false" ht="15" hidden="false" customHeight="true" outlineLevel="0" collapsed="false">
      <c r="A22" s="13" t="n">
        <v>2025</v>
      </c>
      <c r="B22" s="13" t="s">
        <v>192</v>
      </c>
      <c r="C22" s="13" t="s">
        <v>823</v>
      </c>
      <c r="D22" s="13" t="s">
        <v>357</v>
      </c>
      <c r="E22" s="14" t="n">
        <v>15994</v>
      </c>
      <c r="F22" s="14" t="n">
        <v>15904</v>
      </c>
      <c r="G22" s="14" t="n">
        <v>9699</v>
      </c>
      <c r="H22" s="15" t="n">
        <v>0.61</v>
      </c>
    </row>
    <row r="23" customFormat="false" ht="15" hidden="false" customHeight="true" outlineLevel="0" collapsed="false">
      <c r="A23" s="13" t="n">
        <v>2025</v>
      </c>
      <c r="B23" s="13" t="s">
        <v>192</v>
      </c>
      <c r="C23" s="13" t="s">
        <v>824</v>
      </c>
      <c r="D23" s="13" t="s">
        <v>357</v>
      </c>
      <c r="E23" s="14" t="n">
        <v>26606</v>
      </c>
      <c r="F23" s="14" t="n">
        <v>26360</v>
      </c>
      <c r="G23" s="14" t="n">
        <v>16967</v>
      </c>
      <c r="H23" s="15" t="n">
        <v>0.643</v>
      </c>
    </row>
    <row r="24" customFormat="false" ht="15" hidden="false" customHeight="true" outlineLevel="0" collapsed="false">
      <c r="A24" s="13" t="n">
        <v>2025</v>
      </c>
      <c r="B24" s="13" t="s">
        <v>192</v>
      </c>
      <c r="C24" s="13" t="s">
        <v>825</v>
      </c>
      <c r="D24" s="13" t="s">
        <v>357</v>
      </c>
      <c r="E24" s="14" t="n">
        <v>17184</v>
      </c>
      <c r="F24" s="14" t="n">
        <v>16676</v>
      </c>
      <c r="G24" s="14" t="n">
        <v>5232</v>
      </c>
      <c r="H24" s="15" t="n">
        <v>0.314</v>
      </c>
    </row>
    <row r="25" customFormat="false" ht="15" hidden="false" customHeight="true" outlineLevel="0" collapsed="false">
      <c r="A25" s="13" t="n">
        <v>2025</v>
      </c>
      <c r="B25" s="13" t="s">
        <v>192</v>
      </c>
      <c r="C25" s="13" t="s">
        <v>137</v>
      </c>
      <c r="D25" s="13" t="s">
        <v>137</v>
      </c>
      <c r="E25" s="14" t="n">
        <v>59784</v>
      </c>
      <c r="F25" s="14" t="n">
        <v>58940</v>
      </c>
      <c r="G25" s="14" t="n">
        <v>31898</v>
      </c>
      <c r="H25" s="15" t="n">
        <v>0.5412</v>
      </c>
    </row>
    <row r="26" customFormat="false" ht="15" hidden="false" customHeight="true" outlineLevel="0" collapsed="false">
      <c r="A26" s="13" t="n">
        <v>2026</v>
      </c>
      <c r="B26" s="13" t="s">
        <v>124</v>
      </c>
      <c r="C26" s="13" t="s">
        <v>823</v>
      </c>
      <c r="D26" s="13" t="s">
        <v>357</v>
      </c>
      <c r="E26" s="14" t="n">
        <v>3218</v>
      </c>
      <c r="F26" s="14" t="n">
        <v>3191</v>
      </c>
      <c r="G26" s="14" t="n">
        <v>1606</v>
      </c>
      <c r="H26" s="15" t="n">
        <v>0.5032</v>
      </c>
    </row>
    <row r="27" customFormat="false" ht="15" hidden="false" customHeight="true" outlineLevel="0" collapsed="false">
      <c r="A27" s="13" t="n">
        <v>2026</v>
      </c>
      <c r="B27" s="13" t="s">
        <v>124</v>
      </c>
      <c r="C27" s="13" t="s">
        <v>824</v>
      </c>
      <c r="D27" s="13" t="s">
        <v>357</v>
      </c>
      <c r="E27" s="14" t="n">
        <v>11644</v>
      </c>
      <c r="F27" s="14" t="n">
        <v>11495</v>
      </c>
      <c r="G27" s="14" t="n">
        <v>6395</v>
      </c>
      <c r="H27" s="15" t="n">
        <v>0.5563</v>
      </c>
    </row>
    <row r="28" customFormat="false" ht="15" hidden="false" customHeight="true" outlineLevel="0" collapsed="false">
      <c r="A28" s="13" t="n">
        <v>2026</v>
      </c>
      <c r="B28" s="13" t="s">
        <v>124</v>
      </c>
      <c r="C28" s="13" t="s">
        <v>825</v>
      </c>
      <c r="D28" s="13" t="s">
        <v>357</v>
      </c>
      <c r="E28" s="14" t="n">
        <v>7443</v>
      </c>
      <c r="F28" s="14" t="n">
        <v>7135</v>
      </c>
      <c r="G28" s="14" t="n">
        <v>2151</v>
      </c>
      <c r="H28" s="15" t="n">
        <v>0.3014</v>
      </c>
    </row>
    <row r="29" customFormat="false" ht="15" hidden="false" customHeight="true" outlineLevel="0" collapsed="false">
      <c r="A29" s="13" t="n">
        <v>2026</v>
      </c>
      <c r="B29" s="13" t="s">
        <v>124</v>
      </c>
      <c r="C29" s="13" t="s">
        <v>650</v>
      </c>
      <c r="D29" s="13" t="s">
        <v>650</v>
      </c>
      <c r="E29" s="14" t="n">
        <v>22305</v>
      </c>
      <c r="F29" s="14" t="n">
        <v>21821</v>
      </c>
      <c r="G29" s="14" t="n">
        <v>10152</v>
      </c>
      <c r="H29" s="15" t="n">
        <v>0.4652</v>
      </c>
    </row>
    <row r="30" customFormat="false" ht="15" hidden="false" customHeight="true" outlineLevel="0" collapsed="false">
      <c r="A30" s="13" t="n">
        <v>2026</v>
      </c>
      <c r="B30" s="13" t="s">
        <v>122</v>
      </c>
      <c r="C30" s="13" t="s">
        <v>823</v>
      </c>
      <c r="D30" s="13" t="s">
        <v>357</v>
      </c>
      <c r="E30" s="14" t="n">
        <v>14149</v>
      </c>
      <c r="F30" s="14" t="n">
        <v>14098</v>
      </c>
      <c r="G30" s="14" t="n">
        <v>10043</v>
      </c>
      <c r="H30" s="15" t="n">
        <v>0.7123</v>
      </c>
    </row>
    <row r="31" customFormat="false" ht="15" hidden="false" customHeight="true" outlineLevel="0" collapsed="false">
      <c r="A31" s="13" t="n">
        <v>2026</v>
      </c>
      <c r="B31" s="13" t="s">
        <v>122</v>
      </c>
      <c r="C31" s="13" t="s">
        <v>824</v>
      </c>
      <c r="D31" s="13" t="s">
        <v>357</v>
      </c>
      <c r="E31" s="14" t="n">
        <v>16625</v>
      </c>
      <c r="F31" s="14" t="n">
        <v>16543</v>
      </c>
      <c r="G31" s="14" t="n">
        <v>12601</v>
      </c>
      <c r="H31" s="15" t="n">
        <v>0.7617</v>
      </c>
    </row>
    <row r="32" customFormat="false" ht="15" hidden="false" customHeight="true" outlineLevel="0" collapsed="false">
      <c r="A32" s="13" t="n">
        <v>2026</v>
      </c>
      <c r="B32" s="13" t="s">
        <v>122</v>
      </c>
      <c r="C32" s="13" t="s">
        <v>825</v>
      </c>
      <c r="D32" s="13" t="s">
        <v>357</v>
      </c>
      <c r="E32" s="14" t="n">
        <v>9154</v>
      </c>
      <c r="F32" s="14" t="n">
        <v>8947</v>
      </c>
      <c r="G32" s="14" t="n">
        <v>4100</v>
      </c>
      <c r="H32" s="15" t="n">
        <v>0.4582</v>
      </c>
    </row>
    <row r="33" customFormat="false" ht="15" hidden="false" customHeight="true" outlineLevel="0" collapsed="false">
      <c r="A33" s="13" t="n">
        <v>2026</v>
      </c>
      <c r="B33" s="13" t="s">
        <v>122</v>
      </c>
      <c r="C33" s="13" t="s">
        <v>650</v>
      </c>
      <c r="D33" s="13" t="s">
        <v>650</v>
      </c>
      <c r="E33" s="14" t="n">
        <v>39928</v>
      </c>
      <c r="F33" s="14" t="n">
        <v>39588</v>
      </c>
      <c r="G33" s="14" t="n">
        <v>26744</v>
      </c>
      <c r="H33" s="15" t="n">
        <v>0.6755</v>
      </c>
    </row>
    <row r="34" customFormat="false" ht="15" hidden="false" customHeight="true" outlineLevel="0" collapsed="false">
      <c r="A34" s="13" t="n">
        <v>2026</v>
      </c>
      <c r="B34" s="13" t="s">
        <v>192</v>
      </c>
      <c r="C34" s="13" t="s">
        <v>823</v>
      </c>
      <c r="D34" s="13" t="s">
        <v>357</v>
      </c>
      <c r="E34" s="14" t="n">
        <v>17367</v>
      </c>
      <c r="F34" s="14" t="n">
        <v>17289</v>
      </c>
      <c r="G34" s="14" t="n">
        <v>11649</v>
      </c>
      <c r="H34" s="15" t="n">
        <v>0.6737</v>
      </c>
    </row>
    <row r="35" customFormat="false" ht="15" hidden="false" customHeight="true" outlineLevel="0" collapsed="false">
      <c r="A35" s="13" t="n">
        <v>2026</v>
      </c>
      <c r="B35" s="13" t="s">
        <v>192</v>
      </c>
      <c r="C35" s="13" t="s">
        <v>824</v>
      </c>
      <c r="D35" s="13" t="s">
        <v>357</v>
      </c>
      <c r="E35" s="14" t="n">
        <v>28269</v>
      </c>
      <c r="F35" s="14" t="n">
        <v>28038</v>
      </c>
      <c r="G35" s="14" t="n">
        <v>18996</v>
      </c>
      <c r="H35" s="15" t="n">
        <v>0.6775</v>
      </c>
    </row>
    <row r="36" customFormat="false" ht="15" hidden="false" customHeight="true" outlineLevel="0" collapsed="false">
      <c r="A36" s="13" t="n">
        <v>2026</v>
      </c>
      <c r="B36" s="13" t="s">
        <v>192</v>
      </c>
      <c r="C36" s="13" t="s">
        <v>825</v>
      </c>
      <c r="D36" s="13" t="s">
        <v>357</v>
      </c>
      <c r="E36" s="14" t="n">
        <v>16597</v>
      </c>
      <c r="F36" s="14" t="n">
        <v>16082</v>
      </c>
      <c r="G36" s="14" t="n">
        <v>6251</v>
      </c>
      <c r="H36" s="15" t="n">
        <v>0.3886</v>
      </c>
    </row>
    <row r="37" customFormat="false" ht="15" hidden="false" customHeight="true" outlineLevel="0" collapsed="false">
      <c r="A37" s="13" t="n">
        <v>2026</v>
      </c>
      <c r="B37" s="13" t="s">
        <v>192</v>
      </c>
      <c r="C37" s="13" t="s">
        <v>137</v>
      </c>
      <c r="D37" s="13" t="s">
        <v>137</v>
      </c>
      <c r="E37" s="14" t="n">
        <v>62233</v>
      </c>
      <c r="F37" s="14" t="n">
        <v>61409</v>
      </c>
      <c r="G37" s="14" t="n">
        <v>36896</v>
      </c>
      <c r="H37" s="15" t="n">
        <v>0.6008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20"/>
    <col collapsed="false" customWidth="true" hidden="false" outlineLevel="0" max="3" min="3" style="13" width="12"/>
    <col collapsed="false" customWidth="true" hidden="false" outlineLevel="0" max="12" min="4" style="13" width="14"/>
  </cols>
  <sheetData>
    <row r="1" customFormat="false" ht="15" hidden="false" customHeight="true" outlineLevel="0" collapsed="false">
      <c r="A1" s="13" t="s">
        <v>3</v>
      </c>
      <c r="B1" s="13" t="s">
        <v>210</v>
      </c>
      <c r="C1" s="13" t="s">
        <v>483</v>
      </c>
      <c r="D1" s="13" t="s">
        <v>826</v>
      </c>
      <c r="E1" s="13" t="s">
        <v>827</v>
      </c>
      <c r="F1" s="13" t="s">
        <v>828</v>
      </c>
      <c r="G1" s="13" t="s">
        <v>829</v>
      </c>
      <c r="H1" s="13" t="s">
        <v>830</v>
      </c>
      <c r="I1" s="13" t="s">
        <v>831</v>
      </c>
      <c r="J1" s="13" t="s">
        <v>832</v>
      </c>
      <c r="K1" s="13" t="s">
        <v>833</v>
      </c>
      <c r="L1" s="13" t="s">
        <v>834</v>
      </c>
    </row>
    <row r="2" customFormat="false" ht="15" hidden="false" customHeight="true" outlineLevel="0" collapsed="false">
      <c r="A2" s="13" t="n">
        <v>2024</v>
      </c>
      <c r="B2" s="13" t="s">
        <v>835</v>
      </c>
      <c r="C2" s="13" t="s">
        <v>357</v>
      </c>
      <c r="D2" s="14" t="n">
        <v>6821</v>
      </c>
      <c r="E2" s="14" t="n">
        <v>4498</v>
      </c>
      <c r="F2" s="15" t="n">
        <v>0.6594</v>
      </c>
      <c r="G2" s="14" t="n">
        <v>2481</v>
      </c>
      <c r="H2" s="14" t="n">
        <v>792</v>
      </c>
      <c r="I2" s="15" t="n">
        <v>0.3192</v>
      </c>
      <c r="J2" s="14" t="n">
        <v>9302</v>
      </c>
      <c r="K2" s="14" t="n">
        <v>5290</v>
      </c>
      <c r="L2" s="15" t="n">
        <v>0.5686</v>
      </c>
    </row>
    <row r="3" customFormat="false" ht="15" hidden="false" customHeight="true" outlineLevel="0" collapsed="false">
      <c r="A3" s="13" t="n">
        <v>2024</v>
      </c>
      <c r="B3" s="13" t="s">
        <v>836</v>
      </c>
      <c r="C3" s="13" t="s">
        <v>357</v>
      </c>
      <c r="D3" s="14" t="n">
        <v>8150</v>
      </c>
      <c r="E3" s="14" t="n">
        <v>5296</v>
      </c>
      <c r="F3" s="15" t="n">
        <v>0.6498</v>
      </c>
      <c r="G3" s="14" t="n">
        <v>1869</v>
      </c>
      <c r="H3" s="14" t="n">
        <v>725</v>
      </c>
      <c r="I3" s="15" t="n">
        <v>0.3879</v>
      </c>
      <c r="J3" s="14" t="n">
        <v>10019</v>
      </c>
      <c r="K3" s="14" t="n">
        <v>6021</v>
      </c>
      <c r="L3" s="15" t="n">
        <v>0.6009</v>
      </c>
    </row>
    <row r="4" customFormat="false" ht="15" hidden="false" customHeight="true" outlineLevel="0" collapsed="false">
      <c r="A4" s="13" t="n">
        <v>2024</v>
      </c>
      <c r="B4" s="13" t="s">
        <v>837</v>
      </c>
      <c r="C4" s="13" t="s">
        <v>357</v>
      </c>
      <c r="D4" s="14" t="n">
        <v>6801</v>
      </c>
      <c r="E4" s="14" t="n">
        <v>4447</v>
      </c>
      <c r="F4" s="15" t="n">
        <v>0.6538</v>
      </c>
      <c r="G4" s="14" t="n">
        <v>2555</v>
      </c>
      <c r="H4" s="14" t="n">
        <v>841</v>
      </c>
      <c r="I4" s="15" t="n">
        <v>0.3291</v>
      </c>
      <c r="J4" s="14" t="n">
        <v>9356</v>
      </c>
      <c r="K4" s="14" t="n">
        <v>5288</v>
      </c>
      <c r="L4" s="15" t="n">
        <v>0.5651</v>
      </c>
    </row>
    <row r="5" customFormat="false" ht="15" hidden="false" customHeight="true" outlineLevel="0" collapsed="false">
      <c r="A5" s="13" t="n">
        <v>2024</v>
      </c>
      <c r="B5" s="13" t="s">
        <v>47</v>
      </c>
      <c r="C5" s="13" t="s">
        <v>357</v>
      </c>
      <c r="D5" s="14" t="n">
        <v>20127</v>
      </c>
      <c r="E5" s="14" t="n">
        <v>13150</v>
      </c>
      <c r="F5" s="15" t="n">
        <v>0.6533</v>
      </c>
      <c r="G5" s="14" t="n">
        <v>8383</v>
      </c>
      <c r="H5" s="14" t="n">
        <v>2854</v>
      </c>
      <c r="I5" s="15" t="n">
        <v>0.3404</v>
      </c>
      <c r="J5" s="14" t="n">
        <v>28510</v>
      </c>
      <c r="K5" s="14" t="n">
        <v>16004</v>
      </c>
      <c r="L5" s="15" t="n">
        <v>0.5613</v>
      </c>
    </row>
    <row r="6" customFormat="false" ht="15" hidden="false" customHeight="true" outlineLevel="0" collapsed="false">
      <c r="A6" s="13" t="n">
        <v>2024</v>
      </c>
      <c r="B6" s="13" t="s">
        <v>838</v>
      </c>
      <c r="C6" s="13" t="s">
        <v>357</v>
      </c>
      <c r="D6" s="14" t="n">
        <v>3066</v>
      </c>
      <c r="E6" s="14" t="n">
        <v>1982</v>
      </c>
      <c r="F6" s="15" t="n">
        <v>0.6464</v>
      </c>
      <c r="G6" s="14" t="n">
        <v>1058</v>
      </c>
      <c r="H6" s="14" t="n">
        <v>355</v>
      </c>
      <c r="I6" s="15" t="n">
        <v>0.3355</v>
      </c>
      <c r="J6" s="14" t="n">
        <v>4124</v>
      </c>
      <c r="K6" s="14" t="n">
        <v>2337</v>
      </c>
      <c r="L6" s="15" t="n">
        <v>0.5666</v>
      </c>
    </row>
    <row r="7" customFormat="false" ht="15" hidden="false" customHeight="true" outlineLevel="0" collapsed="false">
      <c r="A7" s="13" t="n">
        <v>2024</v>
      </c>
      <c r="B7" s="13" t="s">
        <v>839</v>
      </c>
      <c r="C7" s="13" t="s">
        <v>357</v>
      </c>
      <c r="D7" s="14" t="n">
        <v>1235</v>
      </c>
      <c r="E7" s="14" t="n">
        <v>754</v>
      </c>
      <c r="F7" s="15" t="n">
        <v>0.6105</v>
      </c>
      <c r="G7" s="14" t="n">
        <v>745</v>
      </c>
      <c r="H7" s="14" t="n">
        <v>223</v>
      </c>
      <c r="I7" s="15" t="n">
        <v>0.2993</v>
      </c>
      <c r="J7" s="14" t="n">
        <v>1980</v>
      </c>
      <c r="K7" s="14" t="n">
        <v>977</v>
      </c>
      <c r="L7" s="15" t="n">
        <v>0.4934</v>
      </c>
    </row>
    <row r="8" customFormat="false" ht="15" hidden="false" customHeight="true" outlineLevel="0" collapsed="false">
      <c r="A8" s="13" t="n">
        <v>2024</v>
      </c>
      <c r="B8" s="13" t="s">
        <v>840</v>
      </c>
      <c r="C8" s="13" t="s">
        <v>192</v>
      </c>
      <c r="D8" s="14" t="n">
        <f aca="false">SUM(D2:D7)</f>
        <v>46200</v>
      </c>
      <c r="E8" s="14" t="n">
        <f aca="false">SUM(E2:E7)</f>
        <v>30127</v>
      </c>
      <c r="F8" s="15" t="n">
        <f aca="false">E8/D8</f>
        <v>0.652099567099567</v>
      </c>
      <c r="G8" s="14" t="n">
        <f aca="false">SUM(G2:G7)</f>
        <v>17091</v>
      </c>
      <c r="H8" s="14" t="n">
        <f aca="false">SUM(H2:H7)</f>
        <v>5790</v>
      </c>
      <c r="I8" s="15" t="n">
        <f aca="false">H8/G8</f>
        <v>0.338774793751097</v>
      </c>
      <c r="J8" s="14" t="n">
        <f aca="false">SUM(J2:J7)</f>
        <v>63291</v>
      </c>
      <c r="K8" s="14" t="n">
        <f aca="false">SUM(K2:K7)</f>
        <v>35917</v>
      </c>
      <c r="L8" s="15" t="n">
        <f aca="false">K8/J8</f>
        <v>0.567489848477667</v>
      </c>
    </row>
    <row r="9" customFormat="false" ht="15" hidden="false" customHeight="true" outlineLevel="0" collapsed="false">
      <c r="A9" s="13" t="n">
        <v>2025</v>
      </c>
      <c r="B9" s="13" t="s">
        <v>835</v>
      </c>
      <c r="C9" s="13" t="s">
        <v>357</v>
      </c>
      <c r="D9" s="14" t="n">
        <v>6435</v>
      </c>
      <c r="E9" s="14" t="n">
        <v>4071</v>
      </c>
      <c r="F9" s="15" t="n">
        <v>0.633</v>
      </c>
      <c r="G9" s="14" t="n">
        <v>2466</v>
      </c>
      <c r="H9" s="14" t="n">
        <v>761</v>
      </c>
      <c r="I9" s="15" t="n">
        <v>0.308</v>
      </c>
      <c r="J9" s="14" t="n">
        <v>8901</v>
      </c>
      <c r="K9" s="14" t="n">
        <v>4832</v>
      </c>
      <c r="L9" s="15" t="n">
        <v>0.54</v>
      </c>
    </row>
    <row r="10" customFormat="false" ht="15" hidden="false" customHeight="true" outlineLevel="0" collapsed="false">
      <c r="A10" s="13" t="n">
        <v>2025</v>
      </c>
      <c r="B10" s="13" t="s">
        <v>836</v>
      </c>
      <c r="C10" s="13" t="s">
        <v>357</v>
      </c>
      <c r="D10" s="14" t="n">
        <v>7148</v>
      </c>
      <c r="E10" s="14" t="n">
        <v>4437</v>
      </c>
      <c r="F10" s="15" t="n">
        <v>0.62</v>
      </c>
      <c r="G10" s="14" t="n">
        <v>1943</v>
      </c>
      <c r="H10" s="14" t="n">
        <v>654</v>
      </c>
      <c r="I10" s="15" t="n">
        <v>0.34</v>
      </c>
      <c r="J10" s="14" t="n">
        <v>9091</v>
      </c>
      <c r="K10" s="14" t="n">
        <v>5091</v>
      </c>
      <c r="L10" s="15" t="n">
        <v>0.56</v>
      </c>
    </row>
    <row r="11" customFormat="false" ht="15" hidden="false" customHeight="true" outlineLevel="0" collapsed="false">
      <c r="A11" s="13" t="n">
        <v>2025</v>
      </c>
      <c r="B11" s="13" t="s">
        <v>837</v>
      </c>
      <c r="C11" s="13" t="s">
        <v>357</v>
      </c>
      <c r="D11" s="14" t="n">
        <v>6280</v>
      </c>
      <c r="E11" s="14" t="n">
        <v>3998</v>
      </c>
      <c r="F11" s="15" t="n">
        <v>0.64</v>
      </c>
      <c r="G11" s="14" t="n">
        <v>2585</v>
      </c>
      <c r="H11" s="14" t="n">
        <v>925</v>
      </c>
      <c r="I11" s="15" t="n">
        <v>0.36</v>
      </c>
      <c r="J11" s="14" t="n">
        <v>8865</v>
      </c>
      <c r="K11" s="14" t="n">
        <v>4923</v>
      </c>
      <c r="L11" s="15" t="n">
        <v>0.555</v>
      </c>
    </row>
    <row r="12" customFormat="false" ht="15" hidden="false" customHeight="true" outlineLevel="0" collapsed="false">
      <c r="A12" s="13" t="n">
        <v>2025</v>
      </c>
      <c r="B12" s="13" t="s">
        <v>47</v>
      </c>
      <c r="C12" s="13" t="s">
        <v>357</v>
      </c>
      <c r="D12" s="14" t="n">
        <v>18483</v>
      </c>
      <c r="E12" s="14" t="n">
        <v>11961</v>
      </c>
      <c r="F12" s="15" t="n">
        <v>0.65</v>
      </c>
      <c r="G12" s="14" t="n">
        <v>7798</v>
      </c>
      <c r="H12" s="14" t="n">
        <v>2418</v>
      </c>
      <c r="I12" s="15" t="n">
        <v>0.31</v>
      </c>
      <c r="J12" s="14" t="n">
        <v>26281</v>
      </c>
      <c r="K12" s="14" t="n">
        <v>14379</v>
      </c>
      <c r="L12" s="15" t="n">
        <v>0.55</v>
      </c>
    </row>
    <row r="13" customFormat="false" ht="15" hidden="false" customHeight="true" outlineLevel="0" collapsed="false">
      <c r="A13" s="13" t="n">
        <v>2025</v>
      </c>
      <c r="B13" s="13" t="s">
        <v>838</v>
      </c>
      <c r="C13" s="13" t="s">
        <v>357</v>
      </c>
      <c r="D13" s="14" t="n">
        <v>2535</v>
      </c>
      <c r="E13" s="14" t="n">
        <v>1589</v>
      </c>
      <c r="F13" s="15" t="n">
        <v>0.63</v>
      </c>
      <c r="G13" s="14" t="n">
        <v>1104</v>
      </c>
      <c r="H13" s="14" t="n">
        <v>346</v>
      </c>
      <c r="I13" s="15" t="n">
        <v>0.313</v>
      </c>
      <c r="J13" s="14" t="n">
        <v>3639</v>
      </c>
      <c r="K13" s="14" t="n">
        <v>1935</v>
      </c>
      <c r="L13" s="15" t="n">
        <v>0.53</v>
      </c>
    </row>
    <row r="14" customFormat="false" ht="15" hidden="false" customHeight="true" outlineLevel="0" collapsed="false">
      <c r="A14" s="13" t="n">
        <v>2025</v>
      </c>
      <c r="B14" s="13" t="s">
        <v>839</v>
      </c>
      <c r="C14" s="13" t="s">
        <v>357</v>
      </c>
      <c r="D14" s="14" t="n">
        <v>1383</v>
      </c>
      <c r="E14" s="14" t="n">
        <v>610</v>
      </c>
      <c r="F14" s="15" t="n">
        <v>0.44</v>
      </c>
      <c r="G14" s="14" t="n">
        <v>780</v>
      </c>
      <c r="H14" s="14" t="n">
        <v>128</v>
      </c>
      <c r="I14" s="15" t="n">
        <v>0.164</v>
      </c>
      <c r="J14" s="14" t="n">
        <v>2163</v>
      </c>
      <c r="K14" s="14" t="n">
        <v>738</v>
      </c>
      <c r="L14" s="15" t="n">
        <v>0.34</v>
      </c>
    </row>
    <row r="15" customFormat="false" ht="15" hidden="false" customHeight="true" outlineLevel="0" collapsed="false">
      <c r="A15" s="13" t="n">
        <v>2025</v>
      </c>
      <c r="B15" s="13" t="s">
        <v>840</v>
      </c>
      <c r="C15" s="13" t="s">
        <v>192</v>
      </c>
      <c r="D15" s="14" t="n">
        <f aca="false">SUM(D9:D14)</f>
        <v>42264</v>
      </c>
      <c r="E15" s="14" t="n">
        <f aca="false">SUM(E9:E14)</f>
        <v>26666</v>
      </c>
      <c r="F15" s="15" t="n">
        <f aca="false">E15/D15</f>
        <v>0.63093886049593</v>
      </c>
      <c r="G15" s="14" t="n">
        <f aca="false">SUM(G9:G14)</f>
        <v>16676</v>
      </c>
      <c r="H15" s="14" t="n">
        <f aca="false">SUM(H9:H14)</f>
        <v>5232</v>
      </c>
      <c r="I15" s="15" t="n">
        <f aca="false">H15/G15</f>
        <v>0.313744303190213</v>
      </c>
      <c r="J15" s="14" t="n">
        <f aca="false">SUM(J9:J14)</f>
        <v>58940</v>
      </c>
      <c r="K15" s="14" t="n">
        <f aca="false">SUM(K9:K14)</f>
        <v>31898</v>
      </c>
      <c r="L15" s="15" t="n">
        <f aca="false">K15/J15</f>
        <v>0.541194435018663</v>
      </c>
    </row>
    <row r="16" customFormat="false" ht="15" hidden="false" customHeight="true" outlineLevel="0" collapsed="false">
      <c r="A16" s="13" t="n">
        <v>2026</v>
      </c>
      <c r="B16" s="13" t="s">
        <v>835</v>
      </c>
      <c r="C16" s="13" t="s">
        <v>357</v>
      </c>
      <c r="D16" s="14" t="n">
        <v>6700</v>
      </c>
      <c r="E16" s="14" t="n">
        <v>4614</v>
      </c>
      <c r="F16" s="15" t="n">
        <v>0.6886</v>
      </c>
      <c r="G16" s="14" t="n">
        <v>2368</v>
      </c>
      <c r="H16" s="14" t="n">
        <v>937</v>
      </c>
      <c r="I16" s="15" t="n">
        <v>0.3956</v>
      </c>
      <c r="J16" s="14" t="n">
        <v>9068</v>
      </c>
      <c r="K16" s="14" t="n">
        <v>5551</v>
      </c>
      <c r="L16" s="15" t="n">
        <v>0.6121</v>
      </c>
    </row>
    <row r="17" customFormat="false" ht="15" hidden="false" customHeight="true" outlineLevel="0" collapsed="false">
      <c r="A17" s="13" t="n">
        <v>2026</v>
      </c>
      <c r="B17" s="13" t="s">
        <v>836</v>
      </c>
      <c r="C17" s="13" t="s">
        <v>357</v>
      </c>
      <c r="D17" s="14" t="n">
        <v>7796</v>
      </c>
      <c r="E17" s="14" t="n">
        <v>5205</v>
      </c>
      <c r="F17" s="15" t="n">
        <v>0.6676</v>
      </c>
      <c r="G17" s="14" t="n">
        <v>1867</v>
      </c>
      <c r="H17" s="14" t="n">
        <v>804</v>
      </c>
      <c r="I17" s="15" t="n">
        <v>0.4306</v>
      </c>
      <c r="J17" s="14" t="n">
        <v>9663</v>
      </c>
      <c r="K17" s="14" t="n">
        <v>6009</v>
      </c>
      <c r="L17" s="15" t="n">
        <v>0.6218</v>
      </c>
    </row>
    <row r="18" customFormat="false" ht="15" hidden="false" customHeight="true" outlineLevel="0" collapsed="false">
      <c r="A18" s="13" t="n">
        <v>2026</v>
      </c>
      <c r="B18" s="13" t="s">
        <v>837</v>
      </c>
      <c r="C18" s="13" t="s">
        <v>357</v>
      </c>
      <c r="D18" s="14" t="n">
        <v>6921</v>
      </c>
      <c r="E18" s="14" t="n">
        <v>4792</v>
      </c>
      <c r="F18" s="15" t="n">
        <v>0.6923</v>
      </c>
      <c r="G18" s="14" t="n">
        <v>2603</v>
      </c>
      <c r="H18" s="14" t="n">
        <v>1086</v>
      </c>
      <c r="I18" s="15" t="n">
        <v>0.4172</v>
      </c>
      <c r="J18" s="14" t="n">
        <v>9524</v>
      </c>
      <c r="K18" s="14" t="n">
        <v>5878</v>
      </c>
      <c r="L18" s="15" t="n">
        <v>0.6171</v>
      </c>
    </row>
    <row r="19" customFormat="false" ht="15" hidden="false" customHeight="true" outlineLevel="0" collapsed="false">
      <c r="A19" s="13" t="n">
        <v>2026</v>
      </c>
      <c r="B19" s="13" t="s">
        <v>47</v>
      </c>
      <c r="C19" s="13" t="s">
        <v>357</v>
      </c>
      <c r="D19" s="14" t="n">
        <v>19383</v>
      </c>
      <c r="E19" s="14" t="n">
        <v>13191</v>
      </c>
      <c r="F19" s="15" t="n">
        <v>0.6805</v>
      </c>
      <c r="G19" s="14" t="n">
        <v>7557</v>
      </c>
      <c r="H19" s="14" t="n">
        <v>2813</v>
      </c>
      <c r="I19" s="15" t="n">
        <v>0.3722</v>
      </c>
      <c r="J19" s="14" t="n">
        <v>26940</v>
      </c>
      <c r="K19" s="14" t="n">
        <v>16004</v>
      </c>
      <c r="L19" s="15" t="n">
        <v>0.594</v>
      </c>
    </row>
    <row r="20" customFormat="false" ht="15" hidden="false" customHeight="true" outlineLevel="0" collapsed="false">
      <c r="A20" s="13" t="n">
        <v>2026</v>
      </c>
      <c r="B20" s="13" t="s">
        <v>838</v>
      </c>
      <c r="C20" s="13" t="s">
        <v>357</v>
      </c>
      <c r="D20" s="14" t="n">
        <v>3108</v>
      </c>
      <c r="E20" s="14" t="n">
        <v>2148</v>
      </c>
      <c r="F20" s="15" t="n">
        <v>0.6911</v>
      </c>
      <c r="G20" s="14" t="n">
        <v>940</v>
      </c>
      <c r="H20" s="14" t="n">
        <v>415</v>
      </c>
      <c r="I20" s="15" t="n">
        <v>0.4414</v>
      </c>
      <c r="J20" s="14" t="n">
        <v>4048</v>
      </c>
      <c r="K20" s="14" t="n">
        <v>2563</v>
      </c>
      <c r="L20" s="15" t="n">
        <v>0.6331</v>
      </c>
    </row>
    <row r="21" customFormat="false" ht="15" hidden="false" customHeight="true" outlineLevel="0" collapsed="false">
      <c r="A21" s="13" t="n">
        <v>2026</v>
      </c>
      <c r="B21" s="13" t="s">
        <v>839</v>
      </c>
      <c r="C21" s="13" t="s">
        <v>357</v>
      </c>
      <c r="D21" s="14" t="n">
        <v>1419</v>
      </c>
      <c r="E21" s="14" t="n">
        <v>695</v>
      </c>
      <c r="F21" s="15" t="n">
        <v>0.4897</v>
      </c>
      <c r="G21" s="14" t="n">
        <v>747</v>
      </c>
      <c r="H21" s="14" t="n">
        <v>196</v>
      </c>
      <c r="I21" s="15" t="n">
        <v>0.2623</v>
      </c>
      <c r="J21" s="14" t="n">
        <v>2166</v>
      </c>
      <c r="K21" s="14" t="n">
        <v>891</v>
      </c>
      <c r="L21" s="15" t="n">
        <v>0.4113</v>
      </c>
    </row>
    <row r="22" customFormat="false" ht="15" hidden="false" customHeight="true" outlineLevel="0" collapsed="false">
      <c r="A22" s="13" t="n">
        <v>2026</v>
      </c>
      <c r="B22" s="13" t="s">
        <v>840</v>
      </c>
      <c r="C22" s="13" t="s">
        <v>192</v>
      </c>
      <c r="D22" s="14" t="n">
        <f aca="false">SUM(D16:D21)</f>
        <v>45327</v>
      </c>
      <c r="E22" s="14" t="n">
        <f aca="false">SUM(E16:E21)</f>
        <v>30645</v>
      </c>
      <c r="F22" s="15" t="n">
        <f aca="false">E22/D22</f>
        <v>0.676087100403733</v>
      </c>
      <c r="G22" s="14" t="n">
        <f aca="false">SUM(G16:G21)</f>
        <v>16082</v>
      </c>
      <c r="H22" s="14" t="n">
        <f aca="false">SUM(H16:H21)</f>
        <v>6251</v>
      </c>
      <c r="I22" s="15" t="n">
        <f aca="false">H22/G22</f>
        <v>0.388695435891058</v>
      </c>
      <c r="J22" s="14" t="n">
        <f aca="false">SUM(J16:J21)</f>
        <v>61409</v>
      </c>
      <c r="K22" s="14" t="n">
        <f aca="false">SUM(K16:K21)</f>
        <v>36896</v>
      </c>
      <c r="L22" s="15" t="n">
        <f aca="false">K22/J22</f>
        <v>0.600823983455194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4"/>
    <col collapsed="false" customWidth="true" hidden="false" outlineLevel="0" max="3" min="3" style="13" width="26"/>
    <col collapsed="false" customWidth="true" hidden="false" outlineLevel="0" max="19" min="4" style="13" width="12"/>
  </cols>
  <sheetData>
    <row r="1" customFormat="false" ht="15" hidden="false" customHeight="true" outlineLevel="0" collapsed="false">
      <c r="A1" s="13" t="s">
        <v>3</v>
      </c>
      <c r="B1" s="13" t="s">
        <v>841</v>
      </c>
      <c r="C1" s="13" t="s">
        <v>114</v>
      </c>
      <c r="D1" s="13" t="s">
        <v>113</v>
      </c>
      <c r="E1" s="13" t="s">
        <v>812</v>
      </c>
      <c r="F1" s="13" t="s">
        <v>813</v>
      </c>
      <c r="G1" s="13" t="s">
        <v>4</v>
      </c>
      <c r="H1" s="13" t="s">
        <v>842</v>
      </c>
      <c r="I1" s="13" t="s">
        <v>5</v>
      </c>
      <c r="J1" s="13" t="s">
        <v>199</v>
      </c>
      <c r="K1" s="13" t="s">
        <v>116</v>
      </c>
      <c r="L1" s="13" t="s">
        <v>117</v>
      </c>
      <c r="M1" s="13" t="s">
        <v>118</v>
      </c>
      <c r="N1" s="13" t="s">
        <v>119</v>
      </c>
      <c r="O1" s="13" t="s">
        <v>120</v>
      </c>
      <c r="P1" s="13" t="s">
        <v>843</v>
      </c>
      <c r="Q1" s="13" t="s">
        <v>480</v>
      </c>
      <c r="R1" s="13" t="s">
        <v>374</v>
      </c>
      <c r="S1" s="13" t="s">
        <v>109</v>
      </c>
    </row>
    <row r="2" customFormat="false" ht="15" hidden="false" customHeight="true" outlineLevel="0" collapsed="false">
      <c r="A2" s="13" t="n">
        <v>2024</v>
      </c>
      <c r="B2" s="13" t="s">
        <v>844</v>
      </c>
      <c r="C2" s="13" t="s">
        <v>845</v>
      </c>
      <c r="D2" s="13" t="s">
        <v>846</v>
      </c>
      <c r="E2" s="14" t="n">
        <v>64232</v>
      </c>
      <c r="F2" s="14" t="n">
        <v>24</v>
      </c>
      <c r="G2" s="14" t="n">
        <v>63291</v>
      </c>
      <c r="H2" s="14" t="n">
        <v>0</v>
      </c>
      <c r="I2" s="14" t="n">
        <v>35922</v>
      </c>
      <c r="J2" s="14" t="n">
        <v>2632</v>
      </c>
      <c r="K2" s="14" t="n">
        <v>5408</v>
      </c>
      <c r="L2" s="14" t="n">
        <v>9666</v>
      </c>
      <c r="M2" s="14" t="n">
        <v>12243</v>
      </c>
      <c r="N2" s="14" t="n">
        <v>5612</v>
      </c>
      <c r="O2" s="14" t="n">
        <v>356</v>
      </c>
      <c r="P2" s="14" t="n">
        <v>108</v>
      </c>
      <c r="Q2" s="15" t="n">
        <v>0.5676</v>
      </c>
      <c r="R2" s="14" t="n">
        <v>27261</v>
      </c>
      <c r="S2" s="14" t="n">
        <v>917</v>
      </c>
    </row>
    <row r="3" customFormat="false" ht="15" hidden="false" customHeight="true" outlineLevel="0" collapsed="false">
      <c r="A3" s="13" t="n">
        <v>2024</v>
      </c>
      <c r="B3" s="13" t="s">
        <v>844</v>
      </c>
      <c r="C3" s="13" t="s">
        <v>845</v>
      </c>
      <c r="D3" s="13" t="s">
        <v>124</v>
      </c>
      <c r="E3" s="14" t="n">
        <v>25101</v>
      </c>
      <c r="F3" s="14" t="n">
        <v>16</v>
      </c>
      <c r="G3" s="14" t="n">
        <v>24557</v>
      </c>
      <c r="H3" s="14" t="n">
        <v>0</v>
      </c>
      <c r="I3" s="14" t="n">
        <v>11266</v>
      </c>
      <c r="J3" s="14" t="n">
        <v>698</v>
      </c>
      <c r="K3" s="14" t="n">
        <v>1502</v>
      </c>
      <c r="L3" s="14" t="n">
        <v>2554</v>
      </c>
      <c r="M3" s="14" t="n">
        <v>3980</v>
      </c>
      <c r="N3" s="14" t="n">
        <v>2337</v>
      </c>
      <c r="O3" s="14" t="n">
        <v>192</v>
      </c>
      <c r="P3" s="14" t="n">
        <v>50</v>
      </c>
      <c r="Q3" s="15" t="n">
        <v>0.4588</v>
      </c>
      <c r="R3" s="14" t="n">
        <v>13241</v>
      </c>
      <c r="S3" s="14" t="n">
        <v>528</v>
      </c>
    </row>
    <row r="4" customFormat="false" ht="15" hidden="false" customHeight="true" outlineLevel="0" collapsed="false">
      <c r="A4" s="13" t="n">
        <v>2024</v>
      </c>
      <c r="B4" s="13" t="s">
        <v>844</v>
      </c>
      <c r="C4" s="13" t="s">
        <v>845</v>
      </c>
      <c r="D4" s="13" t="s">
        <v>122</v>
      </c>
      <c r="E4" s="14" t="n">
        <v>39131</v>
      </c>
      <c r="F4" s="14" t="n">
        <v>8</v>
      </c>
      <c r="G4" s="14" t="n">
        <v>38734</v>
      </c>
      <c r="H4" s="14" t="n">
        <v>0</v>
      </c>
      <c r="I4" s="14" t="n">
        <v>24656</v>
      </c>
      <c r="J4" s="14" t="n">
        <v>1934</v>
      </c>
      <c r="K4" s="14" t="n">
        <v>3906</v>
      </c>
      <c r="L4" s="14" t="n">
        <v>7112</v>
      </c>
      <c r="M4" s="14" t="n">
        <v>8263</v>
      </c>
      <c r="N4" s="14" t="n">
        <v>3275</v>
      </c>
      <c r="O4" s="14" t="n">
        <v>164</v>
      </c>
      <c r="P4" s="14" t="n">
        <v>58</v>
      </c>
      <c r="Q4" s="15" t="n">
        <v>0.6365</v>
      </c>
      <c r="R4" s="14" t="n">
        <v>14020</v>
      </c>
      <c r="S4" s="14" t="n">
        <v>389</v>
      </c>
    </row>
    <row r="5" customFormat="false" ht="15" hidden="false" customHeight="true" outlineLevel="0" collapsed="false">
      <c r="A5" s="13" t="n">
        <v>2024</v>
      </c>
      <c r="B5" s="13" t="s">
        <v>844</v>
      </c>
      <c r="C5" s="13" t="s">
        <v>847</v>
      </c>
      <c r="D5" s="13" t="s">
        <v>846</v>
      </c>
      <c r="E5" s="14" t="n">
        <v>17675</v>
      </c>
      <c r="F5" s="14" t="n">
        <v>14</v>
      </c>
      <c r="G5" s="14" t="n">
        <v>17091</v>
      </c>
      <c r="H5" s="14" t="n">
        <v>0</v>
      </c>
      <c r="I5" s="14" t="n">
        <v>5795</v>
      </c>
      <c r="J5" s="14" t="n">
        <v>296</v>
      </c>
      <c r="K5" s="14" t="n">
        <v>313</v>
      </c>
      <c r="L5" s="14" t="n">
        <v>735</v>
      </c>
      <c r="M5" s="14" t="n">
        <v>1721</v>
      </c>
      <c r="N5" s="14" t="n">
        <v>2423</v>
      </c>
      <c r="O5" s="14" t="n">
        <v>302</v>
      </c>
      <c r="P5" s="14" t="n">
        <v>98</v>
      </c>
      <c r="Q5" s="15" t="n">
        <v>0.3391</v>
      </c>
      <c r="R5" s="14" t="n">
        <v>11198</v>
      </c>
      <c r="S5" s="14" t="n">
        <v>570</v>
      </c>
    </row>
    <row r="6" customFormat="false" ht="15" hidden="false" customHeight="true" outlineLevel="0" collapsed="false">
      <c r="A6" s="13" t="n">
        <v>2024</v>
      </c>
      <c r="B6" s="13" t="s">
        <v>844</v>
      </c>
      <c r="C6" s="13" t="s">
        <v>847</v>
      </c>
      <c r="D6" s="13" t="s">
        <v>124</v>
      </c>
      <c r="E6" s="14" t="n">
        <v>8232</v>
      </c>
      <c r="F6" s="14" t="n">
        <v>10</v>
      </c>
      <c r="G6" s="14" t="n">
        <v>7852</v>
      </c>
      <c r="H6" s="14" t="n">
        <v>0</v>
      </c>
      <c r="I6" s="14" t="n">
        <v>2133</v>
      </c>
      <c r="J6" s="14" t="n">
        <v>64</v>
      </c>
      <c r="K6" s="14" t="n">
        <v>83</v>
      </c>
      <c r="L6" s="14" t="n">
        <v>185</v>
      </c>
      <c r="M6" s="14" t="n">
        <v>610</v>
      </c>
      <c r="N6" s="14" t="n">
        <v>1022</v>
      </c>
      <c r="O6" s="14" t="n">
        <v>166</v>
      </c>
      <c r="P6" s="14" t="n">
        <v>48</v>
      </c>
      <c r="Q6" s="15" t="n">
        <v>0.2717</v>
      </c>
      <c r="R6" s="14" t="n">
        <v>5671</v>
      </c>
      <c r="S6" s="14" t="n">
        <v>370</v>
      </c>
    </row>
    <row r="7" customFormat="false" ht="15" hidden="false" customHeight="true" outlineLevel="0" collapsed="false">
      <c r="A7" s="13" t="n">
        <v>2024</v>
      </c>
      <c r="B7" s="13" t="s">
        <v>844</v>
      </c>
      <c r="C7" s="13" t="s">
        <v>847</v>
      </c>
      <c r="D7" s="13" t="s">
        <v>122</v>
      </c>
      <c r="E7" s="14" t="n">
        <v>9443</v>
      </c>
      <c r="F7" s="14" t="n">
        <v>4</v>
      </c>
      <c r="G7" s="14" t="n">
        <v>9239</v>
      </c>
      <c r="H7" s="14" t="n">
        <v>0</v>
      </c>
      <c r="I7" s="14" t="n">
        <v>3662</v>
      </c>
      <c r="J7" s="14" t="n">
        <v>232</v>
      </c>
      <c r="K7" s="14" t="n">
        <v>230</v>
      </c>
      <c r="L7" s="14" t="n">
        <v>550</v>
      </c>
      <c r="M7" s="14" t="n">
        <v>1111</v>
      </c>
      <c r="N7" s="14" t="n">
        <v>1401</v>
      </c>
      <c r="O7" s="14" t="n">
        <v>136</v>
      </c>
      <c r="P7" s="14" t="n">
        <v>50</v>
      </c>
      <c r="Q7" s="15" t="n">
        <v>0.3964</v>
      </c>
      <c r="R7" s="14" t="n">
        <v>5527</v>
      </c>
      <c r="S7" s="14" t="n">
        <v>200</v>
      </c>
    </row>
    <row r="8" customFormat="false" ht="15" hidden="false" customHeight="true" outlineLevel="0" collapsed="false">
      <c r="A8" s="13" t="n">
        <v>2024</v>
      </c>
      <c r="B8" s="13" t="s">
        <v>844</v>
      </c>
      <c r="C8" s="13" t="s">
        <v>128</v>
      </c>
      <c r="D8" s="13" t="s">
        <v>846</v>
      </c>
      <c r="E8" s="14" t="n">
        <v>9805</v>
      </c>
      <c r="F8" s="14" t="n">
        <v>4</v>
      </c>
      <c r="G8" s="14" t="n">
        <v>9433</v>
      </c>
      <c r="H8" s="14" t="n">
        <v>0</v>
      </c>
      <c r="I8" s="14" t="n">
        <v>2912</v>
      </c>
      <c r="J8" s="14" t="n">
        <v>18</v>
      </c>
      <c r="K8" s="14" t="n">
        <v>201</v>
      </c>
      <c r="L8" s="14" t="n">
        <v>538</v>
      </c>
      <c r="M8" s="14" t="n">
        <v>908</v>
      </c>
      <c r="N8" s="14" t="n">
        <v>1073</v>
      </c>
      <c r="O8" s="14" t="n">
        <v>170</v>
      </c>
      <c r="P8" s="14" t="n">
        <v>27</v>
      </c>
      <c r="Q8" s="15" t="n">
        <v>0.3087</v>
      </c>
      <c r="R8" s="14" t="n">
        <v>6494</v>
      </c>
      <c r="S8" s="14" t="n">
        <v>368</v>
      </c>
    </row>
    <row r="9" customFormat="false" ht="15" hidden="false" customHeight="true" outlineLevel="0" collapsed="false">
      <c r="A9" s="13" t="n">
        <v>2024</v>
      </c>
      <c r="B9" s="13" t="s">
        <v>844</v>
      </c>
      <c r="C9" s="13" t="s">
        <v>128</v>
      </c>
      <c r="D9" s="13" t="s">
        <v>124</v>
      </c>
      <c r="E9" s="14" t="n">
        <v>4012</v>
      </c>
      <c r="F9" s="14" t="n">
        <v>2</v>
      </c>
      <c r="G9" s="14" t="n">
        <v>3764</v>
      </c>
      <c r="H9" s="14" t="n">
        <v>0</v>
      </c>
      <c r="I9" s="14" t="n">
        <v>833</v>
      </c>
      <c r="J9" s="14" t="n">
        <v>6</v>
      </c>
      <c r="K9" s="14" t="n">
        <v>46</v>
      </c>
      <c r="L9" s="14" t="n">
        <v>107</v>
      </c>
      <c r="M9" s="14" t="n">
        <v>242</v>
      </c>
      <c r="N9" s="14" t="n">
        <v>349</v>
      </c>
      <c r="O9" s="14" t="n">
        <v>80</v>
      </c>
      <c r="P9" s="14" t="n">
        <v>14</v>
      </c>
      <c r="Q9" s="15" t="n">
        <v>0.2213</v>
      </c>
      <c r="R9" s="14" t="n">
        <v>2917</v>
      </c>
      <c r="S9" s="14" t="n">
        <v>246</v>
      </c>
    </row>
    <row r="10" customFormat="false" ht="15" hidden="false" customHeight="true" outlineLevel="0" collapsed="false">
      <c r="A10" s="13" t="n">
        <v>2024</v>
      </c>
      <c r="B10" s="13" t="s">
        <v>844</v>
      </c>
      <c r="C10" s="13" t="s">
        <v>128</v>
      </c>
      <c r="D10" s="13" t="s">
        <v>122</v>
      </c>
      <c r="E10" s="14" t="n">
        <v>5793</v>
      </c>
      <c r="F10" s="14" t="n">
        <v>2</v>
      </c>
      <c r="G10" s="14" t="n">
        <v>5669</v>
      </c>
      <c r="H10" s="14" t="n">
        <v>0</v>
      </c>
      <c r="I10" s="14" t="n">
        <v>2079</v>
      </c>
      <c r="J10" s="14" t="n">
        <v>12</v>
      </c>
      <c r="K10" s="14" t="n">
        <v>155</v>
      </c>
      <c r="L10" s="14" t="n">
        <v>431</v>
      </c>
      <c r="M10" s="14" t="n">
        <v>666</v>
      </c>
      <c r="N10" s="14" t="n">
        <v>724</v>
      </c>
      <c r="O10" s="14" t="n">
        <v>90</v>
      </c>
      <c r="P10" s="14" t="n">
        <v>13</v>
      </c>
      <c r="Q10" s="15" t="n">
        <v>0.3667</v>
      </c>
      <c r="R10" s="14" t="n">
        <v>3577</v>
      </c>
      <c r="S10" s="14" t="n">
        <v>122</v>
      </c>
    </row>
    <row r="11" customFormat="false" ht="15" hidden="false" customHeight="true" outlineLevel="0" collapsed="false">
      <c r="A11" s="13" t="n">
        <v>2024</v>
      </c>
      <c r="B11" s="13" t="s">
        <v>844</v>
      </c>
      <c r="C11" s="13" t="s">
        <v>123</v>
      </c>
      <c r="D11" s="13" t="s">
        <v>846</v>
      </c>
      <c r="E11" s="14" t="n">
        <v>1980</v>
      </c>
      <c r="F11" s="14" t="n">
        <v>2</v>
      </c>
      <c r="G11" s="14" t="n">
        <v>1906</v>
      </c>
      <c r="H11" s="14" t="n">
        <v>0</v>
      </c>
      <c r="I11" s="14" t="n">
        <v>1097</v>
      </c>
      <c r="J11" s="14" t="n">
        <v>274</v>
      </c>
      <c r="K11" s="14" t="n">
        <v>91</v>
      </c>
      <c r="L11" s="14" t="n">
        <v>103</v>
      </c>
      <c r="M11" s="14" t="n">
        <v>281</v>
      </c>
      <c r="N11" s="14" t="n">
        <v>336</v>
      </c>
      <c r="O11" s="14" t="n">
        <v>12</v>
      </c>
      <c r="P11" s="14" t="n">
        <v>16</v>
      </c>
      <c r="Q11" s="15" t="n">
        <v>0.5756</v>
      </c>
      <c r="R11" s="14" t="n">
        <v>793</v>
      </c>
      <c r="S11" s="14" t="n">
        <v>72</v>
      </c>
    </row>
    <row r="12" customFormat="false" ht="15" hidden="false" customHeight="true" outlineLevel="0" collapsed="false">
      <c r="A12" s="13" t="n">
        <v>2024</v>
      </c>
      <c r="B12" s="13" t="s">
        <v>844</v>
      </c>
      <c r="C12" s="13" t="s">
        <v>123</v>
      </c>
      <c r="D12" s="13" t="s">
        <v>124</v>
      </c>
      <c r="E12" s="14" t="n">
        <v>600</v>
      </c>
      <c r="F12" s="14" t="n">
        <v>2</v>
      </c>
      <c r="G12" s="14" t="n">
        <v>570</v>
      </c>
      <c r="H12" s="14" t="n">
        <v>0</v>
      </c>
      <c r="I12" s="14" t="n">
        <v>284</v>
      </c>
      <c r="J12" s="14" t="n">
        <v>56</v>
      </c>
      <c r="K12" s="14" t="n">
        <v>28</v>
      </c>
      <c r="L12" s="14" t="n">
        <v>27</v>
      </c>
      <c r="M12" s="14" t="n">
        <v>75</v>
      </c>
      <c r="N12" s="14" t="n">
        <v>95</v>
      </c>
      <c r="O12" s="14" t="n">
        <v>3</v>
      </c>
      <c r="P12" s="14" t="n">
        <v>7</v>
      </c>
      <c r="Q12" s="15" t="n">
        <v>0.4982</v>
      </c>
      <c r="R12" s="14" t="n">
        <v>279</v>
      </c>
      <c r="S12" s="14" t="n">
        <v>28</v>
      </c>
    </row>
    <row r="13" customFormat="false" ht="15" hidden="false" customHeight="true" outlineLevel="0" collapsed="false">
      <c r="A13" s="13" t="n">
        <v>2024</v>
      </c>
      <c r="B13" s="13" t="s">
        <v>844</v>
      </c>
      <c r="C13" s="13" t="s">
        <v>123</v>
      </c>
      <c r="D13" s="13" t="s">
        <v>122</v>
      </c>
      <c r="E13" s="14" t="n">
        <v>1380</v>
      </c>
      <c r="F13" s="14" t="n">
        <v>0</v>
      </c>
      <c r="G13" s="14" t="n">
        <v>1336</v>
      </c>
      <c r="H13" s="14" t="n">
        <v>0</v>
      </c>
      <c r="I13" s="14" t="n">
        <v>813</v>
      </c>
      <c r="J13" s="14" t="n">
        <v>218</v>
      </c>
      <c r="K13" s="14" t="n">
        <v>63</v>
      </c>
      <c r="L13" s="14" t="n">
        <v>76</v>
      </c>
      <c r="M13" s="14" t="n">
        <v>206</v>
      </c>
      <c r="N13" s="14" t="n">
        <v>241</v>
      </c>
      <c r="O13" s="14" t="n">
        <v>9</v>
      </c>
      <c r="P13" s="14" t="n">
        <v>9</v>
      </c>
      <c r="Q13" s="15" t="n">
        <v>0.6085</v>
      </c>
      <c r="R13" s="14" t="n">
        <v>514</v>
      </c>
      <c r="S13" s="14" t="n">
        <v>44</v>
      </c>
    </row>
    <row r="14" customFormat="false" ht="15" hidden="false" customHeight="true" outlineLevel="0" collapsed="false">
      <c r="A14" s="13" t="n">
        <v>2024</v>
      </c>
      <c r="B14" s="13" t="s">
        <v>844</v>
      </c>
      <c r="C14" s="13" t="s">
        <v>126</v>
      </c>
      <c r="D14" s="13" t="s">
        <v>846</v>
      </c>
      <c r="E14" s="14" t="n">
        <v>1086</v>
      </c>
      <c r="F14" s="14" t="n">
        <v>1</v>
      </c>
      <c r="G14" s="14" t="n">
        <v>1046</v>
      </c>
      <c r="H14" s="14" t="n">
        <v>0</v>
      </c>
      <c r="I14" s="14" t="n">
        <v>366</v>
      </c>
      <c r="J14" s="14" t="n">
        <v>2</v>
      </c>
      <c r="K14" s="14" t="n">
        <v>4</v>
      </c>
      <c r="L14" s="14" t="n">
        <v>26</v>
      </c>
      <c r="M14" s="14" t="n">
        <v>123</v>
      </c>
      <c r="N14" s="14" t="n">
        <v>197</v>
      </c>
      <c r="O14" s="14" t="n">
        <v>13</v>
      </c>
      <c r="P14" s="14" t="n">
        <v>45</v>
      </c>
      <c r="Q14" s="15" t="n">
        <v>0.3499</v>
      </c>
      <c r="R14" s="14" t="n">
        <v>635</v>
      </c>
      <c r="S14" s="14" t="n">
        <v>39</v>
      </c>
    </row>
    <row r="15" customFormat="false" ht="15" hidden="false" customHeight="true" outlineLevel="0" collapsed="false">
      <c r="A15" s="13" t="n">
        <v>2024</v>
      </c>
      <c r="B15" s="13" t="s">
        <v>844</v>
      </c>
      <c r="C15" s="13" t="s">
        <v>126</v>
      </c>
      <c r="D15" s="13" t="s">
        <v>124</v>
      </c>
      <c r="E15" s="14" t="n">
        <v>690</v>
      </c>
      <c r="F15" s="14" t="n">
        <v>1</v>
      </c>
      <c r="G15" s="14" t="n">
        <v>657</v>
      </c>
      <c r="H15" s="14" t="n">
        <v>0</v>
      </c>
      <c r="I15" s="14" t="n">
        <v>228</v>
      </c>
      <c r="J15" s="14" t="n">
        <v>1</v>
      </c>
      <c r="K15" s="14" t="n">
        <v>3</v>
      </c>
      <c r="L15" s="14" t="n">
        <v>22</v>
      </c>
      <c r="M15" s="14" t="n">
        <v>75</v>
      </c>
      <c r="N15" s="14" t="n">
        <v>121</v>
      </c>
      <c r="O15" s="14" t="n">
        <v>6</v>
      </c>
      <c r="P15" s="14" t="n">
        <v>20</v>
      </c>
      <c r="Q15" s="15" t="n">
        <v>0.347</v>
      </c>
      <c r="R15" s="14" t="n">
        <v>409</v>
      </c>
      <c r="S15" s="14" t="n">
        <v>32</v>
      </c>
    </row>
    <row r="16" customFormat="false" ht="15" hidden="false" customHeight="true" outlineLevel="0" collapsed="false">
      <c r="A16" s="13" t="n">
        <v>2024</v>
      </c>
      <c r="B16" s="13" t="s">
        <v>844</v>
      </c>
      <c r="C16" s="13" t="s">
        <v>126</v>
      </c>
      <c r="D16" s="13" t="s">
        <v>122</v>
      </c>
      <c r="E16" s="14" t="n">
        <v>396</v>
      </c>
      <c r="F16" s="14" t="n">
        <v>0</v>
      </c>
      <c r="G16" s="14" t="n">
        <v>389</v>
      </c>
      <c r="H16" s="14" t="n">
        <v>0</v>
      </c>
      <c r="I16" s="14" t="n">
        <v>138</v>
      </c>
      <c r="J16" s="14" t="n">
        <v>1</v>
      </c>
      <c r="K16" s="14" t="n">
        <v>1</v>
      </c>
      <c r="L16" s="14" t="n">
        <v>4</v>
      </c>
      <c r="M16" s="14" t="n">
        <v>48</v>
      </c>
      <c r="N16" s="14" t="n">
        <v>76</v>
      </c>
      <c r="O16" s="14" t="n">
        <v>7</v>
      </c>
      <c r="P16" s="14" t="n">
        <v>25</v>
      </c>
      <c r="Q16" s="15" t="n">
        <v>0.3548</v>
      </c>
      <c r="R16" s="14" t="n">
        <v>226</v>
      </c>
      <c r="S16" s="14" t="n">
        <v>7</v>
      </c>
    </row>
    <row r="17" customFormat="false" ht="15" hidden="false" customHeight="true" outlineLevel="0" collapsed="false">
      <c r="A17" s="13" t="n">
        <v>2024</v>
      </c>
      <c r="B17" s="13" t="s">
        <v>844</v>
      </c>
      <c r="C17" s="13" t="s">
        <v>203</v>
      </c>
      <c r="D17" s="13" t="s">
        <v>846</v>
      </c>
      <c r="E17" s="14" t="n">
        <v>917</v>
      </c>
      <c r="F17" s="14" t="n">
        <v>2</v>
      </c>
      <c r="G17" s="14" t="n">
        <v>881</v>
      </c>
      <c r="H17" s="14" t="n">
        <v>0</v>
      </c>
      <c r="I17" s="14" t="n">
        <v>325</v>
      </c>
      <c r="J17" s="14" t="n">
        <v>1</v>
      </c>
      <c r="K17" s="14" t="n">
        <v>6</v>
      </c>
      <c r="L17" s="14" t="n">
        <v>36</v>
      </c>
      <c r="M17" s="14" t="n">
        <v>97</v>
      </c>
      <c r="N17" s="14" t="n">
        <v>149</v>
      </c>
      <c r="O17" s="14" t="n">
        <v>36</v>
      </c>
      <c r="P17" s="14" t="n">
        <v>1</v>
      </c>
      <c r="Q17" s="15" t="n">
        <v>0.3689</v>
      </c>
      <c r="R17" s="14" t="n">
        <v>555</v>
      </c>
      <c r="S17" s="14" t="n">
        <v>34</v>
      </c>
    </row>
    <row r="18" customFormat="false" ht="15" hidden="false" customHeight="true" outlineLevel="0" collapsed="false">
      <c r="A18" s="13" t="n">
        <v>2024</v>
      </c>
      <c r="B18" s="13" t="s">
        <v>844</v>
      </c>
      <c r="C18" s="13" t="s">
        <v>203</v>
      </c>
      <c r="D18" s="13" t="s">
        <v>124</v>
      </c>
      <c r="E18" s="14" t="n">
        <v>673</v>
      </c>
      <c r="F18" s="14" t="n">
        <v>2</v>
      </c>
      <c r="G18" s="14" t="n">
        <v>648</v>
      </c>
      <c r="H18" s="14" t="n">
        <v>0</v>
      </c>
      <c r="I18" s="14" t="n">
        <v>212</v>
      </c>
      <c r="J18" s="14" t="n">
        <v>0</v>
      </c>
      <c r="K18" s="14" t="n">
        <v>2</v>
      </c>
      <c r="L18" s="14" t="n">
        <v>15</v>
      </c>
      <c r="M18" s="14" t="n">
        <v>67</v>
      </c>
      <c r="N18" s="14" t="n">
        <v>99</v>
      </c>
      <c r="O18" s="14" t="n">
        <v>29</v>
      </c>
      <c r="P18" s="14" t="n">
        <v>1</v>
      </c>
      <c r="Q18" s="15" t="n">
        <v>0.3272</v>
      </c>
      <c r="R18" s="14" t="n">
        <v>435</v>
      </c>
      <c r="S18" s="14" t="n">
        <v>23</v>
      </c>
    </row>
    <row r="19" customFormat="false" ht="15" hidden="false" customHeight="true" outlineLevel="0" collapsed="false">
      <c r="A19" s="13" t="n">
        <v>2024</v>
      </c>
      <c r="B19" s="13" t="s">
        <v>844</v>
      </c>
      <c r="C19" s="13" t="s">
        <v>203</v>
      </c>
      <c r="D19" s="13" t="s">
        <v>122</v>
      </c>
      <c r="E19" s="14" t="n">
        <v>244</v>
      </c>
      <c r="F19" s="14" t="n">
        <v>0</v>
      </c>
      <c r="G19" s="14" t="n">
        <v>233</v>
      </c>
      <c r="H19" s="14" t="n">
        <v>0</v>
      </c>
      <c r="I19" s="14" t="n">
        <v>113</v>
      </c>
      <c r="J19" s="14" t="n">
        <v>1</v>
      </c>
      <c r="K19" s="14" t="n">
        <v>4</v>
      </c>
      <c r="L19" s="14" t="n">
        <v>21</v>
      </c>
      <c r="M19" s="14" t="n">
        <v>30</v>
      </c>
      <c r="N19" s="14" t="n">
        <v>50</v>
      </c>
      <c r="O19" s="14" t="n">
        <v>7</v>
      </c>
      <c r="P19" s="14" t="n">
        <v>0</v>
      </c>
      <c r="Q19" s="15" t="n">
        <v>0.485</v>
      </c>
      <c r="R19" s="14" t="n">
        <v>120</v>
      </c>
      <c r="S19" s="14" t="n">
        <v>11</v>
      </c>
    </row>
    <row r="20" customFormat="false" ht="15" hidden="false" customHeight="true" outlineLevel="0" collapsed="false">
      <c r="A20" s="13" t="n">
        <v>2024</v>
      </c>
      <c r="B20" s="13" t="s">
        <v>844</v>
      </c>
      <c r="C20" s="13" t="s">
        <v>821</v>
      </c>
      <c r="D20" s="13" t="s">
        <v>846</v>
      </c>
      <c r="E20" s="14" t="n">
        <v>3830</v>
      </c>
      <c r="F20" s="14" t="n">
        <v>5</v>
      </c>
      <c r="G20" s="14" t="n">
        <v>3768</v>
      </c>
      <c r="H20" s="14" t="n">
        <v>0</v>
      </c>
      <c r="I20" s="14" t="n">
        <v>1040</v>
      </c>
      <c r="J20" s="14" t="n">
        <v>1</v>
      </c>
      <c r="K20" s="14" t="n">
        <v>6</v>
      </c>
      <c r="L20" s="14" t="n">
        <v>20</v>
      </c>
      <c r="M20" s="14" t="n">
        <v>286</v>
      </c>
      <c r="N20" s="14" t="n">
        <v>656</v>
      </c>
      <c r="O20" s="14" t="n">
        <v>71</v>
      </c>
      <c r="P20" s="14" t="n">
        <v>9</v>
      </c>
      <c r="Q20" s="15" t="n">
        <v>0.276</v>
      </c>
      <c r="R20" s="14" t="n">
        <v>2719</v>
      </c>
      <c r="S20" s="14" t="n">
        <v>57</v>
      </c>
    </row>
    <row r="21" customFormat="false" ht="15" hidden="false" customHeight="true" outlineLevel="0" collapsed="false">
      <c r="A21" s="13" t="n">
        <v>2024</v>
      </c>
      <c r="B21" s="13" t="s">
        <v>844</v>
      </c>
      <c r="C21" s="13" t="s">
        <v>821</v>
      </c>
      <c r="D21" s="13" t="s">
        <v>124</v>
      </c>
      <c r="E21" s="14" t="n">
        <v>2221</v>
      </c>
      <c r="F21" s="14" t="n">
        <v>3</v>
      </c>
      <c r="G21" s="14" t="n">
        <v>2177</v>
      </c>
      <c r="H21" s="14" t="n">
        <v>0</v>
      </c>
      <c r="I21" s="14" t="n">
        <v>541</v>
      </c>
      <c r="J21" s="14" t="n">
        <v>1</v>
      </c>
      <c r="K21" s="14" t="n">
        <v>4</v>
      </c>
      <c r="L21" s="14" t="n">
        <v>10</v>
      </c>
      <c r="M21" s="14" t="n">
        <v>131</v>
      </c>
      <c r="N21" s="14" t="n">
        <v>347</v>
      </c>
      <c r="O21" s="14" t="n">
        <v>48</v>
      </c>
      <c r="P21" s="14" t="n">
        <v>6</v>
      </c>
      <c r="Q21" s="15" t="n">
        <v>0.2485</v>
      </c>
      <c r="R21" s="14" t="n">
        <v>1630</v>
      </c>
      <c r="S21" s="14" t="n">
        <v>41</v>
      </c>
    </row>
    <row r="22" customFormat="false" ht="15" hidden="false" customHeight="true" outlineLevel="0" collapsed="false">
      <c r="A22" s="13" t="n">
        <v>2024</v>
      </c>
      <c r="B22" s="13" t="s">
        <v>844</v>
      </c>
      <c r="C22" s="13" t="s">
        <v>821</v>
      </c>
      <c r="D22" s="13" t="s">
        <v>122</v>
      </c>
      <c r="E22" s="14" t="n">
        <v>1609</v>
      </c>
      <c r="F22" s="14" t="n">
        <v>2</v>
      </c>
      <c r="G22" s="14" t="n">
        <v>1591</v>
      </c>
      <c r="H22" s="14" t="n">
        <v>0</v>
      </c>
      <c r="I22" s="14" t="n">
        <v>499</v>
      </c>
      <c r="J22" s="14" t="n">
        <v>0</v>
      </c>
      <c r="K22" s="14" t="n">
        <v>2</v>
      </c>
      <c r="L22" s="14" t="n">
        <v>10</v>
      </c>
      <c r="M22" s="14" t="n">
        <v>155</v>
      </c>
      <c r="N22" s="14" t="n">
        <v>309</v>
      </c>
      <c r="O22" s="14" t="n">
        <v>23</v>
      </c>
      <c r="P22" s="14" t="n">
        <v>3</v>
      </c>
      <c r="Q22" s="15" t="n">
        <v>0.3136</v>
      </c>
      <c r="R22" s="14" t="n">
        <v>1089</v>
      </c>
      <c r="S22" s="14" t="n">
        <v>16</v>
      </c>
    </row>
    <row r="23" customFormat="false" ht="15" hidden="false" customHeight="true" outlineLevel="0" collapsed="false">
      <c r="A23" s="13" t="n">
        <v>2024</v>
      </c>
      <c r="B23" s="13" t="s">
        <v>848</v>
      </c>
      <c r="C23" s="13" t="s">
        <v>845</v>
      </c>
      <c r="D23" s="13" t="s">
        <v>846</v>
      </c>
      <c r="E23" s="14" t="n">
        <v>64232</v>
      </c>
      <c r="F23" s="14" t="n">
        <v>24</v>
      </c>
      <c r="G23" s="14" t="n">
        <v>63291</v>
      </c>
      <c r="H23" s="14" t="n">
        <v>0</v>
      </c>
      <c r="I23" s="14" t="n">
        <v>35922</v>
      </c>
      <c r="J23" s="14" t="n">
        <v>2632</v>
      </c>
      <c r="K23" s="14" t="n">
        <v>5408</v>
      </c>
      <c r="L23" s="14" t="n">
        <v>9666</v>
      </c>
      <c r="M23" s="14" t="n">
        <v>12243</v>
      </c>
      <c r="N23" s="14" t="n">
        <v>5612</v>
      </c>
      <c r="O23" s="14" t="n">
        <v>356</v>
      </c>
      <c r="P23" s="14" t="n">
        <v>108</v>
      </c>
      <c r="Q23" s="15" t="n">
        <v>0.5676</v>
      </c>
      <c r="R23" s="14" t="n">
        <v>27261</v>
      </c>
      <c r="S23" s="14" t="n">
        <v>917</v>
      </c>
    </row>
    <row r="24" customFormat="false" ht="15" hidden="false" customHeight="true" outlineLevel="0" collapsed="false">
      <c r="A24" s="13" t="n">
        <v>2024</v>
      </c>
      <c r="B24" s="13" t="s">
        <v>848</v>
      </c>
      <c r="C24" s="13" t="s">
        <v>845</v>
      </c>
      <c r="D24" s="13" t="s">
        <v>124</v>
      </c>
      <c r="E24" s="14" t="n">
        <v>25101</v>
      </c>
      <c r="F24" s="14" t="n">
        <v>16</v>
      </c>
      <c r="G24" s="14" t="n">
        <v>24557</v>
      </c>
      <c r="H24" s="14" t="n">
        <v>0</v>
      </c>
      <c r="I24" s="14" t="n">
        <v>11266</v>
      </c>
      <c r="J24" s="14" t="n">
        <v>698</v>
      </c>
      <c r="K24" s="14" t="n">
        <v>1502</v>
      </c>
      <c r="L24" s="14" t="n">
        <v>2554</v>
      </c>
      <c r="M24" s="14" t="n">
        <v>3980</v>
      </c>
      <c r="N24" s="14" t="n">
        <v>2337</v>
      </c>
      <c r="O24" s="14" t="n">
        <v>192</v>
      </c>
      <c r="P24" s="14" t="n">
        <v>50</v>
      </c>
      <c r="Q24" s="15" t="n">
        <v>0.4588</v>
      </c>
      <c r="R24" s="14" t="n">
        <v>13241</v>
      </c>
      <c r="S24" s="14" t="n">
        <v>528</v>
      </c>
    </row>
    <row r="25" customFormat="false" ht="15" hidden="false" customHeight="true" outlineLevel="0" collapsed="false">
      <c r="A25" s="13" t="n">
        <v>2024</v>
      </c>
      <c r="B25" s="13" t="s">
        <v>848</v>
      </c>
      <c r="C25" s="13" t="s">
        <v>845</v>
      </c>
      <c r="D25" s="13" t="s">
        <v>122</v>
      </c>
      <c r="E25" s="14" t="n">
        <v>39131</v>
      </c>
      <c r="F25" s="14" t="n">
        <v>8</v>
      </c>
      <c r="G25" s="14" t="n">
        <v>38734</v>
      </c>
      <c r="H25" s="14" t="n">
        <v>0</v>
      </c>
      <c r="I25" s="14" t="n">
        <v>24656</v>
      </c>
      <c r="J25" s="14" t="n">
        <v>1934</v>
      </c>
      <c r="K25" s="14" t="n">
        <v>3906</v>
      </c>
      <c r="L25" s="14" t="n">
        <v>7112</v>
      </c>
      <c r="M25" s="14" t="n">
        <v>8263</v>
      </c>
      <c r="N25" s="14" t="n">
        <v>3275</v>
      </c>
      <c r="O25" s="14" t="n">
        <v>164</v>
      </c>
      <c r="P25" s="14" t="n">
        <v>58</v>
      </c>
      <c r="Q25" s="15" t="n">
        <v>0.6365</v>
      </c>
      <c r="R25" s="14" t="n">
        <v>14020</v>
      </c>
      <c r="S25" s="14" t="n">
        <v>389</v>
      </c>
    </row>
    <row r="26" customFormat="false" ht="15" hidden="false" customHeight="true" outlineLevel="0" collapsed="false">
      <c r="A26" s="13" t="n">
        <v>2024</v>
      </c>
      <c r="B26" s="13" t="s">
        <v>848</v>
      </c>
      <c r="C26" s="13" t="s">
        <v>849</v>
      </c>
      <c r="D26" s="13" t="s">
        <v>846</v>
      </c>
      <c r="E26" s="14" t="n">
        <v>46557</v>
      </c>
      <c r="F26" s="14" t="n">
        <v>10</v>
      </c>
      <c r="G26" s="14" t="n">
        <v>46200</v>
      </c>
      <c r="H26" s="14" t="n">
        <v>0</v>
      </c>
      <c r="I26" s="14" t="n">
        <v>30127</v>
      </c>
      <c r="J26" s="14" t="n">
        <v>2336</v>
      </c>
      <c r="K26" s="14" t="n">
        <v>5095</v>
      </c>
      <c r="L26" s="14" t="n">
        <v>8931</v>
      </c>
      <c r="M26" s="14" t="n">
        <v>10522</v>
      </c>
      <c r="N26" s="14" t="n">
        <v>3189</v>
      </c>
      <c r="O26" s="14" t="n">
        <v>54</v>
      </c>
      <c r="P26" s="14" t="n">
        <v>10</v>
      </c>
      <c r="Q26" s="15" t="n">
        <v>0.6521</v>
      </c>
      <c r="R26" s="14" t="n">
        <v>16063</v>
      </c>
      <c r="S26" s="14" t="n">
        <v>347</v>
      </c>
    </row>
    <row r="27" customFormat="false" ht="15" hidden="false" customHeight="true" outlineLevel="0" collapsed="false">
      <c r="A27" s="13" t="n">
        <v>2024</v>
      </c>
      <c r="B27" s="13" t="s">
        <v>848</v>
      </c>
      <c r="C27" s="13" t="s">
        <v>849</v>
      </c>
      <c r="D27" s="13" t="s">
        <v>124</v>
      </c>
      <c r="E27" s="14" t="n">
        <v>16869</v>
      </c>
      <c r="F27" s="14" t="n">
        <v>6</v>
      </c>
      <c r="G27" s="14" t="n">
        <v>16705</v>
      </c>
      <c r="H27" s="14" t="n">
        <v>0</v>
      </c>
      <c r="I27" s="14" t="n">
        <v>9133</v>
      </c>
      <c r="J27" s="14" t="n">
        <v>634</v>
      </c>
      <c r="K27" s="14" t="n">
        <v>1419</v>
      </c>
      <c r="L27" s="14" t="n">
        <v>2369</v>
      </c>
      <c r="M27" s="14" t="n">
        <v>3370</v>
      </c>
      <c r="N27" s="14" t="n">
        <v>1315</v>
      </c>
      <c r="O27" s="14" t="n">
        <v>26</v>
      </c>
      <c r="P27" s="14" t="n">
        <v>2</v>
      </c>
      <c r="Q27" s="15" t="n">
        <v>0.5467</v>
      </c>
      <c r="R27" s="14" t="n">
        <v>7570</v>
      </c>
      <c r="S27" s="14" t="n">
        <v>158</v>
      </c>
    </row>
    <row r="28" customFormat="false" ht="15" hidden="false" customHeight="true" outlineLevel="0" collapsed="false">
      <c r="A28" s="13" t="n">
        <v>2024</v>
      </c>
      <c r="B28" s="13" t="s">
        <v>848</v>
      </c>
      <c r="C28" s="13" t="s">
        <v>849</v>
      </c>
      <c r="D28" s="13" t="s">
        <v>122</v>
      </c>
      <c r="E28" s="14" t="n">
        <v>29688</v>
      </c>
      <c r="F28" s="14" t="n">
        <v>4</v>
      </c>
      <c r="G28" s="14" t="n">
        <v>29495</v>
      </c>
      <c r="H28" s="14" t="n">
        <v>0</v>
      </c>
      <c r="I28" s="14" t="n">
        <v>20994</v>
      </c>
      <c r="J28" s="14" t="n">
        <v>1702</v>
      </c>
      <c r="K28" s="14" t="n">
        <v>3676</v>
      </c>
      <c r="L28" s="14" t="n">
        <v>6562</v>
      </c>
      <c r="M28" s="14" t="n">
        <v>7152</v>
      </c>
      <c r="N28" s="14" t="n">
        <v>1874</v>
      </c>
      <c r="O28" s="14" t="n">
        <v>28</v>
      </c>
      <c r="P28" s="14" t="n">
        <v>8</v>
      </c>
      <c r="Q28" s="15" t="n">
        <v>0.7118</v>
      </c>
      <c r="R28" s="14" t="n">
        <v>8493</v>
      </c>
      <c r="S28" s="14" t="n">
        <v>189</v>
      </c>
    </row>
    <row r="29" customFormat="false" ht="15" hidden="false" customHeight="true" outlineLevel="0" collapsed="false">
      <c r="A29" s="13" t="n">
        <v>2024</v>
      </c>
      <c r="B29" s="13" t="s">
        <v>848</v>
      </c>
      <c r="C29" s="13" t="s">
        <v>128</v>
      </c>
      <c r="D29" s="13" t="s">
        <v>846</v>
      </c>
      <c r="E29" s="14" t="n">
        <v>11855</v>
      </c>
      <c r="F29" s="14" t="n">
        <v>2</v>
      </c>
      <c r="G29" s="14" t="n">
        <v>11754</v>
      </c>
      <c r="H29" s="14" t="n">
        <v>0</v>
      </c>
      <c r="I29" s="14" t="n">
        <v>6989</v>
      </c>
      <c r="J29" s="14" t="n">
        <v>55</v>
      </c>
      <c r="K29" s="14" t="n">
        <v>585</v>
      </c>
      <c r="L29" s="14" t="n">
        <v>2011</v>
      </c>
      <c r="M29" s="14" t="n">
        <v>2976</v>
      </c>
      <c r="N29" s="14" t="n">
        <v>1333</v>
      </c>
      <c r="O29" s="14" t="n">
        <v>29</v>
      </c>
      <c r="P29" s="14" t="n">
        <v>2</v>
      </c>
      <c r="Q29" s="15" t="n">
        <v>0.5946</v>
      </c>
      <c r="R29" s="14" t="n">
        <v>4763</v>
      </c>
      <c r="S29" s="14" t="n">
        <v>99</v>
      </c>
    </row>
    <row r="30" customFormat="false" ht="15" hidden="false" customHeight="true" outlineLevel="0" collapsed="false">
      <c r="A30" s="13" t="n">
        <v>2024</v>
      </c>
      <c r="B30" s="13" t="s">
        <v>848</v>
      </c>
      <c r="C30" s="13" t="s">
        <v>128</v>
      </c>
      <c r="D30" s="13" t="s">
        <v>124</v>
      </c>
      <c r="E30" s="14" t="n">
        <v>2185</v>
      </c>
      <c r="F30" s="14" t="n">
        <v>2</v>
      </c>
      <c r="G30" s="14" t="n">
        <v>2160</v>
      </c>
      <c r="H30" s="14" t="n">
        <v>0</v>
      </c>
      <c r="I30" s="14" t="n">
        <v>859</v>
      </c>
      <c r="J30" s="14" t="n">
        <v>3</v>
      </c>
      <c r="K30" s="14" t="n">
        <v>35</v>
      </c>
      <c r="L30" s="14" t="n">
        <v>137</v>
      </c>
      <c r="M30" s="14" t="n">
        <v>394</v>
      </c>
      <c r="N30" s="14" t="n">
        <v>281</v>
      </c>
      <c r="O30" s="14" t="n">
        <v>9</v>
      </c>
      <c r="P30" s="14" t="n">
        <v>0</v>
      </c>
      <c r="Q30" s="15" t="n">
        <v>0.3977</v>
      </c>
      <c r="R30" s="14" t="n">
        <v>1301</v>
      </c>
      <c r="S30" s="14" t="n">
        <v>23</v>
      </c>
    </row>
    <row r="31" customFormat="false" ht="15" hidden="false" customHeight="true" outlineLevel="0" collapsed="false">
      <c r="A31" s="13" t="n">
        <v>2024</v>
      </c>
      <c r="B31" s="13" t="s">
        <v>848</v>
      </c>
      <c r="C31" s="13" t="s">
        <v>128</v>
      </c>
      <c r="D31" s="13" t="s">
        <v>122</v>
      </c>
      <c r="E31" s="14" t="n">
        <v>9670</v>
      </c>
      <c r="F31" s="14" t="n">
        <v>0</v>
      </c>
      <c r="G31" s="14" t="n">
        <v>9594</v>
      </c>
      <c r="H31" s="14" t="n">
        <v>0</v>
      </c>
      <c r="I31" s="14" t="n">
        <v>6130</v>
      </c>
      <c r="J31" s="14" t="n">
        <v>52</v>
      </c>
      <c r="K31" s="14" t="n">
        <v>550</v>
      </c>
      <c r="L31" s="14" t="n">
        <v>1874</v>
      </c>
      <c r="M31" s="14" t="n">
        <v>2582</v>
      </c>
      <c r="N31" s="14" t="n">
        <v>1052</v>
      </c>
      <c r="O31" s="14" t="n">
        <v>20</v>
      </c>
      <c r="P31" s="14" t="n">
        <v>2</v>
      </c>
      <c r="Q31" s="15" t="n">
        <v>0.6389</v>
      </c>
      <c r="R31" s="14" t="n">
        <v>3462</v>
      </c>
      <c r="S31" s="14" t="n">
        <v>76</v>
      </c>
    </row>
    <row r="32" customFormat="false" ht="15" hidden="false" customHeight="true" outlineLevel="0" collapsed="false">
      <c r="A32" s="13" t="n">
        <v>2024</v>
      </c>
      <c r="B32" s="13" t="s">
        <v>848</v>
      </c>
      <c r="C32" s="13" t="s">
        <v>123</v>
      </c>
      <c r="D32" s="13" t="s">
        <v>846</v>
      </c>
      <c r="E32" s="14" t="n">
        <v>10683</v>
      </c>
      <c r="F32" s="14" t="n">
        <v>6</v>
      </c>
      <c r="G32" s="14" t="n">
        <v>10603</v>
      </c>
      <c r="H32" s="14" t="n">
        <v>0</v>
      </c>
      <c r="I32" s="14" t="n">
        <v>8617</v>
      </c>
      <c r="J32" s="14" t="n">
        <v>1390</v>
      </c>
      <c r="K32" s="14" t="n">
        <v>2097</v>
      </c>
      <c r="L32" s="14" t="n">
        <v>2597</v>
      </c>
      <c r="M32" s="14" t="n">
        <v>2170</v>
      </c>
      <c r="N32" s="14" t="n">
        <v>361</v>
      </c>
      <c r="O32" s="14" t="n">
        <v>2</v>
      </c>
      <c r="P32" s="14" t="n">
        <v>2</v>
      </c>
      <c r="Q32" s="15" t="n">
        <v>0.8127</v>
      </c>
      <c r="R32" s="14" t="n">
        <v>1984</v>
      </c>
      <c r="S32" s="14" t="n">
        <v>74</v>
      </c>
    </row>
    <row r="33" customFormat="false" ht="15" hidden="false" customHeight="true" outlineLevel="0" collapsed="false">
      <c r="A33" s="13" t="n">
        <v>2024</v>
      </c>
      <c r="B33" s="13" t="s">
        <v>848</v>
      </c>
      <c r="C33" s="13" t="s">
        <v>123</v>
      </c>
      <c r="D33" s="13" t="s">
        <v>124</v>
      </c>
      <c r="E33" s="14" t="n">
        <v>2467</v>
      </c>
      <c r="F33" s="14" t="n">
        <v>3</v>
      </c>
      <c r="G33" s="14" t="n">
        <v>2437</v>
      </c>
      <c r="H33" s="14" t="n">
        <v>0</v>
      </c>
      <c r="I33" s="14" t="n">
        <v>1741</v>
      </c>
      <c r="J33" s="14" t="n">
        <v>246</v>
      </c>
      <c r="K33" s="14" t="n">
        <v>395</v>
      </c>
      <c r="L33" s="14" t="n">
        <v>496</v>
      </c>
      <c r="M33" s="14" t="n">
        <v>478</v>
      </c>
      <c r="N33" s="14" t="n">
        <v>125</v>
      </c>
      <c r="O33" s="14" t="n">
        <v>1</v>
      </c>
      <c r="P33" s="14" t="n">
        <v>0</v>
      </c>
      <c r="Q33" s="15" t="n">
        <v>0.7144</v>
      </c>
      <c r="R33" s="14" t="n">
        <v>696</v>
      </c>
      <c r="S33" s="14" t="n">
        <v>27</v>
      </c>
    </row>
    <row r="34" customFormat="false" ht="15" hidden="false" customHeight="true" outlineLevel="0" collapsed="false">
      <c r="A34" s="13" t="n">
        <v>2024</v>
      </c>
      <c r="B34" s="13" t="s">
        <v>848</v>
      </c>
      <c r="C34" s="13" t="s">
        <v>123</v>
      </c>
      <c r="D34" s="13" t="s">
        <v>122</v>
      </c>
      <c r="E34" s="14" t="n">
        <v>8216</v>
      </c>
      <c r="F34" s="14" t="n">
        <v>3</v>
      </c>
      <c r="G34" s="14" t="n">
        <v>8166</v>
      </c>
      <c r="H34" s="14" t="n">
        <v>0</v>
      </c>
      <c r="I34" s="14" t="n">
        <v>6876</v>
      </c>
      <c r="J34" s="14" t="n">
        <v>1144</v>
      </c>
      <c r="K34" s="14" t="n">
        <v>1702</v>
      </c>
      <c r="L34" s="14" t="n">
        <v>2101</v>
      </c>
      <c r="M34" s="14" t="n">
        <v>1692</v>
      </c>
      <c r="N34" s="14" t="n">
        <v>236</v>
      </c>
      <c r="O34" s="14" t="n">
        <v>1</v>
      </c>
      <c r="P34" s="14" t="n">
        <v>2</v>
      </c>
      <c r="Q34" s="15" t="n">
        <v>0.842</v>
      </c>
      <c r="R34" s="14" t="n">
        <v>1288</v>
      </c>
      <c r="S34" s="14" t="n">
        <v>47</v>
      </c>
    </row>
    <row r="35" customFormat="false" ht="15" hidden="false" customHeight="true" outlineLevel="0" collapsed="false">
      <c r="A35" s="13" t="n">
        <v>2024</v>
      </c>
      <c r="B35" s="13" t="s">
        <v>848</v>
      </c>
      <c r="C35" s="13" t="s">
        <v>126</v>
      </c>
      <c r="D35" s="13" t="s">
        <v>846</v>
      </c>
      <c r="E35" s="14" t="n">
        <v>4055</v>
      </c>
      <c r="F35" s="14" t="n">
        <v>1</v>
      </c>
      <c r="G35" s="14" t="n">
        <v>4036</v>
      </c>
      <c r="H35" s="14" t="n">
        <v>0</v>
      </c>
      <c r="I35" s="14" t="n">
        <v>3129</v>
      </c>
      <c r="J35" s="14" t="n">
        <v>415</v>
      </c>
      <c r="K35" s="14" t="n">
        <v>720</v>
      </c>
      <c r="L35" s="14" t="n">
        <v>959</v>
      </c>
      <c r="M35" s="14" t="n">
        <v>881</v>
      </c>
      <c r="N35" s="14" t="n">
        <v>154</v>
      </c>
      <c r="O35" s="14" t="n">
        <v>0</v>
      </c>
      <c r="P35" s="14" t="n">
        <v>0</v>
      </c>
      <c r="Q35" s="15" t="n">
        <v>0.7753</v>
      </c>
      <c r="R35" s="14" t="n">
        <v>907</v>
      </c>
      <c r="S35" s="14" t="n">
        <v>18</v>
      </c>
    </row>
    <row r="36" customFormat="false" ht="15" hidden="false" customHeight="true" outlineLevel="0" collapsed="false">
      <c r="A36" s="13" t="n">
        <v>2024</v>
      </c>
      <c r="B36" s="13" t="s">
        <v>848</v>
      </c>
      <c r="C36" s="13" t="s">
        <v>126</v>
      </c>
      <c r="D36" s="13" t="s">
        <v>124</v>
      </c>
      <c r="E36" s="14" t="n">
        <v>2314</v>
      </c>
      <c r="F36" s="14" t="n">
        <v>0</v>
      </c>
      <c r="G36" s="14" t="n">
        <v>2303</v>
      </c>
      <c r="H36" s="14" t="n">
        <v>0</v>
      </c>
      <c r="I36" s="14" t="n">
        <v>1668</v>
      </c>
      <c r="J36" s="14" t="n">
        <v>223</v>
      </c>
      <c r="K36" s="14" t="n">
        <v>367</v>
      </c>
      <c r="L36" s="14" t="n">
        <v>502</v>
      </c>
      <c r="M36" s="14" t="n">
        <v>488</v>
      </c>
      <c r="N36" s="14" t="n">
        <v>88</v>
      </c>
      <c r="O36" s="14" t="n">
        <v>0</v>
      </c>
      <c r="P36" s="14" t="n">
        <v>0</v>
      </c>
      <c r="Q36" s="15" t="n">
        <v>0.7243</v>
      </c>
      <c r="R36" s="14" t="n">
        <v>635</v>
      </c>
      <c r="S36" s="14" t="n">
        <v>11</v>
      </c>
    </row>
    <row r="37" customFormat="false" ht="15" hidden="false" customHeight="true" outlineLevel="0" collapsed="false">
      <c r="A37" s="13" t="n">
        <v>2024</v>
      </c>
      <c r="B37" s="13" t="s">
        <v>848</v>
      </c>
      <c r="C37" s="13" t="s">
        <v>126</v>
      </c>
      <c r="D37" s="13" t="s">
        <v>122</v>
      </c>
      <c r="E37" s="14" t="n">
        <v>1741</v>
      </c>
      <c r="F37" s="14" t="n">
        <v>1</v>
      </c>
      <c r="G37" s="14" t="n">
        <v>1733</v>
      </c>
      <c r="H37" s="14" t="n">
        <v>0</v>
      </c>
      <c r="I37" s="14" t="n">
        <v>1461</v>
      </c>
      <c r="J37" s="14" t="n">
        <v>192</v>
      </c>
      <c r="K37" s="14" t="n">
        <v>353</v>
      </c>
      <c r="L37" s="14" t="n">
        <v>457</v>
      </c>
      <c r="M37" s="14" t="n">
        <v>393</v>
      </c>
      <c r="N37" s="14" t="n">
        <v>66</v>
      </c>
      <c r="O37" s="14" t="n">
        <v>0</v>
      </c>
      <c r="P37" s="14" t="n">
        <v>0</v>
      </c>
      <c r="Q37" s="15" t="n">
        <v>0.843</v>
      </c>
      <c r="R37" s="14" t="n">
        <v>272</v>
      </c>
      <c r="S37" s="14" t="n">
        <v>7</v>
      </c>
    </row>
    <row r="38" customFormat="false" ht="15" hidden="false" customHeight="true" outlineLevel="0" collapsed="false">
      <c r="A38" s="13" t="n">
        <v>2024</v>
      </c>
      <c r="B38" s="13" t="s">
        <v>848</v>
      </c>
      <c r="C38" s="13" t="s">
        <v>203</v>
      </c>
      <c r="D38" s="13" t="s">
        <v>846</v>
      </c>
      <c r="E38" s="14" t="n">
        <v>1841</v>
      </c>
      <c r="F38" s="14" t="n">
        <v>1</v>
      </c>
      <c r="G38" s="14" t="n">
        <v>1823</v>
      </c>
      <c r="H38" s="14" t="n">
        <v>0</v>
      </c>
      <c r="I38" s="14" t="n">
        <v>1272</v>
      </c>
      <c r="J38" s="14" t="n">
        <v>36</v>
      </c>
      <c r="K38" s="14" t="n">
        <v>156</v>
      </c>
      <c r="L38" s="14" t="n">
        <v>312</v>
      </c>
      <c r="M38" s="14" t="n">
        <v>464</v>
      </c>
      <c r="N38" s="14" t="n">
        <v>287</v>
      </c>
      <c r="O38" s="14" t="n">
        <v>17</v>
      </c>
      <c r="P38" s="14" t="n">
        <v>1</v>
      </c>
      <c r="Q38" s="15" t="n">
        <v>0.6978</v>
      </c>
      <c r="R38" s="14" t="n">
        <v>550</v>
      </c>
      <c r="S38" s="14" t="n">
        <v>17</v>
      </c>
    </row>
    <row r="39" customFormat="false" ht="15" hidden="false" customHeight="true" outlineLevel="0" collapsed="false">
      <c r="A39" s="13" t="n">
        <v>2024</v>
      </c>
      <c r="B39" s="13" t="s">
        <v>848</v>
      </c>
      <c r="C39" s="13" t="s">
        <v>203</v>
      </c>
      <c r="D39" s="13" t="s">
        <v>124</v>
      </c>
      <c r="E39" s="14" t="n">
        <v>1133</v>
      </c>
      <c r="F39" s="14" t="n">
        <v>1</v>
      </c>
      <c r="G39" s="14" t="n">
        <v>1120</v>
      </c>
      <c r="H39" s="14" t="n">
        <v>0</v>
      </c>
      <c r="I39" s="14" t="n">
        <v>706</v>
      </c>
      <c r="J39" s="14" t="n">
        <v>9</v>
      </c>
      <c r="K39" s="14" t="n">
        <v>52</v>
      </c>
      <c r="L39" s="14" t="n">
        <v>149</v>
      </c>
      <c r="M39" s="14" t="n">
        <v>280</v>
      </c>
      <c r="N39" s="14" t="n">
        <v>204</v>
      </c>
      <c r="O39" s="14" t="n">
        <v>12</v>
      </c>
      <c r="P39" s="14" t="n">
        <v>1</v>
      </c>
      <c r="Q39" s="15" t="n">
        <v>0.6304</v>
      </c>
      <c r="R39" s="14" t="n">
        <v>413</v>
      </c>
      <c r="S39" s="14" t="n">
        <v>12</v>
      </c>
    </row>
    <row r="40" customFormat="false" ht="15" hidden="false" customHeight="true" outlineLevel="0" collapsed="false">
      <c r="A40" s="13" t="n">
        <v>2024</v>
      </c>
      <c r="B40" s="13" t="s">
        <v>848</v>
      </c>
      <c r="C40" s="13" t="s">
        <v>203</v>
      </c>
      <c r="D40" s="13" t="s">
        <v>122</v>
      </c>
      <c r="E40" s="14" t="n">
        <v>708</v>
      </c>
      <c r="F40" s="14" t="n">
        <v>0</v>
      </c>
      <c r="G40" s="14" t="n">
        <v>703</v>
      </c>
      <c r="H40" s="14" t="n">
        <v>0</v>
      </c>
      <c r="I40" s="14" t="n">
        <v>566</v>
      </c>
      <c r="J40" s="14" t="n">
        <v>27</v>
      </c>
      <c r="K40" s="14" t="n">
        <v>104</v>
      </c>
      <c r="L40" s="14" t="n">
        <v>163</v>
      </c>
      <c r="M40" s="14" t="n">
        <v>184</v>
      </c>
      <c r="N40" s="14" t="n">
        <v>83</v>
      </c>
      <c r="O40" s="14" t="n">
        <v>5</v>
      </c>
      <c r="P40" s="14" t="n">
        <v>0</v>
      </c>
      <c r="Q40" s="15" t="n">
        <v>0.8051</v>
      </c>
      <c r="R40" s="14" t="n">
        <v>137</v>
      </c>
      <c r="S40" s="14" t="n">
        <v>5</v>
      </c>
    </row>
    <row r="41" customFormat="false" ht="15" hidden="false" customHeight="true" outlineLevel="0" collapsed="false">
      <c r="A41" s="13" t="n">
        <v>2024</v>
      </c>
      <c r="B41" s="13" t="s">
        <v>848</v>
      </c>
      <c r="C41" s="13" t="s">
        <v>821</v>
      </c>
      <c r="D41" s="13" t="s">
        <v>846</v>
      </c>
      <c r="E41" s="14" t="n">
        <v>18123</v>
      </c>
      <c r="F41" s="14" t="n">
        <v>0</v>
      </c>
      <c r="G41" s="14" t="n">
        <v>17984</v>
      </c>
      <c r="H41" s="14" t="n">
        <v>0</v>
      </c>
      <c r="I41" s="14" t="n">
        <v>10120</v>
      </c>
      <c r="J41" s="14" t="n">
        <v>440</v>
      </c>
      <c r="K41" s="14" t="n">
        <v>1537</v>
      </c>
      <c r="L41" s="14" t="n">
        <v>3052</v>
      </c>
      <c r="M41" s="14" t="n">
        <v>4031</v>
      </c>
      <c r="N41" s="14" t="n">
        <v>1054</v>
      </c>
      <c r="O41" s="14" t="n">
        <v>6</v>
      </c>
      <c r="P41" s="14" t="n">
        <v>5</v>
      </c>
      <c r="Q41" s="15" t="n">
        <v>0.5627</v>
      </c>
      <c r="R41" s="14" t="n">
        <v>7859</v>
      </c>
      <c r="S41" s="14" t="n">
        <v>139</v>
      </c>
    </row>
    <row r="42" customFormat="false" ht="15" hidden="false" customHeight="true" outlineLevel="0" collapsed="false">
      <c r="A42" s="13" t="n">
        <v>2024</v>
      </c>
      <c r="B42" s="13" t="s">
        <v>848</v>
      </c>
      <c r="C42" s="13" t="s">
        <v>821</v>
      </c>
      <c r="D42" s="13" t="s">
        <v>124</v>
      </c>
      <c r="E42" s="14" t="n">
        <v>8770</v>
      </c>
      <c r="F42" s="14" t="n">
        <v>0</v>
      </c>
      <c r="G42" s="14" t="n">
        <v>8685</v>
      </c>
      <c r="H42" s="14" t="n">
        <v>0</v>
      </c>
      <c r="I42" s="14" t="n">
        <v>4159</v>
      </c>
      <c r="J42" s="14" t="n">
        <v>153</v>
      </c>
      <c r="K42" s="14" t="n">
        <v>570</v>
      </c>
      <c r="L42" s="14" t="n">
        <v>1085</v>
      </c>
      <c r="M42" s="14" t="n">
        <v>1730</v>
      </c>
      <c r="N42" s="14" t="n">
        <v>617</v>
      </c>
      <c r="O42" s="14" t="n">
        <v>4</v>
      </c>
      <c r="P42" s="14" t="n">
        <v>1</v>
      </c>
      <c r="Q42" s="15" t="n">
        <v>0.4789</v>
      </c>
      <c r="R42" s="14" t="n">
        <v>4525</v>
      </c>
      <c r="S42" s="14" t="n">
        <v>85</v>
      </c>
    </row>
    <row r="43" customFormat="false" ht="15" hidden="false" customHeight="true" outlineLevel="0" collapsed="false">
      <c r="A43" s="13" t="n">
        <v>2024</v>
      </c>
      <c r="B43" s="13" t="s">
        <v>848</v>
      </c>
      <c r="C43" s="13" t="s">
        <v>821</v>
      </c>
      <c r="D43" s="13" t="s">
        <v>122</v>
      </c>
      <c r="E43" s="14" t="n">
        <v>9353</v>
      </c>
      <c r="F43" s="14" t="n">
        <v>0</v>
      </c>
      <c r="G43" s="14" t="n">
        <v>9299</v>
      </c>
      <c r="H43" s="14" t="n">
        <v>0</v>
      </c>
      <c r="I43" s="14" t="n">
        <v>5961</v>
      </c>
      <c r="J43" s="14" t="n">
        <v>287</v>
      </c>
      <c r="K43" s="14" t="n">
        <v>967</v>
      </c>
      <c r="L43" s="14" t="n">
        <v>1967</v>
      </c>
      <c r="M43" s="14" t="n">
        <v>2301</v>
      </c>
      <c r="N43" s="14" t="n">
        <v>437</v>
      </c>
      <c r="O43" s="14" t="n">
        <v>2</v>
      </c>
      <c r="P43" s="14" t="n">
        <v>4</v>
      </c>
      <c r="Q43" s="15" t="n">
        <v>0.641</v>
      </c>
      <c r="R43" s="14" t="n">
        <v>3334</v>
      </c>
      <c r="S43" s="14" t="n">
        <v>54</v>
      </c>
    </row>
    <row r="44" customFormat="false" ht="15" hidden="false" customHeight="true" outlineLevel="0" collapsed="false">
      <c r="A44" s="13" t="n">
        <v>2025</v>
      </c>
      <c r="B44" s="13" t="s">
        <v>844</v>
      </c>
      <c r="C44" s="13" t="s">
        <v>845</v>
      </c>
      <c r="D44" s="13" t="s">
        <v>846</v>
      </c>
      <c r="E44" s="14" t="n">
        <v>59784</v>
      </c>
      <c r="F44" s="14" t="n">
        <v>31</v>
      </c>
      <c r="G44" s="14" t="n">
        <v>58940</v>
      </c>
      <c r="H44" s="14" t="n">
        <v>33</v>
      </c>
      <c r="I44" s="14" t="n">
        <v>31898</v>
      </c>
      <c r="J44" s="14" t="n">
        <v>2352</v>
      </c>
      <c r="K44" s="14" t="n">
        <v>4588</v>
      </c>
      <c r="L44" s="14" t="n">
        <v>8652</v>
      </c>
      <c r="M44" s="14" t="n">
        <v>10881</v>
      </c>
      <c r="N44" s="14" t="n">
        <v>5144</v>
      </c>
      <c r="O44" s="14" t="n">
        <v>277</v>
      </c>
      <c r="P44" s="14" t="n">
        <v>105</v>
      </c>
      <c r="Q44" s="15" t="n">
        <v>0.5412</v>
      </c>
      <c r="R44" s="14" t="n">
        <v>26904</v>
      </c>
      <c r="S44" s="14" t="n">
        <v>813</v>
      </c>
    </row>
    <row r="45" customFormat="false" ht="15" hidden="false" customHeight="true" outlineLevel="0" collapsed="false">
      <c r="A45" s="13" t="n">
        <v>2025</v>
      </c>
      <c r="B45" s="13" t="s">
        <v>844</v>
      </c>
      <c r="C45" s="13" t="s">
        <v>845</v>
      </c>
      <c r="D45" s="13" t="s">
        <v>124</v>
      </c>
      <c r="E45" s="14" t="n">
        <v>22130</v>
      </c>
      <c r="F45" s="14" t="n">
        <v>18</v>
      </c>
      <c r="G45" s="14" t="n">
        <v>21668</v>
      </c>
      <c r="H45" s="14" t="n">
        <v>21</v>
      </c>
      <c r="I45" s="14" t="n">
        <v>8640</v>
      </c>
      <c r="J45" s="14" t="n">
        <v>587</v>
      </c>
      <c r="K45" s="14" t="n">
        <v>1022</v>
      </c>
      <c r="L45" s="14" t="n">
        <v>1904</v>
      </c>
      <c r="M45" s="14" t="n">
        <v>3007</v>
      </c>
      <c r="N45" s="14" t="n">
        <v>1972</v>
      </c>
      <c r="O45" s="14" t="n">
        <v>144</v>
      </c>
      <c r="P45" s="14" t="n">
        <v>47</v>
      </c>
      <c r="Q45" s="15" t="n">
        <v>0.3987</v>
      </c>
      <c r="R45" s="14" t="n">
        <v>12960</v>
      </c>
      <c r="S45" s="14" t="n">
        <v>444</v>
      </c>
    </row>
    <row r="46" customFormat="false" ht="15" hidden="false" customHeight="true" outlineLevel="0" collapsed="false">
      <c r="A46" s="13" t="n">
        <v>2025</v>
      </c>
      <c r="B46" s="13" t="s">
        <v>844</v>
      </c>
      <c r="C46" s="13" t="s">
        <v>845</v>
      </c>
      <c r="D46" s="13" t="s">
        <v>122</v>
      </c>
      <c r="E46" s="14" t="n">
        <v>37654</v>
      </c>
      <c r="F46" s="14" t="n">
        <v>13</v>
      </c>
      <c r="G46" s="14" t="n">
        <v>37272</v>
      </c>
      <c r="H46" s="14" t="n">
        <v>12</v>
      </c>
      <c r="I46" s="14" t="n">
        <v>23258</v>
      </c>
      <c r="J46" s="14" t="n">
        <v>1765</v>
      </c>
      <c r="K46" s="14" t="n">
        <v>3566</v>
      </c>
      <c r="L46" s="14" t="n">
        <v>6748</v>
      </c>
      <c r="M46" s="14" t="n">
        <v>7874</v>
      </c>
      <c r="N46" s="14" t="n">
        <v>3172</v>
      </c>
      <c r="O46" s="14" t="n">
        <v>133</v>
      </c>
      <c r="P46" s="14" t="n">
        <v>58</v>
      </c>
      <c r="Q46" s="15" t="n">
        <v>0.624</v>
      </c>
      <c r="R46" s="14" t="n">
        <v>13944</v>
      </c>
      <c r="S46" s="14" t="n">
        <v>369</v>
      </c>
    </row>
    <row r="47" customFormat="false" ht="15" hidden="false" customHeight="true" outlineLevel="0" collapsed="false">
      <c r="A47" s="13" t="n">
        <v>2025</v>
      </c>
      <c r="B47" s="13" t="s">
        <v>844</v>
      </c>
      <c r="C47" s="13" t="s">
        <v>847</v>
      </c>
      <c r="D47" s="13" t="s">
        <v>846</v>
      </c>
      <c r="E47" s="14" t="n">
        <v>17184</v>
      </c>
      <c r="F47" s="14" t="n">
        <v>19</v>
      </c>
      <c r="G47" s="14" t="n">
        <v>16676</v>
      </c>
      <c r="H47" s="14" t="n">
        <v>6</v>
      </c>
      <c r="I47" s="14" t="n">
        <v>5232</v>
      </c>
      <c r="J47" s="14" t="n">
        <v>372</v>
      </c>
      <c r="K47" s="14" t="n">
        <v>339</v>
      </c>
      <c r="L47" s="14" t="n">
        <v>747</v>
      </c>
      <c r="M47" s="14" t="n">
        <v>1687</v>
      </c>
      <c r="N47" s="14" t="n">
        <v>1901</v>
      </c>
      <c r="O47" s="14" t="n">
        <v>182</v>
      </c>
      <c r="P47" s="14" t="n">
        <v>104</v>
      </c>
      <c r="Q47" s="15" t="n">
        <v>0.3137</v>
      </c>
      <c r="R47" s="14" t="n">
        <v>11334</v>
      </c>
      <c r="S47" s="14" t="n">
        <v>489</v>
      </c>
    </row>
    <row r="48" customFormat="false" ht="15" hidden="false" customHeight="true" outlineLevel="0" collapsed="false">
      <c r="A48" s="13" t="n">
        <v>2025</v>
      </c>
      <c r="B48" s="13" t="s">
        <v>844</v>
      </c>
      <c r="C48" s="13" t="s">
        <v>847</v>
      </c>
      <c r="D48" s="13" t="s">
        <v>124</v>
      </c>
      <c r="E48" s="14" t="n">
        <v>7924</v>
      </c>
      <c r="F48" s="14" t="n">
        <v>10</v>
      </c>
      <c r="G48" s="14" t="n">
        <v>7616</v>
      </c>
      <c r="H48" s="14" t="n">
        <v>3</v>
      </c>
      <c r="I48" s="14" t="n">
        <v>1623</v>
      </c>
      <c r="J48" s="14" t="n">
        <v>61</v>
      </c>
      <c r="K48" s="14" t="n">
        <v>51</v>
      </c>
      <c r="L48" s="14" t="n">
        <v>155</v>
      </c>
      <c r="M48" s="14" t="n">
        <v>491</v>
      </c>
      <c r="N48" s="14" t="n">
        <v>766</v>
      </c>
      <c r="O48" s="14" t="n">
        <v>95</v>
      </c>
      <c r="P48" s="14" t="n">
        <v>47</v>
      </c>
      <c r="Q48" s="15" t="n">
        <v>0.2131</v>
      </c>
      <c r="R48" s="14" t="n">
        <v>5943</v>
      </c>
      <c r="S48" s="14" t="n">
        <v>298</v>
      </c>
    </row>
    <row r="49" customFormat="false" ht="15" hidden="false" customHeight="true" outlineLevel="0" collapsed="false">
      <c r="A49" s="13" t="n">
        <v>2025</v>
      </c>
      <c r="B49" s="13" t="s">
        <v>844</v>
      </c>
      <c r="C49" s="13" t="s">
        <v>847</v>
      </c>
      <c r="D49" s="13" t="s">
        <v>122</v>
      </c>
      <c r="E49" s="14" t="n">
        <v>9260</v>
      </c>
      <c r="F49" s="14" t="n">
        <v>9</v>
      </c>
      <c r="G49" s="14" t="n">
        <v>9060</v>
      </c>
      <c r="H49" s="14" t="n">
        <v>3</v>
      </c>
      <c r="I49" s="14" t="n">
        <v>3609</v>
      </c>
      <c r="J49" s="14" t="n">
        <v>311</v>
      </c>
      <c r="K49" s="14" t="n">
        <v>288</v>
      </c>
      <c r="L49" s="14" t="n">
        <v>592</v>
      </c>
      <c r="M49" s="14" t="n">
        <v>1196</v>
      </c>
      <c r="N49" s="14" t="n">
        <v>1135</v>
      </c>
      <c r="O49" s="14" t="n">
        <v>87</v>
      </c>
      <c r="P49" s="14" t="n">
        <v>57</v>
      </c>
      <c r="Q49" s="15" t="n">
        <v>0.3983</v>
      </c>
      <c r="R49" s="14" t="n">
        <v>5391</v>
      </c>
      <c r="S49" s="14" t="n">
        <v>191</v>
      </c>
    </row>
    <row r="50" customFormat="false" ht="15" hidden="false" customHeight="true" outlineLevel="0" collapsed="false">
      <c r="A50" s="13" t="n">
        <v>2025</v>
      </c>
      <c r="B50" s="13" t="s">
        <v>844</v>
      </c>
      <c r="C50" s="13" t="s">
        <v>128</v>
      </c>
      <c r="D50" s="13" t="s">
        <v>846</v>
      </c>
      <c r="E50" s="14" t="n">
        <v>9031</v>
      </c>
      <c r="F50" s="14" t="n">
        <v>8</v>
      </c>
      <c r="G50" s="14" t="n">
        <v>8724</v>
      </c>
      <c r="H50" s="14" t="n">
        <v>3</v>
      </c>
      <c r="I50" s="14" t="n">
        <v>2710</v>
      </c>
      <c r="J50" s="14" t="n">
        <v>26</v>
      </c>
      <c r="K50" s="14" t="n">
        <v>220</v>
      </c>
      <c r="L50" s="14" t="n">
        <v>578</v>
      </c>
      <c r="M50" s="14" t="n">
        <v>831</v>
      </c>
      <c r="N50" s="14" t="n">
        <v>920</v>
      </c>
      <c r="O50" s="14" t="n">
        <v>132</v>
      </c>
      <c r="P50" s="14" t="n">
        <v>16</v>
      </c>
      <c r="Q50" s="15" t="n">
        <v>0.3106</v>
      </c>
      <c r="R50" s="14" t="n">
        <v>5995</v>
      </c>
      <c r="S50" s="14" t="n">
        <v>299</v>
      </c>
    </row>
    <row r="51" customFormat="false" ht="15" hidden="false" customHeight="true" outlineLevel="0" collapsed="false">
      <c r="A51" s="13" t="n">
        <v>2025</v>
      </c>
      <c r="B51" s="13" t="s">
        <v>844</v>
      </c>
      <c r="C51" s="13" t="s">
        <v>128</v>
      </c>
      <c r="D51" s="13" t="s">
        <v>124</v>
      </c>
      <c r="E51" s="14" t="n">
        <v>3557</v>
      </c>
      <c r="F51" s="14" t="n">
        <v>4</v>
      </c>
      <c r="G51" s="14" t="n">
        <v>3359</v>
      </c>
      <c r="H51" s="14" t="n">
        <v>2</v>
      </c>
      <c r="I51" s="14" t="n">
        <v>618</v>
      </c>
      <c r="J51" s="14" t="n">
        <v>4</v>
      </c>
      <c r="K51" s="14" t="n">
        <v>20</v>
      </c>
      <c r="L51" s="14" t="n">
        <v>102</v>
      </c>
      <c r="M51" s="14" t="n">
        <v>174</v>
      </c>
      <c r="N51" s="14" t="n">
        <v>257</v>
      </c>
      <c r="O51" s="14" t="n">
        <v>58</v>
      </c>
      <c r="P51" s="14" t="n">
        <v>8</v>
      </c>
      <c r="Q51" s="15" t="n">
        <v>0.184</v>
      </c>
      <c r="R51" s="14" t="n">
        <v>2731</v>
      </c>
      <c r="S51" s="14" t="n">
        <v>194</v>
      </c>
    </row>
    <row r="52" customFormat="false" ht="15" hidden="false" customHeight="true" outlineLevel="0" collapsed="false">
      <c r="A52" s="13" t="n">
        <v>2025</v>
      </c>
      <c r="B52" s="13" t="s">
        <v>844</v>
      </c>
      <c r="C52" s="13" t="s">
        <v>128</v>
      </c>
      <c r="D52" s="13" t="s">
        <v>122</v>
      </c>
      <c r="E52" s="14" t="n">
        <v>5474</v>
      </c>
      <c r="F52" s="14" t="n">
        <v>4</v>
      </c>
      <c r="G52" s="14" t="n">
        <v>5365</v>
      </c>
      <c r="H52" s="14" t="n">
        <v>1</v>
      </c>
      <c r="I52" s="14" t="n">
        <v>2092</v>
      </c>
      <c r="J52" s="14" t="n">
        <v>22</v>
      </c>
      <c r="K52" s="14" t="n">
        <v>200</v>
      </c>
      <c r="L52" s="14" t="n">
        <v>476</v>
      </c>
      <c r="M52" s="14" t="n">
        <v>657</v>
      </c>
      <c r="N52" s="14" t="n">
        <v>663</v>
      </c>
      <c r="O52" s="14" t="n">
        <v>74</v>
      </c>
      <c r="P52" s="14" t="n">
        <v>8</v>
      </c>
      <c r="Q52" s="15" t="n">
        <v>0.3899</v>
      </c>
      <c r="R52" s="14" t="n">
        <v>3264</v>
      </c>
      <c r="S52" s="14" t="n">
        <v>105</v>
      </c>
    </row>
    <row r="53" customFormat="false" ht="15" hidden="false" customHeight="true" outlineLevel="0" collapsed="false">
      <c r="A53" s="13" t="n">
        <v>2025</v>
      </c>
      <c r="B53" s="13" t="s">
        <v>844</v>
      </c>
      <c r="C53" s="13" t="s">
        <v>123</v>
      </c>
      <c r="D53" s="13" t="s">
        <v>846</v>
      </c>
      <c r="E53" s="14" t="n">
        <v>2068</v>
      </c>
      <c r="F53" s="14" t="n">
        <v>5</v>
      </c>
      <c r="G53" s="14" t="n">
        <v>1967</v>
      </c>
      <c r="H53" s="14" t="n">
        <v>1</v>
      </c>
      <c r="I53" s="14" t="n">
        <v>997</v>
      </c>
      <c r="J53" s="14" t="n">
        <v>328</v>
      </c>
      <c r="K53" s="14" t="n">
        <v>86</v>
      </c>
      <c r="L53" s="14" t="n">
        <v>80</v>
      </c>
      <c r="M53" s="14" t="n">
        <v>289</v>
      </c>
      <c r="N53" s="14" t="n">
        <v>207</v>
      </c>
      <c r="O53" s="14" t="n">
        <v>6</v>
      </c>
      <c r="P53" s="14" t="n">
        <v>33</v>
      </c>
      <c r="Q53" s="15" t="n">
        <v>0.5069</v>
      </c>
      <c r="R53" s="14" t="n">
        <v>936</v>
      </c>
      <c r="S53" s="14" t="n">
        <v>96</v>
      </c>
    </row>
    <row r="54" customFormat="false" ht="15" hidden="false" customHeight="true" outlineLevel="0" collapsed="false">
      <c r="A54" s="13" t="n">
        <v>2025</v>
      </c>
      <c r="B54" s="13" t="s">
        <v>844</v>
      </c>
      <c r="C54" s="13" t="s">
        <v>123</v>
      </c>
      <c r="D54" s="13" t="s">
        <v>124</v>
      </c>
      <c r="E54" s="14" t="n">
        <v>667</v>
      </c>
      <c r="F54" s="14" t="n">
        <v>2</v>
      </c>
      <c r="G54" s="14" t="n">
        <v>634</v>
      </c>
      <c r="H54" s="14" t="n">
        <v>0</v>
      </c>
      <c r="I54" s="14" t="n">
        <v>232</v>
      </c>
      <c r="J54" s="14" t="n">
        <v>54</v>
      </c>
      <c r="K54" s="14" t="n">
        <v>19</v>
      </c>
      <c r="L54" s="14" t="n">
        <v>19</v>
      </c>
      <c r="M54" s="14" t="n">
        <v>65</v>
      </c>
      <c r="N54" s="14" t="n">
        <v>69</v>
      </c>
      <c r="O54" s="14" t="n">
        <v>5</v>
      </c>
      <c r="P54" s="14" t="n">
        <v>16</v>
      </c>
      <c r="Q54" s="15" t="n">
        <v>0.3659</v>
      </c>
      <c r="R54" s="14" t="n">
        <v>386</v>
      </c>
      <c r="S54" s="14" t="n">
        <v>31</v>
      </c>
    </row>
    <row r="55" customFormat="false" ht="15" hidden="false" customHeight="true" outlineLevel="0" collapsed="false">
      <c r="A55" s="13" t="n">
        <v>2025</v>
      </c>
      <c r="B55" s="13" t="s">
        <v>844</v>
      </c>
      <c r="C55" s="13" t="s">
        <v>123</v>
      </c>
      <c r="D55" s="13" t="s">
        <v>122</v>
      </c>
      <c r="E55" s="14" t="n">
        <v>1401</v>
      </c>
      <c r="F55" s="14" t="n">
        <v>3</v>
      </c>
      <c r="G55" s="14" t="n">
        <v>1333</v>
      </c>
      <c r="H55" s="14" t="n">
        <v>1</v>
      </c>
      <c r="I55" s="14" t="n">
        <v>765</v>
      </c>
      <c r="J55" s="14" t="n">
        <v>274</v>
      </c>
      <c r="K55" s="14" t="n">
        <v>67</v>
      </c>
      <c r="L55" s="14" t="n">
        <v>61</v>
      </c>
      <c r="M55" s="14" t="n">
        <v>224</v>
      </c>
      <c r="N55" s="14" t="n">
        <v>138</v>
      </c>
      <c r="O55" s="14" t="n">
        <v>1</v>
      </c>
      <c r="P55" s="14" t="n">
        <v>17</v>
      </c>
      <c r="Q55" s="15" t="n">
        <v>0.5739</v>
      </c>
      <c r="R55" s="14" t="n">
        <v>550</v>
      </c>
      <c r="S55" s="14" t="n">
        <v>65</v>
      </c>
    </row>
    <row r="56" customFormat="false" ht="15" hidden="false" customHeight="true" outlineLevel="0" collapsed="false">
      <c r="A56" s="13" t="n">
        <v>2025</v>
      </c>
      <c r="B56" s="13" t="s">
        <v>844</v>
      </c>
      <c r="C56" s="13" t="s">
        <v>126</v>
      </c>
      <c r="D56" s="13" t="s">
        <v>846</v>
      </c>
      <c r="E56" s="14" t="n">
        <v>790</v>
      </c>
      <c r="F56" s="14" t="n">
        <v>3</v>
      </c>
      <c r="G56" s="14" t="n">
        <v>762</v>
      </c>
      <c r="H56" s="14" t="n">
        <v>0</v>
      </c>
      <c r="I56" s="14" t="n">
        <v>212</v>
      </c>
      <c r="J56" s="14" t="n">
        <v>4</v>
      </c>
      <c r="K56" s="14" t="n">
        <v>10</v>
      </c>
      <c r="L56" s="14" t="n">
        <v>16</v>
      </c>
      <c r="M56" s="14" t="n">
        <v>92</v>
      </c>
      <c r="N56" s="14" t="n">
        <v>88</v>
      </c>
      <c r="O56" s="14" t="n">
        <v>2</v>
      </c>
      <c r="P56" s="14" t="n">
        <v>41</v>
      </c>
      <c r="Q56" s="15" t="n">
        <v>0.2782</v>
      </c>
      <c r="R56" s="14" t="n">
        <v>509</v>
      </c>
      <c r="S56" s="14" t="n">
        <v>25</v>
      </c>
    </row>
    <row r="57" customFormat="false" ht="15" hidden="false" customHeight="true" outlineLevel="0" collapsed="false">
      <c r="A57" s="13" t="n">
        <v>2025</v>
      </c>
      <c r="B57" s="13" t="s">
        <v>844</v>
      </c>
      <c r="C57" s="13" t="s">
        <v>126</v>
      </c>
      <c r="D57" s="13" t="s">
        <v>124</v>
      </c>
      <c r="E57" s="14" t="n">
        <v>517</v>
      </c>
      <c r="F57" s="14" t="n">
        <v>2</v>
      </c>
      <c r="G57" s="14" t="n">
        <v>493</v>
      </c>
      <c r="H57" s="14" t="n">
        <v>0</v>
      </c>
      <c r="I57" s="14" t="n">
        <v>125</v>
      </c>
      <c r="J57" s="14" t="n">
        <v>2</v>
      </c>
      <c r="K57" s="14" t="n">
        <v>6</v>
      </c>
      <c r="L57" s="14" t="n">
        <v>10</v>
      </c>
      <c r="M57" s="14" t="n">
        <v>53</v>
      </c>
      <c r="N57" s="14" t="n">
        <v>53</v>
      </c>
      <c r="O57" s="14" t="n">
        <v>1</v>
      </c>
      <c r="P57" s="14" t="n">
        <v>17</v>
      </c>
      <c r="Q57" s="15" t="n">
        <v>0.2535</v>
      </c>
      <c r="R57" s="14" t="n">
        <v>351</v>
      </c>
      <c r="S57" s="14" t="n">
        <v>22</v>
      </c>
    </row>
    <row r="58" customFormat="false" ht="15" hidden="false" customHeight="true" outlineLevel="0" collapsed="false">
      <c r="A58" s="13" t="n">
        <v>2025</v>
      </c>
      <c r="B58" s="13" t="s">
        <v>844</v>
      </c>
      <c r="C58" s="13" t="s">
        <v>126</v>
      </c>
      <c r="D58" s="13" t="s">
        <v>122</v>
      </c>
      <c r="E58" s="14" t="n">
        <v>273</v>
      </c>
      <c r="F58" s="14" t="n">
        <v>1</v>
      </c>
      <c r="G58" s="14" t="n">
        <v>269</v>
      </c>
      <c r="H58" s="14" t="n">
        <v>0</v>
      </c>
      <c r="I58" s="14" t="n">
        <v>87</v>
      </c>
      <c r="J58" s="14" t="n">
        <v>2</v>
      </c>
      <c r="K58" s="14" t="n">
        <v>4</v>
      </c>
      <c r="L58" s="14" t="n">
        <v>6</v>
      </c>
      <c r="M58" s="14" t="n">
        <v>39</v>
      </c>
      <c r="N58" s="14" t="n">
        <v>35</v>
      </c>
      <c r="O58" s="14" t="n">
        <v>1</v>
      </c>
      <c r="P58" s="14" t="n">
        <v>24</v>
      </c>
      <c r="Q58" s="15" t="n">
        <v>0.3234</v>
      </c>
      <c r="R58" s="14" t="n">
        <v>158</v>
      </c>
      <c r="S58" s="14" t="n">
        <v>3</v>
      </c>
    </row>
    <row r="59" customFormat="false" ht="15" hidden="false" customHeight="true" outlineLevel="0" collapsed="false">
      <c r="A59" s="13" t="n">
        <v>2025</v>
      </c>
      <c r="B59" s="13" t="s">
        <v>844</v>
      </c>
      <c r="C59" s="13" t="s">
        <v>203</v>
      </c>
      <c r="D59" s="13" t="s">
        <v>846</v>
      </c>
      <c r="E59" s="14" t="n">
        <v>879</v>
      </c>
      <c r="F59" s="14" t="n">
        <v>2</v>
      </c>
      <c r="G59" s="14" t="n">
        <v>848</v>
      </c>
      <c r="H59" s="14" t="n">
        <v>1</v>
      </c>
      <c r="I59" s="14" t="n">
        <v>251</v>
      </c>
      <c r="J59" s="14" t="n">
        <v>2</v>
      </c>
      <c r="K59" s="14" t="n">
        <v>12</v>
      </c>
      <c r="L59" s="14" t="n">
        <v>29</v>
      </c>
      <c r="M59" s="14" t="n">
        <v>73</v>
      </c>
      <c r="N59" s="14" t="n">
        <v>114</v>
      </c>
      <c r="O59" s="14" t="n">
        <v>21</v>
      </c>
      <c r="P59" s="14" t="n">
        <v>2</v>
      </c>
      <c r="Q59" s="15" t="n">
        <v>0.296</v>
      </c>
      <c r="R59" s="14" t="n">
        <v>594</v>
      </c>
      <c r="S59" s="14" t="n">
        <v>29</v>
      </c>
    </row>
    <row r="60" customFormat="false" ht="15" hidden="false" customHeight="true" outlineLevel="0" collapsed="false">
      <c r="A60" s="13" t="n">
        <v>2025</v>
      </c>
      <c r="B60" s="13" t="s">
        <v>844</v>
      </c>
      <c r="C60" s="13" t="s">
        <v>203</v>
      </c>
      <c r="D60" s="13" t="s">
        <v>124</v>
      </c>
      <c r="E60" s="14" t="n">
        <v>623</v>
      </c>
      <c r="F60" s="14" t="n">
        <v>1</v>
      </c>
      <c r="G60" s="14" t="n">
        <v>596</v>
      </c>
      <c r="H60" s="14" t="n">
        <v>0</v>
      </c>
      <c r="I60" s="14" t="n">
        <v>130</v>
      </c>
      <c r="J60" s="14" t="n">
        <v>1</v>
      </c>
      <c r="K60" s="14" t="n">
        <v>5</v>
      </c>
      <c r="L60" s="14" t="n">
        <v>7</v>
      </c>
      <c r="M60" s="14" t="n">
        <v>37</v>
      </c>
      <c r="N60" s="14" t="n">
        <v>68</v>
      </c>
      <c r="O60" s="14" t="n">
        <v>12</v>
      </c>
      <c r="P60" s="14" t="n">
        <v>1</v>
      </c>
      <c r="Q60" s="15" t="n">
        <v>0.2181</v>
      </c>
      <c r="R60" s="14" t="n">
        <v>465</v>
      </c>
      <c r="S60" s="14" t="n">
        <v>26</v>
      </c>
    </row>
    <row r="61" customFormat="false" ht="15" hidden="false" customHeight="true" outlineLevel="0" collapsed="false">
      <c r="A61" s="13" t="n">
        <v>2025</v>
      </c>
      <c r="B61" s="13" t="s">
        <v>844</v>
      </c>
      <c r="C61" s="13" t="s">
        <v>203</v>
      </c>
      <c r="D61" s="13" t="s">
        <v>122</v>
      </c>
      <c r="E61" s="14" t="n">
        <v>256</v>
      </c>
      <c r="F61" s="14" t="n">
        <v>1</v>
      </c>
      <c r="G61" s="14" t="n">
        <v>252</v>
      </c>
      <c r="H61" s="14" t="n">
        <v>1</v>
      </c>
      <c r="I61" s="14" t="n">
        <v>121</v>
      </c>
      <c r="J61" s="14" t="n">
        <v>1</v>
      </c>
      <c r="K61" s="14" t="n">
        <v>7</v>
      </c>
      <c r="L61" s="14" t="n">
        <v>22</v>
      </c>
      <c r="M61" s="14" t="n">
        <v>36</v>
      </c>
      <c r="N61" s="14" t="n">
        <v>46</v>
      </c>
      <c r="O61" s="14" t="n">
        <v>9</v>
      </c>
      <c r="P61" s="14" t="n">
        <v>1</v>
      </c>
      <c r="Q61" s="15" t="n">
        <v>0.4802</v>
      </c>
      <c r="R61" s="14" t="n">
        <v>129</v>
      </c>
      <c r="S61" s="14" t="n">
        <v>3</v>
      </c>
    </row>
    <row r="62" customFormat="false" ht="15" hidden="false" customHeight="true" outlineLevel="0" collapsed="false">
      <c r="A62" s="13" t="n">
        <v>2025</v>
      </c>
      <c r="B62" s="13" t="s">
        <v>844</v>
      </c>
      <c r="C62" s="13" t="s">
        <v>821</v>
      </c>
      <c r="D62" s="13" t="s">
        <v>846</v>
      </c>
      <c r="E62" s="14" t="n">
        <v>4370</v>
      </c>
      <c r="F62" s="14" t="n">
        <v>1</v>
      </c>
      <c r="G62" s="14" t="n">
        <v>4331</v>
      </c>
      <c r="H62" s="14" t="n">
        <v>1</v>
      </c>
      <c r="I62" s="14" t="n">
        <v>1030</v>
      </c>
      <c r="J62" s="14" t="n">
        <v>2</v>
      </c>
      <c r="K62" s="14" t="n">
        <v>3</v>
      </c>
      <c r="L62" s="14" t="n">
        <v>39</v>
      </c>
      <c r="M62" s="14" t="n">
        <v>395</v>
      </c>
      <c r="N62" s="14" t="n">
        <v>570</v>
      </c>
      <c r="O62" s="14" t="n">
        <v>21</v>
      </c>
      <c r="P62" s="14" t="n">
        <v>12</v>
      </c>
      <c r="Q62" s="15" t="n">
        <v>0.2378</v>
      </c>
      <c r="R62" s="14" t="n">
        <v>3288</v>
      </c>
      <c r="S62" s="14" t="n">
        <v>38</v>
      </c>
    </row>
    <row r="63" customFormat="false" ht="15" hidden="false" customHeight="true" outlineLevel="0" collapsed="false">
      <c r="A63" s="13" t="n">
        <v>2025</v>
      </c>
      <c r="B63" s="13" t="s">
        <v>844</v>
      </c>
      <c r="C63" s="13" t="s">
        <v>821</v>
      </c>
      <c r="D63" s="13" t="s">
        <v>124</v>
      </c>
      <c r="E63" s="14" t="n">
        <v>2537</v>
      </c>
      <c r="F63" s="14" t="n">
        <v>1</v>
      </c>
      <c r="G63" s="14" t="n">
        <v>2511</v>
      </c>
      <c r="H63" s="14" t="n">
        <v>1</v>
      </c>
      <c r="I63" s="14" t="n">
        <v>507</v>
      </c>
      <c r="J63" s="14" t="n">
        <v>0</v>
      </c>
      <c r="K63" s="14" t="n">
        <v>0</v>
      </c>
      <c r="L63" s="14" t="n">
        <v>16</v>
      </c>
      <c r="M63" s="14" t="n">
        <v>155</v>
      </c>
      <c r="N63" s="14" t="n">
        <v>317</v>
      </c>
      <c r="O63" s="14" t="n">
        <v>19</v>
      </c>
      <c r="P63" s="14" t="n">
        <v>5</v>
      </c>
      <c r="Q63" s="15" t="n">
        <v>0.2019</v>
      </c>
      <c r="R63" s="14" t="n">
        <v>1998</v>
      </c>
      <c r="S63" s="14" t="n">
        <v>25</v>
      </c>
    </row>
    <row r="64" customFormat="false" ht="15" hidden="false" customHeight="true" outlineLevel="0" collapsed="false">
      <c r="A64" s="13" t="n">
        <v>2025</v>
      </c>
      <c r="B64" s="13" t="s">
        <v>844</v>
      </c>
      <c r="C64" s="13" t="s">
        <v>821</v>
      </c>
      <c r="D64" s="13" t="s">
        <v>122</v>
      </c>
      <c r="E64" s="14" t="n">
        <v>1833</v>
      </c>
      <c r="F64" s="14" t="n">
        <v>0</v>
      </c>
      <c r="G64" s="14" t="n">
        <v>1820</v>
      </c>
      <c r="H64" s="14" t="n">
        <v>0</v>
      </c>
      <c r="I64" s="14" t="n">
        <v>523</v>
      </c>
      <c r="J64" s="14" t="n">
        <v>2</v>
      </c>
      <c r="K64" s="14" t="n">
        <v>3</v>
      </c>
      <c r="L64" s="14" t="n">
        <v>23</v>
      </c>
      <c r="M64" s="14" t="n">
        <v>240</v>
      </c>
      <c r="N64" s="14" t="n">
        <v>253</v>
      </c>
      <c r="O64" s="14" t="n">
        <v>2</v>
      </c>
      <c r="P64" s="14" t="n">
        <v>7</v>
      </c>
      <c r="Q64" s="15" t="n">
        <v>0.2874</v>
      </c>
      <c r="R64" s="14" t="n">
        <v>1290</v>
      </c>
      <c r="S64" s="14" t="n">
        <v>13</v>
      </c>
    </row>
    <row r="65" customFormat="false" ht="15" hidden="false" customHeight="true" outlineLevel="0" collapsed="false">
      <c r="A65" s="13" t="n">
        <v>2025</v>
      </c>
      <c r="B65" s="13" t="s">
        <v>848</v>
      </c>
      <c r="C65" s="13" t="s">
        <v>845</v>
      </c>
      <c r="D65" s="13" t="s">
        <v>846</v>
      </c>
      <c r="E65" s="14" t="n">
        <v>59784</v>
      </c>
      <c r="F65" s="14" t="n">
        <v>31</v>
      </c>
      <c r="G65" s="14" t="n">
        <v>58940</v>
      </c>
      <c r="H65" s="14" t="n">
        <v>33</v>
      </c>
      <c r="I65" s="14" t="n">
        <v>31898</v>
      </c>
      <c r="J65" s="14" t="n">
        <v>2352</v>
      </c>
      <c r="K65" s="14" t="n">
        <v>4588</v>
      </c>
      <c r="L65" s="14" t="n">
        <v>8652</v>
      </c>
      <c r="M65" s="14" t="n">
        <v>10881</v>
      </c>
      <c r="N65" s="14" t="n">
        <v>5144</v>
      </c>
      <c r="O65" s="14" t="n">
        <v>277</v>
      </c>
      <c r="P65" s="14" t="n">
        <v>105</v>
      </c>
      <c r="Q65" s="15" t="n">
        <v>0.5412</v>
      </c>
      <c r="R65" s="14" t="n">
        <v>26904</v>
      </c>
      <c r="S65" s="14" t="n">
        <v>813</v>
      </c>
    </row>
    <row r="66" customFormat="false" ht="15" hidden="false" customHeight="true" outlineLevel="0" collapsed="false">
      <c r="A66" s="13" t="n">
        <v>2025</v>
      </c>
      <c r="B66" s="13" t="s">
        <v>848</v>
      </c>
      <c r="C66" s="13" t="s">
        <v>845</v>
      </c>
      <c r="D66" s="13" t="s">
        <v>124</v>
      </c>
      <c r="E66" s="14" t="n">
        <v>22130</v>
      </c>
      <c r="F66" s="14" t="n">
        <v>18</v>
      </c>
      <c r="G66" s="14" t="n">
        <v>21668</v>
      </c>
      <c r="H66" s="14" t="n">
        <v>21</v>
      </c>
      <c r="I66" s="14" t="n">
        <v>8640</v>
      </c>
      <c r="J66" s="14" t="n">
        <v>587</v>
      </c>
      <c r="K66" s="14" t="n">
        <v>1022</v>
      </c>
      <c r="L66" s="14" t="n">
        <v>1904</v>
      </c>
      <c r="M66" s="14" t="n">
        <v>3007</v>
      </c>
      <c r="N66" s="14" t="n">
        <v>1972</v>
      </c>
      <c r="O66" s="14" t="n">
        <v>144</v>
      </c>
      <c r="P66" s="14" t="n">
        <v>47</v>
      </c>
      <c r="Q66" s="15" t="n">
        <v>0.3987</v>
      </c>
      <c r="R66" s="14" t="n">
        <v>12960</v>
      </c>
      <c r="S66" s="14" t="n">
        <v>444</v>
      </c>
    </row>
    <row r="67" customFormat="false" ht="15" hidden="false" customHeight="true" outlineLevel="0" collapsed="false">
      <c r="A67" s="13" t="n">
        <v>2025</v>
      </c>
      <c r="B67" s="13" t="s">
        <v>848</v>
      </c>
      <c r="C67" s="13" t="s">
        <v>845</v>
      </c>
      <c r="D67" s="13" t="s">
        <v>122</v>
      </c>
      <c r="E67" s="14" t="n">
        <v>37654</v>
      </c>
      <c r="F67" s="14" t="n">
        <v>13</v>
      </c>
      <c r="G67" s="14" t="n">
        <v>37272</v>
      </c>
      <c r="H67" s="14" t="n">
        <v>12</v>
      </c>
      <c r="I67" s="14" t="n">
        <v>23258</v>
      </c>
      <c r="J67" s="14" t="n">
        <v>1765</v>
      </c>
      <c r="K67" s="14" t="n">
        <v>3566</v>
      </c>
      <c r="L67" s="14" t="n">
        <v>6748</v>
      </c>
      <c r="M67" s="14" t="n">
        <v>7874</v>
      </c>
      <c r="N67" s="14" t="n">
        <v>3172</v>
      </c>
      <c r="O67" s="14" t="n">
        <v>133</v>
      </c>
      <c r="P67" s="14" t="n">
        <v>58</v>
      </c>
      <c r="Q67" s="15" t="n">
        <v>0.624</v>
      </c>
      <c r="R67" s="14" t="n">
        <v>13944</v>
      </c>
      <c r="S67" s="14" t="n">
        <v>369</v>
      </c>
    </row>
    <row r="68" customFormat="false" ht="15" hidden="false" customHeight="true" outlineLevel="0" collapsed="false">
      <c r="A68" s="13" t="n">
        <v>2025</v>
      </c>
      <c r="B68" s="13" t="s">
        <v>848</v>
      </c>
      <c r="C68" s="13" t="s">
        <v>849</v>
      </c>
      <c r="D68" s="13" t="s">
        <v>846</v>
      </c>
      <c r="E68" s="14" t="n">
        <v>42600</v>
      </c>
      <c r="F68" s="14" t="n">
        <v>12</v>
      </c>
      <c r="G68" s="14" t="n">
        <v>42264</v>
      </c>
      <c r="H68" s="14" t="n">
        <v>27</v>
      </c>
      <c r="I68" s="14" t="n">
        <v>26666</v>
      </c>
      <c r="J68" s="14" t="n">
        <v>1980</v>
      </c>
      <c r="K68" s="14" t="n">
        <v>4249</v>
      </c>
      <c r="L68" s="14" t="n">
        <v>7905</v>
      </c>
      <c r="M68" s="14" t="n">
        <v>9194</v>
      </c>
      <c r="N68" s="14" t="n">
        <v>3243</v>
      </c>
      <c r="O68" s="14" t="n">
        <v>95</v>
      </c>
      <c r="P68" s="14" t="n">
        <v>1</v>
      </c>
      <c r="Q68" s="15" t="n">
        <v>0.6309</v>
      </c>
      <c r="R68" s="14" t="n">
        <v>15570</v>
      </c>
      <c r="S68" s="14" t="n">
        <v>324</v>
      </c>
    </row>
    <row r="69" customFormat="false" ht="15" hidden="false" customHeight="true" outlineLevel="0" collapsed="false">
      <c r="A69" s="13" t="n">
        <v>2025</v>
      </c>
      <c r="B69" s="13" t="s">
        <v>848</v>
      </c>
      <c r="C69" s="13" t="s">
        <v>849</v>
      </c>
      <c r="D69" s="13" t="s">
        <v>124</v>
      </c>
      <c r="E69" s="14" t="n">
        <v>14206</v>
      </c>
      <c r="F69" s="14" t="n">
        <v>8</v>
      </c>
      <c r="G69" s="14" t="n">
        <v>14052</v>
      </c>
      <c r="H69" s="14" t="n">
        <v>18</v>
      </c>
      <c r="I69" s="14" t="n">
        <v>7017</v>
      </c>
      <c r="J69" s="14" t="n">
        <v>526</v>
      </c>
      <c r="K69" s="14" t="n">
        <v>971</v>
      </c>
      <c r="L69" s="14" t="n">
        <v>1749</v>
      </c>
      <c r="M69" s="14" t="n">
        <v>2516</v>
      </c>
      <c r="N69" s="14" t="n">
        <v>1206</v>
      </c>
      <c r="O69" s="14" t="n">
        <v>49</v>
      </c>
      <c r="P69" s="14" t="n">
        <v>0</v>
      </c>
      <c r="Q69" s="15" t="n">
        <v>0.4994</v>
      </c>
      <c r="R69" s="14" t="n">
        <v>7017</v>
      </c>
      <c r="S69" s="14" t="n">
        <v>146</v>
      </c>
    </row>
    <row r="70" customFormat="false" ht="15" hidden="false" customHeight="true" outlineLevel="0" collapsed="false">
      <c r="A70" s="13" t="n">
        <v>2025</v>
      </c>
      <c r="B70" s="13" t="s">
        <v>848</v>
      </c>
      <c r="C70" s="13" t="s">
        <v>849</v>
      </c>
      <c r="D70" s="13" t="s">
        <v>122</v>
      </c>
      <c r="E70" s="14" t="n">
        <v>28394</v>
      </c>
      <c r="F70" s="14" t="n">
        <v>4</v>
      </c>
      <c r="G70" s="14" t="n">
        <v>28212</v>
      </c>
      <c r="H70" s="14" t="n">
        <v>9</v>
      </c>
      <c r="I70" s="14" t="n">
        <v>19649</v>
      </c>
      <c r="J70" s="14" t="n">
        <v>1454</v>
      </c>
      <c r="K70" s="14" t="n">
        <v>3278</v>
      </c>
      <c r="L70" s="14" t="n">
        <v>6156</v>
      </c>
      <c r="M70" s="14" t="n">
        <v>6678</v>
      </c>
      <c r="N70" s="14" t="n">
        <v>2037</v>
      </c>
      <c r="O70" s="14" t="n">
        <v>46</v>
      </c>
      <c r="P70" s="14" t="n">
        <v>1</v>
      </c>
      <c r="Q70" s="15" t="n">
        <v>0.6965</v>
      </c>
      <c r="R70" s="14" t="n">
        <v>8553</v>
      </c>
      <c r="S70" s="14" t="n">
        <v>178</v>
      </c>
    </row>
    <row r="71" customFormat="false" ht="15" hidden="false" customHeight="true" outlineLevel="0" collapsed="false">
      <c r="A71" s="13" t="n">
        <v>2025</v>
      </c>
      <c r="B71" s="13" t="s">
        <v>848</v>
      </c>
      <c r="C71" s="13" t="s">
        <v>128</v>
      </c>
      <c r="D71" s="13" t="s">
        <v>846</v>
      </c>
      <c r="E71" s="14" t="n">
        <v>11942</v>
      </c>
      <c r="F71" s="14" t="n">
        <v>5</v>
      </c>
      <c r="G71" s="14" t="n">
        <v>11836</v>
      </c>
      <c r="H71" s="14" t="n">
        <v>6</v>
      </c>
      <c r="I71" s="14" t="n">
        <v>6513</v>
      </c>
      <c r="J71" s="14" t="n">
        <v>61</v>
      </c>
      <c r="K71" s="14" t="n">
        <v>637</v>
      </c>
      <c r="L71" s="14" t="n">
        <v>1890</v>
      </c>
      <c r="M71" s="14" t="n">
        <v>2556</v>
      </c>
      <c r="N71" s="14" t="n">
        <v>1314</v>
      </c>
      <c r="O71" s="14" t="n">
        <v>55</v>
      </c>
      <c r="P71" s="14" t="n">
        <v>0</v>
      </c>
      <c r="Q71" s="15" t="n">
        <v>0.5503</v>
      </c>
      <c r="R71" s="14" t="n">
        <v>5317</v>
      </c>
      <c r="S71" s="14" t="n">
        <v>101</v>
      </c>
    </row>
    <row r="72" customFormat="false" ht="15" hidden="false" customHeight="true" outlineLevel="0" collapsed="false">
      <c r="A72" s="13" t="n">
        <v>2025</v>
      </c>
      <c r="B72" s="13" t="s">
        <v>848</v>
      </c>
      <c r="C72" s="13" t="s">
        <v>128</v>
      </c>
      <c r="D72" s="13" t="s">
        <v>124</v>
      </c>
      <c r="E72" s="14" t="n">
        <v>2260</v>
      </c>
      <c r="F72" s="14" t="n">
        <v>3</v>
      </c>
      <c r="G72" s="14" t="n">
        <v>2234</v>
      </c>
      <c r="H72" s="14" t="n">
        <v>4</v>
      </c>
      <c r="I72" s="14" t="n">
        <v>703</v>
      </c>
      <c r="J72" s="14" t="n">
        <v>4</v>
      </c>
      <c r="K72" s="14" t="n">
        <v>28</v>
      </c>
      <c r="L72" s="14" t="n">
        <v>123</v>
      </c>
      <c r="M72" s="14" t="n">
        <v>293</v>
      </c>
      <c r="N72" s="14" t="n">
        <v>238</v>
      </c>
      <c r="O72" s="14" t="n">
        <v>17</v>
      </c>
      <c r="P72" s="14" t="n">
        <v>0</v>
      </c>
      <c r="Q72" s="15" t="n">
        <v>0.3147</v>
      </c>
      <c r="R72" s="14" t="n">
        <v>1527</v>
      </c>
      <c r="S72" s="14" t="n">
        <v>23</v>
      </c>
    </row>
    <row r="73" customFormat="false" ht="15" hidden="false" customHeight="true" outlineLevel="0" collapsed="false">
      <c r="A73" s="13" t="n">
        <v>2025</v>
      </c>
      <c r="B73" s="13" t="s">
        <v>848</v>
      </c>
      <c r="C73" s="13" t="s">
        <v>128</v>
      </c>
      <c r="D73" s="13" t="s">
        <v>122</v>
      </c>
      <c r="E73" s="14" t="n">
        <v>9682</v>
      </c>
      <c r="F73" s="14" t="n">
        <v>2</v>
      </c>
      <c r="G73" s="14" t="n">
        <v>9602</v>
      </c>
      <c r="H73" s="14" t="n">
        <v>2</v>
      </c>
      <c r="I73" s="14" t="n">
        <v>5810</v>
      </c>
      <c r="J73" s="14" t="n">
        <v>57</v>
      </c>
      <c r="K73" s="14" t="n">
        <v>609</v>
      </c>
      <c r="L73" s="14" t="n">
        <v>1767</v>
      </c>
      <c r="M73" s="14" t="n">
        <v>2263</v>
      </c>
      <c r="N73" s="14" t="n">
        <v>1076</v>
      </c>
      <c r="O73" s="14" t="n">
        <v>38</v>
      </c>
      <c r="P73" s="14" t="n">
        <v>0</v>
      </c>
      <c r="Q73" s="15" t="n">
        <v>0.6051</v>
      </c>
      <c r="R73" s="14" t="n">
        <v>3790</v>
      </c>
      <c r="S73" s="14" t="n">
        <v>78</v>
      </c>
    </row>
    <row r="74" customFormat="false" ht="15" hidden="false" customHeight="true" outlineLevel="0" collapsed="false">
      <c r="A74" s="13" t="n">
        <v>2025</v>
      </c>
      <c r="B74" s="13" t="s">
        <v>848</v>
      </c>
      <c r="C74" s="13" t="s">
        <v>123</v>
      </c>
      <c r="D74" s="13" t="s">
        <v>846</v>
      </c>
      <c r="E74" s="14" t="n">
        <v>9331</v>
      </c>
      <c r="F74" s="14" t="n">
        <v>1</v>
      </c>
      <c r="G74" s="14" t="n">
        <v>9276</v>
      </c>
      <c r="H74" s="14" t="n">
        <v>8</v>
      </c>
      <c r="I74" s="14" t="n">
        <v>7328</v>
      </c>
      <c r="J74" s="14" t="n">
        <v>1052</v>
      </c>
      <c r="K74" s="14" t="n">
        <v>1569</v>
      </c>
      <c r="L74" s="14" t="n">
        <v>2257</v>
      </c>
      <c r="M74" s="14" t="n">
        <v>2059</v>
      </c>
      <c r="N74" s="14" t="n">
        <v>387</v>
      </c>
      <c r="O74" s="14" t="n">
        <v>4</v>
      </c>
      <c r="P74" s="14" t="n">
        <v>1</v>
      </c>
      <c r="Q74" s="15" t="n">
        <v>0.79</v>
      </c>
      <c r="R74" s="14" t="n">
        <v>1939</v>
      </c>
      <c r="S74" s="14" t="n">
        <v>54</v>
      </c>
    </row>
    <row r="75" customFormat="false" ht="15" hidden="false" customHeight="true" outlineLevel="0" collapsed="false">
      <c r="A75" s="13" t="n">
        <v>2025</v>
      </c>
      <c r="B75" s="13" t="s">
        <v>848</v>
      </c>
      <c r="C75" s="13" t="s">
        <v>123</v>
      </c>
      <c r="D75" s="13" t="s">
        <v>124</v>
      </c>
      <c r="E75" s="14" t="n">
        <v>1820</v>
      </c>
      <c r="F75" s="14" t="n">
        <v>0</v>
      </c>
      <c r="G75" s="14" t="n">
        <v>1801</v>
      </c>
      <c r="H75" s="14" t="n">
        <v>3</v>
      </c>
      <c r="I75" s="14" t="n">
        <v>1201</v>
      </c>
      <c r="J75" s="14" t="n">
        <v>193</v>
      </c>
      <c r="K75" s="14" t="n">
        <v>228</v>
      </c>
      <c r="L75" s="14" t="n">
        <v>320</v>
      </c>
      <c r="M75" s="14" t="n">
        <v>373</v>
      </c>
      <c r="N75" s="14" t="n">
        <v>84</v>
      </c>
      <c r="O75" s="14" t="n">
        <v>3</v>
      </c>
      <c r="P75" s="14" t="n">
        <v>0</v>
      </c>
      <c r="Q75" s="15" t="n">
        <v>0.6669</v>
      </c>
      <c r="R75" s="14" t="n">
        <v>597</v>
      </c>
      <c r="S75" s="14" t="n">
        <v>19</v>
      </c>
    </row>
    <row r="76" customFormat="false" ht="15" hidden="false" customHeight="true" outlineLevel="0" collapsed="false">
      <c r="A76" s="13" t="n">
        <v>2025</v>
      </c>
      <c r="B76" s="13" t="s">
        <v>848</v>
      </c>
      <c r="C76" s="13" t="s">
        <v>123</v>
      </c>
      <c r="D76" s="13" t="s">
        <v>122</v>
      </c>
      <c r="E76" s="14" t="n">
        <v>7511</v>
      </c>
      <c r="F76" s="14" t="n">
        <v>1</v>
      </c>
      <c r="G76" s="14" t="n">
        <v>7475</v>
      </c>
      <c r="H76" s="14" t="n">
        <v>5</v>
      </c>
      <c r="I76" s="14" t="n">
        <v>6127</v>
      </c>
      <c r="J76" s="14" t="n">
        <v>859</v>
      </c>
      <c r="K76" s="14" t="n">
        <v>1341</v>
      </c>
      <c r="L76" s="14" t="n">
        <v>1937</v>
      </c>
      <c r="M76" s="14" t="n">
        <v>1686</v>
      </c>
      <c r="N76" s="14" t="n">
        <v>303</v>
      </c>
      <c r="O76" s="14" t="n">
        <v>1</v>
      </c>
      <c r="P76" s="14" t="n">
        <v>1</v>
      </c>
      <c r="Q76" s="15" t="n">
        <v>0.8197</v>
      </c>
      <c r="R76" s="14" t="n">
        <v>1342</v>
      </c>
      <c r="S76" s="14" t="n">
        <v>35</v>
      </c>
    </row>
    <row r="77" customFormat="false" ht="15" hidden="false" customHeight="true" outlineLevel="0" collapsed="false">
      <c r="A77" s="13" t="n">
        <v>2025</v>
      </c>
      <c r="B77" s="13" t="s">
        <v>848</v>
      </c>
      <c r="C77" s="13" t="s">
        <v>126</v>
      </c>
      <c r="D77" s="13" t="s">
        <v>846</v>
      </c>
      <c r="E77" s="14" t="n">
        <v>2557</v>
      </c>
      <c r="F77" s="14" t="n">
        <v>0</v>
      </c>
      <c r="G77" s="14" t="n">
        <v>2547</v>
      </c>
      <c r="H77" s="14" t="n">
        <v>3</v>
      </c>
      <c r="I77" s="14" t="n">
        <v>1907</v>
      </c>
      <c r="J77" s="14" t="n">
        <v>336</v>
      </c>
      <c r="K77" s="14" t="n">
        <v>410</v>
      </c>
      <c r="L77" s="14" t="n">
        <v>554</v>
      </c>
      <c r="M77" s="14" t="n">
        <v>486</v>
      </c>
      <c r="N77" s="14" t="n">
        <v>119</v>
      </c>
      <c r="O77" s="14" t="n">
        <v>2</v>
      </c>
      <c r="P77" s="14" t="n">
        <v>0</v>
      </c>
      <c r="Q77" s="15" t="n">
        <v>0.7487</v>
      </c>
      <c r="R77" s="14" t="n">
        <v>637</v>
      </c>
      <c r="S77" s="14" t="n">
        <v>10</v>
      </c>
    </row>
    <row r="78" customFormat="false" ht="15" hidden="false" customHeight="true" outlineLevel="0" collapsed="false">
      <c r="A78" s="13" t="n">
        <v>2025</v>
      </c>
      <c r="B78" s="13" t="s">
        <v>848</v>
      </c>
      <c r="C78" s="13" t="s">
        <v>126</v>
      </c>
      <c r="D78" s="13" t="s">
        <v>124</v>
      </c>
      <c r="E78" s="14" t="n">
        <v>1410</v>
      </c>
      <c r="F78" s="14" t="n">
        <v>0</v>
      </c>
      <c r="G78" s="14" t="n">
        <v>1403</v>
      </c>
      <c r="H78" s="14" t="n">
        <v>1</v>
      </c>
      <c r="I78" s="14" t="n">
        <v>976</v>
      </c>
      <c r="J78" s="14" t="n">
        <v>174</v>
      </c>
      <c r="K78" s="14" t="n">
        <v>197</v>
      </c>
      <c r="L78" s="14" t="n">
        <v>268</v>
      </c>
      <c r="M78" s="14" t="n">
        <v>262</v>
      </c>
      <c r="N78" s="14" t="n">
        <v>73</v>
      </c>
      <c r="O78" s="14" t="n">
        <v>2</v>
      </c>
      <c r="P78" s="14" t="n">
        <v>0</v>
      </c>
      <c r="Q78" s="15" t="n">
        <v>0.6957</v>
      </c>
      <c r="R78" s="14" t="n">
        <v>426</v>
      </c>
      <c r="S78" s="14" t="n">
        <v>7</v>
      </c>
    </row>
    <row r="79" customFormat="false" ht="15" hidden="false" customHeight="true" outlineLevel="0" collapsed="false">
      <c r="A79" s="13" t="n">
        <v>2025</v>
      </c>
      <c r="B79" s="13" t="s">
        <v>848</v>
      </c>
      <c r="C79" s="13" t="s">
        <v>126</v>
      </c>
      <c r="D79" s="13" t="s">
        <v>122</v>
      </c>
      <c r="E79" s="14" t="n">
        <v>1147</v>
      </c>
      <c r="F79" s="14" t="n">
        <v>0</v>
      </c>
      <c r="G79" s="14" t="n">
        <v>1144</v>
      </c>
      <c r="H79" s="14" t="n">
        <v>2</v>
      </c>
      <c r="I79" s="14" t="n">
        <v>931</v>
      </c>
      <c r="J79" s="14" t="n">
        <v>162</v>
      </c>
      <c r="K79" s="14" t="n">
        <v>213</v>
      </c>
      <c r="L79" s="14" t="n">
        <v>286</v>
      </c>
      <c r="M79" s="14" t="n">
        <v>224</v>
      </c>
      <c r="N79" s="14" t="n">
        <v>46</v>
      </c>
      <c r="O79" s="14" t="n">
        <v>0</v>
      </c>
      <c r="P79" s="14" t="n">
        <v>0</v>
      </c>
      <c r="Q79" s="15" t="n">
        <v>0.8138</v>
      </c>
      <c r="R79" s="14" t="n">
        <v>211</v>
      </c>
      <c r="S79" s="14" t="n">
        <v>3</v>
      </c>
    </row>
    <row r="80" customFormat="false" ht="15" hidden="false" customHeight="true" outlineLevel="0" collapsed="false">
      <c r="A80" s="13" t="n">
        <v>2025</v>
      </c>
      <c r="B80" s="13" t="s">
        <v>848</v>
      </c>
      <c r="C80" s="13" t="s">
        <v>203</v>
      </c>
      <c r="D80" s="13" t="s">
        <v>846</v>
      </c>
      <c r="E80" s="14" t="n">
        <v>1813</v>
      </c>
      <c r="F80" s="14" t="n">
        <v>1</v>
      </c>
      <c r="G80" s="14" t="n">
        <v>1784</v>
      </c>
      <c r="H80" s="14" t="n">
        <v>1</v>
      </c>
      <c r="I80" s="14" t="n">
        <v>1140</v>
      </c>
      <c r="J80" s="14" t="n">
        <v>30</v>
      </c>
      <c r="K80" s="14" t="n">
        <v>121</v>
      </c>
      <c r="L80" s="14" t="n">
        <v>268</v>
      </c>
      <c r="M80" s="14" t="n">
        <v>399</v>
      </c>
      <c r="N80" s="14" t="n">
        <v>297</v>
      </c>
      <c r="O80" s="14" t="n">
        <v>25</v>
      </c>
      <c r="P80" s="14" t="n">
        <v>0</v>
      </c>
      <c r="Q80" s="15" t="n">
        <v>0.6394</v>
      </c>
      <c r="R80" s="14" t="n">
        <v>643</v>
      </c>
      <c r="S80" s="14" t="n">
        <v>28</v>
      </c>
    </row>
    <row r="81" customFormat="false" ht="15" hidden="false" customHeight="true" outlineLevel="0" collapsed="false">
      <c r="A81" s="13" t="n">
        <v>2025</v>
      </c>
      <c r="B81" s="13" t="s">
        <v>848</v>
      </c>
      <c r="C81" s="13" t="s">
        <v>203</v>
      </c>
      <c r="D81" s="13" t="s">
        <v>124</v>
      </c>
      <c r="E81" s="14" t="n">
        <v>999</v>
      </c>
      <c r="F81" s="14" t="n">
        <v>1</v>
      </c>
      <c r="G81" s="14" t="n">
        <v>983</v>
      </c>
      <c r="H81" s="14" t="n">
        <v>1</v>
      </c>
      <c r="I81" s="14" t="n">
        <v>512</v>
      </c>
      <c r="J81" s="14" t="n">
        <v>6</v>
      </c>
      <c r="K81" s="14" t="n">
        <v>29</v>
      </c>
      <c r="L81" s="14" t="n">
        <v>110</v>
      </c>
      <c r="M81" s="14" t="n">
        <v>158</v>
      </c>
      <c r="N81" s="14" t="n">
        <v>188</v>
      </c>
      <c r="O81" s="14" t="n">
        <v>21</v>
      </c>
      <c r="P81" s="14" t="n">
        <v>0</v>
      </c>
      <c r="Q81" s="15" t="n">
        <v>0.5214</v>
      </c>
      <c r="R81" s="14" t="n">
        <v>470</v>
      </c>
      <c r="S81" s="14" t="n">
        <v>15</v>
      </c>
    </row>
    <row r="82" customFormat="false" ht="15" hidden="false" customHeight="true" outlineLevel="0" collapsed="false">
      <c r="A82" s="13" t="n">
        <v>2025</v>
      </c>
      <c r="B82" s="13" t="s">
        <v>848</v>
      </c>
      <c r="C82" s="13" t="s">
        <v>203</v>
      </c>
      <c r="D82" s="13" t="s">
        <v>122</v>
      </c>
      <c r="E82" s="14" t="n">
        <v>814</v>
      </c>
      <c r="F82" s="14" t="n">
        <v>0</v>
      </c>
      <c r="G82" s="14" t="n">
        <v>801</v>
      </c>
      <c r="H82" s="14" t="n">
        <v>0</v>
      </c>
      <c r="I82" s="14" t="n">
        <v>628</v>
      </c>
      <c r="J82" s="14" t="n">
        <v>24</v>
      </c>
      <c r="K82" s="14" t="n">
        <v>92</v>
      </c>
      <c r="L82" s="14" t="n">
        <v>158</v>
      </c>
      <c r="M82" s="14" t="n">
        <v>241</v>
      </c>
      <c r="N82" s="14" t="n">
        <v>109</v>
      </c>
      <c r="O82" s="14" t="n">
        <v>4</v>
      </c>
      <c r="P82" s="14" t="n">
        <v>0</v>
      </c>
      <c r="Q82" s="15" t="n">
        <v>0.784</v>
      </c>
      <c r="R82" s="14" t="n">
        <v>173</v>
      </c>
      <c r="S82" s="14" t="n">
        <v>13</v>
      </c>
    </row>
    <row r="83" customFormat="false" ht="15" hidden="false" customHeight="true" outlineLevel="0" collapsed="false">
      <c r="A83" s="13" t="n">
        <v>2025</v>
      </c>
      <c r="B83" s="13" t="s">
        <v>848</v>
      </c>
      <c r="C83" s="13" t="s">
        <v>821</v>
      </c>
      <c r="D83" s="13" t="s">
        <v>846</v>
      </c>
      <c r="E83" s="14" t="n">
        <v>16957</v>
      </c>
      <c r="F83" s="14" t="n">
        <v>5</v>
      </c>
      <c r="G83" s="14" t="n">
        <v>16821</v>
      </c>
      <c r="H83" s="14" t="n">
        <v>9</v>
      </c>
      <c r="I83" s="14" t="n">
        <v>9778</v>
      </c>
      <c r="J83" s="14" t="n">
        <v>501</v>
      </c>
      <c r="K83" s="14" t="n">
        <v>1512</v>
      </c>
      <c r="L83" s="14" t="n">
        <v>2936</v>
      </c>
      <c r="M83" s="14" t="n">
        <v>3694</v>
      </c>
      <c r="N83" s="14" t="n">
        <v>1126</v>
      </c>
      <c r="O83" s="14" t="n">
        <v>9</v>
      </c>
      <c r="P83" s="14" t="n">
        <v>0</v>
      </c>
      <c r="Q83" s="15" t="n">
        <v>0.5813</v>
      </c>
      <c r="R83" s="14" t="n">
        <v>7034</v>
      </c>
      <c r="S83" s="14" t="n">
        <v>131</v>
      </c>
    </row>
    <row r="84" customFormat="false" ht="15" hidden="false" customHeight="true" outlineLevel="0" collapsed="false">
      <c r="A84" s="13" t="n">
        <v>2025</v>
      </c>
      <c r="B84" s="13" t="s">
        <v>848</v>
      </c>
      <c r="C84" s="13" t="s">
        <v>821</v>
      </c>
      <c r="D84" s="13" t="s">
        <v>124</v>
      </c>
      <c r="E84" s="14" t="n">
        <v>7717</v>
      </c>
      <c r="F84" s="14" t="n">
        <v>4</v>
      </c>
      <c r="G84" s="14" t="n">
        <v>7631</v>
      </c>
      <c r="H84" s="14" t="n">
        <v>9</v>
      </c>
      <c r="I84" s="14" t="n">
        <v>3625</v>
      </c>
      <c r="J84" s="14" t="n">
        <v>149</v>
      </c>
      <c r="K84" s="14" t="n">
        <v>489</v>
      </c>
      <c r="L84" s="14" t="n">
        <v>928</v>
      </c>
      <c r="M84" s="14" t="n">
        <v>1430</v>
      </c>
      <c r="N84" s="14" t="n">
        <v>623</v>
      </c>
      <c r="O84" s="14" t="n">
        <v>6</v>
      </c>
      <c r="P84" s="14" t="n">
        <v>0</v>
      </c>
      <c r="Q84" s="15" t="n">
        <v>0.475</v>
      </c>
      <c r="R84" s="14" t="n">
        <v>3997</v>
      </c>
      <c r="S84" s="14" t="n">
        <v>82</v>
      </c>
    </row>
    <row r="85" customFormat="false" ht="15" hidden="false" customHeight="true" outlineLevel="0" collapsed="false">
      <c r="A85" s="13" t="n">
        <v>2025</v>
      </c>
      <c r="B85" s="13" t="s">
        <v>848</v>
      </c>
      <c r="C85" s="13" t="s">
        <v>821</v>
      </c>
      <c r="D85" s="13" t="s">
        <v>122</v>
      </c>
      <c r="E85" s="14" t="n">
        <v>9240</v>
      </c>
      <c r="F85" s="14" t="n">
        <v>1</v>
      </c>
      <c r="G85" s="14" t="n">
        <v>9190</v>
      </c>
      <c r="H85" s="14" t="n">
        <v>0</v>
      </c>
      <c r="I85" s="14" t="n">
        <v>6153</v>
      </c>
      <c r="J85" s="14" t="n">
        <v>352</v>
      </c>
      <c r="K85" s="14" t="n">
        <v>1023</v>
      </c>
      <c r="L85" s="14" t="n">
        <v>2008</v>
      </c>
      <c r="M85" s="14" t="n">
        <v>2264</v>
      </c>
      <c r="N85" s="14" t="n">
        <v>503</v>
      </c>
      <c r="O85" s="14" t="n">
        <v>3</v>
      </c>
      <c r="P85" s="14" t="n">
        <v>0</v>
      </c>
      <c r="Q85" s="15" t="n">
        <v>0.6695</v>
      </c>
      <c r="R85" s="14" t="n">
        <v>3037</v>
      </c>
      <c r="S85" s="14" t="n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0"/>
    <col collapsed="false" customWidth="true" hidden="false" outlineLevel="0" max="3" min="3" style="13" width="7"/>
    <col collapsed="false" customWidth="true" hidden="false" outlineLevel="0" max="4" min="4" style="13" width="40"/>
    <col collapsed="false" customWidth="true" hidden="false" outlineLevel="0" max="7" min="5" style="13" width="12"/>
  </cols>
  <sheetData>
    <row r="1" customFormat="false" ht="15" hidden="false" customHeight="true" outlineLevel="0" collapsed="false">
      <c r="A1" s="13" t="s">
        <v>3</v>
      </c>
      <c r="B1" s="13" t="s">
        <v>344</v>
      </c>
      <c r="C1" s="13" t="s">
        <v>850</v>
      </c>
      <c r="D1" s="13" t="s">
        <v>141</v>
      </c>
      <c r="E1" s="13" t="s">
        <v>4</v>
      </c>
      <c r="F1" s="13" t="s">
        <v>5</v>
      </c>
      <c r="G1" s="13" t="s">
        <v>480</v>
      </c>
    </row>
    <row r="2" customFormat="false" ht="15" hidden="false" customHeight="true" outlineLevel="0" collapsed="false">
      <c r="A2" s="13" t="n">
        <v>2024</v>
      </c>
      <c r="B2" s="13" t="s">
        <v>851</v>
      </c>
      <c r="C2" s="13" t="n">
        <v>1</v>
      </c>
      <c r="D2" s="13" t="s">
        <v>142</v>
      </c>
      <c r="E2" s="14" t="n">
        <v>14137</v>
      </c>
      <c r="F2" s="14" t="n">
        <v>5547</v>
      </c>
      <c r="G2" s="15" t="n">
        <v>0.3924</v>
      </c>
    </row>
    <row r="3" customFormat="false" ht="15" hidden="false" customHeight="true" outlineLevel="0" collapsed="false">
      <c r="A3" s="13" t="n">
        <v>2024</v>
      </c>
      <c r="B3" s="13" t="s">
        <v>851</v>
      </c>
      <c r="C3" s="13" t="n">
        <v>2</v>
      </c>
      <c r="D3" s="13" t="s">
        <v>410</v>
      </c>
      <c r="E3" s="14" t="n">
        <v>5917</v>
      </c>
      <c r="F3" s="14" t="n">
        <v>4268</v>
      </c>
      <c r="G3" s="15" t="n">
        <v>0.7213</v>
      </c>
    </row>
    <row r="4" customFormat="false" ht="15" hidden="false" customHeight="true" outlineLevel="0" collapsed="false">
      <c r="A4" s="13" t="n">
        <v>2024</v>
      </c>
      <c r="B4" s="13" t="s">
        <v>851</v>
      </c>
      <c r="C4" s="13" t="n">
        <v>3</v>
      </c>
      <c r="D4" s="13" t="s">
        <v>852</v>
      </c>
      <c r="E4" s="14" t="n">
        <v>2</v>
      </c>
      <c r="F4" s="14" t="n">
        <v>2</v>
      </c>
      <c r="G4" s="15" t="n">
        <v>1</v>
      </c>
    </row>
    <row r="5" customFormat="false" ht="15" hidden="false" customHeight="true" outlineLevel="0" collapsed="false">
      <c r="A5" s="13" t="n">
        <v>2024</v>
      </c>
      <c r="B5" s="13" t="s">
        <v>851</v>
      </c>
      <c r="C5" s="13" t="n">
        <v>4</v>
      </c>
      <c r="D5" s="13" t="s">
        <v>853</v>
      </c>
      <c r="E5" s="14" t="n">
        <v>3146</v>
      </c>
      <c r="F5" s="14" t="n">
        <v>2668</v>
      </c>
      <c r="G5" s="15" t="n">
        <v>0.8481</v>
      </c>
    </row>
    <row r="6" customFormat="false" ht="15" hidden="false" customHeight="true" outlineLevel="0" collapsed="false">
      <c r="A6" s="13" t="n">
        <v>2024</v>
      </c>
      <c r="B6" s="13" t="s">
        <v>851</v>
      </c>
      <c r="C6" s="13" t="n">
        <v>5</v>
      </c>
      <c r="D6" s="13" t="s">
        <v>854</v>
      </c>
      <c r="E6" s="14" t="n">
        <v>1128</v>
      </c>
      <c r="F6" s="14" t="n">
        <v>428</v>
      </c>
      <c r="G6" s="15" t="n">
        <v>0.3794</v>
      </c>
    </row>
    <row r="7" customFormat="false" ht="15" hidden="false" customHeight="true" outlineLevel="0" collapsed="false">
      <c r="A7" s="13" t="n">
        <v>2024</v>
      </c>
      <c r="B7" s="13" t="s">
        <v>851</v>
      </c>
      <c r="C7" s="13" t="n">
        <v>6</v>
      </c>
      <c r="D7" s="13" t="s">
        <v>152</v>
      </c>
      <c r="E7" s="14" t="n">
        <v>1462</v>
      </c>
      <c r="F7" s="14" t="n">
        <v>618</v>
      </c>
      <c r="G7" s="15" t="n">
        <v>0.4227</v>
      </c>
    </row>
    <row r="8" customFormat="false" ht="15" hidden="false" customHeight="true" outlineLevel="0" collapsed="false">
      <c r="A8" s="13" t="n">
        <v>2024</v>
      </c>
      <c r="B8" s="13" t="s">
        <v>851</v>
      </c>
      <c r="C8" s="13" t="n">
        <v>7</v>
      </c>
      <c r="D8" s="13" t="s">
        <v>161</v>
      </c>
      <c r="E8" s="14" t="n">
        <v>29</v>
      </c>
      <c r="F8" s="14" t="n">
        <v>25</v>
      </c>
      <c r="G8" s="15" t="n">
        <v>0.8621</v>
      </c>
    </row>
    <row r="9" customFormat="false" ht="15" hidden="false" customHeight="true" outlineLevel="0" collapsed="false">
      <c r="A9" s="13" t="n">
        <v>2024</v>
      </c>
      <c r="B9" s="13" t="s">
        <v>851</v>
      </c>
      <c r="C9" s="13" t="n">
        <v>8</v>
      </c>
      <c r="D9" s="13" t="s">
        <v>702</v>
      </c>
      <c r="E9" s="14" t="n">
        <v>1</v>
      </c>
      <c r="F9" s="14" t="n">
        <v>1</v>
      </c>
      <c r="G9" s="15" t="n">
        <v>1</v>
      </c>
    </row>
    <row r="10" customFormat="false" ht="15" hidden="false" customHeight="true" outlineLevel="0" collapsed="false">
      <c r="A10" s="13" t="n">
        <v>2024</v>
      </c>
      <c r="B10" s="13" t="s">
        <v>851</v>
      </c>
      <c r="C10" s="13" t="n">
        <v>9</v>
      </c>
      <c r="D10" s="13" t="s">
        <v>425</v>
      </c>
      <c r="E10" s="14" t="n">
        <v>17</v>
      </c>
      <c r="F10" s="14" t="n">
        <v>10</v>
      </c>
      <c r="G10" s="15" t="n">
        <v>0.5882</v>
      </c>
    </row>
    <row r="11" customFormat="false" ht="15" hidden="false" customHeight="true" outlineLevel="0" collapsed="false">
      <c r="A11" s="13" t="n">
        <v>2024</v>
      </c>
      <c r="B11" s="13" t="s">
        <v>851</v>
      </c>
      <c r="C11" s="13" t="n">
        <v>10</v>
      </c>
      <c r="D11" s="13" t="s">
        <v>153</v>
      </c>
      <c r="E11" s="14" t="n">
        <v>448</v>
      </c>
      <c r="F11" s="14" t="n">
        <v>341</v>
      </c>
      <c r="G11" s="15" t="n">
        <v>0.7612</v>
      </c>
    </row>
    <row r="12" customFormat="false" ht="15" hidden="false" customHeight="true" outlineLevel="0" collapsed="false">
      <c r="A12" s="13" t="n">
        <v>2024</v>
      </c>
      <c r="B12" s="13" t="s">
        <v>851</v>
      </c>
      <c r="C12" s="13" t="n">
        <v>11</v>
      </c>
      <c r="D12" s="13" t="s">
        <v>154</v>
      </c>
      <c r="E12" s="14" t="n">
        <v>2325</v>
      </c>
      <c r="F12" s="14" t="n">
        <v>891</v>
      </c>
      <c r="G12" s="15" t="n">
        <v>0.3832</v>
      </c>
    </row>
    <row r="13" customFormat="false" ht="15" hidden="false" customHeight="true" outlineLevel="0" collapsed="false">
      <c r="A13" s="13" t="n">
        <v>2024</v>
      </c>
      <c r="B13" s="13" t="s">
        <v>851</v>
      </c>
      <c r="C13" s="13" t="n">
        <v>12</v>
      </c>
      <c r="D13" s="13" t="s">
        <v>155</v>
      </c>
      <c r="E13" s="14" t="n">
        <v>351</v>
      </c>
      <c r="F13" s="14" t="n">
        <v>167</v>
      </c>
      <c r="G13" s="15" t="n">
        <v>0.4758</v>
      </c>
    </row>
    <row r="14" customFormat="false" ht="15" hidden="false" customHeight="true" outlineLevel="0" collapsed="false">
      <c r="A14" s="13" t="n">
        <v>2024</v>
      </c>
      <c r="B14" s="13" t="s">
        <v>851</v>
      </c>
      <c r="C14" s="13" t="n">
        <v>13</v>
      </c>
      <c r="D14" s="13" t="s">
        <v>156</v>
      </c>
      <c r="E14" s="14" t="n">
        <v>8710</v>
      </c>
      <c r="F14" s="14" t="n">
        <v>1790</v>
      </c>
      <c r="G14" s="15" t="n">
        <v>0.2055</v>
      </c>
    </row>
    <row r="15" customFormat="false" ht="15" hidden="false" customHeight="true" outlineLevel="0" collapsed="false">
      <c r="A15" s="13" t="n">
        <v>2024</v>
      </c>
      <c r="B15" s="13" t="s">
        <v>851</v>
      </c>
      <c r="C15" s="13" t="n">
        <v>14</v>
      </c>
      <c r="D15" s="13" t="s">
        <v>855</v>
      </c>
      <c r="E15" s="14" t="n">
        <v>2330</v>
      </c>
      <c r="F15" s="14" t="n">
        <v>1764</v>
      </c>
      <c r="G15" s="15" t="n">
        <v>0.7571</v>
      </c>
    </row>
    <row r="16" customFormat="false" ht="15" hidden="false" customHeight="true" outlineLevel="0" collapsed="false">
      <c r="A16" s="13" t="n">
        <v>2024</v>
      </c>
      <c r="B16" s="13" t="s">
        <v>851</v>
      </c>
      <c r="C16" s="13" t="n">
        <v>15</v>
      </c>
      <c r="D16" s="13" t="s">
        <v>414</v>
      </c>
      <c r="E16" s="14" t="n">
        <v>3</v>
      </c>
      <c r="F16" s="14" t="n">
        <v>3</v>
      </c>
      <c r="G16" s="15" t="n">
        <v>1</v>
      </c>
    </row>
    <row r="17" customFormat="false" ht="15" hidden="false" customHeight="true" outlineLevel="0" collapsed="false">
      <c r="A17" s="13" t="n">
        <v>2024</v>
      </c>
      <c r="B17" s="13" t="s">
        <v>851</v>
      </c>
      <c r="C17" s="13" t="n">
        <v>16</v>
      </c>
      <c r="D17" s="13" t="s">
        <v>413</v>
      </c>
      <c r="E17" s="14" t="n">
        <v>13</v>
      </c>
      <c r="F17" s="14" t="n">
        <v>3</v>
      </c>
      <c r="G17" s="15" t="n">
        <v>0.2308</v>
      </c>
    </row>
    <row r="18" customFormat="false" ht="15" hidden="false" customHeight="true" outlineLevel="0" collapsed="false">
      <c r="A18" s="13" t="n">
        <v>2024</v>
      </c>
      <c r="B18" s="13" t="s">
        <v>851</v>
      </c>
      <c r="C18" s="13" t="n">
        <v>17</v>
      </c>
      <c r="D18" s="13" t="s">
        <v>162</v>
      </c>
      <c r="E18" s="14" t="n">
        <v>542</v>
      </c>
      <c r="F18" s="14" t="n">
        <v>488</v>
      </c>
      <c r="G18" s="15" t="n">
        <v>0.9004</v>
      </c>
    </row>
    <row r="19" customFormat="false" ht="15" hidden="false" customHeight="true" outlineLevel="0" collapsed="false">
      <c r="A19" s="13" t="n">
        <v>2024</v>
      </c>
      <c r="B19" s="13" t="s">
        <v>851</v>
      </c>
      <c r="C19" s="13" t="n">
        <v>18</v>
      </c>
      <c r="D19" s="13" t="s">
        <v>505</v>
      </c>
      <c r="E19" s="14" t="n">
        <v>32</v>
      </c>
      <c r="F19" s="14" t="n">
        <v>23</v>
      </c>
      <c r="G19" s="15" t="n">
        <v>0.7188</v>
      </c>
    </row>
    <row r="20" customFormat="false" ht="15" hidden="false" customHeight="true" outlineLevel="0" collapsed="false">
      <c r="A20" s="13" t="n">
        <v>2024</v>
      </c>
      <c r="B20" s="13" t="s">
        <v>851</v>
      </c>
      <c r="C20" s="13" t="n">
        <v>19</v>
      </c>
      <c r="D20" s="13" t="s">
        <v>426</v>
      </c>
      <c r="E20" s="14" t="n">
        <v>103</v>
      </c>
      <c r="F20" s="14" t="n">
        <v>92</v>
      </c>
      <c r="G20" s="15" t="n">
        <v>0.8932</v>
      </c>
    </row>
    <row r="21" customFormat="false" ht="15" hidden="false" customHeight="true" outlineLevel="0" collapsed="false">
      <c r="A21" s="13" t="n">
        <v>2024</v>
      </c>
      <c r="B21" s="13" t="s">
        <v>851</v>
      </c>
      <c r="C21" s="13" t="n">
        <v>20</v>
      </c>
      <c r="D21" s="13" t="s">
        <v>424</v>
      </c>
      <c r="E21" s="14" t="n">
        <v>82</v>
      </c>
      <c r="F21" s="14" t="n">
        <v>43</v>
      </c>
      <c r="G21" s="15" t="n">
        <v>0.5244</v>
      </c>
    </row>
    <row r="22" customFormat="false" ht="15" hidden="false" customHeight="true" outlineLevel="0" collapsed="false">
      <c r="A22" s="13" t="n">
        <v>2024</v>
      </c>
      <c r="B22" s="13" t="s">
        <v>851</v>
      </c>
      <c r="C22" s="13" t="n">
        <v>21</v>
      </c>
      <c r="D22" s="13" t="s">
        <v>171</v>
      </c>
      <c r="E22" s="14" t="n">
        <v>28</v>
      </c>
      <c r="F22" s="14" t="n">
        <v>19</v>
      </c>
      <c r="G22" s="15" t="n">
        <v>0.6786</v>
      </c>
    </row>
    <row r="23" customFormat="false" ht="15" hidden="false" customHeight="true" outlineLevel="0" collapsed="false">
      <c r="A23" s="13" t="n">
        <v>2024</v>
      </c>
      <c r="B23" s="13" t="s">
        <v>851</v>
      </c>
      <c r="C23" s="13" t="n">
        <v>22</v>
      </c>
      <c r="D23" s="13" t="s">
        <v>856</v>
      </c>
      <c r="E23" s="14" t="n">
        <v>201</v>
      </c>
      <c r="F23" s="14" t="n">
        <v>126</v>
      </c>
      <c r="G23" s="15" t="n">
        <v>0.6269</v>
      </c>
    </row>
    <row r="24" customFormat="false" ht="15" hidden="false" customHeight="true" outlineLevel="0" collapsed="false">
      <c r="A24" s="13" t="n">
        <v>2024</v>
      </c>
      <c r="B24" s="13" t="s">
        <v>851</v>
      </c>
      <c r="C24" s="13" t="n">
        <v>23</v>
      </c>
      <c r="D24" s="13" t="s">
        <v>150</v>
      </c>
      <c r="E24" s="14" t="n">
        <v>2828</v>
      </c>
      <c r="F24" s="14" t="n">
        <v>1593</v>
      </c>
      <c r="G24" s="15" t="n">
        <v>0.5633</v>
      </c>
    </row>
    <row r="25" customFormat="false" ht="15" hidden="false" customHeight="true" outlineLevel="0" collapsed="false">
      <c r="A25" s="13" t="n">
        <v>2024</v>
      </c>
      <c r="B25" s="13" t="s">
        <v>851</v>
      </c>
      <c r="C25" s="13" t="n">
        <v>24</v>
      </c>
      <c r="D25" s="13" t="s">
        <v>427</v>
      </c>
      <c r="E25" s="14" t="n">
        <v>1216</v>
      </c>
      <c r="F25" s="14" t="n">
        <v>700</v>
      </c>
      <c r="G25" s="15" t="n">
        <v>0.5757</v>
      </c>
    </row>
    <row r="26" customFormat="false" ht="15" hidden="false" customHeight="true" outlineLevel="0" collapsed="false">
      <c r="A26" s="13" t="n">
        <v>2024</v>
      </c>
      <c r="B26" s="13" t="s">
        <v>851</v>
      </c>
      <c r="C26" s="13" t="n">
        <v>25</v>
      </c>
      <c r="D26" s="13" t="s">
        <v>167</v>
      </c>
      <c r="E26" s="14" t="n">
        <v>2511</v>
      </c>
      <c r="F26" s="14" t="n">
        <v>1041</v>
      </c>
      <c r="G26" s="15" t="n">
        <v>0.4146</v>
      </c>
    </row>
    <row r="27" customFormat="false" ht="15" hidden="false" customHeight="true" outlineLevel="0" collapsed="false">
      <c r="A27" s="13" t="n">
        <v>2024</v>
      </c>
      <c r="B27" s="13" t="s">
        <v>851</v>
      </c>
      <c r="C27" s="13" t="n">
        <v>26</v>
      </c>
      <c r="D27" s="13" t="s">
        <v>165</v>
      </c>
      <c r="E27" s="14" t="n">
        <v>8488</v>
      </c>
      <c r="F27" s="14" t="n">
        <v>3439</v>
      </c>
      <c r="G27" s="15" t="n">
        <v>0.4052</v>
      </c>
    </row>
    <row r="28" customFormat="false" ht="15" hidden="false" customHeight="true" outlineLevel="0" collapsed="false">
      <c r="A28" s="13" t="n">
        <v>2024</v>
      </c>
      <c r="B28" s="13" t="s">
        <v>851</v>
      </c>
      <c r="C28" s="13" t="n">
        <v>27</v>
      </c>
      <c r="D28" s="13" t="s">
        <v>166</v>
      </c>
      <c r="E28" s="14" t="n">
        <v>4499</v>
      </c>
      <c r="F28" s="14" t="n">
        <v>2370</v>
      </c>
      <c r="G28" s="15" t="n">
        <v>0.5268</v>
      </c>
    </row>
    <row r="29" customFormat="false" ht="15" hidden="false" customHeight="true" outlineLevel="0" collapsed="false">
      <c r="A29" s="13" t="n">
        <v>2024</v>
      </c>
      <c r="B29" s="13" t="s">
        <v>851</v>
      </c>
      <c r="C29" s="13" t="n">
        <v>28</v>
      </c>
      <c r="D29" s="13" t="s">
        <v>857</v>
      </c>
      <c r="E29" s="14" t="n">
        <v>54</v>
      </c>
      <c r="F29" s="14" t="n">
        <v>51</v>
      </c>
      <c r="G29" s="15" t="n">
        <v>0.9444</v>
      </c>
    </row>
    <row r="30" customFormat="false" ht="15" hidden="false" customHeight="true" outlineLevel="0" collapsed="false">
      <c r="A30" s="13" t="n">
        <v>2024</v>
      </c>
      <c r="B30" s="13" t="s">
        <v>851</v>
      </c>
      <c r="C30" s="13" t="n">
        <v>29</v>
      </c>
      <c r="D30" s="13" t="s">
        <v>531</v>
      </c>
      <c r="E30" s="14" t="n">
        <v>54</v>
      </c>
      <c r="F30" s="14" t="n">
        <v>51</v>
      </c>
      <c r="G30" s="15" t="n">
        <v>0.9444</v>
      </c>
    </row>
    <row r="31" customFormat="false" ht="15" hidden="false" customHeight="true" outlineLevel="0" collapsed="false">
      <c r="A31" s="13" t="n">
        <v>2024</v>
      </c>
      <c r="B31" s="13" t="s">
        <v>851</v>
      </c>
      <c r="C31" s="13" t="n">
        <v>30</v>
      </c>
      <c r="D31" s="13" t="s">
        <v>477</v>
      </c>
      <c r="E31" s="14" t="n">
        <v>356</v>
      </c>
      <c r="F31" s="14" t="n">
        <v>170</v>
      </c>
      <c r="G31" s="15" t="n">
        <v>0.4775</v>
      </c>
    </row>
    <row r="32" customFormat="false" ht="15" hidden="false" customHeight="true" outlineLevel="0" collapsed="false">
      <c r="A32" s="13" t="n">
        <v>2024</v>
      </c>
      <c r="B32" s="13" t="s">
        <v>851</v>
      </c>
      <c r="C32" s="13" t="n">
        <v>31</v>
      </c>
      <c r="D32" s="13" t="s">
        <v>170</v>
      </c>
      <c r="E32" s="14" t="n">
        <v>2411</v>
      </c>
      <c r="F32" s="14" t="n">
        <v>931</v>
      </c>
      <c r="G32" s="15" t="n">
        <v>0.3861</v>
      </c>
    </row>
    <row r="33" customFormat="false" ht="15" hidden="false" customHeight="true" outlineLevel="0" collapsed="false">
      <c r="A33" s="13" t="n">
        <v>2024</v>
      </c>
      <c r="B33" s="13" t="s">
        <v>851</v>
      </c>
      <c r="C33" s="13" t="n">
        <v>32</v>
      </c>
      <c r="D33" s="13" t="s">
        <v>265</v>
      </c>
      <c r="E33" s="14" t="n">
        <v>3271</v>
      </c>
      <c r="F33" s="14" t="n">
        <v>2848</v>
      </c>
      <c r="G33" s="15" t="n">
        <v>0.8707</v>
      </c>
    </row>
    <row r="34" customFormat="false" ht="15" hidden="false" customHeight="true" outlineLevel="0" collapsed="false">
      <c r="A34" s="13" t="n">
        <v>2024</v>
      </c>
      <c r="B34" s="13" t="s">
        <v>851</v>
      </c>
      <c r="C34" s="13" t="n">
        <v>33</v>
      </c>
      <c r="D34" s="13" t="s">
        <v>587</v>
      </c>
      <c r="E34" s="14" t="n">
        <v>1</v>
      </c>
      <c r="F34" s="14" t="n">
        <v>1</v>
      </c>
      <c r="G34" s="15" t="n">
        <v>1</v>
      </c>
    </row>
    <row r="35" customFormat="false" ht="15" hidden="false" customHeight="true" outlineLevel="0" collapsed="false">
      <c r="A35" s="13" t="n">
        <v>2024</v>
      </c>
      <c r="B35" s="13" t="s">
        <v>851</v>
      </c>
      <c r="C35" s="13" t="n">
        <v>34</v>
      </c>
      <c r="D35" s="13" t="s">
        <v>858</v>
      </c>
      <c r="E35" s="14" t="n">
        <v>1128</v>
      </c>
      <c r="F35" s="14" t="n">
        <v>763</v>
      </c>
      <c r="G35" s="15" t="n">
        <v>0.6764</v>
      </c>
    </row>
    <row r="36" customFormat="false" ht="15" hidden="false" customHeight="true" outlineLevel="0" collapsed="false">
      <c r="A36" s="13" t="n">
        <v>2024</v>
      </c>
      <c r="B36" s="13" t="s">
        <v>851</v>
      </c>
      <c r="C36" s="13" t="n">
        <v>35</v>
      </c>
      <c r="D36" s="13" t="s">
        <v>859</v>
      </c>
      <c r="E36" s="14" t="n">
        <v>381</v>
      </c>
      <c r="F36" s="14" t="n">
        <v>271</v>
      </c>
      <c r="G36" s="15" t="n">
        <v>0.7113</v>
      </c>
    </row>
    <row r="37" customFormat="false" ht="15" hidden="false" customHeight="true" outlineLevel="0" collapsed="false">
      <c r="A37" s="13" t="n">
        <v>2024</v>
      </c>
      <c r="B37" s="13" t="s">
        <v>851</v>
      </c>
      <c r="C37" s="13" t="n">
        <v>36</v>
      </c>
      <c r="D37" s="13" t="s">
        <v>860</v>
      </c>
      <c r="E37" s="14" t="n">
        <v>329</v>
      </c>
      <c r="F37" s="14" t="n">
        <v>157</v>
      </c>
      <c r="G37" s="15" t="n">
        <v>0.4772</v>
      </c>
    </row>
    <row r="38" customFormat="false" ht="15" hidden="false" customHeight="true" outlineLevel="0" collapsed="false">
      <c r="A38" s="13" t="n">
        <v>2024</v>
      </c>
      <c r="B38" s="13" t="s">
        <v>861</v>
      </c>
      <c r="C38" s="13" t="n">
        <v>1</v>
      </c>
      <c r="D38" s="13" t="s">
        <v>142</v>
      </c>
      <c r="E38" s="14" t="n">
        <v>57291</v>
      </c>
      <c r="F38" s="14" t="n">
        <v>42594</v>
      </c>
      <c r="G38" s="15" t="n">
        <v>0.7435</v>
      </c>
    </row>
    <row r="39" customFormat="false" ht="15" hidden="false" customHeight="true" outlineLevel="0" collapsed="false">
      <c r="A39" s="13" t="n">
        <v>2024</v>
      </c>
      <c r="B39" s="13" t="s">
        <v>861</v>
      </c>
      <c r="C39" s="13" t="n">
        <v>2</v>
      </c>
      <c r="D39" s="13" t="s">
        <v>410</v>
      </c>
      <c r="E39" s="14" t="n">
        <v>54029</v>
      </c>
      <c r="F39" s="14" t="n">
        <v>50944</v>
      </c>
      <c r="G39" s="15" t="n">
        <v>0.9429</v>
      </c>
    </row>
    <row r="40" customFormat="false" ht="15" hidden="false" customHeight="true" outlineLevel="0" collapsed="false">
      <c r="A40" s="13" t="n">
        <v>2024</v>
      </c>
      <c r="B40" s="13" t="s">
        <v>861</v>
      </c>
      <c r="C40" s="13" t="n">
        <v>3</v>
      </c>
      <c r="D40" s="13" t="s">
        <v>853</v>
      </c>
      <c r="E40" s="14" t="n">
        <v>52252</v>
      </c>
      <c r="F40" s="14" t="n">
        <v>51459</v>
      </c>
      <c r="G40" s="15" t="n">
        <v>0.9848</v>
      </c>
    </row>
    <row r="41" customFormat="false" ht="15" hidden="false" customHeight="true" outlineLevel="0" collapsed="false">
      <c r="A41" s="13" t="n">
        <v>2024</v>
      </c>
      <c r="B41" s="13" t="s">
        <v>861</v>
      </c>
      <c r="C41" s="13" t="n">
        <v>4</v>
      </c>
      <c r="D41" s="13" t="s">
        <v>145</v>
      </c>
      <c r="E41" s="14" t="n">
        <v>1</v>
      </c>
      <c r="F41" s="14" t="n">
        <v>1</v>
      </c>
      <c r="G41" s="15" t="n">
        <v>1</v>
      </c>
    </row>
    <row r="42" customFormat="false" ht="15" hidden="false" customHeight="true" outlineLevel="0" collapsed="false">
      <c r="A42" s="13" t="n">
        <v>2024</v>
      </c>
      <c r="B42" s="13" t="s">
        <v>861</v>
      </c>
      <c r="C42" s="13" t="n">
        <v>5</v>
      </c>
      <c r="D42" s="13" t="s">
        <v>854</v>
      </c>
      <c r="E42" s="14" t="n">
        <v>3025</v>
      </c>
      <c r="F42" s="14" t="n">
        <v>1981</v>
      </c>
      <c r="G42" s="15" t="n">
        <v>0.6549</v>
      </c>
    </row>
    <row r="43" customFormat="false" ht="15" hidden="false" customHeight="true" outlineLevel="0" collapsed="false">
      <c r="A43" s="13" t="n">
        <v>2024</v>
      </c>
      <c r="B43" s="13" t="s">
        <v>861</v>
      </c>
      <c r="C43" s="13" t="n">
        <v>6</v>
      </c>
      <c r="D43" s="13" t="s">
        <v>159</v>
      </c>
      <c r="E43" s="14" t="n">
        <v>317</v>
      </c>
      <c r="F43" s="14" t="n">
        <v>301</v>
      </c>
      <c r="G43" s="15" t="n">
        <v>0.9495</v>
      </c>
    </row>
    <row r="44" customFormat="false" ht="15" hidden="false" customHeight="true" outlineLevel="0" collapsed="false">
      <c r="A44" s="13" t="n">
        <v>2024</v>
      </c>
      <c r="B44" s="13" t="s">
        <v>861</v>
      </c>
      <c r="C44" s="13" t="n">
        <v>7</v>
      </c>
      <c r="D44" s="13" t="s">
        <v>152</v>
      </c>
      <c r="E44" s="14" t="n">
        <v>4805</v>
      </c>
      <c r="F44" s="14" t="n">
        <v>3989</v>
      </c>
      <c r="G44" s="15" t="n">
        <v>0.8302</v>
      </c>
    </row>
    <row r="45" customFormat="false" ht="15" hidden="false" customHeight="true" outlineLevel="0" collapsed="false">
      <c r="A45" s="13" t="n">
        <v>2024</v>
      </c>
      <c r="B45" s="13" t="s">
        <v>861</v>
      </c>
      <c r="C45" s="13" t="n">
        <v>8</v>
      </c>
      <c r="D45" s="13" t="s">
        <v>161</v>
      </c>
      <c r="E45" s="14" t="n">
        <v>932</v>
      </c>
      <c r="F45" s="14" t="n">
        <v>930</v>
      </c>
      <c r="G45" s="15" t="n">
        <v>0.9979</v>
      </c>
    </row>
    <row r="46" customFormat="false" ht="15" hidden="false" customHeight="true" outlineLevel="0" collapsed="false">
      <c r="A46" s="13" t="n">
        <v>2024</v>
      </c>
      <c r="B46" s="13" t="s">
        <v>861</v>
      </c>
      <c r="C46" s="13" t="n">
        <v>9</v>
      </c>
      <c r="D46" s="13" t="s">
        <v>702</v>
      </c>
      <c r="E46" s="14" t="n">
        <v>5</v>
      </c>
      <c r="F46" s="14" t="n">
        <v>5</v>
      </c>
      <c r="G46" s="15" t="n">
        <v>1</v>
      </c>
    </row>
    <row r="47" customFormat="false" ht="15" hidden="false" customHeight="true" outlineLevel="0" collapsed="false">
      <c r="A47" s="13" t="n">
        <v>2024</v>
      </c>
      <c r="B47" s="13" t="s">
        <v>861</v>
      </c>
      <c r="C47" s="13" t="n">
        <v>10</v>
      </c>
      <c r="D47" s="13" t="s">
        <v>425</v>
      </c>
      <c r="E47" s="14" t="n">
        <v>211</v>
      </c>
      <c r="F47" s="14" t="n">
        <v>197</v>
      </c>
      <c r="G47" s="15" t="n">
        <v>0.9336</v>
      </c>
    </row>
    <row r="48" customFormat="false" ht="15" hidden="false" customHeight="true" outlineLevel="0" collapsed="false">
      <c r="A48" s="13" t="n">
        <v>2024</v>
      </c>
      <c r="B48" s="13" t="s">
        <v>861</v>
      </c>
      <c r="C48" s="13" t="n">
        <v>11</v>
      </c>
      <c r="D48" s="13" t="s">
        <v>153</v>
      </c>
      <c r="E48" s="14" t="n">
        <v>1744</v>
      </c>
      <c r="F48" s="14" t="n">
        <v>1688</v>
      </c>
      <c r="G48" s="15" t="n">
        <v>0.9679</v>
      </c>
    </row>
    <row r="49" customFormat="false" ht="15" hidden="false" customHeight="true" outlineLevel="0" collapsed="false">
      <c r="A49" s="13" t="n">
        <v>2024</v>
      </c>
      <c r="B49" s="13" t="s">
        <v>861</v>
      </c>
      <c r="C49" s="13" t="n">
        <v>12</v>
      </c>
      <c r="D49" s="13" t="s">
        <v>154</v>
      </c>
      <c r="E49" s="14" t="n">
        <v>5936</v>
      </c>
      <c r="F49" s="14" t="n">
        <v>4282</v>
      </c>
      <c r="G49" s="15" t="n">
        <v>0.7214</v>
      </c>
    </row>
    <row r="50" customFormat="false" ht="15" hidden="false" customHeight="true" outlineLevel="0" collapsed="false">
      <c r="A50" s="13" t="n">
        <v>2024</v>
      </c>
      <c r="B50" s="13" t="s">
        <v>861</v>
      </c>
      <c r="C50" s="13" t="n">
        <v>13</v>
      </c>
      <c r="D50" s="13" t="s">
        <v>155</v>
      </c>
      <c r="E50" s="14" t="n">
        <v>1759</v>
      </c>
      <c r="F50" s="14" t="n">
        <v>1465</v>
      </c>
      <c r="G50" s="15" t="n">
        <v>0.8329</v>
      </c>
    </row>
    <row r="51" customFormat="false" ht="15" hidden="false" customHeight="true" outlineLevel="0" collapsed="false">
      <c r="A51" s="13" t="n">
        <v>2024</v>
      </c>
      <c r="B51" s="13" t="s">
        <v>861</v>
      </c>
      <c r="C51" s="13" t="n">
        <v>14</v>
      </c>
      <c r="D51" s="13" t="s">
        <v>156</v>
      </c>
      <c r="E51" s="14" t="n">
        <v>25581</v>
      </c>
      <c r="F51" s="14" t="n">
        <v>16392</v>
      </c>
      <c r="G51" s="15" t="n">
        <v>0.6408</v>
      </c>
    </row>
    <row r="52" customFormat="false" ht="15" hidden="false" customHeight="true" outlineLevel="0" collapsed="false">
      <c r="A52" s="13" t="n">
        <v>2024</v>
      </c>
      <c r="B52" s="13" t="s">
        <v>861</v>
      </c>
      <c r="C52" s="13" t="n">
        <v>15</v>
      </c>
      <c r="D52" s="13" t="s">
        <v>855</v>
      </c>
      <c r="E52" s="14" t="n">
        <v>12050</v>
      </c>
      <c r="F52" s="14" t="n">
        <v>10652</v>
      </c>
      <c r="G52" s="15" t="n">
        <v>0.884</v>
      </c>
    </row>
    <row r="53" customFormat="false" ht="15" hidden="false" customHeight="true" outlineLevel="0" collapsed="false">
      <c r="A53" s="13" t="n">
        <v>2024</v>
      </c>
      <c r="B53" s="13" t="s">
        <v>861</v>
      </c>
      <c r="C53" s="13" t="n">
        <v>16</v>
      </c>
      <c r="D53" s="13" t="s">
        <v>414</v>
      </c>
      <c r="E53" s="14" t="n">
        <v>598</v>
      </c>
      <c r="F53" s="14" t="n">
        <v>591</v>
      </c>
      <c r="G53" s="15" t="n">
        <v>0.9883</v>
      </c>
    </row>
    <row r="54" customFormat="false" ht="15" hidden="false" customHeight="true" outlineLevel="0" collapsed="false">
      <c r="A54" s="13" t="n">
        <v>2024</v>
      </c>
      <c r="B54" s="13" t="s">
        <v>861</v>
      </c>
      <c r="C54" s="13" t="n">
        <v>17</v>
      </c>
      <c r="D54" s="13" t="s">
        <v>413</v>
      </c>
      <c r="E54" s="14" t="n">
        <v>95</v>
      </c>
      <c r="F54" s="14" t="n">
        <v>77</v>
      </c>
      <c r="G54" s="15" t="n">
        <v>0.8105</v>
      </c>
    </row>
    <row r="55" customFormat="false" ht="15" hidden="false" customHeight="true" outlineLevel="0" collapsed="false">
      <c r="A55" s="13" t="n">
        <v>2024</v>
      </c>
      <c r="B55" s="13" t="s">
        <v>861</v>
      </c>
      <c r="C55" s="13" t="n">
        <v>18</v>
      </c>
      <c r="D55" s="13" t="s">
        <v>162</v>
      </c>
      <c r="E55" s="14" t="n">
        <v>1995</v>
      </c>
      <c r="F55" s="14" t="n">
        <v>1799</v>
      </c>
      <c r="G55" s="15" t="n">
        <v>0.9018</v>
      </c>
    </row>
    <row r="56" customFormat="false" ht="15" hidden="false" customHeight="true" outlineLevel="0" collapsed="false">
      <c r="A56" s="13" t="n">
        <v>2024</v>
      </c>
      <c r="B56" s="13" t="s">
        <v>861</v>
      </c>
      <c r="C56" s="13" t="n">
        <v>19</v>
      </c>
      <c r="D56" s="13" t="s">
        <v>505</v>
      </c>
      <c r="E56" s="14" t="n">
        <v>51</v>
      </c>
      <c r="F56" s="14" t="n">
        <v>38</v>
      </c>
      <c r="G56" s="15" t="n">
        <v>0.7451</v>
      </c>
    </row>
    <row r="57" customFormat="false" ht="15" hidden="false" customHeight="true" outlineLevel="0" collapsed="false">
      <c r="A57" s="13" t="n">
        <v>2024</v>
      </c>
      <c r="B57" s="13" t="s">
        <v>861</v>
      </c>
      <c r="C57" s="13" t="n">
        <v>20</v>
      </c>
      <c r="D57" s="13" t="s">
        <v>426</v>
      </c>
      <c r="E57" s="14" t="n">
        <v>398</v>
      </c>
      <c r="F57" s="14" t="n">
        <v>366</v>
      </c>
      <c r="G57" s="15" t="n">
        <v>0.9196</v>
      </c>
    </row>
    <row r="58" customFormat="false" ht="15" hidden="false" customHeight="true" outlineLevel="0" collapsed="false">
      <c r="A58" s="13" t="n">
        <v>2024</v>
      </c>
      <c r="B58" s="13" t="s">
        <v>861</v>
      </c>
      <c r="C58" s="13" t="n">
        <v>21</v>
      </c>
      <c r="D58" s="13" t="s">
        <v>424</v>
      </c>
      <c r="E58" s="14" t="n">
        <v>522</v>
      </c>
      <c r="F58" s="14" t="n">
        <v>421</v>
      </c>
      <c r="G58" s="15" t="n">
        <v>0.8065</v>
      </c>
    </row>
    <row r="59" customFormat="false" ht="15" hidden="false" customHeight="true" outlineLevel="0" collapsed="false">
      <c r="A59" s="13" t="n">
        <v>2024</v>
      </c>
      <c r="B59" s="13" t="s">
        <v>861</v>
      </c>
      <c r="C59" s="13" t="n">
        <v>22</v>
      </c>
      <c r="D59" s="13" t="s">
        <v>171</v>
      </c>
      <c r="E59" s="14" t="n">
        <v>143</v>
      </c>
      <c r="F59" s="14" t="n">
        <v>128</v>
      </c>
      <c r="G59" s="15" t="n">
        <v>0.8951</v>
      </c>
    </row>
    <row r="60" customFormat="false" ht="15" hidden="false" customHeight="true" outlineLevel="0" collapsed="false">
      <c r="A60" s="13" t="n">
        <v>2024</v>
      </c>
      <c r="B60" s="13" t="s">
        <v>861</v>
      </c>
      <c r="C60" s="13" t="n">
        <v>23</v>
      </c>
      <c r="D60" s="13" t="s">
        <v>748</v>
      </c>
      <c r="E60" s="14" t="n">
        <v>1</v>
      </c>
      <c r="F60" s="14" t="n">
        <v>1</v>
      </c>
      <c r="G60" s="15" t="n">
        <v>1</v>
      </c>
    </row>
    <row r="61" customFormat="false" ht="15" hidden="false" customHeight="true" outlineLevel="0" collapsed="false">
      <c r="A61" s="13" t="n">
        <v>2024</v>
      </c>
      <c r="B61" s="13" t="s">
        <v>861</v>
      </c>
      <c r="C61" s="13" t="n">
        <v>24</v>
      </c>
      <c r="D61" s="13" t="s">
        <v>856</v>
      </c>
      <c r="E61" s="14" t="n">
        <v>4168</v>
      </c>
      <c r="F61" s="14" t="n">
        <v>4091</v>
      </c>
      <c r="G61" s="15" t="n">
        <v>0.9815</v>
      </c>
    </row>
    <row r="62" customFormat="false" ht="15" hidden="false" customHeight="true" outlineLevel="0" collapsed="false">
      <c r="A62" s="13" t="n">
        <v>2024</v>
      </c>
      <c r="B62" s="13" t="s">
        <v>861</v>
      </c>
      <c r="C62" s="13" t="n">
        <v>25</v>
      </c>
      <c r="D62" s="13" t="s">
        <v>150</v>
      </c>
      <c r="E62" s="14" t="n">
        <v>11662</v>
      </c>
      <c r="F62" s="14" t="n">
        <v>9147</v>
      </c>
      <c r="G62" s="15" t="n">
        <v>0.7843</v>
      </c>
    </row>
    <row r="63" customFormat="false" ht="15" hidden="false" customHeight="true" outlineLevel="0" collapsed="false">
      <c r="A63" s="13" t="n">
        <v>2024</v>
      </c>
      <c r="B63" s="13" t="s">
        <v>861</v>
      </c>
      <c r="C63" s="13" t="n">
        <v>26</v>
      </c>
      <c r="D63" s="13" t="s">
        <v>427</v>
      </c>
      <c r="E63" s="14" t="n">
        <v>3744</v>
      </c>
      <c r="F63" s="14" t="n">
        <v>3487</v>
      </c>
      <c r="G63" s="15" t="n">
        <v>0.9314</v>
      </c>
    </row>
    <row r="64" customFormat="false" ht="15" hidden="false" customHeight="true" outlineLevel="0" collapsed="false">
      <c r="A64" s="13" t="n">
        <v>2024</v>
      </c>
      <c r="B64" s="13" t="s">
        <v>861</v>
      </c>
      <c r="C64" s="13" t="n">
        <v>27</v>
      </c>
      <c r="D64" s="13" t="s">
        <v>167</v>
      </c>
      <c r="E64" s="14" t="n">
        <v>11425</v>
      </c>
      <c r="F64" s="14" t="n">
        <v>9906</v>
      </c>
      <c r="G64" s="15" t="n">
        <v>0.867</v>
      </c>
    </row>
    <row r="65" customFormat="false" ht="15" hidden="false" customHeight="true" outlineLevel="0" collapsed="false">
      <c r="A65" s="13" t="n">
        <v>2024</v>
      </c>
      <c r="B65" s="13" t="s">
        <v>861</v>
      </c>
      <c r="C65" s="13" t="n">
        <v>28</v>
      </c>
      <c r="D65" s="13" t="s">
        <v>165</v>
      </c>
      <c r="E65" s="14" t="n">
        <v>32713</v>
      </c>
      <c r="F65" s="14" t="n">
        <v>25083</v>
      </c>
      <c r="G65" s="15" t="n">
        <v>0.7668</v>
      </c>
    </row>
    <row r="66" customFormat="false" ht="15" hidden="false" customHeight="true" outlineLevel="0" collapsed="false">
      <c r="A66" s="13" t="n">
        <v>2024</v>
      </c>
      <c r="B66" s="13" t="s">
        <v>861</v>
      </c>
      <c r="C66" s="13" t="n">
        <v>29</v>
      </c>
      <c r="D66" s="13" t="s">
        <v>166</v>
      </c>
      <c r="E66" s="14" t="n">
        <v>16353</v>
      </c>
      <c r="F66" s="14" t="n">
        <v>13575</v>
      </c>
      <c r="G66" s="15" t="n">
        <v>0.8301</v>
      </c>
    </row>
    <row r="67" customFormat="false" ht="15" hidden="false" customHeight="true" outlineLevel="0" collapsed="false">
      <c r="A67" s="13" t="n">
        <v>2024</v>
      </c>
      <c r="B67" s="13" t="s">
        <v>861</v>
      </c>
      <c r="C67" s="13" t="n">
        <v>30</v>
      </c>
      <c r="D67" s="13" t="s">
        <v>857</v>
      </c>
      <c r="E67" s="14" t="n">
        <v>444</v>
      </c>
      <c r="F67" s="14" t="n">
        <v>420</v>
      </c>
      <c r="G67" s="15" t="n">
        <v>0.9459</v>
      </c>
    </row>
    <row r="68" customFormat="false" ht="15" hidden="false" customHeight="true" outlineLevel="0" collapsed="false">
      <c r="A68" s="13" t="n">
        <v>2024</v>
      </c>
      <c r="B68" s="13" t="s">
        <v>861</v>
      </c>
      <c r="C68" s="13" t="n">
        <v>31</v>
      </c>
      <c r="D68" s="13" t="s">
        <v>477</v>
      </c>
      <c r="E68" s="14" t="n">
        <v>2385</v>
      </c>
      <c r="F68" s="14" t="n">
        <v>2120</v>
      </c>
      <c r="G68" s="15" t="n">
        <v>0.8889</v>
      </c>
    </row>
    <row r="69" customFormat="false" ht="15" hidden="false" customHeight="true" outlineLevel="0" collapsed="false">
      <c r="A69" s="13" t="n">
        <v>2024</v>
      </c>
      <c r="B69" s="13" t="s">
        <v>861</v>
      </c>
      <c r="C69" s="13" t="n">
        <v>32</v>
      </c>
      <c r="D69" s="13" t="s">
        <v>170</v>
      </c>
      <c r="E69" s="14" t="n">
        <v>22559</v>
      </c>
      <c r="F69" s="14" t="n">
        <v>19764</v>
      </c>
      <c r="G69" s="15" t="n">
        <v>0.8761</v>
      </c>
    </row>
    <row r="70" customFormat="false" ht="15" hidden="false" customHeight="true" outlineLevel="0" collapsed="false">
      <c r="A70" s="13" t="n">
        <v>2024</v>
      </c>
      <c r="B70" s="13" t="s">
        <v>861</v>
      </c>
      <c r="C70" s="13" t="n">
        <v>33</v>
      </c>
      <c r="D70" s="13" t="s">
        <v>149</v>
      </c>
      <c r="E70" s="14" t="n">
        <v>53437</v>
      </c>
      <c r="F70" s="14" t="n">
        <v>51337</v>
      </c>
      <c r="G70" s="15" t="n">
        <v>0.9607</v>
      </c>
    </row>
    <row r="71" customFormat="false" ht="15" hidden="false" customHeight="true" outlineLevel="0" collapsed="false">
      <c r="A71" s="13" t="n">
        <v>2024</v>
      </c>
      <c r="B71" s="13" t="s">
        <v>861</v>
      </c>
      <c r="C71" s="13" t="n">
        <v>34</v>
      </c>
      <c r="D71" s="13" t="s">
        <v>858</v>
      </c>
      <c r="E71" s="14" t="n">
        <v>2351</v>
      </c>
      <c r="F71" s="14" t="n">
        <v>2251</v>
      </c>
      <c r="G71" s="15" t="n">
        <v>0.9575</v>
      </c>
    </row>
    <row r="72" customFormat="false" ht="15" hidden="false" customHeight="true" outlineLevel="0" collapsed="false">
      <c r="A72" s="13" t="n">
        <v>2024</v>
      </c>
      <c r="B72" s="13" t="s">
        <v>861</v>
      </c>
      <c r="C72" s="13" t="n">
        <v>35</v>
      </c>
      <c r="D72" s="13" t="s">
        <v>859</v>
      </c>
      <c r="E72" s="14" t="n">
        <v>2371</v>
      </c>
      <c r="F72" s="14" t="n">
        <v>2052</v>
      </c>
      <c r="G72" s="15" t="n">
        <v>0.8655</v>
      </c>
    </row>
    <row r="73" customFormat="false" ht="15" hidden="false" customHeight="true" outlineLevel="0" collapsed="false">
      <c r="A73" s="13" t="n">
        <v>2024</v>
      </c>
      <c r="B73" s="13" t="s">
        <v>861</v>
      </c>
      <c r="C73" s="13" t="n">
        <v>36</v>
      </c>
      <c r="D73" s="13" t="s">
        <v>860</v>
      </c>
      <c r="E73" s="14" t="n">
        <v>2406</v>
      </c>
      <c r="F73" s="14" t="n">
        <v>2040</v>
      </c>
      <c r="G73" s="15" t="n">
        <v>0.8479</v>
      </c>
    </row>
    <row r="74" customFormat="false" ht="15" hidden="false" customHeight="true" outlineLevel="0" collapsed="false">
      <c r="A74" s="13" t="n">
        <v>2024</v>
      </c>
      <c r="B74" s="13" t="s">
        <v>195</v>
      </c>
      <c r="C74" s="13" t="n">
        <v>1</v>
      </c>
      <c r="D74" s="13" t="s">
        <v>142</v>
      </c>
      <c r="E74" s="14" t="n">
        <v>63179</v>
      </c>
      <c r="F74" s="14" t="n">
        <v>47469</v>
      </c>
      <c r="G74" s="15" t="n">
        <v>0.7513</v>
      </c>
    </row>
    <row r="75" customFormat="false" ht="15" hidden="false" customHeight="true" outlineLevel="0" collapsed="false">
      <c r="A75" s="13" t="n">
        <v>2024</v>
      </c>
      <c r="B75" s="13" t="s">
        <v>195</v>
      </c>
      <c r="C75" s="13" t="n">
        <v>2</v>
      </c>
      <c r="D75" s="13" t="s">
        <v>410</v>
      </c>
      <c r="E75" s="14" t="n">
        <v>63176</v>
      </c>
      <c r="F75" s="14" t="n">
        <v>59587</v>
      </c>
      <c r="G75" s="15" t="n">
        <v>0.9432</v>
      </c>
    </row>
    <row r="76" customFormat="false" ht="15" hidden="false" customHeight="true" outlineLevel="0" collapsed="false">
      <c r="A76" s="13" t="n">
        <v>2024</v>
      </c>
      <c r="B76" s="13" t="s">
        <v>195</v>
      </c>
      <c r="C76" s="13" t="n">
        <v>3</v>
      </c>
      <c r="D76" s="13" t="s">
        <v>852</v>
      </c>
      <c r="E76" s="14" t="n">
        <v>66</v>
      </c>
      <c r="F76" s="14" t="n">
        <v>66</v>
      </c>
      <c r="G76" s="15" t="n">
        <v>1</v>
      </c>
    </row>
    <row r="77" customFormat="false" ht="15" hidden="false" customHeight="true" outlineLevel="0" collapsed="false">
      <c r="A77" s="13" t="n">
        <v>2024</v>
      </c>
      <c r="B77" s="13" t="s">
        <v>195</v>
      </c>
      <c r="C77" s="13" t="n">
        <v>4</v>
      </c>
      <c r="D77" s="13" t="s">
        <v>853</v>
      </c>
      <c r="E77" s="14" t="n">
        <v>52253</v>
      </c>
      <c r="F77" s="14" t="n">
        <v>51300</v>
      </c>
      <c r="G77" s="15" t="n">
        <v>0.9818</v>
      </c>
    </row>
    <row r="78" customFormat="false" ht="15" hidden="false" customHeight="true" outlineLevel="0" collapsed="false">
      <c r="A78" s="13" t="n">
        <v>2024</v>
      </c>
      <c r="B78" s="13" t="s">
        <v>195</v>
      </c>
      <c r="C78" s="13" t="n">
        <v>5</v>
      </c>
      <c r="D78" s="13" t="s">
        <v>145</v>
      </c>
      <c r="E78" s="14" t="n">
        <v>1</v>
      </c>
      <c r="F78" s="14" t="n">
        <v>1</v>
      </c>
      <c r="G78" s="15" t="n">
        <v>1</v>
      </c>
    </row>
    <row r="79" customFormat="false" ht="15" hidden="false" customHeight="true" outlineLevel="0" collapsed="false">
      <c r="A79" s="13" t="n">
        <v>2024</v>
      </c>
      <c r="B79" s="13" t="s">
        <v>195</v>
      </c>
      <c r="C79" s="13" t="n">
        <v>6</v>
      </c>
      <c r="D79" s="13" t="s">
        <v>854</v>
      </c>
      <c r="E79" s="14" t="n">
        <v>3537</v>
      </c>
      <c r="F79" s="14" t="n">
        <v>2379</v>
      </c>
      <c r="G79" s="15" t="n">
        <v>0.6726</v>
      </c>
    </row>
    <row r="80" customFormat="false" ht="15" hidden="false" customHeight="true" outlineLevel="0" collapsed="false">
      <c r="A80" s="13" t="n">
        <v>2024</v>
      </c>
      <c r="B80" s="13" t="s">
        <v>195</v>
      </c>
      <c r="C80" s="13" t="n">
        <v>7</v>
      </c>
      <c r="D80" s="13" t="s">
        <v>159</v>
      </c>
      <c r="E80" s="14" t="n">
        <v>337</v>
      </c>
      <c r="F80" s="14" t="n">
        <v>318</v>
      </c>
      <c r="G80" s="15" t="n">
        <v>0.9436</v>
      </c>
    </row>
    <row r="81" customFormat="false" ht="15" hidden="false" customHeight="true" outlineLevel="0" collapsed="false">
      <c r="A81" s="13" t="n">
        <v>2024</v>
      </c>
      <c r="B81" s="13" t="s">
        <v>195</v>
      </c>
      <c r="C81" s="13" t="n">
        <v>8</v>
      </c>
      <c r="D81" s="13" t="s">
        <v>152</v>
      </c>
      <c r="E81" s="14" t="n">
        <v>5536</v>
      </c>
      <c r="F81" s="14" t="n">
        <v>4431</v>
      </c>
      <c r="G81" s="15" t="n">
        <v>0.8004</v>
      </c>
    </row>
    <row r="82" customFormat="false" ht="15" hidden="false" customHeight="true" outlineLevel="0" collapsed="false">
      <c r="A82" s="13" t="n">
        <v>2024</v>
      </c>
      <c r="B82" s="13" t="s">
        <v>195</v>
      </c>
      <c r="C82" s="13" t="n">
        <v>9</v>
      </c>
      <c r="D82" s="13" t="s">
        <v>161</v>
      </c>
      <c r="E82" s="14" t="n">
        <v>1107</v>
      </c>
      <c r="F82" s="14" t="n">
        <v>1089</v>
      </c>
      <c r="G82" s="15" t="n">
        <v>0.9837</v>
      </c>
    </row>
    <row r="83" customFormat="false" ht="15" hidden="false" customHeight="true" outlineLevel="0" collapsed="false">
      <c r="A83" s="13" t="n">
        <v>2024</v>
      </c>
      <c r="B83" s="13" t="s">
        <v>195</v>
      </c>
      <c r="C83" s="13" t="n">
        <v>10</v>
      </c>
      <c r="D83" s="13" t="s">
        <v>702</v>
      </c>
      <c r="E83" s="14" t="n">
        <v>7</v>
      </c>
      <c r="F83" s="14" t="n">
        <v>7</v>
      </c>
      <c r="G83" s="15" t="n">
        <v>1</v>
      </c>
    </row>
    <row r="84" customFormat="false" ht="15" hidden="false" customHeight="true" outlineLevel="0" collapsed="false">
      <c r="A84" s="13" t="n">
        <v>2024</v>
      </c>
      <c r="B84" s="13" t="s">
        <v>195</v>
      </c>
      <c r="C84" s="13" t="n">
        <v>11</v>
      </c>
      <c r="D84" s="13" t="s">
        <v>425</v>
      </c>
      <c r="E84" s="14" t="n">
        <v>244</v>
      </c>
      <c r="F84" s="14" t="n">
        <v>229</v>
      </c>
      <c r="G84" s="15" t="n">
        <v>0.9385</v>
      </c>
    </row>
    <row r="85" customFormat="false" ht="15" hidden="false" customHeight="true" outlineLevel="0" collapsed="false">
      <c r="A85" s="13" t="n">
        <v>2024</v>
      </c>
      <c r="B85" s="13" t="s">
        <v>195</v>
      </c>
      <c r="C85" s="13" t="n">
        <v>12</v>
      </c>
      <c r="D85" s="13" t="s">
        <v>153</v>
      </c>
      <c r="E85" s="14" t="n">
        <v>2012</v>
      </c>
      <c r="F85" s="14" t="n">
        <v>1870</v>
      </c>
      <c r="G85" s="15" t="n">
        <v>0.9294</v>
      </c>
    </row>
    <row r="86" customFormat="false" ht="15" hidden="false" customHeight="true" outlineLevel="0" collapsed="false">
      <c r="A86" s="13" t="n">
        <v>2024</v>
      </c>
      <c r="B86" s="13" t="s">
        <v>195</v>
      </c>
      <c r="C86" s="13" t="n">
        <v>13</v>
      </c>
      <c r="D86" s="13" t="s">
        <v>154</v>
      </c>
      <c r="E86" s="14" t="n">
        <v>6867</v>
      </c>
      <c r="F86" s="14" t="n">
        <v>4848</v>
      </c>
      <c r="G86" s="15" t="n">
        <v>0.706</v>
      </c>
    </row>
    <row r="87" customFormat="false" ht="15" hidden="false" customHeight="true" outlineLevel="0" collapsed="false">
      <c r="A87" s="13" t="n">
        <v>2024</v>
      </c>
      <c r="B87" s="13" t="s">
        <v>195</v>
      </c>
      <c r="C87" s="13" t="n">
        <v>14</v>
      </c>
      <c r="D87" s="13" t="s">
        <v>155</v>
      </c>
      <c r="E87" s="14" t="n">
        <v>2082</v>
      </c>
      <c r="F87" s="14" t="n">
        <v>1726</v>
      </c>
      <c r="G87" s="15" t="n">
        <v>0.829</v>
      </c>
    </row>
    <row r="88" customFormat="false" ht="15" hidden="false" customHeight="true" outlineLevel="0" collapsed="false">
      <c r="A88" s="13" t="n">
        <v>2024</v>
      </c>
      <c r="B88" s="13" t="s">
        <v>195</v>
      </c>
      <c r="C88" s="13" t="n">
        <v>15</v>
      </c>
      <c r="D88" s="13" t="s">
        <v>156</v>
      </c>
      <c r="E88" s="14" t="n">
        <v>27029</v>
      </c>
      <c r="F88" s="14" t="n">
        <v>16835</v>
      </c>
      <c r="G88" s="15" t="n">
        <v>0.6228</v>
      </c>
    </row>
    <row r="89" customFormat="false" ht="15" hidden="false" customHeight="true" outlineLevel="0" collapsed="false">
      <c r="A89" s="13" t="n">
        <v>2024</v>
      </c>
      <c r="B89" s="13" t="s">
        <v>195</v>
      </c>
      <c r="C89" s="13" t="n">
        <v>16</v>
      </c>
      <c r="D89" s="13" t="s">
        <v>855</v>
      </c>
      <c r="E89" s="14" t="n">
        <v>14008</v>
      </c>
      <c r="F89" s="14" t="n">
        <v>12510</v>
      </c>
      <c r="G89" s="15" t="n">
        <v>0.8931</v>
      </c>
    </row>
    <row r="90" customFormat="false" ht="15" hidden="false" customHeight="true" outlineLevel="0" collapsed="false">
      <c r="A90" s="13" t="n">
        <v>2024</v>
      </c>
      <c r="B90" s="13" t="s">
        <v>195</v>
      </c>
      <c r="C90" s="13" t="n">
        <v>17</v>
      </c>
      <c r="D90" s="13" t="s">
        <v>414</v>
      </c>
      <c r="E90" s="14" t="n">
        <v>686</v>
      </c>
      <c r="F90" s="14" t="n">
        <v>670</v>
      </c>
      <c r="G90" s="15" t="n">
        <v>0.9767</v>
      </c>
    </row>
    <row r="91" customFormat="false" ht="15" hidden="false" customHeight="true" outlineLevel="0" collapsed="false">
      <c r="A91" s="13" t="n">
        <v>2024</v>
      </c>
      <c r="B91" s="13" t="s">
        <v>195</v>
      </c>
      <c r="C91" s="13" t="n">
        <v>18</v>
      </c>
      <c r="D91" s="13" t="s">
        <v>413</v>
      </c>
      <c r="E91" s="14" t="n">
        <v>122</v>
      </c>
      <c r="F91" s="14" t="n">
        <v>98</v>
      </c>
      <c r="G91" s="15" t="n">
        <v>0.8033</v>
      </c>
    </row>
    <row r="92" customFormat="false" ht="15" hidden="false" customHeight="true" outlineLevel="0" collapsed="false">
      <c r="A92" s="13" t="n">
        <v>2024</v>
      </c>
      <c r="B92" s="13" t="s">
        <v>195</v>
      </c>
      <c r="C92" s="13" t="n">
        <v>19</v>
      </c>
      <c r="D92" s="13" t="s">
        <v>162</v>
      </c>
      <c r="E92" s="14" t="n">
        <v>2359</v>
      </c>
      <c r="F92" s="14" t="n">
        <v>2153</v>
      </c>
      <c r="G92" s="15" t="n">
        <v>0.9127</v>
      </c>
    </row>
    <row r="93" customFormat="false" ht="15" hidden="false" customHeight="true" outlineLevel="0" collapsed="false">
      <c r="A93" s="13" t="n">
        <v>2024</v>
      </c>
      <c r="B93" s="13" t="s">
        <v>195</v>
      </c>
      <c r="C93" s="13" t="n">
        <v>20</v>
      </c>
      <c r="D93" s="13" t="s">
        <v>505</v>
      </c>
      <c r="E93" s="14" t="n">
        <v>59</v>
      </c>
      <c r="F93" s="14" t="n">
        <v>43</v>
      </c>
      <c r="G93" s="15" t="n">
        <v>0.7288</v>
      </c>
    </row>
    <row r="94" customFormat="false" ht="15" hidden="false" customHeight="true" outlineLevel="0" collapsed="false">
      <c r="A94" s="13" t="n">
        <v>2024</v>
      </c>
      <c r="B94" s="13" t="s">
        <v>195</v>
      </c>
      <c r="C94" s="13" t="n">
        <v>21</v>
      </c>
      <c r="D94" s="13" t="s">
        <v>426</v>
      </c>
      <c r="E94" s="14" t="n">
        <v>490</v>
      </c>
      <c r="F94" s="14" t="n">
        <v>456</v>
      </c>
      <c r="G94" s="15" t="n">
        <v>0.9306</v>
      </c>
    </row>
    <row r="95" customFormat="false" ht="15" hidden="false" customHeight="true" outlineLevel="0" collapsed="false">
      <c r="A95" s="13" t="n">
        <v>2024</v>
      </c>
      <c r="B95" s="13" t="s">
        <v>195</v>
      </c>
      <c r="C95" s="13" t="n">
        <v>22</v>
      </c>
      <c r="D95" s="13" t="s">
        <v>424</v>
      </c>
      <c r="E95" s="14" t="n">
        <v>625</v>
      </c>
      <c r="F95" s="14" t="n">
        <v>517</v>
      </c>
      <c r="G95" s="15" t="n">
        <v>0.8272</v>
      </c>
    </row>
    <row r="96" customFormat="false" ht="15" hidden="false" customHeight="true" outlineLevel="0" collapsed="false">
      <c r="A96" s="13" t="n">
        <v>2024</v>
      </c>
      <c r="B96" s="13" t="s">
        <v>195</v>
      </c>
      <c r="C96" s="13" t="n">
        <v>23</v>
      </c>
      <c r="D96" s="13" t="s">
        <v>171</v>
      </c>
      <c r="E96" s="14" t="n">
        <v>171</v>
      </c>
      <c r="F96" s="14" t="n">
        <v>156</v>
      </c>
      <c r="G96" s="15" t="n">
        <v>0.9123</v>
      </c>
    </row>
    <row r="97" customFormat="false" ht="15" hidden="false" customHeight="true" outlineLevel="0" collapsed="false">
      <c r="A97" s="13" t="n">
        <v>2024</v>
      </c>
      <c r="B97" s="13" t="s">
        <v>195</v>
      </c>
      <c r="C97" s="13" t="n">
        <v>24</v>
      </c>
      <c r="D97" s="13" t="s">
        <v>748</v>
      </c>
      <c r="E97" s="14" t="n">
        <v>2</v>
      </c>
      <c r="F97" s="14" t="n">
        <v>2</v>
      </c>
      <c r="G97" s="15" t="n">
        <v>1</v>
      </c>
    </row>
    <row r="98" customFormat="false" ht="15" hidden="false" customHeight="true" outlineLevel="0" collapsed="false">
      <c r="A98" s="13" t="n">
        <v>2024</v>
      </c>
      <c r="B98" s="13" t="s">
        <v>195</v>
      </c>
      <c r="C98" s="13" t="n">
        <v>25</v>
      </c>
      <c r="D98" s="13" t="s">
        <v>856</v>
      </c>
      <c r="E98" s="14" t="n">
        <v>4887</v>
      </c>
      <c r="F98" s="14" t="n">
        <v>4733</v>
      </c>
      <c r="G98" s="15" t="n">
        <v>0.9685</v>
      </c>
    </row>
    <row r="99" customFormat="false" ht="15" hidden="false" customHeight="true" outlineLevel="0" collapsed="false">
      <c r="A99" s="13" t="n">
        <v>2024</v>
      </c>
      <c r="B99" s="13" t="s">
        <v>195</v>
      </c>
      <c r="C99" s="13" t="n">
        <v>26</v>
      </c>
      <c r="D99" s="13" t="s">
        <v>150</v>
      </c>
      <c r="E99" s="14" t="n">
        <v>13468</v>
      </c>
      <c r="F99" s="14" t="n">
        <v>10723</v>
      </c>
      <c r="G99" s="15" t="n">
        <v>0.7962</v>
      </c>
    </row>
    <row r="100" customFormat="false" ht="15" hidden="false" customHeight="true" outlineLevel="0" collapsed="false">
      <c r="A100" s="13" t="n">
        <v>2024</v>
      </c>
      <c r="B100" s="13" t="s">
        <v>195</v>
      </c>
      <c r="C100" s="13" t="n">
        <v>27</v>
      </c>
      <c r="D100" s="13" t="s">
        <v>427</v>
      </c>
      <c r="E100" s="14" t="n">
        <v>4414</v>
      </c>
      <c r="F100" s="14" t="n">
        <v>3831</v>
      </c>
      <c r="G100" s="15" t="n">
        <v>0.8679</v>
      </c>
    </row>
    <row r="101" customFormat="false" ht="15" hidden="false" customHeight="true" outlineLevel="0" collapsed="false">
      <c r="A101" s="13" t="n">
        <v>2024</v>
      </c>
      <c r="B101" s="13" t="s">
        <v>195</v>
      </c>
      <c r="C101" s="13" t="n">
        <v>28</v>
      </c>
      <c r="D101" s="13" t="s">
        <v>167</v>
      </c>
      <c r="E101" s="14" t="n">
        <v>12518</v>
      </c>
      <c r="F101" s="14" t="n">
        <v>10481</v>
      </c>
      <c r="G101" s="15" t="n">
        <v>0.8373</v>
      </c>
    </row>
    <row r="102" customFormat="false" ht="15" hidden="false" customHeight="true" outlineLevel="0" collapsed="false">
      <c r="A102" s="13" t="n">
        <v>2024</v>
      </c>
      <c r="B102" s="13" t="s">
        <v>195</v>
      </c>
      <c r="C102" s="13" t="n">
        <v>29</v>
      </c>
      <c r="D102" s="13" t="s">
        <v>165</v>
      </c>
      <c r="E102" s="14" t="n">
        <v>35825</v>
      </c>
      <c r="F102" s="14" t="n">
        <v>27009</v>
      </c>
      <c r="G102" s="15" t="n">
        <v>0.7539</v>
      </c>
    </row>
    <row r="103" customFormat="false" ht="15" hidden="false" customHeight="true" outlineLevel="0" collapsed="false">
      <c r="A103" s="13" t="n">
        <v>2024</v>
      </c>
      <c r="B103" s="13" t="s">
        <v>195</v>
      </c>
      <c r="C103" s="13" t="n">
        <v>30</v>
      </c>
      <c r="D103" s="13" t="s">
        <v>166</v>
      </c>
      <c r="E103" s="14" t="n">
        <v>17545</v>
      </c>
      <c r="F103" s="14" t="n">
        <v>14235</v>
      </c>
      <c r="G103" s="15" t="n">
        <v>0.8113</v>
      </c>
    </row>
    <row r="104" customFormat="false" ht="15" hidden="false" customHeight="true" outlineLevel="0" collapsed="false">
      <c r="A104" s="13" t="n">
        <v>2024</v>
      </c>
      <c r="B104" s="13" t="s">
        <v>195</v>
      </c>
      <c r="C104" s="13" t="n">
        <v>31</v>
      </c>
      <c r="D104" s="13" t="s">
        <v>857</v>
      </c>
      <c r="E104" s="14" t="n">
        <v>444</v>
      </c>
      <c r="F104" s="14" t="n">
        <v>419</v>
      </c>
      <c r="G104" s="15" t="n">
        <v>0.9437</v>
      </c>
    </row>
    <row r="105" customFormat="false" ht="15" hidden="false" customHeight="true" outlineLevel="0" collapsed="false">
      <c r="A105" s="13" t="n">
        <v>2024</v>
      </c>
      <c r="B105" s="13" t="s">
        <v>195</v>
      </c>
      <c r="C105" s="13" t="n">
        <v>32</v>
      </c>
      <c r="D105" s="13" t="s">
        <v>531</v>
      </c>
      <c r="E105" s="14" t="n">
        <v>444</v>
      </c>
      <c r="F105" s="14" t="n">
        <v>441</v>
      </c>
      <c r="G105" s="15" t="n">
        <v>0.9932</v>
      </c>
    </row>
    <row r="106" customFormat="false" ht="15" hidden="false" customHeight="true" outlineLevel="0" collapsed="false">
      <c r="A106" s="13" t="n">
        <v>2024</v>
      </c>
      <c r="B106" s="13" t="s">
        <v>195</v>
      </c>
      <c r="C106" s="13" t="n">
        <v>33</v>
      </c>
      <c r="D106" s="13" t="s">
        <v>477</v>
      </c>
      <c r="E106" s="14" t="n">
        <v>2707</v>
      </c>
      <c r="F106" s="14" t="n">
        <v>2399</v>
      </c>
      <c r="G106" s="15" t="n">
        <v>0.8862</v>
      </c>
    </row>
    <row r="107" customFormat="false" ht="15" hidden="false" customHeight="true" outlineLevel="0" collapsed="false">
      <c r="A107" s="13" t="n">
        <v>2024</v>
      </c>
      <c r="B107" s="13" t="s">
        <v>195</v>
      </c>
      <c r="C107" s="13" t="n">
        <v>34</v>
      </c>
      <c r="D107" s="13" t="s">
        <v>170</v>
      </c>
      <c r="E107" s="14" t="n">
        <v>25534</v>
      </c>
      <c r="F107" s="14" t="n">
        <v>22134</v>
      </c>
      <c r="G107" s="15" t="n">
        <v>0.8668</v>
      </c>
    </row>
    <row r="108" customFormat="false" ht="15" hidden="false" customHeight="true" outlineLevel="0" collapsed="false">
      <c r="A108" s="13" t="n">
        <v>2024</v>
      </c>
      <c r="B108" s="13" t="s">
        <v>195</v>
      </c>
      <c r="C108" s="13" t="n">
        <v>35</v>
      </c>
      <c r="D108" s="13" t="s">
        <v>149</v>
      </c>
      <c r="E108" s="14" t="n">
        <v>63170</v>
      </c>
      <c r="F108" s="14" t="n">
        <v>61064</v>
      </c>
      <c r="G108" s="15" t="n">
        <v>0.9667</v>
      </c>
    </row>
    <row r="109" customFormat="false" ht="15" hidden="false" customHeight="true" outlineLevel="0" collapsed="false">
      <c r="A109" s="13" t="n">
        <v>2024</v>
      </c>
      <c r="B109" s="13" t="s">
        <v>195</v>
      </c>
      <c r="C109" s="13" t="n">
        <v>36</v>
      </c>
      <c r="D109" s="13" t="s">
        <v>265</v>
      </c>
      <c r="E109" s="14" t="n">
        <v>62649</v>
      </c>
      <c r="F109" s="14" t="n">
        <v>62204</v>
      </c>
      <c r="G109" s="15" t="n">
        <v>0.9929</v>
      </c>
    </row>
    <row r="110" customFormat="false" ht="15" hidden="false" customHeight="true" outlineLevel="0" collapsed="false">
      <c r="A110" s="13" t="n">
        <v>2024</v>
      </c>
      <c r="B110" s="13" t="s">
        <v>195</v>
      </c>
      <c r="C110" s="13" t="n">
        <v>37</v>
      </c>
      <c r="D110" s="13" t="s">
        <v>587</v>
      </c>
      <c r="E110" s="14" t="n">
        <v>8</v>
      </c>
      <c r="F110" s="14" t="n">
        <v>8</v>
      </c>
      <c r="G110" s="15" t="n">
        <v>1</v>
      </c>
    </row>
    <row r="111" customFormat="false" ht="15" hidden="false" customHeight="true" outlineLevel="0" collapsed="false">
      <c r="A111" s="13" t="n">
        <v>2024</v>
      </c>
      <c r="B111" s="13" t="s">
        <v>195</v>
      </c>
      <c r="C111" s="13" t="n">
        <v>38</v>
      </c>
      <c r="D111" s="13" t="s">
        <v>858</v>
      </c>
      <c r="E111" s="14" t="n">
        <v>2707</v>
      </c>
      <c r="F111" s="14" t="n">
        <v>2317</v>
      </c>
      <c r="G111" s="15" t="n">
        <v>0.8559</v>
      </c>
    </row>
    <row r="112" customFormat="false" ht="15" hidden="false" customHeight="true" outlineLevel="0" collapsed="false">
      <c r="A112" s="13" t="n">
        <v>2024</v>
      </c>
      <c r="B112" s="13" t="s">
        <v>195</v>
      </c>
      <c r="C112" s="13" t="n">
        <v>39</v>
      </c>
      <c r="D112" s="13" t="s">
        <v>859</v>
      </c>
      <c r="E112" s="14" t="n">
        <v>2707</v>
      </c>
      <c r="F112" s="14" t="n">
        <v>2366</v>
      </c>
      <c r="G112" s="15" t="n">
        <v>0.874</v>
      </c>
    </row>
    <row r="113" customFormat="false" ht="15" hidden="false" customHeight="true" outlineLevel="0" collapsed="false">
      <c r="A113" s="13" t="n">
        <v>2024</v>
      </c>
      <c r="B113" s="13" t="s">
        <v>195</v>
      </c>
      <c r="C113" s="13" t="n">
        <v>40</v>
      </c>
      <c r="D113" s="13" t="s">
        <v>860</v>
      </c>
      <c r="E113" s="14" t="n">
        <v>2707</v>
      </c>
      <c r="F113" s="14" t="n">
        <v>2319</v>
      </c>
      <c r="G113" s="15" t="n">
        <v>0.8567</v>
      </c>
    </row>
    <row r="114" customFormat="false" ht="15" hidden="false" customHeight="true" outlineLevel="0" collapsed="false">
      <c r="A114" s="13" t="n">
        <v>2025</v>
      </c>
      <c r="B114" s="13" t="s">
        <v>851</v>
      </c>
      <c r="C114" s="13" t="n">
        <v>1</v>
      </c>
      <c r="D114" s="13" t="s">
        <v>142</v>
      </c>
      <c r="E114" s="14" t="n">
        <v>13840</v>
      </c>
      <c r="F114" s="14" t="n">
        <v>4530</v>
      </c>
      <c r="G114" s="15" t="n">
        <v>0.3273</v>
      </c>
    </row>
    <row r="115" customFormat="false" ht="15" hidden="false" customHeight="true" outlineLevel="0" collapsed="false">
      <c r="A115" s="13" t="n">
        <v>2025</v>
      </c>
      <c r="B115" s="13" t="s">
        <v>851</v>
      </c>
      <c r="C115" s="13" t="n">
        <v>2</v>
      </c>
      <c r="D115" s="13" t="s">
        <v>410</v>
      </c>
      <c r="E115" s="14" t="n">
        <v>5584</v>
      </c>
      <c r="F115" s="14" t="n">
        <v>4150</v>
      </c>
      <c r="G115" s="15" t="n">
        <v>0.7432</v>
      </c>
    </row>
    <row r="116" customFormat="false" ht="15" hidden="false" customHeight="true" outlineLevel="0" collapsed="false">
      <c r="A116" s="13" t="n">
        <v>2025</v>
      </c>
      <c r="B116" s="13" t="s">
        <v>851</v>
      </c>
      <c r="C116" s="13" t="n">
        <v>3</v>
      </c>
      <c r="D116" s="13" t="s">
        <v>853</v>
      </c>
      <c r="E116" s="14" t="n">
        <v>3437</v>
      </c>
      <c r="F116" s="14" t="n">
        <v>2740</v>
      </c>
      <c r="G116" s="15" t="n">
        <v>0.7972</v>
      </c>
    </row>
    <row r="117" customFormat="false" ht="15" hidden="false" customHeight="true" outlineLevel="0" collapsed="false">
      <c r="A117" s="13" t="n">
        <v>2025</v>
      </c>
      <c r="B117" s="13" t="s">
        <v>851</v>
      </c>
      <c r="C117" s="13" t="n">
        <v>4</v>
      </c>
      <c r="D117" s="13" t="s">
        <v>854</v>
      </c>
      <c r="E117" s="14" t="n">
        <v>1289</v>
      </c>
      <c r="F117" s="14" t="n">
        <v>748</v>
      </c>
      <c r="G117" s="15" t="n">
        <v>0.5803</v>
      </c>
    </row>
    <row r="118" customFormat="false" ht="15" hidden="false" customHeight="true" outlineLevel="0" collapsed="false">
      <c r="A118" s="13" t="n">
        <v>2025</v>
      </c>
      <c r="B118" s="13" t="s">
        <v>851</v>
      </c>
      <c r="C118" s="13" t="n">
        <v>5</v>
      </c>
      <c r="D118" s="13" t="s">
        <v>159</v>
      </c>
      <c r="E118" s="14" t="n">
        <v>19</v>
      </c>
      <c r="F118" s="14" t="n">
        <v>19</v>
      </c>
      <c r="G118" s="15" t="n">
        <v>1</v>
      </c>
    </row>
    <row r="119" customFormat="false" ht="15" hidden="false" customHeight="true" outlineLevel="0" collapsed="false">
      <c r="A119" s="13" t="n">
        <v>2025</v>
      </c>
      <c r="B119" s="13" t="s">
        <v>851</v>
      </c>
      <c r="C119" s="13" t="n">
        <v>6</v>
      </c>
      <c r="D119" s="13" t="s">
        <v>152</v>
      </c>
      <c r="E119" s="14" t="n">
        <v>1260</v>
      </c>
      <c r="F119" s="14" t="n">
        <v>578</v>
      </c>
      <c r="G119" s="15" t="n">
        <v>0.4587</v>
      </c>
    </row>
    <row r="120" customFormat="false" ht="15" hidden="false" customHeight="true" outlineLevel="0" collapsed="false">
      <c r="A120" s="13" t="n">
        <v>2025</v>
      </c>
      <c r="B120" s="13" t="s">
        <v>851</v>
      </c>
      <c r="C120" s="13" t="n">
        <v>7</v>
      </c>
      <c r="D120" s="13" t="s">
        <v>161</v>
      </c>
      <c r="E120" s="14" t="n">
        <v>12</v>
      </c>
      <c r="F120" s="14" t="n">
        <v>8</v>
      </c>
      <c r="G120" s="15" t="n">
        <v>0.6667</v>
      </c>
    </row>
    <row r="121" customFormat="false" ht="15" hidden="false" customHeight="true" outlineLevel="0" collapsed="false">
      <c r="A121" s="13" t="n">
        <v>2025</v>
      </c>
      <c r="B121" s="13" t="s">
        <v>851</v>
      </c>
      <c r="C121" s="13" t="n">
        <v>8</v>
      </c>
      <c r="D121" s="13" t="s">
        <v>425</v>
      </c>
      <c r="E121" s="14" t="n">
        <v>22</v>
      </c>
      <c r="F121" s="14" t="n">
        <v>17</v>
      </c>
      <c r="G121" s="15" t="n">
        <v>0.7727</v>
      </c>
    </row>
    <row r="122" customFormat="false" ht="15" hidden="false" customHeight="true" outlineLevel="0" collapsed="false">
      <c r="A122" s="13" t="n">
        <v>2025</v>
      </c>
      <c r="B122" s="13" t="s">
        <v>851</v>
      </c>
      <c r="C122" s="13" t="n">
        <v>9</v>
      </c>
      <c r="D122" s="13" t="s">
        <v>153</v>
      </c>
      <c r="E122" s="14" t="n">
        <v>277</v>
      </c>
      <c r="F122" s="14" t="n">
        <v>141</v>
      </c>
      <c r="G122" s="15" t="n">
        <v>0.509</v>
      </c>
    </row>
    <row r="123" customFormat="false" ht="15" hidden="false" customHeight="true" outlineLevel="0" collapsed="false">
      <c r="A123" s="13" t="n">
        <v>2025</v>
      </c>
      <c r="B123" s="13" t="s">
        <v>851</v>
      </c>
      <c r="C123" s="13" t="n">
        <v>10</v>
      </c>
      <c r="D123" s="13" t="s">
        <v>154</v>
      </c>
      <c r="E123" s="14" t="n">
        <v>2238</v>
      </c>
      <c r="F123" s="14" t="n">
        <v>1117</v>
      </c>
      <c r="G123" s="15" t="n">
        <v>0.4991</v>
      </c>
    </row>
    <row r="124" customFormat="false" ht="15" hidden="false" customHeight="true" outlineLevel="0" collapsed="false">
      <c r="A124" s="13" t="n">
        <v>2025</v>
      </c>
      <c r="B124" s="13" t="s">
        <v>851</v>
      </c>
      <c r="C124" s="13" t="n">
        <v>11</v>
      </c>
      <c r="D124" s="13" t="s">
        <v>155</v>
      </c>
      <c r="E124" s="14" t="n">
        <v>303</v>
      </c>
      <c r="F124" s="14" t="n">
        <v>83</v>
      </c>
      <c r="G124" s="15" t="n">
        <v>0.2739</v>
      </c>
    </row>
    <row r="125" customFormat="false" ht="15" hidden="false" customHeight="true" outlineLevel="0" collapsed="false">
      <c r="A125" s="13" t="n">
        <v>2025</v>
      </c>
      <c r="B125" s="13" t="s">
        <v>851</v>
      </c>
      <c r="C125" s="13" t="n">
        <v>12</v>
      </c>
      <c r="D125" s="13" t="s">
        <v>156</v>
      </c>
      <c r="E125" s="14" t="n">
        <v>9359</v>
      </c>
      <c r="F125" s="14" t="n">
        <v>2394</v>
      </c>
      <c r="G125" s="15" t="n">
        <v>0.2558</v>
      </c>
    </row>
    <row r="126" customFormat="false" ht="15" hidden="false" customHeight="true" outlineLevel="0" collapsed="false">
      <c r="A126" s="13" t="n">
        <v>2025</v>
      </c>
      <c r="B126" s="13" t="s">
        <v>851</v>
      </c>
      <c r="C126" s="13" t="n">
        <v>13</v>
      </c>
      <c r="D126" s="13" t="s">
        <v>855</v>
      </c>
      <c r="E126" s="14" t="n">
        <v>2489</v>
      </c>
      <c r="F126" s="14" t="n">
        <v>1930</v>
      </c>
      <c r="G126" s="15" t="n">
        <v>0.7754</v>
      </c>
    </row>
    <row r="127" customFormat="false" ht="15" hidden="false" customHeight="true" outlineLevel="0" collapsed="false">
      <c r="A127" s="13" t="n">
        <v>2025</v>
      </c>
      <c r="B127" s="13" t="s">
        <v>851</v>
      </c>
      <c r="C127" s="13" t="n">
        <v>14</v>
      </c>
      <c r="D127" s="13" t="s">
        <v>414</v>
      </c>
      <c r="E127" s="14" t="n">
        <v>10</v>
      </c>
      <c r="F127" s="14" t="n">
        <v>9</v>
      </c>
      <c r="G127" s="15" t="n">
        <v>0.9</v>
      </c>
    </row>
    <row r="128" customFormat="false" ht="15" hidden="false" customHeight="true" outlineLevel="0" collapsed="false">
      <c r="A128" s="13" t="n">
        <v>2025</v>
      </c>
      <c r="B128" s="13" t="s">
        <v>851</v>
      </c>
      <c r="C128" s="13" t="n">
        <v>15</v>
      </c>
      <c r="D128" s="13" t="s">
        <v>413</v>
      </c>
      <c r="E128" s="14" t="n">
        <v>20</v>
      </c>
      <c r="F128" s="14" t="n">
        <v>14</v>
      </c>
      <c r="G128" s="15" t="n">
        <v>0.7</v>
      </c>
    </row>
    <row r="129" customFormat="false" ht="15" hidden="false" customHeight="true" outlineLevel="0" collapsed="false">
      <c r="A129" s="13" t="n">
        <v>2025</v>
      </c>
      <c r="B129" s="13" t="s">
        <v>851</v>
      </c>
      <c r="C129" s="13" t="n">
        <v>16</v>
      </c>
      <c r="D129" s="13" t="s">
        <v>162</v>
      </c>
      <c r="E129" s="14" t="n">
        <v>601</v>
      </c>
      <c r="F129" s="14" t="n">
        <v>546</v>
      </c>
      <c r="G129" s="15" t="n">
        <v>0.9085</v>
      </c>
    </row>
    <row r="130" customFormat="false" ht="15" hidden="false" customHeight="true" outlineLevel="0" collapsed="false">
      <c r="A130" s="13" t="n">
        <v>2025</v>
      </c>
      <c r="B130" s="13" t="s">
        <v>851</v>
      </c>
      <c r="C130" s="13" t="n">
        <v>17</v>
      </c>
      <c r="D130" s="13" t="s">
        <v>505</v>
      </c>
      <c r="E130" s="14" t="n">
        <v>22</v>
      </c>
      <c r="F130" s="14" t="n">
        <v>18</v>
      </c>
      <c r="G130" s="15" t="n">
        <v>0.8182</v>
      </c>
    </row>
    <row r="131" customFormat="false" ht="15" hidden="false" customHeight="true" outlineLevel="0" collapsed="false">
      <c r="A131" s="13" t="n">
        <v>2025</v>
      </c>
      <c r="B131" s="13" t="s">
        <v>851</v>
      </c>
      <c r="C131" s="13" t="n">
        <v>18</v>
      </c>
      <c r="D131" s="13" t="s">
        <v>426</v>
      </c>
      <c r="E131" s="14" t="n">
        <v>104</v>
      </c>
      <c r="F131" s="14" t="n">
        <v>87</v>
      </c>
      <c r="G131" s="15" t="n">
        <v>0.8365</v>
      </c>
    </row>
    <row r="132" customFormat="false" ht="15" hidden="false" customHeight="true" outlineLevel="0" collapsed="false">
      <c r="A132" s="13" t="n">
        <v>2025</v>
      </c>
      <c r="B132" s="13" t="s">
        <v>851</v>
      </c>
      <c r="C132" s="13" t="n">
        <v>19</v>
      </c>
      <c r="D132" s="13" t="s">
        <v>424</v>
      </c>
      <c r="E132" s="14" t="n">
        <v>73</v>
      </c>
      <c r="F132" s="14" t="n">
        <v>58</v>
      </c>
      <c r="G132" s="15" t="n">
        <v>0.7945</v>
      </c>
    </row>
    <row r="133" customFormat="false" ht="15" hidden="false" customHeight="true" outlineLevel="0" collapsed="false">
      <c r="A133" s="13" t="n">
        <v>2025</v>
      </c>
      <c r="B133" s="13" t="s">
        <v>851</v>
      </c>
      <c r="C133" s="13" t="n">
        <v>20</v>
      </c>
      <c r="D133" s="13" t="s">
        <v>171</v>
      </c>
      <c r="E133" s="14" t="n">
        <v>24</v>
      </c>
      <c r="F133" s="14" t="n">
        <v>6</v>
      </c>
      <c r="G133" s="15" t="n">
        <v>0.25</v>
      </c>
    </row>
    <row r="134" customFormat="false" ht="15" hidden="false" customHeight="true" outlineLevel="0" collapsed="false">
      <c r="A134" s="13" t="n">
        <v>2025</v>
      </c>
      <c r="B134" s="13" t="s">
        <v>851</v>
      </c>
      <c r="C134" s="13" t="n">
        <v>21</v>
      </c>
      <c r="D134" s="13" t="s">
        <v>856</v>
      </c>
      <c r="E134" s="14" t="n">
        <v>202</v>
      </c>
      <c r="F134" s="14" t="n">
        <v>136</v>
      </c>
      <c r="G134" s="15" t="n">
        <v>0.6733</v>
      </c>
    </row>
    <row r="135" customFormat="false" ht="15" hidden="false" customHeight="true" outlineLevel="0" collapsed="false">
      <c r="A135" s="13" t="n">
        <v>2025</v>
      </c>
      <c r="B135" s="13" t="s">
        <v>851</v>
      </c>
      <c r="C135" s="13" t="n">
        <v>22</v>
      </c>
      <c r="D135" s="13" t="s">
        <v>150</v>
      </c>
      <c r="E135" s="14" t="n">
        <v>3274</v>
      </c>
      <c r="F135" s="14" t="n">
        <v>1851</v>
      </c>
      <c r="G135" s="15" t="n">
        <v>0.5654</v>
      </c>
    </row>
    <row r="136" customFormat="false" ht="15" hidden="false" customHeight="true" outlineLevel="0" collapsed="false">
      <c r="A136" s="13" t="n">
        <v>2025</v>
      </c>
      <c r="B136" s="13" t="s">
        <v>851</v>
      </c>
      <c r="C136" s="13" t="n">
        <v>23</v>
      </c>
      <c r="D136" s="13" t="s">
        <v>427</v>
      </c>
      <c r="E136" s="14" t="n">
        <v>1448</v>
      </c>
      <c r="F136" s="14" t="n">
        <v>1200</v>
      </c>
      <c r="G136" s="15" t="n">
        <v>0.8287</v>
      </c>
    </row>
    <row r="137" customFormat="false" ht="15" hidden="false" customHeight="true" outlineLevel="0" collapsed="false">
      <c r="A137" s="13" t="n">
        <v>2025</v>
      </c>
      <c r="B137" s="13" t="s">
        <v>851</v>
      </c>
      <c r="C137" s="13" t="n">
        <v>24</v>
      </c>
      <c r="D137" s="13" t="s">
        <v>167</v>
      </c>
      <c r="E137" s="14" t="n">
        <v>3503</v>
      </c>
      <c r="F137" s="14" t="n">
        <v>2064</v>
      </c>
      <c r="G137" s="15" t="n">
        <v>0.5892</v>
      </c>
    </row>
    <row r="138" customFormat="false" ht="15" hidden="false" customHeight="true" outlineLevel="0" collapsed="false">
      <c r="A138" s="13" t="n">
        <v>2025</v>
      </c>
      <c r="B138" s="13" t="s">
        <v>851</v>
      </c>
      <c r="C138" s="13" t="n">
        <v>25</v>
      </c>
      <c r="D138" s="13" t="s">
        <v>165</v>
      </c>
      <c r="E138" s="14" t="n">
        <v>8010</v>
      </c>
      <c r="F138" s="14" t="n">
        <v>3068</v>
      </c>
      <c r="G138" s="15" t="n">
        <v>0.383</v>
      </c>
    </row>
    <row r="139" customFormat="false" ht="15" hidden="false" customHeight="true" outlineLevel="0" collapsed="false">
      <c r="A139" s="13" t="n">
        <v>2025</v>
      </c>
      <c r="B139" s="13" t="s">
        <v>851</v>
      </c>
      <c r="C139" s="13" t="n">
        <v>26</v>
      </c>
      <c r="D139" s="13" t="s">
        <v>166</v>
      </c>
      <c r="E139" s="14" t="n">
        <v>4077</v>
      </c>
      <c r="F139" s="14" t="n">
        <v>1560</v>
      </c>
      <c r="G139" s="15" t="n">
        <v>0.3826</v>
      </c>
    </row>
    <row r="140" customFormat="false" ht="15" hidden="false" customHeight="true" outlineLevel="0" collapsed="false">
      <c r="A140" s="13" t="n">
        <v>2025</v>
      </c>
      <c r="B140" s="13" t="s">
        <v>851</v>
      </c>
      <c r="C140" s="13" t="n">
        <v>27</v>
      </c>
      <c r="D140" s="13" t="s">
        <v>857</v>
      </c>
      <c r="E140" s="14" t="n">
        <v>46</v>
      </c>
      <c r="F140" s="14" t="n">
        <v>35</v>
      </c>
      <c r="G140" s="15" t="n">
        <v>0.7609</v>
      </c>
    </row>
    <row r="141" customFormat="false" ht="15" hidden="false" customHeight="true" outlineLevel="0" collapsed="false">
      <c r="A141" s="13" t="n">
        <v>2025</v>
      </c>
      <c r="B141" s="13" t="s">
        <v>851</v>
      </c>
      <c r="C141" s="13" t="n">
        <v>28</v>
      </c>
      <c r="D141" s="13" t="s">
        <v>531</v>
      </c>
      <c r="E141" s="14" t="n">
        <v>46</v>
      </c>
      <c r="F141" s="14" t="n">
        <v>35</v>
      </c>
      <c r="G141" s="15" t="n">
        <v>0.7609</v>
      </c>
    </row>
    <row r="142" customFormat="false" ht="15" hidden="false" customHeight="true" outlineLevel="0" collapsed="false">
      <c r="A142" s="13" t="n">
        <v>2025</v>
      </c>
      <c r="B142" s="13" t="s">
        <v>851</v>
      </c>
      <c r="C142" s="13" t="n">
        <v>29</v>
      </c>
      <c r="D142" s="13" t="s">
        <v>477</v>
      </c>
      <c r="E142" s="14" t="n">
        <v>412</v>
      </c>
      <c r="F142" s="14" t="n">
        <v>142</v>
      </c>
      <c r="G142" s="15" t="n">
        <v>0.3447</v>
      </c>
    </row>
    <row r="143" customFormat="false" ht="15" hidden="false" customHeight="true" outlineLevel="0" collapsed="false">
      <c r="A143" s="13" t="n">
        <v>2025</v>
      </c>
      <c r="B143" s="13" t="s">
        <v>851</v>
      </c>
      <c r="C143" s="13" t="n">
        <v>30</v>
      </c>
      <c r="D143" s="13" t="s">
        <v>170</v>
      </c>
      <c r="E143" s="14" t="n">
        <v>3328</v>
      </c>
      <c r="F143" s="14" t="n">
        <v>1467</v>
      </c>
      <c r="G143" s="15" t="n">
        <v>0.4408</v>
      </c>
    </row>
    <row r="144" customFormat="false" ht="15" hidden="false" customHeight="true" outlineLevel="0" collapsed="false">
      <c r="A144" s="13" t="n">
        <v>2025</v>
      </c>
      <c r="B144" s="13" t="s">
        <v>851</v>
      </c>
      <c r="C144" s="13" t="n">
        <v>31</v>
      </c>
      <c r="D144" s="13" t="s">
        <v>265</v>
      </c>
      <c r="E144" s="14" t="n">
        <v>3711</v>
      </c>
      <c r="F144" s="14" t="n">
        <v>3123</v>
      </c>
      <c r="G144" s="15" t="n">
        <v>0.8416</v>
      </c>
    </row>
    <row r="145" customFormat="false" ht="15" hidden="false" customHeight="true" outlineLevel="0" collapsed="false">
      <c r="A145" s="13" t="n">
        <v>2025</v>
      </c>
      <c r="B145" s="13" t="s">
        <v>851</v>
      </c>
      <c r="C145" s="13" t="n">
        <v>32</v>
      </c>
      <c r="D145" s="13" t="s">
        <v>858</v>
      </c>
      <c r="E145" s="14" t="n">
        <v>739</v>
      </c>
      <c r="F145" s="14" t="n">
        <v>315</v>
      </c>
      <c r="G145" s="15" t="n">
        <v>0.4263</v>
      </c>
    </row>
    <row r="146" customFormat="false" ht="15" hidden="false" customHeight="true" outlineLevel="0" collapsed="false">
      <c r="A146" s="13" t="n">
        <v>2025</v>
      </c>
      <c r="B146" s="13" t="s">
        <v>851</v>
      </c>
      <c r="C146" s="13" t="n">
        <v>33</v>
      </c>
      <c r="D146" s="13" t="s">
        <v>859</v>
      </c>
      <c r="E146" s="14" t="n">
        <v>332</v>
      </c>
      <c r="F146" s="14" t="n">
        <v>209</v>
      </c>
      <c r="G146" s="15" t="n">
        <v>0.6295</v>
      </c>
    </row>
    <row r="147" customFormat="false" ht="15" hidden="false" customHeight="true" outlineLevel="0" collapsed="false">
      <c r="A147" s="13" t="n">
        <v>2025</v>
      </c>
      <c r="B147" s="13" t="s">
        <v>851</v>
      </c>
      <c r="C147" s="13" t="n">
        <v>34</v>
      </c>
      <c r="D147" s="13" t="s">
        <v>860</v>
      </c>
      <c r="E147" s="14" t="n">
        <v>350</v>
      </c>
      <c r="F147" s="14" t="n">
        <v>196</v>
      </c>
      <c r="G147" s="15" t="n">
        <v>0.56</v>
      </c>
    </row>
    <row r="148" customFormat="false" ht="15" hidden="false" customHeight="true" outlineLevel="0" collapsed="false">
      <c r="A148" s="13" t="n">
        <v>2025</v>
      </c>
      <c r="B148" s="13" t="s">
        <v>861</v>
      </c>
      <c r="C148" s="13" t="n">
        <v>1</v>
      </c>
      <c r="D148" s="13" t="s">
        <v>142</v>
      </c>
      <c r="E148" s="14" t="n">
        <v>52906</v>
      </c>
      <c r="F148" s="14" t="n">
        <v>38008</v>
      </c>
      <c r="G148" s="15" t="n">
        <v>0.7184</v>
      </c>
    </row>
    <row r="149" customFormat="false" ht="15" hidden="false" customHeight="true" outlineLevel="0" collapsed="false">
      <c r="A149" s="13" t="n">
        <v>2025</v>
      </c>
      <c r="B149" s="13" t="s">
        <v>861</v>
      </c>
      <c r="C149" s="13" t="n">
        <v>2</v>
      </c>
      <c r="D149" s="13" t="s">
        <v>410</v>
      </c>
      <c r="E149" s="14" t="n">
        <v>49632</v>
      </c>
      <c r="F149" s="14" t="n">
        <v>46611</v>
      </c>
      <c r="G149" s="15" t="n">
        <v>0.9391</v>
      </c>
    </row>
    <row r="150" customFormat="false" ht="15" hidden="false" customHeight="true" outlineLevel="0" collapsed="false">
      <c r="A150" s="13" t="n">
        <v>2025</v>
      </c>
      <c r="B150" s="13" t="s">
        <v>861</v>
      </c>
      <c r="C150" s="13" t="n">
        <v>3</v>
      </c>
      <c r="D150" s="13" t="s">
        <v>853</v>
      </c>
      <c r="E150" s="14" t="n">
        <v>48680</v>
      </c>
      <c r="F150" s="14" t="n">
        <v>46948</v>
      </c>
      <c r="G150" s="15" t="n">
        <v>0.9644</v>
      </c>
    </row>
    <row r="151" customFormat="false" ht="15" hidden="false" customHeight="true" outlineLevel="0" collapsed="false">
      <c r="A151" s="13" t="n">
        <v>2025</v>
      </c>
      <c r="B151" s="13" t="s">
        <v>861</v>
      </c>
      <c r="C151" s="13" t="n">
        <v>4</v>
      </c>
      <c r="D151" s="13" t="s">
        <v>145</v>
      </c>
      <c r="E151" s="14" t="n">
        <v>1</v>
      </c>
      <c r="F151" s="14" t="n">
        <v>1</v>
      </c>
      <c r="G151" s="15" t="n">
        <v>1</v>
      </c>
    </row>
    <row r="152" customFormat="false" ht="15" hidden="false" customHeight="true" outlineLevel="0" collapsed="false">
      <c r="A152" s="13" t="n">
        <v>2025</v>
      </c>
      <c r="B152" s="13" t="s">
        <v>861</v>
      </c>
      <c r="C152" s="13" t="n">
        <v>5</v>
      </c>
      <c r="D152" s="13" t="s">
        <v>854</v>
      </c>
      <c r="E152" s="14" t="n">
        <v>2599</v>
      </c>
      <c r="F152" s="14" t="n">
        <v>1802</v>
      </c>
      <c r="G152" s="15" t="n">
        <v>0.6933</v>
      </c>
    </row>
    <row r="153" customFormat="false" ht="15" hidden="false" customHeight="true" outlineLevel="0" collapsed="false">
      <c r="A153" s="13" t="n">
        <v>2025</v>
      </c>
      <c r="B153" s="13" t="s">
        <v>861</v>
      </c>
      <c r="C153" s="13" t="n">
        <v>6</v>
      </c>
      <c r="D153" s="13" t="s">
        <v>159</v>
      </c>
      <c r="E153" s="14" t="n">
        <v>258</v>
      </c>
      <c r="F153" s="14" t="n">
        <v>250</v>
      </c>
      <c r="G153" s="15" t="n">
        <v>0.969</v>
      </c>
    </row>
    <row r="154" customFormat="false" ht="15" hidden="false" customHeight="true" outlineLevel="0" collapsed="false">
      <c r="A154" s="13" t="n">
        <v>2025</v>
      </c>
      <c r="B154" s="13" t="s">
        <v>861</v>
      </c>
      <c r="C154" s="13" t="n">
        <v>7</v>
      </c>
      <c r="D154" s="13" t="s">
        <v>152</v>
      </c>
      <c r="E154" s="14" t="n">
        <v>4441</v>
      </c>
      <c r="F154" s="14" t="n">
        <v>3878</v>
      </c>
      <c r="G154" s="15" t="n">
        <v>0.8732</v>
      </c>
    </row>
    <row r="155" customFormat="false" ht="15" hidden="false" customHeight="true" outlineLevel="0" collapsed="false">
      <c r="A155" s="13" t="n">
        <v>2025</v>
      </c>
      <c r="B155" s="13" t="s">
        <v>861</v>
      </c>
      <c r="C155" s="13" t="n">
        <v>8</v>
      </c>
      <c r="D155" s="13" t="s">
        <v>161</v>
      </c>
      <c r="E155" s="14" t="n">
        <v>886</v>
      </c>
      <c r="F155" s="14" t="n">
        <v>878</v>
      </c>
      <c r="G155" s="15" t="n">
        <v>0.991</v>
      </c>
    </row>
    <row r="156" customFormat="false" ht="15" hidden="false" customHeight="true" outlineLevel="0" collapsed="false">
      <c r="A156" s="13" t="n">
        <v>2025</v>
      </c>
      <c r="B156" s="13" t="s">
        <v>861</v>
      </c>
      <c r="C156" s="13" t="n">
        <v>9</v>
      </c>
      <c r="D156" s="13" t="s">
        <v>702</v>
      </c>
      <c r="E156" s="14" t="n">
        <v>6</v>
      </c>
      <c r="F156" s="14" t="n">
        <v>6</v>
      </c>
      <c r="G156" s="15" t="n">
        <v>1</v>
      </c>
    </row>
    <row r="157" customFormat="false" ht="15" hidden="false" customHeight="true" outlineLevel="0" collapsed="false">
      <c r="A157" s="13" t="n">
        <v>2025</v>
      </c>
      <c r="B157" s="13" t="s">
        <v>861</v>
      </c>
      <c r="C157" s="13" t="n">
        <v>10</v>
      </c>
      <c r="D157" s="13" t="s">
        <v>425</v>
      </c>
      <c r="E157" s="14" t="n">
        <v>318</v>
      </c>
      <c r="F157" s="14" t="n">
        <v>305</v>
      </c>
      <c r="G157" s="15" t="n">
        <v>0.9591</v>
      </c>
    </row>
    <row r="158" customFormat="false" ht="15" hidden="false" customHeight="true" outlineLevel="0" collapsed="false">
      <c r="A158" s="13" t="n">
        <v>2025</v>
      </c>
      <c r="B158" s="13" t="s">
        <v>861</v>
      </c>
      <c r="C158" s="13" t="n">
        <v>11</v>
      </c>
      <c r="D158" s="13" t="s">
        <v>153</v>
      </c>
      <c r="E158" s="14" t="n">
        <v>1990</v>
      </c>
      <c r="F158" s="14" t="n">
        <v>1893</v>
      </c>
      <c r="G158" s="15" t="n">
        <v>0.9513</v>
      </c>
    </row>
    <row r="159" customFormat="false" ht="15" hidden="false" customHeight="true" outlineLevel="0" collapsed="false">
      <c r="A159" s="13" t="n">
        <v>2025</v>
      </c>
      <c r="B159" s="13" t="s">
        <v>861</v>
      </c>
      <c r="C159" s="13" t="n">
        <v>12</v>
      </c>
      <c r="D159" s="13" t="s">
        <v>154</v>
      </c>
      <c r="E159" s="14" t="n">
        <v>5987</v>
      </c>
      <c r="F159" s="14" t="n">
        <v>4770</v>
      </c>
      <c r="G159" s="15" t="n">
        <v>0.7967</v>
      </c>
    </row>
    <row r="160" customFormat="false" ht="15" hidden="false" customHeight="true" outlineLevel="0" collapsed="false">
      <c r="A160" s="13" t="n">
        <v>2025</v>
      </c>
      <c r="B160" s="13" t="s">
        <v>861</v>
      </c>
      <c r="C160" s="13" t="n">
        <v>13</v>
      </c>
      <c r="D160" s="13" t="s">
        <v>155</v>
      </c>
      <c r="E160" s="14" t="n">
        <v>1791</v>
      </c>
      <c r="F160" s="14" t="n">
        <v>1421</v>
      </c>
      <c r="G160" s="15" t="n">
        <v>0.7934</v>
      </c>
    </row>
    <row r="161" customFormat="false" ht="15" hidden="false" customHeight="true" outlineLevel="0" collapsed="false">
      <c r="A161" s="13" t="n">
        <v>2025</v>
      </c>
      <c r="B161" s="13" t="s">
        <v>861</v>
      </c>
      <c r="C161" s="13" t="n">
        <v>14</v>
      </c>
      <c r="D161" s="13" t="s">
        <v>156</v>
      </c>
      <c r="E161" s="14" t="n">
        <v>23358</v>
      </c>
      <c r="F161" s="14" t="n">
        <v>13936</v>
      </c>
      <c r="G161" s="15" t="n">
        <v>0.5966</v>
      </c>
    </row>
    <row r="162" customFormat="false" ht="15" hidden="false" customHeight="true" outlineLevel="0" collapsed="false">
      <c r="A162" s="13" t="n">
        <v>2025</v>
      </c>
      <c r="B162" s="13" t="s">
        <v>861</v>
      </c>
      <c r="C162" s="13" t="n">
        <v>15</v>
      </c>
      <c r="D162" s="13" t="s">
        <v>855</v>
      </c>
      <c r="E162" s="14" t="n">
        <v>11412</v>
      </c>
      <c r="F162" s="14" t="n">
        <v>9855</v>
      </c>
      <c r="G162" s="15" t="n">
        <v>0.8636</v>
      </c>
    </row>
    <row r="163" customFormat="false" ht="15" hidden="false" customHeight="true" outlineLevel="0" collapsed="false">
      <c r="A163" s="13" t="n">
        <v>2025</v>
      </c>
      <c r="B163" s="13" t="s">
        <v>861</v>
      </c>
      <c r="C163" s="13" t="n">
        <v>16</v>
      </c>
      <c r="D163" s="13" t="s">
        <v>414</v>
      </c>
      <c r="E163" s="14" t="n">
        <v>675</v>
      </c>
      <c r="F163" s="14" t="n">
        <v>674</v>
      </c>
      <c r="G163" s="15" t="n">
        <v>0.9985</v>
      </c>
    </row>
    <row r="164" customFormat="false" ht="15" hidden="false" customHeight="true" outlineLevel="0" collapsed="false">
      <c r="A164" s="13" t="n">
        <v>2025</v>
      </c>
      <c r="B164" s="13" t="s">
        <v>861</v>
      </c>
      <c r="C164" s="13" t="n">
        <v>17</v>
      </c>
      <c r="D164" s="13" t="s">
        <v>413</v>
      </c>
      <c r="E164" s="14" t="n">
        <v>152</v>
      </c>
      <c r="F164" s="14" t="n">
        <v>137</v>
      </c>
      <c r="G164" s="15" t="n">
        <v>0.9013</v>
      </c>
    </row>
    <row r="165" customFormat="false" ht="15" hidden="false" customHeight="true" outlineLevel="0" collapsed="false">
      <c r="A165" s="13" t="n">
        <v>2025</v>
      </c>
      <c r="B165" s="13" t="s">
        <v>861</v>
      </c>
      <c r="C165" s="13" t="n">
        <v>18</v>
      </c>
      <c r="D165" s="13" t="s">
        <v>162</v>
      </c>
      <c r="E165" s="14" t="n">
        <v>1897</v>
      </c>
      <c r="F165" s="14" t="n">
        <v>1752</v>
      </c>
      <c r="G165" s="15" t="n">
        <v>0.9236</v>
      </c>
    </row>
    <row r="166" customFormat="false" ht="15" hidden="false" customHeight="true" outlineLevel="0" collapsed="false">
      <c r="A166" s="13" t="n">
        <v>2025</v>
      </c>
      <c r="B166" s="13" t="s">
        <v>861</v>
      </c>
      <c r="C166" s="13" t="n">
        <v>19</v>
      </c>
      <c r="D166" s="13" t="s">
        <v>505</v>
      </c>
      <c r="E166" s="14" t="n">
        <v>37</v>
      </c>
      <c r="F166" s="14" t="n">
        <v>31</v>
      </c>
      <c r="G166" s="15" t="n">
        <v>0.8378</v>
      </c>
    </row>
    <row r="167" customFormat="false" ht="15" hidden="false" customHeight="true" outlineLevel="0" collapsed="false">
      <c r="A167" s="13" t="n">
        <v>2025</v>
      </c>
      <c r="B167" s="13" t="s">
        <v>861</v>
      </c>
      <c r="C167" s="13" t="n">
        <v>20</v>
      </c>
      <c r="D167" s="13" t="s">
        <v>426</v>
      </c>
      <c r="E167" s="14" t="n">
        <v>367</v>
      </c>
      <c r="F167" s="14" t="n">
        <v>347</v>
      </c>
      <c r="G167" s="15" t="n">
        <v>0.9455</v>
      </c>
    </row>
    <row r="168" customFormat="false" ht="15" hidden="false" customHeight="true" outlineLevel="0" collapsed="false">
      <c r="A168" s="13" t="n">
        <v>2025</v>
      </c>
      <c r="B168" s="13" t="s">
        <v>861</v>
      </c>
      <c r="C168" s="13" t="n">
        <v>21</v>
      </c>
      <c r="D168" s="13" t="s">
        <v>424</v>
      </c>
      <c r="E168" s="14" t="n">
        <v>427</v>
      </c>
      <c r="F168" s="14" t="n">
        <v>395</v>
      </c>
      <c r="G168" s="15" t="n">
        <v>0.9251</v>
      </c>
    </row>
    <row r="169" customFormat="false" ht="15" hidden="false" customHeight="true" outlineLevel="0" collapsed="false">
      <c r="A169" s="13" t="n">
        <v>2025</v>
      </c>
      <c r="B169" s="13" t="s">
        <v>861</v>
      </c>
      <c r="C169" s="13" t="n">
        <v>22</v>
      </c>
      <c r="D169" s="13" t="s">
        <v>171</v>
      </c>
      <c r="E169" s="14" t="n">
        <v>257</v>
      </c>
      <c r="F169" s="14" t="n">
        <v>219</v>
      </c>
      <c r="G169" s="15" t="n">
        <v>0.8521</v>
      </c>
    </row>
    <row r="170" customFormat="false" ht="15" hidden="false" customHeight="true" outlineLevel="0" collapsed="false">
      <c r="A170" s="13" t="n">
        <v>2025</v>
      </c>
      <c r="B170" s="13" t="s">
        <v>861</v>
      </c>
      <c r="C170" s="13" t="n">
        <v>23</v>
      </c>
      <c r="D170" s="13" t="s">
        <v>748</v>
      </c>
      <c r="E170" s="14" t="n">
        <v>17</v>
      </c>
      <c r="F170" s="14" t="n">
        <v>17</v>
      </c>
      <c r="G170" s="15" t="n">
        <v>1</v>
      </c>
    </row>
    <row r="171" customFormat="false" ht="15" hidden="false" customHeight="true" outlineLevel="0" collapsed="false">
      <c r="A171" s="13" t="n">
        <v>2025</v>
      </c>
      <c r="B171" s="13" t="s">
        <v>861</v>
      </c>
      <c r="C171" s="13" t="n">
        <v>24</v>
      </c>
      <c r="D171" s="13" t="s">
        <v>856</v>
      </c>
      <c r="E171" s="14" t="n">
        <v>3762</v>
      </c>
      <c r="F171" s="14" t="n">
        <v>3674</v>
      </c>
      <c r="G171" s="15" t="n">
        <v>0.9766</v>
      </c>
    </row>
    <row r="172" customFormat="false" ht="15" hidden="false" customHeight="true" outlineLevel="0" collapsed="false">
      <c r="A172" s="13" t="n">
        <v>2025</v>
      </c>
      <c r="B172" s="13" t="s">
        <v>861</v>
      </c>
      <c r="C172" s="13" t="n">
        <v>25</v>
      </c>
      <c r="D172" s="13" t="s">
        <v>150</v>
      </c>
      <c r="E172" s="14" t="n">
        <v>12098</v>
      </c>
      <c r="F172" s="14" t="n">
        <v>9649</v>
      </c>
      <c r="G172" s="15" t="n">
        <v>0.7976</v>
      </c>
    </row>
    <row r="173" customFormat="false" ht="15" hidden="false" customHeight="true" outlineLevel="0" collapsed="false">
      <c r="A173" s="13" t="n">
        <v>2025</v>
      </c>
      <c r="B173" s="13" t="s">
        <v>861</v>
      </c>
      <c r="C173" s="13" t="n">
        <v>26</v>
      </c>
      <c r="D173" s="13" t="s">
        <v>427</v>
      </c>
      <c r="E173" s="14" t="n">
        <v>4003</v>
      </c>
      <c r="F173" s="14" t="n">
        <v>3780</v>
      </c>
      <c r="G173" s="15" t="n">
        <v>0.9443</v>
      </c>
    </row>
    <row r="174" customFormat="false" ht="15" hidden="false" customHeight="true" outlineLevel="0" collapsed="false">
      <c r="A174" s="13" t="n">
        <v>2025</v>
      </c>
      <c r="B174" s="13" t="s">
        <v>861</v>
      </c>
      <c r="C174" s="13" t="n">
        <v>27</v>
      </c>
      <c r="D174" s="13" t="s">
        <v>167</v>
      </c>
      <c r="E174" s="14" t="n">
        <v>10149</v>
      </c>
      <c r="F174" s="14" t="n">
        <v>8358</v>
      </c>
      <c r="G174" s="15" t="n">
        <v>0.8235</v>
      </c>
    </row>
    <row r="175" customFormat="false" ht="15" hidden="false" customHeight="true" outlineLevel="0" collapsed="false">
      <c r="A175" s="13" t="n">
        <v>2025</v>
      </c>
      <c r="B175" s="13" t="s">
        <v>861</v>
      </c>
      <c r="C175" s="13" t="n">
        <v>28</v>
      </c>
      <c r="D175" s="13" t="s">
        <v>165</v>
      </c>
      <c r="E175" s="14" t="n">
        <v>29487</v>
      </c>
      <c r="F175" s="14" t="n">
        <v>22710</v>
      </c>
      <c r="G175" s="15" t="n">
        <v>0.7702</v>
      </c>
    </row>
    <row r="176" customFormat="false" ht="15" hidden="false" customHeight="true" outlineLevel="0" collapsed="false">
      <c r="A176" s="13" t="n">
        <v>2025</v>
      </c>
      <c r="B176" s="13" t="s">
        <v>861</v>
      </c>
      <c r="C176" s="13" t="n">
        <v>29</v>
      </c>
      <c r="D176" s="13" t="s">
        <v>166</v>
      </c>
      <c r="E176" s="14" t="n">
        <v>13321</v>
      </c>
      <c r="F176" s="14" t="n">
        <v>10817</v>
      </c>
      <c r="G176" s="15" t="n">
        <v>0.812</v>
      </c>
    </row>
    <row r="177" customFormat="false" ht="15" hidden="false" customHeight="true" outlineLevel="0" collapsed="false">
      <c r="A177" s="13" t="n">
        <v>2025</v>
      </c>
      <c r="B177" s="13" t="s">
        <v>861</v>
      </c>
      <c r="C177" s="13" t="n">
        <v>30</v>
      </c>
      <c r="D177" s="13" t="s">
        <v>857</v>
      </c>
      <c r="E177" s="14" t="n">
        <v>391</v>
      </c>
      <c r="F177" s="14" t="n">
        <v>364</v>
      </c>
      <c r="G177" s="15" t="n">
        <v>0.9309</v>
      </c>
    </row>
    <row r="178" customFormat="false" ht="15" hidden="false" customHeight="true" outlineLevel="0" collapsed="false">
      <c r="A178" s="13" t="n">
        <v>2025</v>
      </c>
      <c r="B178" s="13" t="s">
        <v>861</v>
      </c>
      <c r="C178" s="13" t="n">
        <v>31</v>
      </c>
      <c r="D178" s="13" t="s">
        <v>477</v>
      </c>
      <c r="E178" s="14" t="n">
        <v>2354</v>
      </c>
      <c r="F178" s="14" t="n">
        <v>1855</v>
      </c>
      <c r="G178" s="15" t="n">
        <v>0.788</v>
      </c>
    </row>
    <row r="179" customFormat="false" ht="15" hidden="false" customHeight="true" outlineLevel="0" collapsed="false">
      <c r="A179" s="13" t="n">
        <v>2025</v>
      </c>
      <c r="B179" s="13" t="s">
        <v>861</v>
      </c>
      <c r="C179" s="13" t="n">
        <v>32</v>
      </c>
      <c r="D179" s="13" t="s">
        <v>170</v>
      </c>
      <c r="E179" s="14" t="n">
        <v>21743</v>
      </c>
      <c r="F179" s="14" t="n">
        <v>17930</v>
      </c>
      <c r="G179" s="15" t="n">
        <v>0.8246</v>
      </c>
    </row>
    <row r="180" customFormat="false" ht="15" hidden="false" customHeight="true" outlineLevel="0" collapsed="false">
      <c r="A180" s="13" t="n">
        <v>2025</v>
      </c>
      <c r="B180" s="13" t="s">
        <v>861</v>
      </c>
      <c r="C180" s="13" t="n">
        <v>33</v>
      </c>
      <c r="D180" s="13" t="s">
        <v>149</v>
      </c>
      <c r="E180" s="14" t="n">
        <v>49357</v>
      </c>
      <c r="F180" s="14" t="n">
        <v>47602</v>
      </c>
      <c r="G180" s="15" t="n">
        <v>0.9644</v>
      </c>
    </row>
    <row r="181" customFormat="false" ht="15" hidden="false" customHeight="true" outlineLevel="0" collapsed="false">
      <c r="A181" s="13" t="n">
        <v>2025</v>
      </c>
      <c r="B181" s="13" t="s">
        <v>861</v>
      </c>
      <c r="C181" s="13" t="n">
        <v>34</v>
      </c>
      <c r="D181" s="13" t="s">
        <v>858</v>
      </c>
      <c r="E181" s="14" t="n">
        <v>2335</v>
      </c>
      <c r="F181" s="14" t="n">
        <v>2148</v>
      </c>
      <c r="G181" s="15" t="n">
        <v>0.9199</v>
      </c>
    </row>
    <row r="182" customFormat="false" ht="15" hidden="false" customHeight="true" outlineLevel="0" collapsed="false">
      <c r="A182" s="13" t="n">
        <v>2025</v>
      </c>
      <c r="B182" s="13" t="s">
        <v>861</v>
      </c>
      <c r="C182" s="13" t="n">
        <v>35</v>
      </c>
      <c r="D182" s="13" t="s">
        <v>859</v>
      </c>
      <c r="E182" s="14" t="n">
        <v>2360</v>
      </c>
      <c r="F182" s="14" t="n">
        <v>2003</v>
      </c>
      <c r="G182" s="15" t="n">
        <v>0.8487</v>
      </c>
    </row>
    <row r="183" customFormat="false" ht="15" hidden="false" customHeight="true" outlineLevel="0" collapsed="false">
      <c r="A183" s="13" t="n">
        <v>2025</v>
      </c>
      <c r="B183" s="13" t="s">
        <v>861</v>
      </c>
      <c r="C183" s="13" t="n">
        <v>36</v>
      </c>
      <c r="D183" s="13" t="s">
        <v>860</v>
      </c>
      <c r="E183" s="14" t="n">
        <v>2389</v>
      </c>
      <c r="F183" s="14" t="n">
        <v>1941</v>
      </c>
      <c r="G183" s="15" t="n">
        <v>0.8125</v>
      </c>
    </row>
    <row r="184" customFormat="false" ht="15" hidden="false" customHeight="true" outlineLevel="0" collapsed="false">
      <c r="A184" s="13" t="n">
        <v>2025</v>
      </c>
      <c r="B184" s="13" t="s">
        <v>195</v>
      </c>
      <c r="C184" s="13" t="n">
        <v>1</v>
      </c>
      <c r="D184" s="13" t="s">
        <v>142</v>
      </c>
      <c r="E184" s="14" t="n">
        <v>58846</v>
      </c>
      <c r="F184" s="14" t="n">
        <v>43060</v>
      </c>
      <c r="G184" s="15" t="n">
        <v>0.7317</v>
      </c>
    </row>
    <row r="185" customFormat="false" ht="15" hidden="false" customHeight="true" outlineLevel="0" collapsed="false">
      <c r="A185" s="13" t="n">
        <v>2025</v>
      </c>
      <c r="B185" s="13" t="s">
        <v>195</v>
      </c>
      <c r="C185" s="13" t="n">
        <v>2</v>
      </c>
      <c r="D185" s="13" t="s">
        <v>410</v>
      </c>
      <c r="E185" s="14" t="n">
        <v>58845</v>
      </c>
      <c r="F185" s="14" t="n">
        <v>55438</v>
      </c>
      <c r="G185" s="15" t="n">
        <v>0.9421</v>
      </c>
    </row>
    <row r="186" customFormat="false" ht="15" hidden="false" customHeight="true" outlineLevel="0" collapsed="false">
      <c r="A186" s="13" t="n">
        <v>2025</v>
      </c>
      <c r="B186" s="13" t="s">
        <v>195</v>
      </c>
      <c r="C186" s="13" t="n">
        <v>3</v>
      </c>
      <c r="D186" s="13" t="s">
        <v>852</v>
      </c>
      <c r="E186" s="14" t="n">
        <v>7</v>
      </c>
      <c r="F186" s="14" t="n">
        <v>7</v>
      </c>
      <c r="G186" s="15" t="n">
        <v>1</v>
      </c>
    </row>
    <row r="187" customFormat="false" ht="15" hidden="false" customHeight="true" outlineLevel="0" collapsed="false">
      <c r="A187" s="13" t="n">
        <v>2025</v>
      </c>
      <c r="B187" s="13" t="s">
        <v>195</v>
      </c>
      <c r="C187" s="13" t="n">
        <v>4</v>
      </c>
      <c r="D187" s="13" t="s">
        <v>853</v>
      </c>
      <c r="E187" s="14" t="n">
        <v>57638</v>
      </c>
      <c r="F187" s="14" t="n">
        <v>55771</v>
      </c>
      <c r="G187" s="15" t="n">
        <v>0.9676</v>
      </c>
    </row>
    <row r="188" customFormat="false" ht="15" hidden="false" customHeight="true" outlineLevel="0" collapsed="false">
      <c r="A188" s="13" t="n">
        <v>2025</v>
      </c>
      <c r="B188" s="13" t="s">
        <v>195</v>
      </c>
      <c r="C188" s="13" t="n">
        <v>5</v>
      </c>
      <c r="D188" s="13" t="s">
        <v>145</v>
      </c>
      <c r="E188" s="14" t="n">
        <v>1</v>
      </c>
      <c r="F188" s="14" t="n">
        <v>1</v>
      </c>
      <c r="G188" s="15" t="n">
        <v>1</v>
      </c>
    </row>
    <row r="189" customFormat="false" ht="15" hidden="false" customHeight="true" outlineLevel="0" collapsed="false">
      <c r="A189" s="13" t="n">
        <v>2025</v>
      </c>
      <c r="B189" s="13" t="s">
        <v>195</v>
      </c>
      <c r="C189" s="13" t="n">
        <v>6</v>
      </c>
      <c r="D189" s="13" t="s">
        <v>854</v>
      </c>
      <c r="E189" s="14" t="n">
        <v>2896</v>
      </c>
      <c r="F189" s="14" t="n">
        <v>1988</v>
      </c>
      <c r="G189" s="15" t="n">
        <v>0.6865</v>
      </c>
    </row>
    <row r="190" customFormat="false" ht="15" hidden="false" customHeight="true" outlineLevel="0" collapsed="false">
      <c r="A190" s="13" t="n">
        <v>2025</v>
      </c>
      <c r="B190" s="13" t="s">
        <v>195</v>
      </c>
      <c r="C190" s="13" t="n">
        <v>7</v>
      </c>
      <c r="D190" s="13" t="s">
        <v>159</v>
      </c>
      <c r="E190" s="14" t="n">
        <v>298</v>
      </c>
      <c r="F190" s="14" t="n">
        <v>289</v>
      </c>
      <c r="G190" s="15" t="n">
        <v>0.9698</v>
      </c>
    </row>
    <row r="191" customFormat="false" ht="15" hidden="false" customHeight="true" outlineLevel="0" collapsed="false">
      <c r="A191" s="13" t="n">
        <v>2025</v>
      </c>
      <c r="B191" s="13" t="s">
        <v>195</v>
      </c>
      <c r="C191" s="13" t="n">
        <v>8</v>
      </c>
      <c r="D191" s="13" t="s">
        <v>152</v>
      </c>
      <c r="E191" s="14" t="n">
        <v>5122</v>
      </c>
      <c r="F191" s="14" t="n">
        <v>4249</v>
      </c>
      <c r="G191" s="15" t="n">
        <v>0.8296</v>
      </c>
    </row>
    <row r="192" customFormat="false" ht="15" hidden="false" customHeight="true" outlineLevel="0" collapsed="false">
      <c r="A192" s="13" t="n">
        <v>2025</v>
      </c>
      <c r="B192" s="13" t="s">
        <v>195</v>
      </c>
      <c r="C192" s="13" t="n">
        <v>9</v>
      </c>
      <c r="D192" s="13" t="s">
        <v>161</v>
      </c>
      <c r="E192" s="14" t="n">
        <v>1013</v>
      </c>
      <c r="F192" s="14" t="n">
        <v>995</v>
      </c>
      <c r="G192" s="15" t="n">
        <v>0.9822</v>
      </c>
    </row>
    <row r="193" customFormat="false" ht="15" hidden="false" customHeight="true" outlineLevel="0" collapsed="false">
      <c r="A193" s="13" t="n">
        <v>2025</v>
      </c>
      <c r="B193" s="13" t="s">
        <v>195</v>
      </c>
      <c r="C193" s="13" t="n">
        <v>10</v>
      </c>
      <c r="D193" s="13" t="s">
        <v>702</v>
      </c>
      <c r="E193" s="14" t="n">
        <v>7</v>
      </c>
      <c r="F193" s="14" t="n">
        <v>7</v>
      </c>
      <c r="G193" s="15" t="n">
        <v>1</v>
      </c>
    </row>
    <row r="194" customFormat="false" ht="15" hidden="false" customHeight="true" outlineLevel="0" collapsed="false">
      <c r="A194" s="13" t="n">
        <v>2025</v>
      </c>
      <c r="B194" s="13" t="s">
        <v>195</v>
      </c>
      <c r="C194" s="13" t="n">
        <v>11</v>
      </c>
      <c r="D194" s="13" t="s">
        <v>425</v>
      </c>
      <c r="E194" s="14" t="n">
        <v>345</v>
      </c>
      <c r="F194" s="14" t="n">
        <v>331</v>
      </c>
      <c r="G194" s="15" t="n">
        <v>0.9594</v>
      </c>
    </row>
    <row r="195" customFormat="false" ht="15" hidden="false" customHeight="true" outlineLevel="0" collapsed="false">
      <c r="A195" s="13" t="n">
        <v>2025</v>
      </c>
      <c r="B195" s="13" t="s">
        <v>195</v>
      </c>
      <c r="C195" s="13" t="n">
        <v>12</v>
      </c>
      <c r="D195" s="13" t="s">
        <v>153</v>
      </c>
      <c r="E195" s="14" t="n">
        <v>2204</v>
      </c>
      <c r="F195" s="14" t="n">
        <v>2009</v>
      </c>
      <c r="G195" s="15" t="n">
        <v>0.9115</v>
      </c>
    </row>
    <row r="196" customFormat="false" ht="15" hidden="false" customHeight="true" outlineLevel="0" collapsed="false">
      <c r="A196" s="13" t="n">
        <v>2025</v>
      </c>
      <c r="B196" s="13" t="s">
        <v>195</v>
      </c>
      <c r="C196" s="13" t="n">
        <v>13</v>
      </c>
      <c r="D196" s="13" t="s">
        <v>154</v>
      </c>
      <c r="E196" s="14" t="n">
        <v>6709</v>
      </c>
      <c r="F196" s="14" t="n">
        <v>5148</v>
      </c>
      <c r="G196" s="15" t="n">
        <v>0.7673</v>
      </c>
    </row>
    <row r="197" customFormat="false" ht="15" hidden="false" customHeight="true" outlineLevel="0" collapsed="false">
      <c r="A197" s="13" t="n">
        <v>2025</v>
      </c>
      <c r="B197" s="13" t="s">
        <v>195</v>
      </c>
      <c r="C197" s="13" t="n">
        <v>14</v>
      </c>
      <c r="D197" s="13" t="s">
        <v>155</v>
      </c>
      <c r="E197" s="14" t="n">
        <v>2102</v>
      </c>
      <c r="F197" s="14" t="n">
        <v>1676</v>
      </c>
      <c r="G197" s="15" t="n">
        <v>0.7973</v>
      </c>
    </row>
    <row r="198" customFormat="false" ht="15" hidden="false" customHeight="true" outlineLevel="0" collapsed="false">
      <c r="A198" s="13" t="n">
        <v>2025</v>
      </c>
      <c r="B198" s="13" t="s">
        <v>195</v>
      </c>
      <c r="C198" s="13" t="n">
        <v>15</v>
      </c>
      <c r="D198" s="13" t="s">
        <v>156</v>
      </c>
      <c r="E198" s="14" t="n">
        <v>24606</v>
      </c>
      <c r="F198" s="14" t="n">
        <v>14465</v>
      </c>
      <c r="G198" s="15" t="n">
        <v>0.5879</v>
      </c>
    </row>
    <row r="199" customFormat="false" ht="15" hidden="false" customHeight="true" outlineLevel="0" collapsed="false">
      <c r="A199" s="13" t="n">
        <v>2025</v>
      </c>
      <c r="B199" s="13" t="s">
        <v>195</v>
      </c>
      <c r="C199" s="13" t="n">
        <v>16</v>
      </c>
      <c r="D199" s="13" t="s">
        <v>855</v>
      </c>
      <c r="E199" s="14" t="n">
        <v>13174</v>
      </c>
      <c r="F199" s="14" t="n">
        <v>11563</v>
      </c>
      <c r="G199" s="15" t="n">
        <v>0.8777</v>
      </c>
    </row>
    <row r="200" customFormat="false" ht="15" hidden="false" customHeight="true" outlineLevel="0" collapsed="false">
      <c r="A200" s="13" t="n">
        <v>2025</v>
      </c>
      <c r="B200" s="13" t="s">
        <v>195</v>
      </c>
      <c r="C200" s="13" t="n">
        <v>17</v>
      </c>
      <c r="D200" s="13" t="s">
        <v>414</v>
      </c>
      <c r="E200" s="14" t="n">
        <v>763</v>
      </c>
      <c r="F200" s="14" t="n">
        <v>750</v>
      </c>
      <c r="G200" s="15" t="n">
        <v>0.983</v>
      </c>
    </row>
    <row r="201" customFormat="false" ht="15" hidden="false" customHeight="true" outlineLevel="0" collapsed="false">
      <c r="A201" s="13" t="n">
        <v>2025</v>
      </c>
      <c r="B201" s="13" t="s">
        <v>195</v>
      </c>
      <c r="C201" s="13" t="n">
        <v>18</v>
      </c>
      <c r="D201" s="13" t="s">
        <v>413</v>
      </c>
      <c r="E201" s="14" t="n">
        <v>160</v>
      </c>
      <c r="F201" s="14" t="n">
        <v>143</v>
      </c>
      <c r="G201" s="15" t="n">
        <v>0.8938</v>
      </c>
    </row>
    <row r="202" customFormat="false" ht="15" hidden="false" customHeight="true" outlineLevel="0" collapsed="false">
      <c r="A202" s="13" t="n">
        <v>2025</v>
      </c>
      <c r="B202" s="13" t="s">
        <v>195</v>
      </c>
      <c r="C202" s="13" t="n">
        <v>19</v>
      </c>
      <c r="D202" s="13" t="s">
        <v>162</v>
      </c>
      <c r="E202" s="14" t="n">
        <v>2209</v>
      </c>
      <c r="F202" s="14" t="n">
        <v>2055</v>
      </c>
      <c r="G202" s="15" t="n">
        <v>0.9303</v>
      </c>
    </row>
    <row r="203" customFormat="false" ht="15" hidden="false" customHeight="true" outlineLevel="0" collapsed="false">
      <c r="A203" s="13" t="n">
        <v>2025</v>
      </c>
      <c r="B203" s="13" t="s">
        <v>195</v>
      </c>
      <c r="C203" s="13" t="n">
        <v>20</v>
      </c>
      <c r="D203" s="13" t="s">
        <v>505</v>
      </c>
      <c r="E203" s="14" t="n">
        <v>45</v>
      </c>
      <c r="F203" s="14" t="n">
        <v>37</v>
      </c>
      <c r="G203" s="15" t="n">
        <v>0.8222</v>
      </c>
    </row>
    <row r="204" customFormat="false" ht="15" hidden="false" customHeight="true" outlineLevel="0" collapsed="false">
      <c r="A204" s="13" t="n">
        <v>2025</v>
      </c>
      <c r="B204" s="13" t="s">
        <v>195</v>
      </c>
      <c r="C204" s="13" t="n">
        <v>21</v>
      </c>
      <c r="D204" s="13" t="s">
        <v>426</v>
      </c>
      <c r="E204" s="14" t="n">
        <v>439</v>
      </c>
      <c r="F204" s="14" t="n">
        <v>414</v>
      </c>
      <c r="G204" s="15" t="n">
        <v>0.9431</v>
      </c>
    </row>
    <row r="205" customFormat="false" ht="15" hidden="false" customHeight="true" outlineLevel="0" collapsed="false">
      <c r="A205" s="13" t="n">
        <v>2025</v>
      </c>
      <c r="B205" s="13" t="s">
        <v>195</v>
      </c>
      <c r="C205" s="13" t="n">
        <v>22</v>
      </c>
      <c r="D205" s="13" t="s">
        <v>424</v>
      </c>
      <c r="E205" s="14" t="n">
        <v>490</v>
      </c>
      <c r="F205" s="14" t="n">
        <v>455</v>
      </c>
      <c r="G205" s="15" t="n">
        <v>0.9286</v>
      </c>
    </row>
    <row r="206" customFormat="false" ht="15" hidden="false" customHeight="true" outlineLevel="0" collapsed="false">
      <c r="A206" s="13" t="n">
        <v>2025</v>
      </c>
      <c r="B206" s="13" t="s">
        <v>195</v>
      </c>
      <c r="C206" s="13" t="n">
        <v>23</v>
      </c>
      <c r="D206" s="13" t="s">
        <v>171</v>
      </c>
      <c r="E206" s="14" t="n">
        <v>272</v>
      </c>
      <c r="F206" s="14" t="n">
        <v>230</v>
      </c>
      <c r="G206" s="15" t="n">
        <v>0.8456</v>
      </c>
    </row>
    <row r="207" customFormat="false" ht="15" hidden="false" customHeight="true" outlineLevel="0" collapsed="false">
      <c r="A207" s="13" t="n">
        <v>2025</v>
      </c>
      <c r="B207" s="13" t="s">
        <v>195</v>
      </c>
      <c r="C207" s="13" t="n">
        <v>24</v>
      </c>
      <c r="D207" s="13" t="s">
        <v>748</v>
      </c>
      <c r="E207" s="14" t="n">
        <v>18</v>
      </c>
      <c r="F207" s="14" t="n">
        <v>18</v>
      </c>
      <c r="G207" s="15" t="n">
        <v>1</v>
      </c>
    </row>
    <row r="208" customFormat="false" ht="15" hidden="false" customHeight="true" outlineLevel="0" collapsed="false">
      <c r="A208" s="13" t="n">
        <v>2025</v>
      </c>
      <c r="B208" s="13" t="s">
        <v>195</v>
      </c>
      <c r="C208" s="13" t="n">
        <v>25</v>
      </c>
      <c r="D208" s="13" t="s">
        <v>856</v>
      </c>
      <c r="E208" s="14" t="n">
        <v>4373</v>
      </c>
      <c r="F208" s="14" t="n">
        <v>4214</v>
      </c>
      <c r="G208" s="15" t="n">
        <v>0.9636</v>
      </c>
    </row>
    <row r="209" customFormat="false" ht="15" hidden="false" customHeight="true" outlineLevel="0" collapsed="false">
      <c r="A209" s="13" t="n">
        <v>2025</v>
      </c>
      <c r="B209" s="13" t="s">
        <v>195</v>
      </c>
      <c r="C209" s="13" t="n">
        <v>26</v>
      </c>
      <c r="D209" s="13" t="s">
        <v>150</v>
      </c>
      <c r="E209" s="14" t="n">
        <v>13371</v>
      </c>
      <c r="F209" s="14" t="n">
        <v>10600</v>
      </c>
      <c r="G209" s="15" t="n">
        <v>0.7928</v>
      </c>
    </row>
    <row r="210" customFormat="false" ht="15" hidden="false" customHeight="true" outlineLevel="0" collapsed="false">
      <c r="A210" s="13" t="n">
        <v>2025</v>
      </c>
      <c r="B210" s="13" t="s">
        <v>195</v>
      </c>
      <c r="C210" s="13" t="n">
        <v>27</v>
      </c>
      <c r="D210" s="13" t="s">
        <v>427</v>
      </c>
      <c r="E210" s="14" t="n">
        <v>4579</v>
      </c>
      <c r="F210" s="14" t="n">
        <v>4254</v>
      </c>
      <c r="G210" s="15" t="n">
        <v>0.929</v>
      </c>
    </row>
    <row r="211" customFormat="false" ht="15" hidden="false" customHeight="true" outlineLevel="0" collapsed="false">
      <c r="A211" s="13" t="n">
        <v>2025</v>
      </c>
      <c r="B211" s="13" t="s">
        <v>195</v>
      </c>
      <c r="C211" s="13" t="n">
        <v>28</v>
      </c>
      <c r="D211" s="13" t="s">
        <v>167</v>
      </c>
      <c r="E211" s="14" t="n">
        <v>11248</v>
      </c>
      <c r="F211" s="14" t="n">
        <v>9095</v>
      </c>
      <c r="G211" s="15" t="n">
        <v>0.8086</v>
      </c>
    </row>
    <row r="212" customFormat="false" ht="15" hidden="false" customHeight="true" outlineLevel="0" collapsed="false">
      <c r="A212" s="13" t="n">
        <v>2025</v>
      </c>
      <c r="B212" s="13" t="s">
        <v>195</v>
      </c>
      <c r="C212" s="13" t="n">
        <v>29</v>
      </c>
      <c r="D212" s="13" t="s">
        <v>165</v>
      </c>
      <c r="E212" s="14" t="n">
        <v>32263</v>
      </c>
      <c r="F212" s="14" t="n">
        <v>24250</v>
      </c>
      <c r="G212" s="15" t="n">
        <v>0.7516</v>
      </c>
    </row>
    <row r="213" customFormat="false" ht="15" hidden="false" customHeight="true" outlineLevel="0" collapsed="false">
      <c r="A213" s="13" t="n">
        <v>2025</v>
      </c>
      <c r="B213" s="13" t="s">
        <v>195</v>
      </c>
      <c r="C213" s="13" t="n">
        <v>30</v>
      </c>
      <c r="D213" s="13" t="s">
        <v>166</v>
      </c>
      <c r="E213" s="14" t="n">
        <v>14501</v>
      </c>
      <c r="F213" s="14" t="n">
        <v>11276</v>
      </c>
      <c r="G213" s="15" t="n">
        <v>0.7776</v>
      </c>
    </row>
    <row r="214" customFormat="false" ht="15" hidden="false" customHeight="true" outlineLevel="0" collapsed="false">
      <c r="A214" s="13" t="n">
        <v>2025</v>
      </c>
      <c r="B214" s="13" t="s">
        <v>195</v>
      </c>
      <c r="C214" s="13" t="n">
        <v>31</v>
      </c>
      <c r="D214" s="13" t="s">
        <v>857</v>
      </c>
      <c r="E214" s="14" t="n">
        <v>472</v>
      </c>
      <c r="F214" s="14" t="n">
        <v>444</v>
      </c>
      <c r="G214" s="15" t="n">
        <v>0.9407</v>
      </c>
    </row>
    <row r="215" customFormat="false" ht="15" hidden="false" customHeight="true" outlineLevel="0" collapsed="false">
      <c r="A215" s="13" t="n">
        <v>2025</v>
      </c>
      <c r="B215" s="13" t="s">
        <v>195</v>
      </c>
      <c r="C215" s="13" t="n">
        <v>32</v>
      </c>
      <c r="D215" s="13" t="s">
        <v>531</v>
      </c>
      <c r="E215" s="14" t="n">
        <v>472</v>
      </c>
      <c r="F215" s="14" t="n">
        <v>461</v>
      </c>
      <c r="G215" s="15" t="n">
        <v>0.9767</v>
      </c>
    </row>
    <row r="216" customFormat="false" ht="15" hidden="false" customHeight="true" outlineLevel="0" collapsed="false">
      <c r="A216" s="13" t="n">
        <v>2025</v>
      </c>
      <c r="B216" s="13" t="s">
        <v>195</v>
      </c>
      <c r="C216" s="13" t="n">
        <v>33</v>
      </c>
      <c r="D216" s="13" t="s">
        <v>477</v>
      </c>
      <c r="E216" s="14" t="n">
        <v>2635</v>
      </c>
      <c r="F216" s="14" t="n">
        <v>2099</v>
      </c>
      <c r="G216" s="15" t="n">
        <v>0.7966</v>
      </c>
    </row>
    <row r="217" customFormat="false" ht="15" hidden="false" customHeight="true" outlineLevel="0" collapsed="false">
      <c r="A217" s="13" t="n">
        <v>2025</v>
      </c>
      <c r="B217" s="13" t="s">
        <v>195</v>
      </c>
      <c r="C217" s="13" t="n">
        <v>34</v>
      </c>
      <c r="D217" s="13" t="s">
        <v>170</v>
      </c>
      <c r="E217" s="14" t="n">
        <v>25484</v>
      </c>
      <c r="F217" s="14" t="n">
        <v>21211</v>
      </c>
      <c r="G217" s="15" t="n">
        <v>0.8323</v>
      </c>
    </row>
    <row r="218" customFormat="false" ht="15" hidden="false" customHeight="true" outlineLevel="0" collapsed="false">
      <c r="A218" s="13" t="n">
        <v>2025</v>
      </c>
      <c r="B218" s="13" t="s">
        <v>195</v>
      </c>
      <c r="C218" s="13" t="n">
        <v>35</v>
      </c>
      <c r="D218" s="13" t="s">
        <v>149</v>
      </c>
      <c r="E218" s="14" t="n">
        <v>58831</v>
      </c>
      <c r="F218" s="14" t="n">
        <v>57058</v>
      </c>
      <c r="G218" s="15" t="n">
        <v>0.9699</v>
      </c>
    </row>
    <row r="219" customFormat="false" ht="15" hidden="false" customHeight="true" outlineLevel="0" collapsed="false">
      <c r="A219" s="13" t="n">
        <v>2025</v>
      </c>
      <c r="B219" s="13" t="s">
        <v>195</v>
      </c>
      <c r="C219" s="13" t="n">
        <v>36</v>
      </c>
      <c r="D219" s="13" t="s">
        <v>265</v>
      </c>
      <c r="E219" s="14" t="n">
        <v>58358</v>
      </c>
      <c r="F219" s="14" t="n">
        <v>57709</v>
      </c>
      <c r="G219" s="15" t="n">
        <v>0.9889</v>
      </c>
    </row>
    <row r="220" customFormat="false" ht="15" hidden="false" customHeight="true" outlineLevel="0" collapsed="false">
      <c r="A220" s="13" t="n">
        <v>2025</v>
      </c>
      <c r="B220" s="13" t="s">
        <v>195</v>
      </c>
      <c r="C220" s="13" t="n">
        <v>37</v>
      </c>
      <c r="D220" s="13" t="s">
        <v>587</v>
      </c>
      <c r="E220" s="14" t="n">
        <v>1</v>
      </c>
      <c r="F220" s="14" t="n">
        <v>1</v>
      </c>
      <c r="G220" s="15" t="n">
        <v>1</v>
      </c>
    </row>
    <row r="221" customFormat="false" ht="15" hidden="false" customHeight="true" outlineLevel="0" collapsed="false">
      <c r="A221" s="13" t="n">
        <v>2025</v>
      </c>
      <c r="B221" s="13" t="s">
        <v>195</v>
      </c>
      <c r="C221" s="13" t="n">
        <v>38</v>
      </c>
      <c r="D221" s="13" t="s">
        <v>858</v>
      </c>
      <c r="E221" s="14" t="n">
        <v>2635</v>
      </c>
      <c r="F221" s="14" t="n">
        <v>2163</v>
      </c>
      <c r="G221" s="15" t="n">
        <v>0.8209</v>
      </c>
    </row>
    <row r="222" customFormat="false" ht="15" hidden="false" customHeight="true" outlineLevel="0" collapsed="false">
      <c r="A222" s="13" t="n">
        <v>2025</v>
      </c>
      <c r="B222" s="13" t="s">
        <v>195</v>
      </c>
      <c r="C222" s="13" t="n">
        <v>39</v>
      </c>
      <c r="D222" s="13" t="s">
        <v>859</v>
      </c>
      <c r="E222" s="14" t="n">
        <v>2635</v>
      </c>
      <c r="F222" s="14" t="n">
        <v>2248</v>
      </c>
      <c r="G222" s="15" t="n">
        <v>0.8531</v>
      </c>
    </row>
    <row r="223" customFormat="false" ht="15" hidden="false" customHeight="true" outlineLevel="0" collapsed="false">
      <c r="A223" s="13" t="n">
        <v>2025</v>
      </c>
      <c r="B223" s="13" t="s">
        <v>195</v>
      </c>
      <c r="C223" s="13" t="n">
        <v>40</v>
      </c>
      <c r="D223" s="13" t="s">
        <v>860</v>
      </c>
      <c r="E223" s="14" t="n">
        <v>2635</v>
      </c>
      <c r="F223" s="14" t="n">
        <v>2173</v>
      </c>
      <c r="G223" s="15" t="n">
        <v>0.8247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6"/>
    <col collapsed="false" customWidth="true" hidden="false" outlineLevel="0" max="2" min="2" style="13" width="150"/>
  </cols>
  <sheetData>
    <row r="1" customFormat="false" ht="15" hidden="false" customHeight="true" outlineLevel="0" collapsed="false">
      <c r="A1" s="13" t="s">
        <v>186</v>
      </c>
      <c r="B1" s="13" t="s">
        <v>357</v>
      </c>
    </row>
    <row r="2" customFormat="false" ht="15" hidden="false" customHeight="true" outlineLevel="0" collapsed="false">
      <c r="A2" s="13" t="s">
        <v>862</v>
      </c>
      <c r="B2" s="13" t="s">
        <v>863</v>
      </c>
    </row>
    <row r="3" customFormat="false" ht="15" hidden="false" customHeight="true" outlineLevel="0" collapsed="false">
      <c r="A3" s="13" t="s">
        <v>864</v>
      </c>
      <c r="B3" s="13" t="s">
        <v>865</v>
      </c>
    </row>
    <row r="4" customFormat="false" ht="15" hidden="false" customHeight="true" outlineLevel="0" collapsed="false">
      <c r="A4" s="13" t="s">
        <v>866</v>
      </c>
      <c r="B4" s="13" t="s">
        <v>867</v>
      </c>
    </row>
    <row r="5" customFormat="false" ht="15" hidden="false" customHeight="true" outlineLevel="0" collapsed="false">
      <c r="A5" s="13" t="s">
        <v>868</v>
      </c>
      <c r="B5" s="13" t="s">
        <v>869</v>
      </c>
    </row>
    <row r="6" customFormat="false" ht="15" hidden="false" customHeight="true" outlineLevel="0" collapsed="false">
      <c r="A6" s="13" t="s">
        <v>870</v>
      </c>
      <c r="B6" s="13" t="s">
        <v>871</v>
      </c>
    </row>
    <row r="7" customFormat="false" ht="15" hidden="false" customHeight="true" outlineLevel="0" collapsed="false">
      <c r="A7" s="13" t="s">
        <v>872</v>
      </c>
      <c r="B7" s="13" t="s">
        <v>873</v>
      </c>
    </row>
    <row r="8" customFormat="false" ht="15" hidden="false" customHeight="true" outlineLevel="0" collapsed="false">
      <c r="A8" s="13" t="s">
        <v>874</v>
      </c>
      <c r="B8" s="13" t="s">
        <v>875</v>
      </c>
    </row>
    <row r="9" customFormat="false" ht="15" hidden="false" customHeight="true" outlineLevel="0" collapsed="false">
      <c r="A9" s="13" t="s">
        <v>876</v>
      </c>
      <c r="B9" s="13" t="s">
        <v>877</v>
      </c>
    </row>
    <row r="10" customFormat="false" ht="15" hidden="false" customHeight="true" outlineLevel="0" collapsed="false">
      <c r="A10" s="13" t="s">
        <v>878</v>
      </c>
      <c r="B10" s="13" t="s">
        <v>879</v>
      </c>
    </row>
    <row r="11" customFormat="false" ht="15" hidden="false" customHeight="true" outlineLevel="0" collapsed="false">
      <c r="A11" s="13" t="s">
        <v>880</v>
      </c>
      <c r="B11" s="13" t="s">
        <v>881</v>
      </c>
    </row>
    <row r="12" customFormat="false" ht="15" hidden="false" customHeight="true" outlineLevel="0" collapsed="false">
      <c r="A12" s="13" t="s">
        <v>882</v>
      </c>
      <c r="B12" s="13" t="s">
        <v>883</v>
      </c>
    </row>
    <row r="13" customFormat="false" ht="15" hidden="false" customHeight="true" outlineLevel="0" collapsed="false">
      <c r="A13" s="13" t="s">
        <v>884</v>
      </c>
      <c r="B13" s="13" t="s">
        <v>885</v>
      </c>
    </row>
    <row r="14" customFormat="false" ht="15" hidden="false" customHeight="true" outlineLevel="0" collapsed="false">
      <c r="A14" s="13" t="s">
        <v>886</v>
      </c>
      <c r="B14" s="13" t="s">
        <v>887</v>
      </c>
    </row>
    <row r="15" customFormat="false" ht="15" hidden="false" customHeight="true" outlineLevel="0" collapsed="false">
      <c r="A15" s="13" t="s">
        <v>888</v>
      </c>
      <c r="B15" s="13" t="s">
        <v>889</v>
      </c>
    </row>
    <row r="16" customFormat="false" ht="15" hidden="false" customHeight="true" outlineLevel="0" collapsed="false">
      <c r="A16" s="13" t="s">
        <v>890</v>
      </c>
      <c r="B16" s="13" t="s">
        <v>891</v>
      </c>
    </row>
    <row r="17" customFormat="false" ht="15" hidden="false" customHeight="true" outlineLevel="0" collapsed="false">
      <c r="A17" s="13" t="s">
        <v>892</v>
      </c>
      <c r="B17" s="13" t="s">
        <v>893</v>
      </c>
    </row>
    <row r="18" customFormat="false" ht="15" hidden="false" customHeight="true" outlineLevel="0" collapsed="false">
      <c r="A18" s="13" t="s">
        <v>894</v>
      </c>
      <c r="B18" s="13" t="s">
        <v>895</v>
      </c>
    </row>
    <row r="19" customFormat="false" ht="15" hidden="false" customHeight="true" outlineLevel="0" collapsed="false">
      <c r="A19" s="13" t="s">
        <v>896</v>
      </c>
      <c r="B19" s="13" t="s">
        <v>897</v>
      </c>
    </row>
    <row r="20" customFormat="false" ht="15" hidden="false" customHeight="true" outlineLevel="0" collapsed="false">
      <c r="A20" s="13" t="s">
        <v>898</v>
      </c>
      <c r="B20" s="13" t="s">
        <v>899</v>
      </c>
    </row>
    <row r="21" customFormat="false" ht="15" hidden="false" customHeight="true" outlineLevel="0" collapsed="false">
      <c r="A21" s="13" t="s">
        <v>900</v>
      </c>
      <c r="B21" s="13" t="s">
        <v>901</v>
      </c>
    </row>
    <row r="22" customFormat="false" ht="15" hidden="false" customHeight="true" outlineLevel="0" collapsed="false">
      <c r="A22" s="13" t="s">
        <v>902</v>
      </c>
      <c r="B22" s="13" t="s">
        <v>903</v>
      </c>
    </row>
    <row r="23" customFormat="false" ht="15" hidden="false" customHeight="true" outlineLevel="0" collapsed="false">
      <c r="A23" s="13" t="s">
        <v>904</v>
      </c>
      <c r="B23" s="13" t="s">
        <v>905</v>
      </c>
    </row>
    <row r="24" customFormat="false" ht="15" hidden="false" customHeight="true" outlineLevel="0" collapsed="false">
      <c r="A24" s="13" t="s">
        <v>906</v>
      </c>
      <c r="B24" s="13" t="s">
        <v>907</v>
      </c>
    </row>
    <row r="25" customFormat="false" ht="15" hidden="false" customHeight="true" outlineLevel="0" collapsed="false">
      <c r="A25" s="13" t="s">
        <v>908</v>
      </c>
      <c r="B25" s="13" t="s">
        <v>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3" width="12"/>
  </cols>
  <sheetData>
    <row r="1" customFormat="false" ht="15" hidden="false" customHeight="true" outlineLevel="0" collapsed="false">
      <c r="A1" s="13" t="s">
        <v>910</v>
      </c>
    </row>
    <row r="2" customFormat="false" ht="15" hidden="false" customHeight="true" outlineLevel="0" collapsed="false">
      <c r="A2" s="13" t="s">
        <v>911</v>
      </c>
    </row>
    <row r="4" customFormat="false" ht="15" hidden="false" customHeight="true" outlineLevel="0" collapsed="false">
      <c r="A4" s="13" t="s">
        <v>3</v>
      </c>
      <c r="B4" s="13" t="s">
        <v>912</v>
      </c>
      <c r="C4" s="13" t="s">
        <v>181</v>
      </c>
      <c r="D4" s="13" t="s">
        <v>570</v>
      </c>
      <c r="E4" s="13" t="s">
        <v>6</v>
      </c>
    </row>
    <row r="5" customFormat="false" ht="15" hidden="false" customHeight="true" outlineLevel="0" collapsed="false">
      <c r="A5" s="13" t="n">
        <v>2024</v>
      </c>
      <c r="B5" s="14" t="n">
        <v>46877</v>
      </c>
      <c r="C5" s="14" t="n">
        <v>45519</v>
      </c>
      <c r="D5" s="14" t="n">
        <v>25177</v>
      </c>
      <c r="E5" s="16" t="n">
        <v>55.31</v>
      </c>
    </row>
    <row r="6" customFormat="false" ht="15" hidden="false" customHeight="true" outlineLevel="0" collapsed="false">
      <c r="A6" s="13" t="n">
        <v>2025</v>
      </c>
      <c r="B6" s="14" t="n">
        <v>44302</v>
      </c>
      <c r="C6" s="14" t="n">
        <v>43241</v>
      </c>
      <c r="D6" s="14" t="n">
        <v>25478</v>
      </c>
      <c r="E6" s="16" t="n">
        <v>58.92</v>
      </c>
    </row>
    <row r="7" customFormat="false" ht="15" hidden="false" customHeight="true" outlineLevel="0" collapsed="false">
      <c r="A7" s="13" t="n">
        <v>2026</v>
      </c>
      <c r="B7" s="14" t="n">
        <v>47353</v>
      </c>
      <c r="C7" s="14" t="n">
        <v>46248</v>
      </c>
      <c r="D7" s="14" t="n">
        <v>28868</v>
      </c>
      <c r="E7" s="16" t="n">
        <v>62.42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3" width="12"/>
    <col collapsed="false" customWidth="true" hidden="false" outlineLevel="0" max="3" min="3" style="13" width="22"/>
    <col collapsed="false" customWidth="true" hidden="false" outlineLevel="0" max="7" min="4" style="13" width="12"/>
  </cols>
  <sheetData>
    <row r="1" customFormat="false" ht="15" hidden="false" customHeight="true" outlineLevel="0" collapsed="false">
      <c r="A1" s="13" t="s">
        <v>913</v>
      </c>
    </row>
    <row r="2" customFormat="false" ht="15" hidden="false" customHeight="true" outlineLevel="0" collapsed="false">
      <c r="A2" s="13" t="s">
        <v>914</v>
      </c>
    </row>
    <row r="4" customFormat="false" ht="15" hidden="false" customHeight="true" outlineLevel="0" collapsed="false">
      <c r="A4" s="13" t="s">
        <v>3</v>
      </c>
      <c r="B4" s="13" t="s">
        <v>187</v>
      </c>
      <c r="C4" s="13" t="s">
        <v>114</v>
      </c>
      <c r="D4" s="13" t="s">
        <v>113</v>
      </c>
      <c r="E4" s="13" t="s">
        <v>4</v>
      </c>
      <c r="F4" s="13" t="s">
        <v>198</v>
      </c>
      <c r="G4" s="13" t="s">
        <v>6</v>
      </c>
    </row>
    <row r="5" customFormat="false" ht="15" hidden="false" customHeight="true" outlineLevel="0" collapsed="false">
      <c r="A5" s="13" t="n">
        <v>2024</v>
      </c>
      <c r="B5" s="13" t="s">
        <v>915</v>
      </c>
      <c r="C5" s="13" t="s">
        <v>916</v>
      </c>
      <c r="D5" s="13" t="s">
        <v>124</v>
      </c>
      <c r="E5" s="14" t="n">
        <v>4050</v>
      </c>
      <c r="F5" s="14" t="n">
        <v>3030</v>
      </c>
      <c r="G5" s="16" t="n">
        <v>74.81</v>
      </c>
    </row>
    <row r="6" customFormat="false" ht="15" hidden="false" customHeight="true" outlineLevel="0" collapsed="false">
      <c r="A6" s="13" t="n">
        <v>2024</v>
      </c>
      <c r="B6" s="13" t="s">
        <v>915</v>
      </c>
      <c r="C6" s="13" t="s">
        <v>916</v>
      </c>
      <c r="D6" s="13" t="s">
        <v>122</v>
      </c>
      <c r="E6" s="14" t="n">
        <v>8621</v>
      </c>
      <c r="F6" s="14" t="n">
        <v>6632</v>
      </c>
      <c r="G6" s="16" t="n">
        <v>76.93</v>
      </c>
    </row>
    <row r="7" customFormat="false" ht="15" hidden="false" customHeight="true" outlineLevel="0" collapsed="false">
      <c r="A7" s="13" t="n">
        <v>2024</v>
      </c>
      <c r="B7" s="13" t="s">
        <v>915</v>
      </c>
      <c r="C7" s="13" t="s">
        <v>916</v>
      </c>
      <c r="D7" s="13" t="s">
        <v>192</v>
      </c>
      <c r="E7" s="14" t="n">
        <v>12671</v>
      </c>
      <c r="F7" s="14" t="n">
        <v>9662</v>
      </c>
      <c r="G7" s="16" t="n">
        <v>76.25</v>
      </c>
    </row>
    <row r="8" customFormat="false" ht="15" hidden="false" customHeight="true" outlineLevel="0" collapsed="false">
      <c r="A8" s="13" t="n">
        <v>2024</v>
      </c>
      <c r="B8" s="13" t="s">
        <v>915</v>
      </c>
      <c r="C8" s="13" t="s">
        <v>917</v>
      </c>
      <c r="D8" s="13" t="s">
        <v>124</v>
      </c>
      <c r="E8" s="14" t="n">
        <v>1662</v>
      </c>
      <c r="F8" s="14" t="n">
        <v>1194</v>
      </c>
      <c r="G8" s="16" t="n">
        <v>71.84</v>
      </c>
    </row>
    <row r="9" customFormat="false" ht="15" hidden="false" customHeight="true" outlineLevel="0" collapsed="false">
      <c r="A9" s="13" t="n">
        <v>2024</v>
      </c>
      <c r="B9" s="13" t="s">
        <v>915</v>
      </c>
      <c r="C9" s="13" t="s">
        <v>917</v>
      </c>
      <c r="D9" s="13" t="s">
        <v>122</v>
      </c>
      <c r="E9" s="14" t="n">
        <v>1125</v>
      </c>
      <c r="F9" s="14" t="n">
        <v>866</v>
      </c>
      <c r="G9" s="16" t="n">
        <v>76.98</v>
      </c>
    </row>
    <row r="10" customFormat="false" ht="15" hidden="false" customHeight="true" outlineLevel="0" collapsed="false">
      <c r="A10" s="13" t="n">
        <v>2024</v>
      </c>
      <c r="B10" s="13" t="s">
        <v>915</v>
      </c>
      <c r="C10" s="13" t="s">
        <v>917</v>
      </c>
      <c r="D10" s="13" t="s">
        <v>192</v>
      </c>
      <c r="E10" s="14" t="n">
        <v>2787</v>
      </c>
      <c r="F10" s="14" t="n">
        <v>2060</v>
      </c>
      <c r="G10" s="16" t="n">
        <v>73.91</v>
      </c>
    </row>
    <row r="11" customFormat="false" ht="15" hidden="false" customHeight="true" outlineLevel="0" collapsed="false">
      <c r="A11" s="13" t="n">
        <v>2024</v>
      </c>
      <c r="B11" s="13" t="s">
        <v>915</v>
      </c>
      <c r="C11" s="13" t="s">
        <v>918</v>
      </c>
      <c r="D11" s="13" t="s">
        <v>124</v>
      </c>
      <c r="E11" s="14" t="n">
        <v>3864</v>
      </c>
      <c r="F11" s="14" t="n">
        <v>1505</v>
      </c>
      <c r="G11" s="16" t="n">
        <v>38.95</v>
      </c>
    </row>
    <row r="12" customFormat="false" ht="15" hidden="false" customHeight="true" outlineLevel="0" collapsed="false">
      <c r="A12" s="13" t="n">
        <v>2024</v>
      </c>
      <c r="B12" s="13" t="s">
        <v>915</v>
      </c>
      <c r="C12" s="13" t="s">
        <v>918</v>
      </c>
      <c r="D12" s="13" t="s">
        <v>122</v>
      </c>
      <c r="E12" s="14" t="n">
        <v>4785</v>
      </c>
      <c r="F12" s="14" t="n">
        <v>2596</v>
      </c>
      <c r="G12" s="16" t="n">
        <v>54.25</v>
      </c>
    </row>
    <row r="13" customFormat="false" ht="15" hidden="false" customHeight="true" outlineLevel="0" collapsed="false">
      <c r="A13" s="13" t="n">
        <v>2024</v>
      </c>
      <c r="B13" s="13" t="s">
        <v>915</v>
      </c>
      <c r="C13" s="13" t="s">
        <v>918</v>
      </c>
      <c r="D13" s="13" t="s">
        <v>192</v>
      </c>
      <c r="E13" s="14" t="n">
        <v>8649</v>
      </c>
      <c r="F13" s="14" t="n">
        <v>4101</v>
      </c>
      <c r="G13" s="16" t="n">
        <v>47.42</v>
      </c>
    </row>
    <row r="14" customFormat="false" ht="15" hidden="false" customHeight="true" outlineLevel="0" collapsed="false">
      <c r="A14" s="13" t="n">
        <v>2024</v>
      </c>
      <c r="B14" s="13" t="s">
        <v>915</v>
      </c>
      <c r="C14" s="13" t="s">
        <v>919</v>
      </c>
      <c r="D14" s="13" t="s">
        <v>124</v>
      </c>
      <c r="E14" s="14" t="n">
        <v>4716</v>
      </c>
      <c r="F14" s="14" t="n">
        <v>2299</v>
      </c>
      <c r="G14" s="16" t="n">
        <v>48.75</v>
      </c>
    </row>
    <row r="15" customFormat="false" ht="15" hidden="false" customHeight="true" outlineLevel="0" collapsed="false">
      <c r="A15" s="13" t="n">
        <v>2024</v>
      </c>
      <c r="B15" s="13" t="s">
        <v>915</v>
      </c>
      <c r="C15" s="13" t="s">
        <v>919</v>
      </c>
      <c r="D15" s="13" t="s">
        <v>122</v>
      </c>
      <c r="E15" s="14" t="n">
        <v>3773</v>
      </c>
      <c r="F15" s="14" t="n">
        <v>2175</v>
      </c>
      <c r="G15" s="16" t="n">
        <v>57.65</v>
      </c>
    </row>
    <row r="16" customFormat="false" ht="15" hidden="false" customHeight="true" outlineLevel="0" collapsed="false">
      <c r="A16" s="13" t="n">
        <v>2024</v>
      </c>
      <c r="B16" s="13" t="s">
        <v>915</v>
      </c>
      <c r="C16" s="13" t="s">
        <v>919</v>
      </c>
      <c r="D16" s="13" t="s">
        <v>192</v>
      </c>
      <c r="E16" s="14" t="n">
        <v>8489</v>
      </c>
      <c r="F16" s="14" t="n">
        <v>4474</v>
      </c>
      <c r="G16" s="16" t="n">
        <v>52.7</v>
      </c>
    </row>
    <row r="17" customFormat="false" ht="15" hidden="false" customHeight="true" outlineLevel="0" collapsed="false">
      <c r="A17" s="13" t="n">
        <v>2024</v>
      </c>
      <c r="B17" s="13" t="s">
        <v>915</v>
      </c>
      <c r="C17" s="13" t="s">
        <v>920</v>
      </c>
      <c r="D17" s="13" t="s">
        <v>124</v>
      </c>
      <c r="E17" s="14" t="n">
        <v>289</v>
      </c>
      <c r="F17" s="14" t="n">
        <v>154</v>
      </c>
      <c r="G17" s="16" t="n">
        <v>53.29</v>
      </c>
    </row>
    <row r="18" customFormat="false" ht="15" hidden="false" customHeight="true" outlineLevel="0" collapsed="false">
      <c r="A18" s="13" t="n">
        <v>2024</v>
      </c>
      <c r="B18" s="13" t="s">
        <v>915</v>
      </c>
      <c r="C18" s="13" t="s">
        <v>920</v>
      </c>
      <c r="D18" s="13" t="s">
        <v>122</v>
      </c>
      <c r="E18" s="14" t="n">
        <v>170</v>
      </c>
      <c r="F18" s="14" t="n">
        <v>153</v>
      </c>
      <c r="G18" s="16" t="n">
        <v>90</v>
      </c>
    </row>
    <row r="19" customFormat="false" ht="15" hidden="false" customHeight="true" outlineLevel="0" collapsed="false">
      <c r="A19" s="13" t="n">
        <v>2024</v>
      </c>
      <c r="B19" s="13" t="s">
        <v>915</v>
      </c>
      <c r="C19" s="13" t="s">
        <v>920</v>
      </c>
      <c r="D19" s="13" t="s">
        <v>192</v>
      </c>
      <c r="E19" s="14" t="n">
        <v>459</v>
      </c>
      <c r="F19" s="14" t="n">
        <v>307</v>
      </c>
      <c r="G19" s="16" t="n">
        <v>66.88</v>
      </c>
    </row>
    <row r="20" customFormat="false" ht="15" hidden="false" customHeight="true" outlineLevel="0" collapsed="false">
      <c r="A20" s="13" t="n">
        <v>2024</v>
      </c>
      <c r="B20" s="13" t="s">
        <v>915</v>
      </c>
      <c r="C20" s="13" t="s">
        <v>921</v>
      </c>
      <c r="D20" s="13" t="s">
        <v>124</v>
      </c>
      <c r="E20" s="14" t="n">
        <v>0</v>
      </c>
      <c r="F20" s="14" t="n">
        <v>0</v>
      </c>
      <c r="G20" s="16" t="n">
        <v>0</v>
      </c>
    </row>
    <row r="21" customFormat="false" ht="15" hidden="false" customHeight="true" outlineLevel="0" collapsed="false">
      <c r="A21" s="13" t="n">
        <v>2024</v>
      </c>
      <c r="B21" s="13" t="s">
        <v>915</v>
      </c>
      <c r="C21" s="13" t="s">
        <v>921</v>
      </c>
      <c r="D21" s="13" t="s">
        <v>122</v>
      </c>
      <c r="E21" s="14" t="n">
        <v>6</v>
      </c>
      <c r="F21" s="14" t="n">
        <v>5</v>
      </c>
      <c r="G21" s="16" t="n">
        <v>83.33</v>
      </c>
    </row>
    <row r="22" customFormat="false" ht="15" hidden="false" customHeight="true" outlineLevel="0" collapsed="false">
      <c r="A22" s="13" t="n">
        <v>2024</v>
      </c>
      <c r="B22" s="13" t="s">
        <v>915</v>
      </c>
      <c r="C22" s="13" t="s">
        <v>921</v>
      </c>
      <c r="D22" s="13" t="s">
        <v>192</v>
      </c>
      <c r="E22" s="14" t="n">
        <v>6</v>
      </c>
      <c r="F22" s="14" t="n">
        <v>5</v>
      </c>
      <c r="G22" s="16" t="n">
        <v>83.33</v>
      </c>
    </row>
    <row r="23" customFormat="false" ht="15" hidden="false" customHeight="true" outlineLevel="0" collapsed="false">
      <c r="A23" s="13" t="n">
        <v>2024</v>
      </c>
      <c r="B23" s="13" t="s">
        <v>915</v>
      </c>
      <c r="C23" s="13" t="s">
        <v>753</v>
      </c>
      <c r="D23" s="13" t="s">
        <v>124</v>
      </c>
      <c r="E23" s="14" t="n">
        <v>14581</v>
      </c>
      <c r="F23" s="14" t="n">
        <v>8182</v>
      </c>
      <c r="G23" s="16" t="n">
        <v>56.11</v>
      </c>
    </row>
    <row r="24" customFormat="false" ht="15" hidden="false" customHeight="true" outlineLevel="0" collapsed="false">
      <c r="A24" s="13" t="n">
        <v>2024</v>
      </c>
      <c r="B24" s="13" t="s">
        <v>915</v>
      </c>
      <c r="C24" s="13" t="s">
        <v>753</v>
      </c>
      <c r="D24" s="13" t="s">
        <v>122</v>
      </c>
      <c r="E24" s="14" t="n">
        <v>18480</v>
      </c>
      <c r="F24" s="14" t="n">
        <v>12427</v>
      </c>
      <c r="G24" s="16" t="n">
        <v>67.25</v>
      </c>
    </row>
    <row r="25" customFormat="false" ht="15" hidden="false" customHeight="true" outlineLevel="0" collapsed="false">
      <c r="A25" s="13" t="n">
        <v>2024</v>
      </c>
      <c r="B25" s="13" t="s">
        <v>915</v>
      </c>
      <c r="C25" s="13" t="s">
        <v>753</v>
      </c>
      <c r="D25" s="13" t="s">
        <v>192</v>
      </c>
      <c r="E25" s="14" t="n">
        <v>33061</v>
      </c>
      <c r="F25" s="14" t="n">
        <v>20609</v>
      </c>
      <c r="G25" s="16" t="n">
        <v>62.34</v>
      </c>
    </row>
    <row r="26" customFormat="false" ht="15" hidden="false" customHeight="true" outlineLevel="0" collapsed="false">
      <c r="A26" s="13" t="n">
        <v>2024</v>
      </c>
      <c r="B26" s="13" t="s">
        <v>922</v>
      </c>
      <c r="C26" s="13" t="s">
        <v>916</v>
      </c>
      <c r="D26" s="13" t="s">
        <v>124</v>
      </c>
      <c r="E26" s="14" t="n">
        <v>969</v>
      </c>
      <c r="F26" s="14" t="n">
        <v>430</v>
      </c>
      <c r="G26" s="16" t="n">
        <v>44.38</v>
      </c>
    </row>
    <row r="27" customFormat="false" ht="15" hidden="false" customHeight="true" outlineLevel="0" collapsed="false">
      <c r="A27" s="13" t="n">
        <v>2024</v>
      </c>
      <c r="B27" s="13" t="s">
        <v>922</v>
      </c>
      <c r="C27" s="13" t="s">
        <v>916</v>
      </c>
      <c r="D27" s="13" t="s">
        <v>122</v>
      </c>
      <c r="E27" s="14" t="n">
        <v>1684</v>
      </c>
      <c r="F27" s="14" t="n">
        <v>884</v>
      </c>
      <c r="G27" s="16" t="n">
        <v>52.49</v>
      </c>
    </row>
    <row r="28" customFormat="false" ht="15" hidden="false" customHeight="true" outlineLevel="0" collapsed="false">
      <c r="A28" s="13" t="n">
        <v>2024</v>
      </c>
      <c r="B28" s="13" t="s">
        <v>922</v>
      </c>
      <c r="C28" s="13" t="s">
        <v>916</v>
      </c>
      <c r="D28" s="13" t="s">
        <v>192</v>
      </c>
      <c r="E28" s="14" t="n">
        <v>2653</v>
      </c>
      <c r="F28" s="14" t="n">
        <v>1314</v>
      </c>
      <c r="G28" s="16" t="n">
        <v>49.53</v>
      </c>
    </row>
    <row r="29" customFormat="false" ht="15" hidden="false" customHeight="true" outlineLevel="0" collapsed="false">
      <c r="A29" s="13" t="n">
        <v>2024</v>
      </c>
      <c r="B29" s="13" t="s">
        <v>922</v>
      </c>
      <c r="C29" s="13" t="s">
        <v>917</v>
      </c>
      <c r="D29" s="13" t="s">
        <v>124</v>
      </c>
      <c r="E29" s="14" t="n">
        <v>410</v>
      </c>
      <c r="F29" s="14" t="n">
        <v>156</v>
      </c>
      <c r="G29" s="16" t="n">
        <v>38.05</v>
      </c>
    </row>
    <row r="30" customFormat="false" ht="15" hidden="false" customHeight="true" outlineLevel="0" collapsed="false">
      <c r="A30" s="13" t="n">
        <v>2024</v>
      </c>
      <c r="B30" s="13" t="s">
        <v>922</v>
      </c>
      <c r="C30" s="13" t="s">
        <v>917</v>
      </c>
      <c r="D30" s="13" t="s">
        <v>122</v>
      </c>
      <c r="E30" s="14" t="n">
        <v>231</v>
      </c>
      <c r="F30" s="14" t="n">
        <v>118</v>
      </c>
      <c r="G30" s="16" t="n">
        <v>51.08</v>
      </c>
    </row>
    <row r="31" customFormat="false" ht="15" hidden="false" customHeight="true" outlineLevel="0" collapsed="false">
      <c r="A31" s="13" t="n">
        <v>2024</v>
      </c>
      <c r="B31" s="13" t="s">
        <v>922</v>
      </c>
      <c r="C31" s="13" t="s">
        <v>917</v>
      </c>
      <c r="D31" s="13" t="s">
        <v>192</v>
      </c>
      <c r="E31" s="14" t="n">
        <v>641</v>
      </c>
      <c r="F31" s="14" t="n">
        <v>274</v>
      </c>
      <c r="G31" s="16" t="n">
        <v>42.75</v>
      </c>
    </row>
    <row r="32" customFormat="false" ht="15" hidden="false" customHeight="true" outlineLevel="0" collapsed="false">
      <c r="A32" s="13" t="n">
        <v>2024</v>
      </c>
      <c r="B32" s="13" t="s">
        <v>922</v>
      </c>
      <c r="C32" s="13" t="s">
        <v>918</v>
      </c>
      <c r="D32" s="13" t="s">
        <v>124</v>
      </c>
      <c r="E32" s="14" t="n">
        <v>3684</v>
      </c>
      <c r="F32" s="14" t="n">
        <v>867</v>
      </c>
      <c r="G32" s="16" t="n">
        <v>23.53</v>
      </c>
    </row>
    <row r="33" customFormat="false" ht="15" hidden="false" customHeight="true" outlineLevel="0" collapsed="false">
      <c r="A33" s="13" t="n">
        <v>2024</v>
      </c>
      <c r="B33" s="13" t="s">
        <v>922</v>
      </c>
      <c r="C33" s="13" t="s">
        <v>918</v>
      </c>
      <c r="D33" s="13" t="s">
        <v>122</v>
      </c>
      <c r="E33" s="14" t="n">
        <v>3635</v>
      </c>
      <c r="F33" s="14" t="n">
        <v>1560</v>
      </c>
      <c r="G33" s="16" t="n">
        <v>42.92</v>
      </c>
    </row>
    <row r="34" customFormat="false" ht="15" hidden="false" customHeight="true" outlineLevel="0" collapsed="false">
      <c r="A34" s="13" t="n">
        <v>2024</v>
      </c>
      <c r="B34" s="13" t="s">
        <v>922</v>
      </c>
      <c r="C34" s="13" t="s">
        <v>918</v>
      </c>
      <c r="D34" s="13" t="s">
        <v>192</v>
      </c>
      <c r="E34" s="14" t="n">
        <v>7319</v>
      </c>
      <c r="F34" s="14" t="n">
        <v>2427</v>
      </c>
      <c r="G34" s="16" t="n">
        <v>33.16</v>
      </c>
    </row>
    <row r="35" customFormat="false" ht="15" hidden="false" customHeight="true" outlineLevel="0" collapsed="false">
      <c r="A35" s="13" t="n">
        <v>2024</v>
      </c>
      <c r="B35" s="13" t="s">
        <v>922</v>
      </c>
      <c r="C35" s="13" t="s">
        <v>919</v>
      </c>
      <c r="D35" s="13" t="s">
        <v>124</v>
      </c>
      <c r="E35" s="14" t="n">
        <v>964</v>
      </c>
      <c r="F35" s="14" t="n">
        <v>290</v>
      </c>
      <c r="G35" s="16" t="n">
        <v>30.08</v>
      </c>
    </row>
    <row r="36" customFormat="false" ht="15" hidden="false" customHeight="true" outlineLevel="0" collapsed="false">
      <c r="A36" s="13" t="n">
        <v>2024</v>
      </c>
      <c r="B36" s="13" t="s">
        <v>922</v>
      </c>
      <c r="C36" s="13" t="s">
        <v>919</v>
      </c>
      <c r="D36" s="13" t="s">
        <v>122</v>
      </c>
      <c r="E36" s="14" t="n">
        <v>637</v>
      </c>
      <c r="F36" s="14" t="n">
        <v>191</v>
      </c>
      <c r="G36" s="16" t="n">
        <v>29.98</v>
      </c>
    </row>
    <row r="37" customFormat="false" ht="15" hidden="false" customHeight="true" outlineLevel="0" collapsed="false">
      <c r="A37" s="13" t="n">
        <v>2024</v>
      </c>
      <c r="B37" s="13" t="s">
        <v>922</v>
      </c>
      <c r="C37" s="13" t="s">
        <v>919</v>
      </c>
      <c r="D37" s="13" t="s">
        <v>192</v>
      </c>
      <c r="E37" s="14" t="n">
        <v>1601</v>
      </c>
      <c r="F37" s="14" t="n">
        <v>481</v>
      </c>
      <c r="G37" s="16" t="n">
        <v>30.04</v>
      </c>
    </row>
    <row r="38" customFormat="false" ht="15" hidden="false" customHeight="true" outlineLevel="0" collapsed="false">
      <c r="A38" s="13" t="n">
        <v>2024</v>
      </c>
      <c r="B38" s="13" t="s">
        <v>922</v>
      </c>
      <c r="C38" s="13" t="s">
        <v>920</v>
      </c>
      <c r="D38" s="13" t="s">
        <v>124</v>
      </c>
      <c r="E38" s="14" t="n">
        <v>192</v>
      </c>
      <c r="F38" s="14" t="n">
        <v>50</v>
      </c>
      <c r="G38" s="16" t="n">
        <v>26.04</v>
      </c>
    </row>
    <row r="39" customFormat="false" ht="15" hidden="false" customHeight="true" outlineLevel="0" collapsed="false">
      <c r="A39" s="13" t="n">
        <v>2024</v>
      </c>
      <c r="B39" s="13" t="s">
        <v>922</v>
      </c>
      <c r="C39" s="13" t="s">
        <v>920</v>
      </c>
      <c r="D39" s="13" t="s">
        <v>122</v>
      </c>
      <c r="E39" s="14" t="n">
        <v>50</v>
      </c>
      <c r="F39" s="14" t="n">
        <v>20</v>
      </c>
      <c r="G39" s="16" t="n">
        <v>40</v>
      </c>
    </row>
    <row r="40" customFormat="false" ht="15" hidden="false" customHeight="true" outlineLevel="0" collapsed="false">
      <c r="A40" s="13" t="n">
        <v>2024</v>
      </c>
      <c r="B40" s="13" t="s">
        <v>922</v>
      </c>
      <c r="C40" s="13" t="s">
        <v>920</v>
      </c>
      <c r="D40" s="13" t="s">
        <v>192</v>
      </c>
      <c r="E40" s="14" t="n">
        <v>242</v>
      </c>
      <c r="F40" s="14" t="n">
        <v>70</v>
      </c>
      <c r="G40" s="16" t="n">
        <v>28.93</v>
      </c>
    </row>
    <row r="41" customFormat="false" ht="15" hidden="false" customHeight="true" outlineLevel="0" collapsed="false">
      <c r="A41" s="13" t="n">
        <v>2024</v>
      </c>
      <c r="B41" s="13" t="s">
        <v>922</v>
      </c>
      <c r="C41" s="13" t="s">
        <v>923</v>
      </c>
      <c r="D41" s="13" t="s">
        <v>124</v>
      </c>
      <c r="E41" s="14" t="n">
        <v>2</v>
      </c>
      <c r="F41" s="14" t="n">
        <v>2</v>
      </c>
      <c r="G41" s="16" t="n">
        <v>100</v>
      </c>
    </row>
    <row r="42" customFormat="false" ht="15" hidden="false" customHeight="true" outlineLevel="0" collapsed="false">
      <c r="A42" s="13" t="n">
        <v>2024</v>
      </c>
      <c r="B42" s="13" t="s">
        <v>922</v>
      </c>
      <c r="C42" s="13" t="s">
        <v>923</v>
      </c>
      <c r="D42" s="13" t="s">
        <v>122</v>
      </c>
      <c r="E42" s="14" t="n">
        <v>0</v>
      </c>
      <c r="F42" s="14" t="n">
        <v>0</v>
      </c>
      <c r="G42" s="16" t="n">
        <v>0</v>
      </c>
    </row>
    <row r="43" customFormat="false" ht="15" hidden="false" customHeight="true" outlineLevel="0" collapsed="false">
      <c r="A43" s="13" t="n">
        <v>2024</v>
      </c>
      <c r="B43" s="13" t="s">
        <v>922</v>
      </c>
      <c r="C43" s="13" t="s">
        <v>923</v>
      </c>
      <c r="D43" s="13" t="s">
        <v>192</v>
      </c>
      <c r="E43" s="14" t="n">
        <v>2</v>
      </c>
      <c r="F43" s="14" t="n">
        <v>2</v>
      </c>
      <c r="G43" s="16" t="n">
        <v>100</v>
      </c>
    </row>
    <row r="44" customFormat="false" ht="15" hidden="false" customHeight="true" outlineLevel="0" collapsed="false">
      <c r="A44" s="13" t="n">
        <v>2024</v>
      </c>
      <c r="B44" s="13" t="s">
        <v>922</v>
      </c>
      <c r="C44" s="13" t="s">
        <v>753</v>
      </c>
      <c r="D44" s="13" t="s">
        <v>124</v>
      </c>
      <c r="E44" s="14" t="n">
        <v>6221</v>
      </c>
      <c r="F44" s="14" t="n">
        <v>1795</v>
      </c>
      <c r="G44" s="16" t="n">
        <v>28.85</v>
      </c>
    </row>
    <row r="45" customFormat="false" ht="15" hidden="false" customHeight="true" outlineLevel="0" collapsed="false">
      <c r="A45" s="13" t="n">
        <v>2024</v>
      </c>
      <c r="B45" s="13" t="s">
        <v>922</v>
      </c>
      <c r="C45" s="13" t="s">
        <v>753</v>
      </c>
      <c r="D45" s="13" t="s">
        <v>122</v>
      </c>
      <c r="E45" s="14" t="n">
        <v>6237</v>
      </c>
      <c r="F45" s="14" t="n">
        <v>2773</v>
      </c>
      <c r="G45" s="16" t="n">
        <v>44.46</v>
      </c>
    </row>
    <row r="46" customFormat="false" ht="15" hidden="false" customHeight="true" outlineLevel="0" collapsed="false">
      <c r="A46" s="13" t="n">
        <v>2024</v>
      </c>
      <c r="B46" s="13" t="s">
        <v>922</v>
      </c>
      <c r="C46" s="13" t="s">
        <v>753</v>
      </c>
      <c r="D46" s="13" t="s">
        <v>192</v>
      </c>
      <c r="E46" s="14" t="n">
        <v>12458</v>
      </c>
      <c r="F46" s="14" t="n">
        <v>4568</v>
      </c>
      <c r="G46" s="16" t="n">
        <v>36.67</v>
      </c>
    </row>
    <row r="47" customFormat="false" ht="15" hidden="false" customHeight="true" outlineLevel="0" collapsed="false">
      <c r="A47" s="13" t="n">
        <v>2024</v>
      </c>
      <c r="B47" s="13" t="s">
        <v>924</v>
      </c>
      <c r="C47" s="13" t="s">
        <v>916</v>
      </c>
      <c r="D47" s="13" t="s">
        <v>124</v>
      </c>
      <c r="E47" s="14" t="n">
        <v>5019</v>
      </c>
      <c r="F47" s="14" t="n">
        <v>3460</v>
      </c>
      <c r="G47" s="16" t="n">
        <v>68.94</v>
      </c>
    </row>
    <row r="48" customFormat="false" ht="15" hidden="false" customHeight="true" outlineLevel="0" collapsed="false">
      <c r="A48" s="13" t="n">
        <v>2024</v>
      </c>
      <c r="B48" s="13" t="s">
        <v>924</v>
      </c>
      <c r="C48" s="13" t="s">
        <v>916</v>
      </c>
      <c r="D48" s="13" t="s">
        <v>122</v>
      </c>
      <c r="E48" s="14" t="n">
        <v>10305</v>
      </c>
      <c r="F48" s="14" t="n">
        <v>7516</v>
      </c>
      <c r="G48" s="16" t="n">
        <v>72.94</v>
      </c>
    </row>
    <row r="49" customFormat="false" ht="15" hidden="false" customHeight="true" outlineLevel="0" collapsed="false">
      <c r="A49" s="13" t="n">
        <v>2024</v>
      </c>
      <c r="B49" s="13" t="s">
        <v>924</v>
      </c>
      <c r="C49" s="13" t="s">
        <v>916</v>
      </c>
      <c r="D49" s="13" t="s">
        <v>192</v>
      </c>
      <c r="E49" s="14" t="n">
        <v>15324</v>
      </c>
      <c r="F49" s="14" t="n">
        <v>10976</v>
      </c>
      <c r="G49" s="16" t="n">
        <v>71.63</v>
      </c>
    </row>
    <row r="50" customFormat="false" ht="15" hidden="false" customHeight="true" outlineLevel="0" collapsed="false">
      <c r="A50" s="13" t="n">
        <v>2024</v>
      </c>
      <c r="B50" s="13" t="s">
        <v>924</v>
      </c>
      <c r="C50" s="13" t="s">
        <v>917</v>
      </c>
      <c r="D50" s="13" t="s">
        <v>124</v>
      </c>
      <c r="E50" s="14" t="n">
        <v>2072</v>
      </c>
      <c r="F50" s="14" t="n">
        <v>1350</v>
      </c>
      <c r="G50" s="16" t="n">
        <v>65.15</v>
      </c>
    </row>
    <row r="51" customFormat="false" ht="15" hidden="false" customHeight="true" outlineLevel="0" collapsed="false">
      <c r="A51" s="13" t="n">
        <v>2024</v>
      </c>
      <c r="B51" s="13" t="s">
        <v>924</v>
      </c>
      <c r="C51" s="13" t="s">
        <v>917</v>
      </c>
      <c r="D51" s="13" t="s">
        <v>122</v>
      </c>
      <c r="E51" s="14" t="n">
        <v>1356</v>
      </c>
      <c r="F51" s="14" t="n">
        <v>984</v>
      </c>
      <c r="G51" s="16" t="n">
        <v>72.57</v>
      </c>
    </row>
    <row r="52" customFormat="false" ht="15" hidden="false" customHeight="true" outlineLevel="0" collapsed="false">
      <c r="A52" s="13" t="n">
        <v>2024</v>
      </c>
      <c r="B52" s="13" t="s">
        <v>924</v>
      </c>
      <c r="C52" s="13" t="s">
        <v>917</v>
      </c>
      <c r="D52" s="13" t="s">
        <v>192</v>
      </c>
      <c r="E52" s="14" t="n">
        <v>3428</v>
      </c>
      <c r="F52" s="14" t="n">
        <v>2334</v>
      </c>
      <c r="G52" s="16" t="n">
        <v>68.09</v>
      </c>
    </row>
    <row r="53" customFormat="false" ht="15" hidden="false" customHeight="true" outlineLevel="0" collapsed="false">
      <c r="A53" s="13" t="n">
        <v>2024</v>
      </c>
      <c r="B53" s="13" t="s">
        <v>924</v>
      </c>
      <c r="C53" s="13" t="s">
        <v>918</v>
      </c>
      <c r="D53" s="13" t="s">
        <v>124</v>
      </c>
      <c r="E53" s="14" t="n">
        <v>7548</v>
      </c>
      <c r="F53" s="14" t="n">
        <v>2372</v>
      </c>
      <c r="G53" s="16" t="n">
        <v>31.43</v>
      </c>
    </row>
    <row r="54" customFormat="false" ht="15" hidden="false" customHeight="true" outlineLevel="0" collapsed="false">
      <c r="A54" s="13" t="n">
        <v>2024</v>
      </c>
      <c r="B54" s="13" t="s">
        <v>924</v>
      </c>
      <c r="C54" s="13" t="s">
        <v>918</v>
      </c>
      <c r="D54" s="13" t="s">
        <v>122</v>
      </c>
      <c r="E54" s="14" t="n">
        <v>8420</v>
      </c>
      <c r="F54" s="14" t="n">
        <v>4156</v>
      </c>
      <c r="G54" s="16" t="n">
        <v>49.36</v>
      </c>
    </row>
    <row r="55" customFormat="false" ht="15" hidden="false" customHeight="true" outlineLevel="0" collapsed="false">
      <c r="A55" s="13" t="n">
        <v>2024</v>
      </c>
      <c r="B55" s="13" t="s">
        <v>924</v>
      </c>
      <c r="C55" s="13" t="s">
        <v>918</v>
      </c>
      <c r="D55" s="13" t="s">
        <v>192</v>
      </c>
      <c r="E55" s="14" t="n">
        <v>15968</v>
      </c>
      <c r="F55" s="14" t="n">
        <v>6528</v>
      </c>
      <c r="G55" s="16" t="n">
        <v>40.88</v>
      </c>
    </row>
    <row r="56" customFormat="false" ht="15" hidden="false" customHeight="true" outlineLevel="0" collapsed="false">
      <c r="A56" s="13" t="n">
        <v>2024</v>
      </c>
      <c r="B56" s="13" t="s">
        <v>924</v>
      </c>
      <c r="C56" s="13" t="s">
        <v>919</v>
      </c>
      <c r="D56" s="13" t="s">
        <v>124</v>
      </c>
      <c r="E56" s="14" t="n">
        <v>5680</v>
      </c>
      <c r="F56" s="14" t="n">
        <v>2589</v>
      </c>
      <c r="G56" s="16" t="n">
        <v>45.58</v>
      </c>
    </row>
    <row r="57" customFormat="false" ht="15" hidden="false" customHeight="true" outlineLevel="0" collapsed="false">
      <c r="A57" s="13" t="n">
        <v>2024</v>
      </c>
      <c r="B57" s="13" t="s">
        <v>924</v>
      </c>
      <c r="C57" s="13" t="s">
        <v>919</v>
      </c>
      <c r="D57" s="13" t="s">
        <v>122</v>
      </c>
      <c r="E57" s="14" t="n">
        <v>4410</v>
      </c>
      <c r="F57" s="14" t="n">
        <v>2366</v>
      </c>
      <c r="G57" s="16" t="n">
        <v>53.65</v>
      </c>
    </row>
    <row r="58" customFormat="false" ht="15" hidden="false" customHeight="true" outlineLevel="0" collapsed="false">
      <c r="A58" s="13" t="n">
        <v>2024</v>
      </c>
      <c r="B58" s="13" t="s">
        <v>924</v>
      </c>
      <c r="C58" s="13" t="s">
        <v>919</v>
      </c>
      <c r="D58" s="13" t="s">
        <v>192</v>
      </c>
      <c r="E58" s="14" t="n">
        <v>10090</v>
      </c>
      <c r="F58" s="14" t="n">
        <v>4955</v>
      </c>
      <c r="G58" s="16" t="n">
        <v>49.11</v>
      </c>
    </row>
    <row r="59" customFormat="false" ht="15" hidden="false" customHeight="true" outlineLevel="0" collapsed="false">
      <c r="A59" s="13" t="n">
        <v>2024</v>
      </c>
      <c r="B59" s="13" t="s">
        <v>924</v>
      </c>
      <c r="C59" s="13" t="s">
        <v>920</v>
      </c>
      <c r="D59" s="13" t="s">
        <v>124</v>
      </c>
      <c r="E59" s="14" t="n">
        <v>481</v>
      </c>
      <c r="F59" s="14" t="n">
        <v>204</v>
      </c>
      <c r="G59" s="16" t="n">
        <v>42.41</v>
      </c>
    </row>
    <row r="60" customFormat="false" ht="15" hidden="false" customHeight="true" outlineLevel="0" collapsed="false">
      <c r="A60" s="13" t="n">
        <v>2024</v>
      </c>
      <c r="B60" s="13" t="s">
        <v>924</v>
      </c>
      <c r="C60" s="13" t="s">
        <v>920</v>
      </c>
      <c r="D60" s="13" t="s">
        <v>122</v>
      </c>
      <c r="E60" s="14" t="n">
        <v>220</v>
      </c>
      <c r="F60" s="14" t="n">
        <v>173</v>
      </c>
      <c r="G60" s="16" t="n">
        <v>78.64</v>
      </c>
    </row>
    <row r="61" customFormat="false" ht="15" hidden="false" customHeight="true" outlineLevel="0" collapsed="false">
      <c r="A61" s="13" t="n">
        <v>2024</v>
      </c>
      <c r="B61" s="13" t="s">
        <v>924</v>
      </c>
      <c r="C61" s="13" t="s">
        <v>920</v>
      </c>
      <c r="D61" s="13" t="s">
        <v>192</v>
      </c>
      <c r="E61" s="14" t="n">
        <v>701</v>
      </c>
      <c r="F61" s="14" t="n">
        <v>377</v>
      </c>
      <c r="G61" s="16" t="n">
        <v>53.78</v>
      </c>
    </row>
    <row r="62" customFormat="false" ht="15" hidden="false" customHeight="true" outlineLevel="0" collapsed="false">
      <c r="A62" s="13" t="n">
        <v>2024</v>
      </c>
      <c r="B62" s="13" t="s">
        <v>924</v>
      </c>
      <c r="C62" s="13" t="s">
        <v>921</v>
      </c>
      <c r="D62" s="13" t="s">
        <v>124</v>
      </c>
      <c r="E62" s="14" t="n">
        <v>0</v>
      </c>
      <c r="F62" s="14" t="n">
        <v>0</v>
      </c>
      <c r="G62" s="16" t="n">
        <v>0</v>
      </c>
    </row>
    <row r="63" customFormat="false" ht="15" hidden="false" customHeight="true" outlineLevel="0" collapsed="false">
      <c r="A63" s="13" t="n">
        <v>2024</v>
      </c>
      <c r="B63" s="13" t="s">
        <v>924</v>
      </c>
      <c r="C63" s="13" t="s">
        <v>921</v>
      </c>
      <c r="D63" s="13" t="s">
        <v>122</v>
      </c>
      <c r="E63" s="14" t="n">
        <v>6</v>
      </c>
      <c r="F63" s="14" t="n">
        <v>5</v>
      </c>
      <c r="G63" s="16" t="n">
        <v>83.33</v>
      </c>
    </row>
    <row r="64" customFormat="false" ht="15" hidden="false" customHeight="true" outlineLevel="0" collapsed="false">
      <c r="A64" s="13" t="n">
        <v>2024</v>
      </c>
      <c r="B64" s="13" t="s">
        <v>924</v>
      </c>
      <c r="C64" s="13" t="s">
        <v>921</v>
      </c>
      <c r="D64" s="13" t="s">
        <v>192</v>
      </c>
      <c r="E64" s="14" t="n">
        <v>6</v>
      </c>
      <c r="F64" s="14" t="n">
        <v>5</v>
      </c>
      <c r="G64" s="16" t="n">
        <v>83.33</v>
      </c>
    </row>
    <row r="65" customFormat="false" ht="15" hidden="false" customHeight="true" outlineLevel="0" collapsed="false">
      <c r="A65" s="13" t="n">
        <v>2024</v>
      </c>
      <c r="B65" s="13" t="s">
        <v>924</v>
      </c>
      <c r="C65" s="13" t="s">
        <v>923</v>
      </c>
      <c r="D65" s="13" t="s">
        <v>124</v>
      </c>
      <c r="E65" s="14" t="n">
        <v>2</v>
      </c>
      <c r="F65" s="14" t="n">
        <v>2</v>
      </c>
      <c r="G65" s="16" t="n">
        <v>100</v>
      </c>
    </row>
    <row r="66" customFormat="false" ht="15" hidden="false" customHeight="true" outlineLevel="0" collapsed="false">
      <c r="A66" s="13" t="n">
        <v>2024</v>
      </c>
      <c r="B66" s="13" t="s">
        <v>924</v>
      </c>
      <c r="C66" s="13" t="s">
        <v>923</v>
      </c>
      <c r="D66" s="13" t="s">
        <v>122</v>
      </c>
      <c r="E66" s="14" t="n">
        <v>0</v>
      </c>
      <c r="F66" s="14" t="n">
        <v>0</v>
      </c>
      <c r="G66" s="16" t="n">
        <v>0</v>
      </c>
    </row>
    <row r="67" customFormat="false" ht="15" hidden="false" customHeight="true" outlineLevel="0" collapsed="false">
      <c r="A67" s="13" t="n">
        <v>2024</v>
      </c>
      <c r="B67" s="13" t="s">
        <v>924</v>
      </c>
      <c r="C67" s="13" t="s">
        <v>923</v>
      </c>
      <c r="D67" s="13" t="s">
        <v>192</v>
      </c>
      <c r="E67" s="14" t="n">
        <v>2</v>
      </c>
      <c r="F67" s="14" t="n">
        <v>2</v>
      </c>
      <c r="G67" s="16" t="n">
        <v>100</v>
      </c>
    </row>
    <row r="68" customFormat="false" ht="15" hidden="false" customHeight="true" outlineLevel="0" collapsed="false">
      <c r="A68" s="13" t="n">
        <v>2024</v>
      </c>
      <c r="B68" s="13" t="s">
        <v>924</v>
      </c>
      <c r="C68" s="13" t="s">
        <v>753</v>
      </c>
      <c r="D68" s="13" t="s">
        <v>124</v>
      </c>
      <c r="E68" s="14" t="n">
        <v>20802</v>
      </c>
      <c r="F68" s="14" t="n">
        <v>9977</v>
      </c>
      <c r="G68" s="16" t="n">
        <v>47.96</v>
      </c>
    </row>
    <row r="69" customFormat="false" ht="15" hidden="false" customHeight="true" outlineLevel="0" collapsed="false">
      <c r="A69" s="13" t="n">
        <v>2024</v>
      </c>
      <c r="B69" s="13" t="s">
        <v>924</v>
      </c>
      <c r="C69" s="13" t="s">
        <v>753</v>
      </c>
      <c r="D69" s="13" t="s">
        <v>122</v>
      </c>
      <c r="E69" s="14" t="n">
        <v>24717</v>
      </c>
      <c r="F69" s="14" t="n">
        <v>15200</v>
      </c>
      <c r="G69" s="16" t="n">
        <v>61.5</v>
      </c>
    </row>
    <row r="70" customFormat="false" ht="15" hidden="false" customHeight="true" outlineLevel="0" collapsed="false">
      <c r="A70" s="13" t="n">
        <v>2024</v>
      </c>
      <c r="B70" s="13" t="s">
        <v>924</v>
      </c>
      <c r="C70" s="13" t="s">
        <v>753</v>
      </c>
      <c r="D70" s="13" t="s">
        <v>192</v>
      </c>
      <c r="E70" s="14" t="n">
        <v>45519</v>
      </c>
      <c r="F70" s="14" t="n">
        <v>25177</v>
      </c>
      <c r="G70" s="16" t="n">
        <v>55.31</v>
      </c>
    </row>
    <row r="71" customFormat="false" ht="15" hidden="false" customHeight="true" outlineLevel="0" collapsed="false">
      <c r="A71" s="13" t="n">
        <v>2025</v>
      </c>
      <c r="B71" s="13" t="s">
        <v>915</v>
      </c>
      <c r="C71" s="13" t="s">
        <v>916</v>
      </c>
      <c r="D71" s="13" t="s">
        <v>124</v>
      </c>
      <c r="E71" s="14" t="n">
        <v>2597</v>
      </c>
      <c r="F71" s="14" t="n">
        <v>2085</v>
      </c>
      <c r="G71" s="16" t="n">
        <v>80.28</v>
      </c>
    </row>
    <row r="72" customFormat="false" ht="15" hidden="false" customHeight="true" outlineLevel="0" collapsed="false">
      <c r="A72" s="13" t="n">
        <v>2025</v>
      </c>
      <c r="B72" s="13" t="s">
        <v>915</v>
      </c>
      <c r="C72" s="13" t="s">
        <v>916</v>
      </c>
      <c r="D72" s="13" t="s">
        <v>122</v>
      </c>
      <c r="E72" s="14" t="n">
        <v>7048</v>
      </c>
      <c r="F72" s="14" t="n">
        <v>5897</v>
      </c>
      <c r="G72" s="16" t="n">
        <v>83.67</v>
      </c>
    </row>
    <row r="73" customFormat="false" ht="15" hidden="false" customHeight="true" outlineLevel="0" collapsed="false">
      <c r="A73" s="13" t="n">
        <v>2025</v>
      </c>
      <c r="B73" s="13" t="s">
        <v>915</v>
      </c>
      <c r="C73" s="13" t="s">
        <v>916</v>
      </c>
      <c r="D73" s="13" t="s">
        <v>192</v>
      </c>
      <c r="E73" s="14" t="n">
        <v>9645</v>
      </c>
      <c r="F73" s="14" t="n">
        <v>7982</v>
      </c>
      <c r="G73" s="16" t="n">
        <v>82.76</v>
      </c>
    </row>
    <row r="74" customFormat="false" ht="15" hidden="false" customHeight="true" outlineLevel="0" collapsed="false">
      <c r="A74" s="13" t="n">
        <v>2025</v>
      </c>
      <c r="B74" s="13" t="s">
        <v>915</v>
      </c>
      <c r="C74" s="13" t="s">
        <v>917</v>
      </c>
      <c r="D74" s="13" t="s">
        <v>124</v>
      </c>
      <c r="E74" s="14" t="n">
        <v>1092</v>
      </c>
      <c r="F74" s="14" t="n">
        <v>887</v>
      </c>
      <c r="G74" s="16" t="n">
        <v>81.23</v>
      </c>
    </row>
    <row r="75" customFormat="false" ht="15" hidden="false" customHeight="true" outlineLevel="0" collapsed="false">
      <c r="A75" s="13" t="n">
        <v>2025</v>
      </c>
      <c r="B75" s="13" t="s">
        <v>915</v>
      </c>
      <c r="C75" s="13" t="s">
        <v>917</v>
      </c>
      <c r="D75" s="13" t="s">
        <v>122</v>
      </c>
      <c r="E75" s="14" t="n">
        <v>762</v>
      </c>
      <c r="F75" s="14" t="n">
        <v>634</v>
      </c>
      <c r="G75" s="16" t="n">
        <v>83.2</v>
      </c>
    </row>
    <row r="76" customFormat="false" ht="15" hidden="false" customHeight="true" outlineLevel="0" collapsed="false">
      <c r="A76" s="13" t="n">
        <v>2025</v>
      </c>
      <c r="B76" s="13" t="s">
        <v>915</v>
      </c>
      <c r="C76" s="13" t="s">
        <v>917</v>
      </c>
      <c r="D76" s="13" t="s">
        <v>192</v>
      </c>
      <c r="E76" s="14" t="n">
        <v>1854</v>
      </c>
      <c r="F76" s="14" t="n">
        <v>1521</v>
      </c>
      <c r="G76" s="16" t="n">
        <v>82.04</v>
      </c>
    </row>
    <row r="77" customFormat="false" ht="15" hidden="false" customHeight="true" outlineLevel="0" collapsed="false">
      <c r="A77" s="13" t="n">
        <v>2025</v>
      </c>
      <c r="B77" s="13" t="s">
        <v>915</v>
      </c>
      <c r="C77" s="13" t="s">
        <v>918</v>
      </c>
      <c r="D77" s="13" t="s">
        <v>124</v>
      </c>
      <c r="E77" s="14" t="n">
        <v>4234</v>
      </c>
      <c r="F77" s="14" t="n">
        <v>1592</v>
      </c>
      <c r="G77" s="16" t="n">
        <v>37.6</v>
      </c>
    </row>
    <row r="78" customFormat="false" ht="15" hidden="false" customHeight="true" outlineLevel="0" collapsed="false">
      <c r="A78" s="13" t="n">
        <v>2025</v>
      </c>
      <c r="B78" s="13" t="s">
        <v>915</v>
      </c>
      <c r="C78" s="13" t="s">
        <v>918</v>
      </c>
      <c r="D78" s="13" t="s">
        <v>122</v>
      </c>
      <c r="E78" s="14" t="n">
        <v>6016</v>
      </c>
      <c r="F78" s="14" t="n">
        <v>3745</v>
      </c>
      <c r="G78" s="16" t="n">
        <v>62.25</v>
      </c>
    </row>
    <row r="79" customFormat="false" ht="15" hidden="false" customHeight="true" outlineLevel="0" collapsed="false">
      <c r="A79" s="13" t="n">
        <v>2025</v>
      </c>
      <c r="B79" s="13" t="s">
        <v>915</v>
      </c>
      <c r="C79" s="13" t="s">
        <v>918</v>
      </c>
      <c r="D79" s="13" t="s">
        <v>192</v>
      </c>
      <c r="E79" s="14" t="n">
        <v>10250</v>
      </c>
      <c r="F79" s="14" t="n">
        <v>5337</v>
      </c>
      <c r="G79" s="16" t="n">
        <v>52.07</v>
      </c>
    </row>
    <row r="80" customFormat="false" ht="15" hidden="false" customHeight="true" outlineLevel="0" collapsed="false">
      <c r="A80" s="13" t="n">
        <v>2025</v>
      </c>
      <c r="B80" s="13" t="s">
        <v>915</v>
      </c>
      <c r="C80" s="13" t="s">
        <v>919</v>
      </c>
      <c r="D80" s="13" t="s">
        <v>124</v>
      </c>
      <c r="E80" s="14" t="n">
        <v>5039</v>
      </c>
      <c r="F80" s="14" t="n">
        <v>2945</v>
      </c>
      <c r="G80" s="16" t="n">
        <v>58.44</v>
      </c>
    </row>
    <row r="81" customFormat="false" ht="15" hidden="false" customHeight="true" outlineLevel="0" collapsed="false">
      <c r="A81" s="13" t="n">
        <v>2025</v>
      </c>
      <c r="B81" s="13" t="s">
        <v>915</v>
      </c>
      <c r="C81" s="13" t="s">
        <v>919</v>
      </c>
      <c r="D81" s="13" t="s">
        <v>122</v>
      </c>
      <c r="E81" s="14" t="n">
        <v>4873</v>
      </c>
      <c r="F81" s="14" t="n">
        <v>3352</v>
      </c>
      <c r="G81" s="16" t="n">
        <v>68.79</v>
      </c>
    </row>
    <row r="82" customFormat="false" ht="15" hidden="false" customHeight="true" outlineLevel="0" collapsed="false">
      <c r="A82" s="13" t="n">
        <v>2025</v>
      </c>
      <c r="B82" s="13" t="s">
        <v>915</v>
      </c>
      <c r="C82" s="13" t="s">
        <v>919</v>
      </c>
      <c r="D82" s="13" t="s">
        <v>192</v>
      </c>
      <c r="E82" s="14" t="n">
        <v>9912</v>
      </c>
      <c r="F82" s="14" t="n">
        <v>6297</v>
      </c>
      <c r="G82" s="16" t="n">
        <v>63.53</v>
      </c>
    </row>
    <row r="83" customFormat="false" ht="15" hidden="false" customHeight="true" outlineLevel="0" collapsed="false">
      <c r="A83" s="13" t="n">
        <v>2025</v>
      </c>
      <c r="B83" s="13" t="s">
        <v>915</v>
      </c>
      <c r="C83" s="13" t="s">
        <v>920</v>
      </c>
      <c r="D83" s="13" t="s">
        <v>124</v>
      </c>
      <c r="E83" s="14" t="n">
        <v>243</v>
      </c>
      <c r="F83" s="14" t="n">
        <v>95</v>
      </c>
      <c r="G83" s="16" t="n">
        <v>39.09</v>
      </c>
    </row>
    <row r="84" customFormat="false" ht="15" hidden="false" customHeight="true" outlineLevel="0" collapsed="false">
      <c r="A84" s="13" t="n">
        <v>2025</v>
      </c>
      <c r="B84" s="13" t="s">
        <v>915</v>
      </c>
      <c r="C84" s="13" t="s">
        <v>920</v>
      </c>
      <c r="D84" s="13" t="s">
        <v>122</v>
      </c>
      <c r="E84" s="14" t="n">
        <v>139</v>
      </c>
      <c r="F84" s="14" t="n">
        <v>115</v>
      </c>
      <c r="G84" s="16" t="n">
        <v>82.73</v>
      </c>
    </row>
    <row r="85" customFormat="false" ht="15" hidden="false" customHeight="true" outlineLevel="0" collapsed="false">
      <c r="A85" s="13" t="n">
        <v>2025</v>
      </c>
      <c r="B85" s="13" t="s">
        <v>915</v>
      </c>
      <c r="C85" s="13" t="s">
        <v>920</v>
      </c>
      <c r="D85" s="13" t="s">
        <v>192</v>
      </c>
      <c r="E85" s="14" t="n">
        <v>382</v>
      </c>
      <c r="F85" s="14" t="n">
        <v>210</v>
      </c>
      <c r="G85" s="16" t="n">
        <v>54.97</v>
      </c>
    </row>
    <row r="86" customFormat="false" ht="15" hidden="false" customHeight="true" outlineLevel="0" collapsed="false">
      <c r="A86" s="13" t="n">
        <v>2025</v>
      </c>
      <c r="B86" s="13" t="s">
        <v>915</v>
      </c>
      <c r="C86" s="13" t="s">
        <v>921</v>
      </c>
      <c r="D86" s="13" t="s">
        <v>124</v>
      </c>
      <c r="E86" s="14" t="n">
        <v>0</v>
      </c>
      <c r="F86" s="14" t="n">
        <v>0</v>
      </c>
      <c r="G86" s="16" t="n">
        <v>0</v>
      </c>
    </row>
    <row r="87" customFormat="false" ht="15" hidden="false" customHeight="true" outlineLevel="0" collapsed="false">
      <c r="A87" s="13" t="n">
        <v>2025</v>
      </c>
      <c r="B87" s="13" t="s">
        <v>915</v>
      </c>
      <c r="C87" s="13" t="s">
        <v>921</v>
      </c>
      <c r="D87" s="13" t="s">
        <v>122</v>
      </c>
      <c r="E87" s="14" t="n">
        <v>3</v>
      </c>
      <c r="F87" s="14" t="n">
        <v>0</v>
      </c>
      <c r="G87" s="16" t="n">
        <v>0</v>
      </c>
    </row>
    <row r="88" customFormat="false" ht="15" hidden="false" customHeight="true" outlineLevel="0" collapsed="false">
      <c r="A88" s="13" t="n">
        <v>2025</v>
      </c>
      <c r="B88" s="13" t="s">
        <v>915</v>
      </c>
      <c r="C88" s="13" t="s">
        <v>921</v>
      </c>
      <c r="D88" s="13" t="s">
        <v>192</v>
      </c>
      <c r="E88" s="14" t="n">
        <v>3</v>
      </c>
      <c r="F88" s="14" t="n">
        <v>0</v>
      </c>
      <c r="G88" s="16" t="n">
        <v>0</v>
      </c>
    </row>
    <row r="89" customFormat="false" ht="15" hidden="false" customHeight="true" outlineLevel="0" collapsed="false">
      <c r="A89" s="13" t="n">
        <v>2025</v>
      </c>
      <c r="B89" s="13" t="s">
        <v>915</v>
      </c>
      <c r="C89" s="13" t="s">
        <v>753</v>
      </c>
      <c r="D89" s="13" t="s">
        <v>124</v>
      </c>
      <c r="E89" s="14" t="n">
        <v>13205</v>
      </c>
      <c r="F89" s="14" t="n">
        <v>7604</v>
      </c>
      <c r="G89" s="16" t="n">
        <v>57.58</v>
      </c>
    </row>
    <row r="90" customFormat="false" ht="15" hidden="false" customHeight="true" outlineLevel="0" collapsed="false">
      <c r="A90" s="13" t="n">
        <v>2025</v>
      </c>
      <c r="B90" s="13" t="s">
        <v>915</v>
      </c>
      <c r="C90" s="13" t="s">
        <v>753</v>
      </c>
      <c r="D90" s="13" t="s">
        <v>122</v>
      </c>
      <c r="E90" s="14" t="n">
        <v>18841</v>
      </c>
      <c r="F90" s="14" t="n">
        <v>13743</v>
      </c>
      <c r="G90" s="16" t="n">
        <v>72.94</v>
      </c>
    </row>
    <row r="91" customFormat="false" ht="15" hidden="false" customHeight="true" outlineLevel="0" collapsed="false">
      <c r="A91" s="13" t="n">
        <v>2025</v>
      </c>
      <c r="B91" s="13" t="s">
        <v>915</v>
      </c>
      <c r="C91" s="13" t="s">
        <v>753</v>
      </c>
      <c r="D91" s="13" t="s">
        <v>192</v>
      </c>
      <c r="E91" s="14" t="n">
        <v>32046</v>
      </c>
      <c r="F91" s="14" t="n">
        <v>21347</v>
      </c>
      <c r="G91" s="16" t="n">
        <v>66.61</v>
      </c>
    </row>
    <row r="92" customFormat="false" ht="15" hidden="false" customHeight="true" outlineLevel="0" collapsed="false">
      <c r="A92" s="13" t="n">
        <v>2025</v>
      </c>
      <c r="B92" s="13" t="s">
        <v>922</v>
      </c>
      <c r="C92" s="13" t="s">
        <v>916</v>
      </c>
      <c r="D92" s="13" t="s">
        <v>124</v>
      </c>
      <c r="E92" s="14" t="n">
        <v>848</v>
      </c>
      <c r="F92" s="14" t="n">
        <v>366</v>
      </c>
      <c r="G92" s="16" t="n">
        <v>43.16</v>
      </c>
    </row>
    <row r="93" customFormat="false" ht="15" hidden="false" customHeight="true" outlineLevel="0" collapsed="false">
      <c r="A93" s="13" t="n">
        <v>2025</v>
      </c>
      <c r="B93" s="13" t="s">
        <v>922</v>
      </c>
      <c r="C93" s="13" t="s">
        <v>916</v>
      </c>
      <c r="D93" s="13" t="s">
        <v>122</v>
      </c>
      <c r="E93" s="14" t="n">
        <v>1510</v>
      </c>
      <c r="F93" s="14" t="n">
        <v>817</v>
      </c>
      <c r="G93" s="16" t="n">
        <v>54.11</v>
      </c>
    </row>
    <row r="94" customFormat="false" ht="15" hidden="false" customHeight="true" outlineLevel="0" collapsed="false">
      <c r="A94" s="13" t="n">
        <v>2025</v>
      </c>
      <c r="B94" s="13" t="s">
        <v>922</v>
      </c>
      <c r="C94" s="13" t="s">
        <v>916</v>
      </c>
      <c r="D94" s="13" t="s">
        <v>192</v>
      </c>
      <c r="E94" s="14" t="n">
        <v>2358</v>
      </c>
      <c r="F94" s="14" t="n">
        <v>1183</v>
      </c>
      <c r="G94" s="16" t="n">
        <v>50.17</v>
      </c>
    </row>
    <row r="95" customFormat="false" ht="15" hidden="false" customHeight="true" outlineLevel="0" collapsed="false">
      <c r="A95" s="13" t="n">
        <v>2025</v>
      </c>
      <c r="B95" s="13" t="s">
        <v>922</v>
      </c>
      <c r="C95" s="13" t="s">
        <v>917</v>
      </c>
      <c r="D95" s="13" t="s">
        <v>124</v>
      </c>
      <c r="E95" s="14" t="n">
        <v>321</v>
      </c>
      <c r="F95" s="14" t="n">
        <v>126</v>
      </c>
      <c r="G95" s="16" t="n">
        <v>39.25</v>
      </c>
    </row>
    <row r="96" customFormat="false" ht="15" hidden="false" customHeight="true" outlineLevel="0" collapsed="false">
      <c r="A96" s="13" t="n">
        <v>2025</v>
      </c>
      <c r="B96" s="13" t="s">
        <v>922</v>
      </c>
      <c r="C96" s="13" t="s">
        <v>917</v>
      </c>
      <c r="D96" s="13" t="s">
        <v>122</v>
      </c>
      <c r="E96" s="14" t="n">
        <v>158</v>
      </c>
      <c r="F96" s="14" t="n">
        <v>71</v>
      </c>
      <c r="G96" s="16" t="n">
        <v>44.94</v>
      </c>
    </row>
    <row r="97" customFormat="false" ht="15" hidden="false" customHeight="true" outlineLevel="0" collapsed="false">
      <c r="A97" s="13" t="n">
        <v>2025</v>
      </c>
      <c r="B97" s="13" t="s">
        <v>922</v>
      </c>
      <c r="C97" s="13" t="s">
        <v>917</v>
      </c>
      <c r="D97" s="13" t="s">
        <v>192</v>
      </c>
      <c r="E97" s="14" t="n">
        <v>479</v>
      </c>
      <c r="F97" s="14" t="n">
        <v>197</v>
      </c>
      <c r="G97" s="16" t="n">
        <v>41.13</v>
      </c>
    </row>
    <row r="98" customFormat="false" ht="15" hidden="false" customHeight="true" outlineLevel="0" collapsed="false">
      <c r="A98" s="13" t="n">
        <v>2025</v>
      </c>
      <c r="B98" s="13" t="s">
        <v>922</v>
      </c>
      <c r="C98" s="13" t="s">
        <v>918</v>
      </c>
      <c r="D98" s="13" t="s">
        <v>124</v>
      </c>
      <c r="E98" s="14" t="n">
        <v>3206</v>
      </c>
      <c r="F98" s="14" t="n">
        <v>774</v>
      </c>
      <c r="G98" s="16" t="n">
        <v>24.14</v>
      </c>
    </row>
    <row r="99" customFormat="false" ht="15" hidden="false" customHeight="true" outlineLevel="0" collapsed="false">
      <c r="A99" s="13" t="n">
        <v>2025</v>
      </c>
      <c r="B99" s="13" t="s">
        <v>922</v>
      </c>
      <c r="C99" s="13" t="s">
        <v>918</v>
      </c>
      <c r="D99" s="13" t="s">
        <v>122</v>
      </c>
      <c r="E99" s="14" t="n">
        <v>3346</v>
      </c>
      <c r="F99" s="14" t="n">
        <v>1436</v>
      </c>
      <c r="G99" s="16" t="n">
        <v>42.92</v>
      </c>
    </row>
    <row r="100" customFormat="false" ht="15" hidden="false" customHeight="true" outlineLevel="0" collapsed="false">
      <c r="A100" s="13" t="n">
        <v>2025</v>
      </c>
      <c r="B100" s="13" t="s">
        <v>922</v>
      </c>
      <c r="C100" s="13" t="s">
        <v>918</v>
      </c>
      <c r="D100" s="13" t="s">
        <v>192</v>
      </c>
      <c r="E100" s="14" t="n">
        <v>6552</v>
      </c>
      <c r="F100" s="14" t="n">
        <v>2210</v>
      </c>
      <c r="G100" s="16" t="n">
        <v>33.73</v>
      </c>
    </row>
    <row r="101" customFormat="false" ht="15" hidden="false" customHeight="true" outlineLevel="0" collapsed="false">
      <c r="A101" s="13" t="n">
        <v>2025</v>
      </c>
      <c r="B101" s="13" t="s">
        <v>922</v>
      </c>
      <c r="C101" s="13" t="s">
        <v>919</v>
      </c>
      <c r="D101" s="13" t="s">
        <v>124</v>
      </c>
      <c r="E101" s="14" t="n">
        <v>1021</v>
      </c>
      <c r="F101" s="14" t="n">
        <v>259</v>
      </c>
      <c r="G101" s="16" t="n">
        <v>25.37</v>
      </c>
    </row>
    <row r="102" customFormat="false" ht="15" hidden="false" customHeight="true" outlineLevel="0" collapsed="false">
      <c r="A102" s="13" t="n">
        <v>2025</v>
      </c>
      <c r="B102" s="13" t="s">
        <v>922</v>
      </c>
      <c r="C102" s="13" t="s">
        <v>919</v>
      </c>
      <c r="D102" s="13" t="s">
        <v>122</v>
      </c>
      <c r="E102" s="14" t="n">
        <v>633</v>
      </c>
      <c r="F102" s="14" t="n">
        <v>223</v>
      </c>
      <c r="G102" s="16" t="n">
        <v>35.23</v>
      </c>
    </row>
    <row r="103" customFormat="false" ht="15" hidden="false" customHeight="true" outlineLevel="0" collapsed="false">
      <c r="A103" s="13" t="n">
        <v>2025</v>
      </c>
      <c r="B103" s="13" t="s">
        <v>922</v>
      </c>
      <c r="C103" s="13" t="s">
        <v>919</v>
      </c>
      <c r="D103" s="13" t="s">
        <v>192</v>
      </c>
      <c r="E103" s="14" t="n">
        <v>1654</v>
      </c>
      <c r="F103" s="14" t="n">
        <v>482</v>
      </c>
      <c r="G103" s="16" t="n">
        <v>29.14</v>
      </c>
    </row>
    <row r="104" customFormat="false" ht="15" hidden="false" customHeight="true" outlineLevel="0" collapsed="false">
      <c r="A104" s="13" t="n">
        <v>2025</v>
      </c>
      <c r="B104" s="13" t="s">
        <v>922</v>
      </c>
      <c r="C104" s="13" t="s">
        <v>920</v>
      </c>
      <c r="D104" s="13" t="s">
        <v>124</v>
      </c>
      <c r="E104" s="14" t="n">
        <v>110</v>
      </c>
      <c r="F104" s="14" t="n">
        <v>38</v>
      </c>
      <c r="G104" s="16" t="n">
        <v>34.55</v>
      </c>
    </row>
    <row r="105" customFormat="false" ht="15" hidden="false" customHeight="true" outlineLevel="0" collapsed="false">
      <c r="A105" s="13" t="n">
        <v>2025</v>
      </c>
      <c r="B105" s="13" t="s">
        <v>922</v>
      </c>
      <c r="C105" s="13" t="s">
        <v>920</v>
      </c>
      <c r="D105" s="13" t="s">
        <v>122</v>
      </c>
      <c r="E105" s="14" t="n">
        <v>39</v>
      </c>
      <c r="F105" s="14" t="n">
        <v>21</v>
      </c>
      <c r="G105" s="16" t="n">
        <v>53.85</v>
      </c>
    </row>
    <row r="106" customFormat="false" ht="15" hidden="false" customHeight="true" outlineLevel="0" collapsed="false">
      <c r="A106" s="13" t="n">
        <v>2025</v>
      </c>
      <c r="B106" s="13" t="s">
        <v>922</v>
      </c>
      <c r="C106" s="13" t="s">
        <v>920</v>
      </c>
      <c r="D106" s="13" t="s">
        <v>192</v>
      </c>
      <c r="E106" s="14" t="n">
        <v>149</v>
      </c>
      <c r="F106" s="14" t="n">
        <v>59</v>
      </c>
      <c r="G106" s="16" t="n">
        <v>39.6</v>
      </c>
    </row>
    <row r="107" customFormat="false" ht="15" hidden="false" customHeight="true" outlineLevel="0" collapsed="false">
      <c r="A107" s="13" t="n">
        <v>2025</v>
      </c>
      <c r="B107" s="13" t="s">
        <v>922</v>
      </c>
      <c r="C107" s="13" t="s">
        <v>923</v>
      </c>
      <c r="D107" s="13" t="s">
        <v>124</v>
      </c>
      <c r="E107" s="14" t="n">
        <v>3</v>
      </c>
      <c r="F107" s="14" t="n">
        <v>0</v>
      </c>
      <c r="G107" s="16" t="n">
        <v>0</v>
      </c>
    </row>
    <row r="108" customFormat="false" ht="15" hidden="false" customHeight="true" outlineLevel="0" collapsed="false">
      <c r="A108" s="13" t="n">
        <v>2025</v>
      </c>
      <c r="B108" s="13" t="s">
        <v>922</v>
      </c>
      <c r="C108" s="13" t="s">
        <v>923</v>
      </c>
      <c r="D108" s="13" t="s">
        <v>122</v>
      </c>
      <c r="E108" s="14" t="n">
        <v>0</v>
      </c>
      <c r="F108" s="14" t="n">
        <v>0</v>
      </c>
      <c r="G108" s="16" t="n">
        <v>0</v>
      </c>
    </row>
    <row r="109" customFormat="false" ht="15" hidden="false" customHeight="true" outlineLevel="0" collapsed="false">
      <c r="A109" s="13" t="n">
        <v>2025</v>
      </c>
      <c r="B109" s="13" t="s">
        <v>922</v>
      </c>
      <c r="C109" s="13" t="s">
        <v>923</v>
      </c>
      <c r="D109" s="13" t="s">
        <v>192</v>
      </c>
      <c r="E109" s="14" t="n">
        <v>3</v>
      </c>
      <c r="F109" s="14" t="n">
        <v>0</v>
      </c>
      <c r="G109" s="16" t="n">
        <v>0</v>
      </c>
    </row>
    <row r="110" customFormat="false" ht="15" hidden="false" customHeight="true" outlineLevel="0" collapsed="false">
      <c r="A110" s="13" t="n">
        <v>2025</v>
      </c>
      <c r="B110" s="13" t="s">
        <v>922</v>
      </c>
      <c r="C110" s="13" t="s">
        <v>753</v>
      </c>
      <c r="D110" s="13" t="s">
        <v>124</v>
      </c>
      <c r="E110" s="14" t="n">
        <v>5509</v>
      </c>
      <c r="F110" s="14" t="n">
        <v>1563</v>
      </c>
      <c r="G110" s="16" t="n">
        <v>28.37</v>
      </c>
    </row>
    <row r="111" customFormat="false" ht="15" hidden="false" customHeight="true" outlineLevel="0" collapsed="false">
      <c r="A111" s="13" t="n">
        <v>2025</v>
      </c>
      <c r="B111" s="13" t="s">
        <v>922</v>
      </c>
      <c r="C111" s="13" t="s">
        <v>753</v>
      </c>
      <c r="D111" s="13" t="s">
        <v>122</v>
      </c>
      <c r="E111" s="14" t="n">
        <v>5686</v>
      </c>
      <c r="F111" s="14" t="n">
        <v>2568</v>
      </c>
      <c r="G111" s="16" t="n">
        <v>45.16</v>
      </c>
    </row>
    <row r="112" customFormat="false" ht="15" hidden="false" customHeight="true" outlineLevel="0" collapsed="false">
      <c r="A112" s="13" t="n">
        <v>2025</v>
      </c>
      <c r="B112" s="13" t="s">
        <v>922</v>
      </c>
      <c r="C112" s="13" t="s">
        <v>753</v>
      </c>
      <c r="D112" s="13" t="s">
        <v>192</v>
      </c>
      <c r="E112" s="14" t="n">
        <v>11195</v>
      </c>
      <c r="F112" s="14" t="n">
        <v>4131</v>
      </c>
      <c r="G112" s="16" t="n">
        <v>36.9</v>
      </c>
    </row>
    <row r="113" customFormat="false" ht="15" hidden="false" customHeight="true" outlineLevel="0" collapsed="false">
      <c r="A113" s="13" t="n">
        <v>2025</v>
      </c>
      <c r="B113" s="13" t="s">
        <v>924</v>
      </c>
      <c r="C113" s="13" t="s">
        <v>916</v>
      </c>
      <c r="D113" s="13" t="s">
        <v>124</v>
      </c>
      <c r="E113" s="14" t="n">
        <v>3445</v>
      </c>
      <c r="F113" s="14" t="n">
        <v>2451</v>
      </c>
      <c r="G113" s="16" t="n">
        <v>71.15</v>
      </c>
    </row>
    <row r="114" customFormat="false" ht="15" hidden="false" customHeight="true" outlineLevel="0" collapsed="false">
      <c r="A114" s="13" t="n">
        <v>2025</v>
      </c>
      <c r="B114" s="13" t="s">
        <v>924</v>
      </c>
      <c r="C114" s="13" t="s">
        <v>916</v>
      </c>
      <c r="D114" s="13" t="s">
        <v>122</v>
      </c>
      <c r="E114" s="14" t="n">
        <v>8558</v>
      </c>
      <c r="F114" s="14" t="n">
        <v>6714</v>
      </c>
      <c r="G114" s="16" t="n">
        <v>78.45</v>
      </c>
    </row>
    <row r="115" customFormat="false" ht="15" hidden="false" customHeight="true" outlineLevel="0" collapsed="false">
      <c r="A115" s="13" t="n">
        <v>2025</v>
      </c>
      <c r="B115" s="13" t="s">
        <v>924</v>
      </c>
      <c r="C115" s="13" t="s">
        <v>916</v>
      </c>
      <c r="D115" s="13" t="s">
        <v>192</v>
      </c>
      <c r="E115" s="14" t="n">
        <v>12003</v>
      </c>
      <c r="F115" s="14" t="n">
        <v>9165</v>
      </c>
      <c r="G115" s="16" t="n">
        <v>76.36</v>
      </c>
    </row>
    <row r="116" customFormat="false" ht="15" hidden="false" customHeight="true" outlineLevel="0" collapsed="false">
      <c r="A116" s="13" t="n">
        <v>2025</v>
      </c>
      <c r="B116" s="13" t="s">
        <v>924</v>
      </c>
      <c r="C116" s="13" t="s">
        <v>917</v>
      </c>
      <c r="D116" s="13" t="s">
        <v>124</v>
      </c>
      <c r="E116" s="14" t="n">
        <v>1413</v>
      </c>
      <c r="F116" s="14" t="n">
        <v>1013</v>
      </c>
      <c r="G116" s="16" t="n">
        <v>71.69</v>
      </c>
    </row>
    <row r="117" customFormat="false" ht="15" hidden="false" customHeight="true" outlineLevel="0" collapsed="false">
      <c r="A117" s="13" t="n">
        <v>2025</v>
      </c>
      <c r="B117" s="13" t="s">
        <v>924</v>
      </c>
      <c r="C117" s="13" t="s">
        <v>917</v>
      </c>
      <c r="D117" s="13" t="s">
        <v>122</v>
      </c>
      <c r="E117" s="14" t="n">
        <v>920</v>
      </c>
      <c r="F117" s="14" t="n">
        <v>705</v>
      </c>
      <c r="G117" s="16" t="n">
        <v>76.63</v>
      </c>
    </row>
    <row r="118" customFormat="false" ht="15" hidden="false" customHeight="true" outlineLevel="0" collapsed="false">
      <c r="A118" s="13" t="n">
        <v>2025</v>
      </c>
      <c r="B118" s="13" t="s">
        <v>924</v>
      </c>
      <c r="C118" s="13" t="s">
        <v>917</v>
      </c>
      <c r="D118" s="13" t="s">
        <v>192</v>
      </c>
      <c r="E118" s="14" t="n">
        <v>2333</v>
      </c>
      <c r="F118" s="14" t="n">
        <v>1718</v>
      </c>
      <c r="G118" s="16" t="n">
        <v>73.64</v>
      </c>
    </row>
    <row r="119" customFormat="false" ht="15" hidden="false" customHeight="true" outlineLevel="0" collapsed="false">
      <c r="A119" s="13" t="n">
        <v>2025</v>
      </c>
      <c r="B119" s="13" t="s">
        <v>924</v>
      </c>
      <c r="C119" s="13" t="s">
        <v>918</v>
      </c>
      <c r="D119" s="13" t="s">
        <v>124</v>
      </c>
      <c r="E119" s="14" t="n">
        <v>7440</v>
      </c>
      <c r="F119" s="14" t="n">
        <v>2366</v>
      </c>
      <c r="G119" s="16" t="n">
        <v>31.8</v>
      </c>
    </row>
    <row r="120" customFormat="false" ht="15" hidden="false" customHeight="true" outlineLevel="0" collapsed="false">
      <c r="A120" s="13" t="n">
        <v>2025</v>
      </c>
      <c r="B120" s="13" t="s">
        <v>924</v>
      </c>
      <c r="C120" s="13" t="s">
        <v>918</v>
      </c>
      <c r="D120" s="13" t="s">
        <v>122</v>
      </c>
      <c r="E120" s="14" t="n">
        <v>9362</v>
      </c>
      <c r="F120" s="14" t="n">
        <v>5181</v>
      </c>
      <c r="G120" s="16" t="n">
        <v>55.34</v>
      </c>
    </row>
    <row r="121" customFormat="false" ht="15" hidden="false" customHeight="true" outlineLevel="0" collapsed="false">
      <c r="A121" s="13" t="n">
        <v>2025</v>
      </c>
      <c r="B121" s="13" t="s">
        <v>924</v>
      </c>
      <c r="C121" s="13" t="s">
        <v>918</v>
      </c>
      <c r="D121" s="13" t="s">
        <v>192</v>
      </c>
      <c r="E121" s="14" t="n">
        <v>16802</v>
      </c>
      <c r="F121" s="14" t="n">
        <v>7547</v>
      </c>
      <c r="G121" s="16" t="n">
        <v>44.92</v>
      </c>
    </row>
    <row r="122" customFormat="false" ht="15" hidden="false" customHeight="true" outlineLevel="0" collapsed="false">
      <c r="A122" s="13" t="n">
        <v>2025</v>
      </c>
      <c r="B122" s="13" t="s">
        <v>924</v>
      </c>
      <c r="C122" s="13" t="s">
        <v>919</v>
      </c>
      <c r="D122" s="13" t="s">
        <v>124</v>
      </c>
      <c r="E122" s="14" t="n">
        <v>6060</v>
      </c>
      <c r="F122" s="14" t="n">
        <v>3204</v>
      </c>
      <c r="G122" s="16" t="n">
        <v>52.87</v>
      </c>
    </row>
    <row r="123" customFormat="false" ht="15" hidden="false" customHeight="true" outlineLevel="0" collapsed="false">
      <c r="A123" s="13" t="n">
        <v>2025</v>
      </c>
      <c r="B123" s="13" t="s">
        <v>924</v>
      </c>
      <c r="C123" s="13" t="s">
        <v>919</v>
      </c>
      <c r="D123" s="13" t="s">
        <v>122</v>
      </c>
      <c r="E123" s="14" t="n">
        <v>5506</v>
      </c>
      <c r="F123" s="14" t="n">
        <v>3575</v>
      </c>
      <c r="G123" s="16" t="n">
        <v>64.93</v>
      </c>
    </row>
    <row r="124" customFormat="false" ht="15" hidden="false" customHeight="true" outlineLevel="0" collapsed="false">
      <c r="A124" s="13" t="n">
        <v>2025</v>
      </c>
      <c r="B124" s="13" t="s">
        <v>924</v>
      </c>
      <c r="C124" s="13" t="s">
        <v>919</v>
      </c>
      <c r="D124" s="13" t="s">
        <v>192</v>
      </c>
      <c r="E124" s="14" t="n">
        <v>11566</v>
      </c>
      <c r="F124" s="14" t="n">
        <v>6779</v>
      </c>
      <c r="G124" s="16" t="n">
        <v>58.61</v>
      </c>
    </row>
    <row r="125" customFormat="false" ht="15" hidden="false" customHeight="true" outlineLevel="0" collapsed="false">
      <c r="A125" s="13" t="n">
        <v>2025</v>
      </c>
      <c r="B125" s="13" t="s">
        <v>924</v>
      </c>
      <c r="C125" s="13" t="s">
        <v>920</v>
      </c>
      <c r="D125" s="13" t="s">
        <v>124</v>
      </c>
      <c r="E125" s="14" t="n">
        <v>353</v>
      </c>
      <c r="F125" s="14" t="n">
        <v>133</v>
      </c>
      <c r="G125" s="16" t="n">
        <v>37.68</v>
      </c>
    </row>
    <row r="126" customFormat="false" ht="15" hidden="false" customHeight="true" outlineLevel="0" collapsed="false">
      <c r="A126" s="13" t="n">
        <v>2025</v>
      </c>
      <c r="B126" s="13" t="s">
        <v>924</v>
      </c>
      <c r="C126" s="13" t="s">
        <v>920</v>
      </c>
      <c r="D126" s="13" t="s">
        <v>122</v>
      </c>
      <c r="E126" s="14" t="n">
        <v>178</v>
      </c>
      <c r="F126" s="14" t="n">
        <v>136</v>
      </c>
      <c r="G126" s="16" t="n">
        <v>76.4</v>
      </c>
    </row>
    <row r="127" customFormat="false" ht="15" hidden="false" customHeight="true" outlineLevel="0" collapsed="false">
      <c r="A127" s="13" t="n">
        <v>2025</v>
      </c>
      <c r="B127" s="13" t="s">
        <v>924</v>
      </c>
      <c r="C127" s="13" t="s">
        <v>920</v>
      </c>
      <c r="D127" s="13" t="s">
        <v>192</v>
      </c>
      <c r="E127" s="14" t="n">
        <v>531</v>
      </c>
      <c r="F127" s="14" t="n">
        <v>269</v>
      </c>
      <c r="G127" s="16" t="n">
        <v>50.66</v>
      </c>
    </row>
    <row r="128" customFormat="false" ht="15" hidden="false" customHeight="true" outlineLevel="0" collapsed="false">
      <c r="A128" s="13" t="n">
        <v>2025</v>
      </c>
      <c r="B128" s="13" t="s">
        <v>924</v>
      </c>
      <c r="C128" s="13" t="s">
        <v>921</v>
      </c>
      <c r="D128" s="13" t="s">
        <v>124</v>
      </c>
      <c r="E128" s="14" t="n">
        <v>0</v>
      </c>
      <c r="F128" s="14" t="n">
        <v>0</v>
      </c>
      <c r="G128" s="16" t="n">
        <v>0</v>
      </c>
    </row>
    <row r="129" customFormat="false" ht="15" hidden="false" customHeight="true" outlineLevel="0" collapsed="false">
      <c r="A129" s="13" t="n">
        <v>2025</v>
      </c>
      <c r="B129" s="13" t="s">
        <v>924</v>
      </c>
      <c r="C129" s="13" t="s">
        <v>921</v>
      </c>
      <c r="D129" s="13" t="s">
        <v>122</v>
      </c>
      <c r="E129" s="14" t="n">
        <v>3</v>
      </c>
      <c r="F129" s="14" t="n">
        <v>0</v>
      </c>
      <c r="G129" s="16" t="n">
        <v>0</v>
      </c>
    </row>
    <row r="130" customFormat="false" ht="15" hidden="false" customHeight="true" outlineLevel="0" collapsed="false">
      <c r="A130" s="13" t="n">
        <v>2025</v>
      </c>
      <c r="B130" s="13" t="s">
        <v>924</v>
      </c>
      <c r="C130" s="13" t="s">
        <v>921</v>
      </c>
      <c r="D130" s="13" t="s">
        <v>192</v>
      </c>
      <c r="E130" s="14" t="n">
        <v>3</v>
      </c>
      <c r="F130" s="14" t="n">
        <v>0</v>
      </c>
      <c r="G130" s="16" t="n">
        <v>0</v>
      </c>
    </row>
    <row r="131" customFormat="false" ht="15" hidden="false" customHeight="true" outlineLevel="0" collapsed="false">
      <c r="A131" s="13" t="n">
        <v>2025</v>
      </c>
      <c r="B131" s="13" t="s">
        <v>924</v>
      </c>
      <c r="C131" s="13" t="s">
        <v>923</v>
      </c>
      <c r="D131" s="13" t="s">
        <v>124</v>
      </c>
      <c r="E131" s="14" t="n">
        <v>3</v>
      </c>
      <c r="F131" s="14" t="n">
        <v>0</v>
      </c>
      <c r="G131" s="16" t="n">
        <v>0</v>
      </c>
    </row>
    <row r="132" customFormat="false" ht="15" hidden="false" customHeight="true" outlineLevel="0" collapsed="false">
      <c r="A132" s="13" t="n">
        <v>2025</v>
      </c>
      <c r="B132" s="13" t="s">
        <v>924</v>
      </c>
      <c r="C132" s="13" t="s">
        <v>923</v>
      </c>
      <c r="D132" s="13" t="s">
        <v>122</v>
      </c>
      <c r="E132" s="14" t="n">
        <v>0</v>
      </c>
      <c r="F132" s="14" t="n">
        <v>0</v>
      </c>
      <c r="G132" s="16" t="n">
        <v>0</v>
      </c>
    </row>
    <row r="133" customFormat="false" ht="15" hidden="false" customHeight="true" outlineLevel="0" collapsed="false">
      <c r="A133" s="13" t="n">
        <v>2025</v>
      </c>
      <c r="B133" s="13" t="s">
        <v>924</v>
      </c>
      <c r="C133" s="13" t="s">
        <v>923</v>
      </c>
      <c r="D133" s="13" t="s">
        <v>192</v>
      </c>
      <c r="E133" s="14" t="n">
        <v>3</v>
      </c>
      <c r="F133" s="14" t="n">
        <v>0</v>
      </c>
      <c r="G133" s="16" t="n">
        <v>0</v>
      </c>
    </row>
    <row r="134" customFormat="false" ht="15" hidden="false" customHeight="true" outlineLevel="0" collapsed="false">
      <c r="A134" s="13" t="n">
        <v>2025</v>
      </c>
      <c r="B134" s="13" t="s">
        <v>924</v>
      </c>
      <c r="C134" s="13" t="s">
        <v>753</v>
      </c>
      <c r="D134" s="13" t="s">
        <v>124</v>
      </c>
      <c r="E134" s="14" t="n">
        <v>18714</v>
      </c>
      <c r="F134" s="14" t="n">
        <v>9167</v>
      </c>
      <c r="G134" s="16" t="n">
        <v>48.98</v>
      </c>
    </row>
    <row r="135" customFormat="false" ht="15" hidden="false" customHeight="true" outlineLevel="0" collapsed="false">
      <c r="A135" s="13" t="n">
        <v>2025</v>
      </c>
      <c r="B135" s="13" t="s">
        <v>924</v>
      </c>
      <c r="C135" s="13" t="s">
        <v>753</v>
      </c>
      <c r="D135" s="13" t="s">
        <v>122</v>
      </c>
      <c r="E135" s="14" t="n">
        <v>24527</v>
      </c>
      <c r="F135" s="14" t="n">
        <v>16311</v>
      </c>
      <c r="G135" s="16" t="n">
        <v>66.5</v>
      </c>
    </row>
    <row r="136" customFormat="false" ht="15" hidden="false" customHeight="true" outlineLevel="0" collapsed="false">
      <c r="A136" s="13" t="n">
        <v>2025</v>
      </c>
      <c r="B136" s="13" t="s">
        <v>924</v>
      </c>
      <c r="C136" s="13" t="s">
        <v>753</v>
      </c>
      <c r="D136" s="13" t="s">
        <v>192</v>
      </c>
      <c r="E136" s="14" t="n">
        <v>43241</v>
      </c>
      <c r="F136" s="14" t="n">
        <v>25478</v>
      </c>
      <c r="G136" s="16" t="n">
        <v>58.92</v>
      </c>
    </row>
    <row r="137" customFormat="false" ht="15" hidden="false" customHeight="true" outlineLevel="0" collapsed="false">
      <c r="A137" s="13" t="n">
        <v>2026</v>
      </c>
      <c r="B137" s="13" t="s">
        <v>915</v>
      </c>
      <c r="C137" s="13" t="s">
        <v>916</v>
      </c>
      <c r="D137" s="13" t="s">
        <v>124</v>
      </c>
      <c r="E137" s="14" t="n">
        <v>2593</v>
      </c>
      <c r="F137" s="14" t="n">
        <v>1881</v>
      </c>
      <c r="G137" s="16" t="n">
        <v>72.54</v>
      </c>
    </row>
    <row r="138" customFormat="false" ht="15" hidden="false" customHeight="true" outlineLevel="0" collapsed="false">
      <c r="A138" s="13" t="n">
        <v>2026</v>
      </c>
      <c r="B138" s="13" t="s">
        <v>915</v>
      </c>
      <c r="C138" s="13" t="s">
        <v>916</v>
      </c>
      <c r="D138" s="13" t="s">
        <v>122</v>
      </c>
      <c r="E138" s="14" t="n">
        <v>7453</v>
      </c>
      <c r="F138" s="14" t="n">
        <v>5805</v>
      </c>
      <c r="G138" s="16" t="n">
        <v>77.89</v>
      </c>
    </row>
    <row r="139" customFormat="false" ht="15" hidden="false" customHeight="true" outlineLevel="0" collapsed="false">
      <c r="A139" s="13" t="n">
        <v>2026</v>
      </c>
      <c r="B139" s="13" t="s">
        <v>915</v>
      </c>
      <c r="C139" s="13" t="s">
        <v>916</v>
      </c>
      <c r="D139" s="13" t="s">
        <v>192</v>
      </c>
      <c r="E139" s="14" t="n">
        <v>10046</v>
      </c>
      <c r="F139" s="14" t="n">
        <v>7686</v>
      </c>
      <c r="G139" s="16" t="n">
        <v>76.51</v>
      </c>
    </row>
    <row r="140" customFormat="false" ht="15" hidden="false" customHeight="true" outlineLevel="0" collapsed="false">
      <c r="A140" s="13" t="n">
        <v>2026</v>
      </c>
      <c r="B140" s="13" t="s">
        <v>915</v>
      </c>
      <c r="C140" s="13" t="s">
        <v>917</v>
      </c>
      <c r="D140" s="13" t="s">
        <v>124</v>
      </c>
      <c r="E140" s="14" t="n">
        <v>1047</v>
      </c>
      <c r="F140" s="14" t="n">
        <v>849</v>
      </c>
      <c r="G140" s="16" t="n">
        <v>81.09</v>
      </c>
    </row>
    <row r="141" customFormat="false" ht="15" hidden="false" customHeight="true" outlineLevel="0" collapsed="false">
      <c r="A141" s="13" t="n">
        <v>2026</v>
      </c>
      <c r="B141" s="13" t="s">
        <v>915</v>
      </c>
      <c r="C141" s="13" t="s">
        <v>917</v>
      </c>
      <c r="D141" s="13" t="s">
        <v>122</v>
      </c>
      <c r="E141" s="14" t="n">
        <v>666</v>
      </c>
      <c r="F141" s="14" t="n">
        <v>586</v>
      </c>
      <c r="G141" s="16" t="n">
        <v>87.99</v>
      </c>
    </row>
    <row r="142" customFormat="false" ht="15" hidden="false" customHeight="true" outlineLevel="0" collapsed="false">
      <c r="A142" s="13" t="n">
        <v>2026</v>
      </c>
      <c r="B142" s="13" t="s">
        <v>915</v>
      </c>
      <c r="C142" s="13" t="s">
        <v>917</v>
      </c>
      <c r="D142" s="13" t="s">
        <v>192</v>
      </c>
      <c r="E142" s="14" t="n">
        <v>1713</v>
      </c>
      <c r="F142" s="14" t="n">
        <v>1435</v>
      </c>
      <c r="G142" s="16" t="n">
        <v>83.77</v>
      </c>
    </row>
    <row r="143" customFormat="false" ht="15" hidden="false" customHeight="true" outlineLevel="0" collapsed="false">
      <c r="A143" s="13" t="n">
        <v>2026</v>
      </c>
      <c r="B143" s="13" t="s">
        <v>915</v>
      </c>
      <c r="C143" s="13" t="s">
        <v>918</v>
      </c>
      <c r="D143" s="13" t="s">
        <v>124</v>
      </c>
      <c r="E143" s="14" t="n">
        <v>4603</v>
      </c>
      <c r="F143" s="14" t="n">
        <v>2087</v>
      </c>
      <c r="G143" s="16" t="n">
        <v>45.34</v>
      </c>
    </row>
    <row r="144" customFormat="false" ht="15" hidden="false" customHeight="true" outlineLevel="0" collapsed="false">
      <c r="A144" s="13" t="n">
        <v>2026</v>
      </c>
      <c r="B144" s="13" t="s">
        <v>915</v>
      </c>
      <c r="C144" s="13" t="s">
        <v>918</v>
      </c>
      <c r="D144" s="13" t="s">
        <v>122</v>
      </c>
      <c r="E144" s="14" t="n">
        <v>6442</v>
      </c>
      <c r="F144" s="14" t="n">
        <v>3855</v>
      </c>
      <c r="G144" s="16" t="n">
        <v>59.84</v>
      </c>
    </row>
    <row r="145" customFormat="false" ht="15" hidden="false" customHeight="true" outlineLevel="0" collapsed="false">
      <c r="A145" s="13" t="n">
        <v>2026</v>
      </c>
      <c r="B145" s="13" t="s">
        <v>915</v>
      </c>
      <c r="C145" s="13" t="s">
        <v>918</v>
      </c>
      <c r="D145" s="13" t="s">
        <v>192</v>
      </c>
      <c r="E145" s="14" t="n">
        <v>11045</v>
      </c>
      <c r="F145" s="14" t="n">
        <v>5942</v>
      </c>
      <c r="G145" s="16" t="n">
        <v>53.8</v>
      </c>
    </row>
    <row r="146" customFormat="false" ht="15" hidden="false" customHeight="true" outlineLevel="0" collapsed="false">
      <c r="A146" s="13" t="n">
        <v>2026</v>
      </c>
      <c r="B146" s="13" t="s">
        <v>915</v>
      </c>
      <c r="C146" s="13" t="s">
        <v>919</v>
      </c>
      <c r="D146" s="13" t="s">
        <v>124</v>
      </c>
      <c r="E146" s="14" t="n">
        <v>6284</v>
      </c>
      <c r="F146" s="14" t="n">
        <v>4044</v>
      </c>
      <c r="G146" s="16" t="n">
        <v>64.35</v>
      </c>
    </row>
    <row r="147" customFormat="false" ht="15" hidden="false" customHeight="true" outlineLevel="0" collapsed="false">
      <c r="A147" s="13" t="n">
        <v>2026</v>
      </c>
      <c r="B147" s="13" t="s">
        <v>915</v>
      </c>
      <c r="C147" s="13" t="s">
        <v>919</v>
      </c>
      <c r="D147" s="13" t="s">
        <v>122</v>
      </c>
      <c r="E147" s="14" t="n">
        <v>6150</v>
      </c>
      <c r="F147" s="14" t="n">
        <v>4724</v>
      </c>
      <c r="G147" s="16" t="n">
        <v>76.81</v>
      </c>
    </row>
    <row r="148" customFormat="false" ht="15" hidden="false" customHeight="true" outlineLevel="0" collapsed="false">
      <c r="A148" s="13" t="n">
        <v>2026</v>
      </c>
      <c r="B148" s="13" t="s">
        <v>915</v>
      </c>
      <c r="C148" s="13" t="s">
        <v>919</v>
      </c>
      <c r="D148" s="13" t="s">
        <v>192</v>
      </c>
      <c r="E148" s="14" t="n">
        <v>12434</v>
      </c>
      <c r="F148" s="14" t="n">
        <v>8768</v>
      </c>
      <c r="G148" s="16" t="n">
        <v>70.52</v>
      </c>
    </row>
    <row r="149" customFormat="false" ht="15" hidden="false" customHeight="true" outlineLevel="0" collapsed="false">
      <c r="A149" s="13" t="n">
        <v>2026</v>
      </c>
      <c r="B149" s="13" t="s">
        <v>915</v>
      </c>
      <c r="C149" s="13" t="s">
        <v>920</v>
      </c>
      <c r="D149" s="13" t="s">
        <v>124</v>
      </c>
      <c r="E149" s="14" t="n">
        <v>224</v>
      </c>
      <c r="F149" s="14" t="n">
        <v>144</v>
      </c>
      <c r="G149" s="16" t="n">
        <v>64.29</v>
      </c>
    </row>
    <row r="150" customFormat="false" ht="15" hidden="false" customHeight="true" outlineLevel="0" collapsed="false">
      <c r="A150" s="13" t="n">
        <v>2026</v>
      </c>
      <c r="B150" s="13" t="s">
        <v>915</v>
      </c>
      <c r="C150" s="13" t="s">
        <v>920</v>
      </c>
      <c r="D150" s="13" t="s">
        <v>122</v>
      </c>
      <c r="E150" s="14" t="n">
        <v>106</v>
      </c>
      <c r="F150" s="14" t="n">
        <v>103</v>
      </c>
      <c r="G150" s="16" t="n">
        <v>97.17</v>
      </c>
    </row>
    <row r="151" customFormat="false" ht="15" hidden="false" customHeight="true" outlineLevel="0" collapsed="false">
      <c r="A151" s="13" t="n">
        <v>2026</v>
      </c>
      <c r="B151" s="13" t="s">
        <v>915</v>
      </c>
      <c r="C151" s="13" t="s">
        <v>920</v>
      </c>
      <c r="D151" s="13" t="s">
        <v>192</v>
      </c>
      <c r="E151" s="14" t="n">
        <v>330</v>
      </c>
      <c r="F151" s="14" t="n">
        <v>247</v>
      </c>
      <c r="G151" s="16" t="n">
        <v>74.85</v>
      </c>
    </row>
    <row r="152" customFormat="false" ht="15" hidden="false" customHeight="true" outlineLevel="0" collapsed="false">
      <c r="A152" s="13" t="n">
        <v>2026</v>
      </c>
      <c r="B152" s="13" t="s">
        <v>915</v>
      </c>
      <c r="C152" s="13" t="s">
        <v>921</v>
      </c>
      <c r="D152" s="13" t="s">
        <v>124</v>
      </c>
      <c r="E152" s="14" t="n">
        <v>0</v>
      </c>
      <c r="F152" s="14" t="n">
        <v>0</v>
      </c>
      <c r="G152" s="16" t="n">
        <v>0</v>
      </c>
    </row>
    <row r="153" customFormat="false" ht="15" hidden="false" customHeight="true" outlineLevel="0" collapsed="false">
      <c r="A153" s="13" t="n">
        <v>2026</v>
      </c>
      <c r="B153" s="13" t="s">
        <v>915</v>
      </c>
      <c r="C153" s="13" t="s">
        <v>921</v>
      </c>
      <c r="D153" s="13" t="s">
        <v>122</v>
      </c>
      <c r="E153" s="14" t="n">
        <v>6</v>
      </c>
      <c r="F153" s="14" t="n">
        <v>3</v>
      </c>
      <c r="G153" s="16" t="n">
        <v>50</v>
      </c>
    </row>
    <row r="154" customFormat="false" ht="15" hidden="false" customHeight="true" outlineLevel="0" collapsed="false">
      <c r="A154" s="13" t="n">
        <v>2026</v>
      </c>
      <c r="B154" s="13" t="s">
        <v>915</v>
      </c>
      <c r="C154" s="13" t="s">
        <v>921</v>
      </c>
      <c r="D154" s="13" t="s">
        <v>192</v>
      </c>
      <c r="E154" s="14" t="n">
        <v>6</v>
      </c>
      <c r="F154" s="14" t="n">
        <v>3</v>
      </c>
      <c r="G154" s="16" t="n">
        <v>50</v>
      </c>
    </row>
    <row r="155" customFormat="false" ht="15" hidden="false" customHeight="true" outlineLevel="0" collapsed="false">
      <c r="A155" s="13" t="n">
        <v>2026</v>
      </c>
      <c r="B155" s="13" t="s">
        <v>915</v>
      </c>
      <c r="C155" s="13" t="s">
        <v>923</v>
      </c>
      <c r="D155" s="13" t="s">
        <v>124</v>
      </c>
      <c r="E155" s="14" t="n">
        <v>0</v>
      </c>
      <c r="F155" s="14" t="n">
        <v>0</v>
      </c>
      <c r="G155" s="16" t="n">
        <v>0</v>
      </c>
    </row>
    <row r="156" customFormat="false" ht="15" hidden="false" customHeight="true" outlineLevel="0" collapsed="false">
      <c r="A156" s="13" t="n">
        <v>2026</v>
      </c>
      <c r="B156" s="13" t="s">
        <v>915</v>
      </c>
      <c r="C156" s="13" t="s">
        <v>923</v>
      </c>
      <c r="D156" s="13" t="s">
        <v>122</v>
      </c>
      <c r="E156" s="14" t="n">
        <v>0</v>
      </c>
      <c r="F156" s="14" t="n">
        <v>0</v>
      </c>
      <c r="G156" s="16" t="n">
        <v>0</v>
      </c>
    </row>
    <row r="157" customFormat="false" ht="15" hidden="false" customHeight="true" outlineLevel="0" collapsed="false">
      <c r="A157" s="13" t="n">
        <v>2026</v>
      </c>
      <c r="B157" s="13" t="s">
        <v>915</v>
      </c>
      <c r="C157" s="13" t="s">
        <v>923</v>
      </c>
      <c r="D157" s="13" t="s">
        <v>192</v>
      </c>
      <c r="E157" s="14" t="n">
        <v>0</v>
      </c>
      <c r="F157" s="14" t="n">
        <v>0</v>
      </c>
      <c r="G157" s="16" t="n">
        <v>0</v>
      </c>
    </row>
    <row r="158" customFormat="false" ht="15" hidden="false" customHeight="true" outlineLevel="0" collapsed="false">
      <c r="A158" s="13" t="n">
        <v>2026</v>
      </c>
      <c r="B158" s="13" t="s">
        <v>915</v>
      </c>
      <c r="C158" s="13" t="s">
        <v>753</v>
      </c>
      <c r="D158" s="13" t="s">
        <v>124</v>
      </c>
      <c r="E158" s="14" t="n">
        <v>14751</v>
      </c>
      <c r="F158" s="14" t="n">
        <v>9005</v>
      </c>
      <c r="G158" s="16" t="n">
        <v>61.05</v>
      </c>
    </row>
    <row r="159" customFormat="false" ht="15" hidden="false" customHeight="true" outlineLevel="0" collapsed="false">
      <c r="A159" s="13" t="n">
        <v>2026</v>
      </c>
      <c r="B159" s="13" t="s">
        <v>915</v>
      </c>
      <c r="C159" s="13" t="s">
        <v>753</v>
      </c>
      <c r="D159" s="13" t="s">
        <v>122</v>
      </c>
      <c r="E159" s="14" t="n">
        <v>20823</v>
      </c>
      <c r="F159" s="14" t="n">
        <v>15076</v>
      </c>
      <c r="G159" s="16" t="n">
        <v>72.4</v>
      </c>
    </row>
    <row r="160" customFormat="false" ht="15" hidden="false" customHeight="true" outlineLevel="0" collapsed="false">
      <c r="A160" s="13" t="n">
        <v>2026</v>
      </c>
      <c r="B160" s="13" t="s">
        <v>915</v>
      </c>
      <c r="C160" s="13" t="s">
        <v>753</v>
      </c>
      <c r="D160" s="13" t="s">
        <v>192</v>
      </c>
      <c r="E160" s="14" t="n">
        <v>35574</v>
      </c>
      <c r="F160" s="14" t="n">
        <v>24081</v>
      </c>
      <c r="G160" s="16" t="n">
        <v>67.69</v>
      </c>
    </row>
    <row r="161" customFormat="false" ht="15" hidden="false" customHeight="true" outlineLevel="0" collapsed="false">
      <c r="A161" s="13" t="n">
        <v>2026</v>
      </c>
      <c r="B161" s="13" t="s">
        <v>922</v>
      </c>
      <c r="C161" s="13" t="s">
        <v>916</v>
      </c>
      <c r="D161" s="13" t="s">
        <v>124</v>
      </c>
      <c r="E161" s="14" t="n">
        <v>520</v>
      </c>
      <c r="F161" s="14" t="n">
        <v>195</v>
      </c>
      <c r="G161" s="16" t="n">
        <v>37.5</v>
      </c>
    </row>
    <row r="162" customFormat="false" ht="15" hidden="false" customHeight="true" outlineLevel="0" collapsed="false">
      <c r="A162" s="13" t="n">
        <v>2026</v>
      </c>
      <c r="B162" s="13" t="s">
        <v>922</v>
      </c>
      <c r="C162" s="13" t="s">
        <v>916</v>
      </c>
      <c r="D162" s="13" t="s">
        <v>122</v>
      </c>
      <c r="E162" s="14" t="n">
        <v>1001</v>
      </c>
      <c r="F162" s="14" t="n">
        <v>503</v>
      </c>
      <c r="G162" s="16" t="n">
        <v>50.25</v>
      </c>
    </row>
    <row r="163" customFormat="false" ht="15" hidden="false" customHeight="true" outlineLevel="0" collapsed="false">
      <c r="A163" s="13" t="n">
        <v>2026</v>
      </c>
      <c r="B163" s="13" t="s">
        <v>922</v>
      </c>
      <c r="C163" s="13" t="s">
        <v>916</v>
      </c>
      <c r="D163" s="13" t="s">
        <v>192</v>
      </c>
      <c r="E163" s="14" t="n">
        <v>1521</v>
      </c>
      <c r="F163" s="14" t="n">
        <v>698</v>
      </c>
      <c r="G163" s="16" t="n">
        <v>45.89</v>
      </c>
    </row>
    <row r="164" customFormat="false" ht="15" hidden="false" customHeight="true" outlineLevel="0" collapsed="false">
      <c r="A164" s="13" t="n">
        <v>2026</v>
      </c>
      <c r="B164" s="13" t="s">
        <v>922</v>
      </c>
      <c r="C164" s="13" t="s">
        <v>917</v>
      </c>
      <c r="D164" s="13" t="s">
        <v>124</v>
      </c>
      <c r="E164" s="14" t="n">
        <v>170</v>
      </c>
      <c r="F164" s="14" t="n">
        <v>54</v>
      </c>
      <c r="G164" s="16" t="n">
        <v>31.76</v>
      </c>
    </row>
    <row r="165" customFormat="false" ht="15" hidden="false" customHeight="true" outlineLevel="0" collapsed="false">
      <c r="A165" s="13" t="n">
        <v>2026</v>
      </c>
      <c r="B165" s="13" t="s">
        <v>922</v>
      </c>
      <c r="C165" s="13" t="s">
        <v>917</v>
      </c>
      <c r="D165" s="13" t="s">
        <v>122</v>
      </c>
      <c r="E165" s="14" t="n">
        <v>86</v>
      </c>
      <c r="F165" s="14" t="n">
        <v>27</v>
      </c>
      <c r="G165" s="16" t="n">
        <v>31.4</v>
      </c>
    </row>
    <row r="166" customFormat="false" ht="15" hidden="false" customHeight="true" outlineLevel="0" collapsed="false">
      <c r="A166" s="13" t="n">
        <v>2026</v>
      </c>
      <c r="B166" s="13" t="s">
        <v>922</v>
      </c>
      <c r="C166" s="13" t="s">
        <v>917</v>
      </c>
      <c r="D166" s="13" t="s">
        <v>192</v>
      </c>
      <c r="E166" s="14" t="n">
        <v>256</v>
      </c>
      <c r="F166" s="14" t="n">
        <v>81</v>
      </c>
      <c r="G166" s="16" t="n">
        <v>31.64</v>
      </c>
    </row>
    <row r="167" customFormat="false" ht="15" hidden="false" customHeight="true" outlineLevel="0" collapsed="false">
      <c r="A167" s="13" t="n">
        <v>2026</v>
      </c>
      <c r="B167" s="13" t="s">
        <v>922</v>
      </c>
      <c r="C167" s="13" t="s">
        <v>918</v>
      </c>
      <c r="D167" s="13" t="s">
        <v>124</v>
      </c>
      <c r="E167" s="14" t="n">
        <v>3409</v>
      </c>
      <c r="F167" s="14" t="n">
        <v>1071</v>
      </c>
      <c r="G167" s="16" t="n">
        <v>31.42</v>
      </c>
    </row>
    <row r="168" customFormat="false" ht="15" hidden="false" customHeight="true" outlineLevel="0" collapsed="false">
      <c r="A168" s="13" t="n">
        <v>2026</v>
      </c>
      <c r="B168" s="13" t="s">
        <v>922</v>
      </c>
      <c r="C168" s="13" t="s">
        <v>918</v>
      </c>
      <c r="D168" s="13" t="s">
        <v>122</v>
      </c>
      <c r="E168" s="14" t="n">
        <v>3590</v>
      </c>
      <c r="F168" s="14" t="n">
        <v>2101</v>
      </c>
      <c r="G168" s="16" t="n">
        <v>58.52</v>
      </c>
    </row>
    <row r="169" customFormat="false" ht="15" hidden="false" customHeight="true" outlineLevel="0" collapsed="false">
      <c r="A169" s="13" t="n">
        <v>2026</v>
      </c>
      <c r="B169" s="13" t="s">
        <v>922</v>
      </c>
      <c r="C169" s="13" t="s">
        <v>918</v>
      </c>
      <c r="D169" s="13" t="s">
        <v>192</v>
      </c>
      <c r="E169" s="14" t="n">
        <v>6999</v>
      </c>
      <c r="F169" s="14" t="n">
        <v>3172</v>
      </c>
      <c r="G169" s="16" t="n">
        <v>45.32</v>
      </c>
    </row>
    <row r="170" customFormat="false" ht="15" hidden="false" customHeight="true" outlineLevel="0" collapsed="false">
      <c r="A170" s="13" t="n">
        <v>2026</v>
      </c>
      <c r="B170" s="13" t="s">
        <v>922</v>
      </c>
      <c r="C170" s="13" t="s">
        <v>919</v>
      </c>
      <c r="D170" s="13" t="s">
        <v>124</v>
      </c>
      <c r="E170" s="14" t="n">
        <v>1082</v>
      </c>
      <c r="F170" s="14" t="n">
        <v>435</v>
      </c>
      <c r="G170" s="16" t="n">
        <v>40.2</v>
      </c>
    </row>
    <row r="171" customFormat="false" ht="15" hidden="false" customHeight="true" outlineLevel="0" collapsed="false">
      <c r="A171" s="13" t="n">
        <v>2026</v>
      </c>
      <c r="B171" s="13" t="s">
        <v>922</v>
      </c>
      <c r="C171" s="13" t="s">
        <v>919</v>
      </c>
      <c r="D171" s="13" t="s">
        <v>122</v>
      </c>
      <c r="E171" s="14" t="n">
        <v>684</v>
      </c>
      <c r="F171" s="14" t="n">
        <v>343</v>
      </c>
      <c r="G171" s="16" t="n">
        <v>50.15</v>
      </c>
    </row>
    <row r="172" customFormat="false" ht="15" hidden="false" customHeight="true" outlineLevel="0" collapsed="false">
      <c r="A172" s="13" t="n">
        <v>2026</v>
      </c>
      <c r="B172" s="13" t="s">
        <v>922</v>
      </c>
      <c r="C172" s="13" t="s">
        <v>919</v>
      </c>
      <c r="D172" s="13" t="s">
        <v>192</v>
      </c>
      <c r="E172" s="14" t="n">
        <v>1766</v>
      </c>
      <c r="F172" s="14" t="n">
        <v>778</v>
      </c>
      <c r="G172" s="16" t="n">
        <v>44.05</v>
      </c>
    </row>
    <row r="173" customFormat="false" ht="15" hidden="false" customHeight="true" outlineLevel="0" collapsed="false">
      <c r="A173" s="13" t="n">
        <v>2026</v>
      </c>
      <c r="B173" s="13" t="s">
        <v>922</v>
      </c>
      <c r="C173" s="13" t="s">
        <v>920</v>
      </c>
      <c r="D173" s="13" t="s">
        <v>124</v>
      </c>
      <c r="E173" s="14" t="n">
        <v>104</v>
      </c>
      <c r="F173" s="14" t="n">
        <v>40</v>
      </c>
      <c r="G173" s="16" t="n">
        <v>38.46</v>
      </c>
    </row>
    <row r="174" customFormat="false" ht="15" hidden="false" customHeight="true" outlineLevel="0" collapsed="false">
      <c r="A174" s="13" t="n">
        <v>2026</v>
      </c>
      <c r="B174" s="13" t="s">
        <v>922</v>
      </c>
      <c r="C174" s="13" t="s">
        <v>920</v>
      </c>
      <c r="D174" s="13" t="s">
        <v>122</v>
      </c>
      <c r="E174" s="14" t="n">
        <v>26</v>
      </c>
      <c r="F174" s="14" t="n">
        <v>17</v>
      </c>
      <c r="G174" s="16" t="n">
        <v>65.38</v>
      </c>
    </row>
    <row r="175" customFormat="false" ht="15" hidden="false" customHeight="true" outlineLevel="0" collapsed="false">
      <c r="A175" s="13" t="n">
        <v>2026</v>
      </c>
      <c r="B175" s="13" t="s">
        <v>922</v>
      </c>
      <c r="C175" s="13" t="s">
        <v>920</v>
      </c>
      <c r="D175" s="13" t="s">
        <v>192</v>
      </c>
      <c r="E175" s="14" t="n">
        <v>130</v>
      </c>
      <c r="F175" s="14" t="n">
        <v>57</v>
      </c>
      <c r="G175" s="16" t="n">
        <v>43.85</v>
      </c>
    </row>
    <row r="176" customFormat="false" ht="15" hidden="false" customHeight="true" outlineLevel="0" collapsed="false">
      <c r="A176" s="13" t="n">
        <v>2026</v>
      </c>
      <c r="B176" s="13" t="s">
        <v>922</v>
      </c>
      <c r="C176" s="13" t="s">
        <v>921</v>
      </c>
      <c r="D176" s="13" t="s">
        <v>124</v>
      </c>
      <c r="E176" s="14" t="n">
        <v>0</v>
      </c>
      <c r="F176" s="14" t="n">
        <v>0</v>
      </c>
      <c r="G176" s="16" t="n">
        <v>0</v>
      </c>
    </row>
    <row r="177" customFormat="false" ht="15" hidden="false" customHeight="true" outlineLevel="0" collapsed="false">
      <c r="A177" s="13" t="n">
        <v>2026</v>
      </c>
      <c r="B177" s="13" t="s">
        <v>922</v>
      </c>
      <c r="C177" s="13" t="s">
        <v>921</v>
      </c>
      <c r="D177" s="13" t="s">
        <v>122</v>
      </c>
      <c r="E177" s="14" t="n">
        <v>0</v>
      </c>
      <c r="F177" s="14" t="n">
        <v>0</v>
      </c>
      <c r="G177" s="16" t="n">
        <v>0</v>
      </c>
    </row>
    <row r="178" customFormat="false" ht="15" hidden="false" customHeight="true" outlineLevel="0" collapsed="false">
      <c r="A178" s="13" t="n">
        <v>2026</v>
      </c>
      <c r="B178" s="13" t="s">
        <v>922</v>
      </c>
      <c r="C178" s="13" t="s">
        <v>921</v>
      </c>
      <c r="D178" s="13" t="s">
        <v>192</v>
      </c>
      <c r="E178" s="14" t="n">
        <v>0</v>
      </c>
      <c r="F178" s="14" t="n">
        <v>0</v>
      </c>
      <c r="G178" s="16" t="n">
        <v>0</v>
      </c>
    </row>
    <row r="179" customFormat="false" ht="15" hidden="false" customHeight="true" outlineLevel="0" collapsed="false">
      <c r="A179" s="13" t="n">
        <v>2026</v>
      </c>
      <c r="B179" s="13" t="s">
        <v>922</v>
      </c>
      <c r="C179" s="13" t="s">
        <v>923</v>
      </c>
      <c r="D179" s="13" t="s">
        <v>124</v>
      </c>
      <c r="E179" s="14" t="n">
        <v>2</v>
      </c>
      <c r="F179" s="14" t="n">
        <v>1</v>
      </c>
      <c r="G179" s="16" t="n">
        <v>50</v>
      </c>
    </row>
    <row r="180" customFormat="false" ht="15" hidden="false" customHeight="true" outlineLevel="0" collapsed="false">
      <c r="A180" s="13" t="n">
        <v>2026</v>
      </c>
      <c r="B180" s="13" t="s">
        <v>922</v>
      </c>
      <c r="C180" s="13" t="s">
        <v>923</v>
      </c>
      <c r="D180" s="13" t="s">
        <v>122</v>
      </c>
      <c r="E180" s="14" t="n">
        <v>0</v>
      </c>
      <c r="F180" s="14" t="n">
        <v>0</v>
      </c>
      <c r="G180" s="16" t="n">
        <v>0</v>
      </c>
    </row>
    <row r="181" customFormat="false" ht="15" hidden="false" customHeight="true" outlineLevel="0" collapsed="false">
      <c r="A181" s="13" t="n">
        <v>2026</v>
      </c>
      <c r="B181" s="13" t="s">
        <v>922</v>
      </c>
      <c r="C181" s="13" t="s">
        <v>923</v>
      </c>
      <c r="D181" s="13" t="s">
        <v>192</v>
      </c>
      <c r="E181" s="14" t="n">
        <v>2</v>
      </c>
      <c r="F181" s="14" t="n">
        <v>1</v>
      </c>
      <c r="G181" s="16" t="n">
        <v>50</v>
      </c>
    </row>
    <row r="182" customFormat="false" ht="15" hidden="false" customHeight="true" outlineLevel="0" collapsed="false">
      <c r="A182" s="13" t="n">
        <v>2026</v>
      </c>
      <c r="B182" s="13" t="s">
        <v>922</v>
      </c>
      <c r="C182" s="13" t="s">
        <v>753</v>
      </c>
      <c r="D182" s="13" t="s">
        <v>124</v>
      </c>
      <c r="E182" s="14" t="n">
        <v>5287</v>
      </c>
      <c r="F182" s="14" t="n">
        <v>1796</v>
      </c>
      <c r="G182" s="16" t="n">
        <v>33.97</v>
      </c>
    </row>
    <row r="183" customFormat="false" ht="15" hidden="false" customHeight="true" outlineLevel="0" collapsed="false">
      <c r="A183" s="13" t="n">
        <v>2026</v>
      </c>
      <c r="B183" s="13" t="s">
        <v>922</v>
      </c>
      <c r="C183" s="13" t="s">
        <v>753</v>
      </c>
      <c r="D183" s="13" t="s">
        <v>122</v>
      </c>
      <c r="E183" s="14" t="n">
        <v>5387</v>
      </c>
      <c r="F183" s="14" t="n">
        <v>2991</v>
      </c>
      <c r="G183" s="16" t="n">
        <v>55.52</v>
      </c>
    </row>
    <row r="184" customFormat="false" ht="15" hidden="false" customHeight="true" outlineLevel="0" collapsed="false">
      <c r="A184" s="13" t="n">
        <v>2026</v>
      </c>
      <c r="B184" s="13" t="s">
        <v>922</v>
      </c>
      <c r="C184" s="13" t="s">
        <v>753</v>
      </c>
      <c r="D184" s="13" t="s">
        <v>192</v>
      </c>
      <c r="E184" s="14" t="n">
        <v>10674</v>
      </c>
      <c r="F184" s="14" t="n">
        <v>4787</v>
      </c>
      <c r="G184" s="16" t="n">
        <v>44.85</v>
      </c>
    </row>
    <row r="185" customFormat="false" ht="15" hidden="false" customHeight="true" outlineLevel="0" collapsed="false">
      <c r="A185" s="13" t="n">
        <v>2026</v>
      </c>
      <c r="B185" s="13" t="s">
        <v>924</v>
      </c>
      <c r="C185" s="13" t="s">
        <v>916</v>
      </c>
      <c r="D185" s="13" t="s">
        <v>124</v>
      </c>
      <c r="E185" s="14" t="n">
        <v>3113</v>
      </c>
      <c r="F185" s="14" t="n">
        <v>2076</v>
      </c>
      <c r="G185" s="16" t="n">
        <v>66.69</v>
      </c>
    </row>
    <row r="186" customFormat="false" ht="15" hidden="false" customHeight="true" outlineLevel="0" collapsed="false">
      <c r="A186" s="13" t="n">
        <v>2026</v>
      </c>
      <c r="B186" s="13" t="s">
        <v>924</v>
      </c>
      <c r="C186" s="13" t="s">
        <v>916</v>
      </c>
      <c r="D186" s="13" t="s">
        <v>122</v>
      </c>
      <c r="E186" s="14" t="n">
        <v>8454</v>
      </c>
      <c r="F186" s="14" t="n">
        <v>6308</v>
      </c>
      <c r="G186" s="16" t="n">
        <v>74.62</v>
      </c>
    </row>
    <row r="187" customFormat="false" ht="15" hidden="false" customHeight="true" outlineLevel="0" collapsed="false">
      <c r="A187" s="13" t="n">
        <v>2026</v>
      </c>
      <c r="B187" s="13" t="s">
        <v>924</v>
      </c>
      <c r="C187" s="13" t="s">
        <v>916</v>
      </c>
      <c r="D187" s="13" t="s">
        <v>192</v>
      </c>
      <c r="E187" s="14" t="n">
        <v>11567</v>
      </c>
      <c r="F187" s="14" t="n">
        <v>8384</v>
      </c>
      <c r="G187" s="16" t="n">
        <v>72.48</v>
      </c>
    </row>
    <row r="188" customFormat="false" ht="15" hidden="false" customHeight="true" outlineLevel="0" collapsed="false">
      <c r="A188" s="13" t="n">
        <v>2026</v>
      </c>
      <c r="B188" s="13" t="s">
        <v>924</v>
      </c>
      <c r="C188" s="13" t="s">
        <v>917</v>
      </c>
      <c r="D188" s="13" t="s">
        <v>124</v>
      </c>
      <c r="E188" s="14" t="n">
        <v>1217</v>
      </c>
      <c r="F188" s="14" t="n">
        <v>903</v>
      </c>
      <c r="G188" s="16" t="n">
        <v>74.2</v>
      </c>
    </row>
    <row r="189" customFormat="false" ht="15" hidden="false" customHeight="true" outlineLevel="0" collapsed="false">
      <c r="A189" s="13" t="n">
        <v>2026</v>
      </c>
      <c r="B189" s="13" t="s">
        <v>924</v>
      </c>
      <c r="C189" s="13" t="s">
        <v>917</v>
      </c>
      <c r="D189" s="13" t="s">
        <v>122</v>
      </c>
      <c r="E189" s="14" t="n">
        <v>752</v>
      </c>
      <c r="F189" s="14" t="n">
        <v>613</v>
      </c>
      <c r="G189" s="16" t="n">
        <v>81.52</v>
      </c>
    </row>
    <row r="190" customFormat="false" ht="15" hidden="false" customHeight="true" outlineLevel="0" collapsed="false">
      <c r="A190" s="13" t="n">
        <v>2026</v>
      </c>
      <c r="B190" s="13" t="s">
        <v>924</v>
      </c>
      <c r="C190" s="13" t="s">
        <v>917</v>
      </c>
      <c r="D190" s="13" t="s">
        <v>192</v>
      </c>
      <c r="E190" s="14" t="n">
        <v>1969</v>
      </c>
      <c r="F190" s="14" t="n">
        <v>1516</v>
      </c>
      <c r="G190" s="16" t="n">
        <v>76.99</v>
      </c>
    </row>
    <row r="191" customFormat="false" ht="15" hidden="false" customHeight="true" outlineLevel="0" collapsed="false">
      <c r="A191" s="13" t="n">
        <v>2026</v>
      </c>
      <c r="B191" s="13" t="s">
        <v>924</v>
      </c>
      <c r="C191" s="13" t="s">
        <v>918</v>
      </c>
      <c r="D191" s="13" t="s">
        <v>124</v>
      </c>
      <c r="E191" s="14" t="n">
        <v>8012</v>
      </c>
      <c r="F191" s="14" t="n">
        <v>3158</v>
      </c>
      <c r="G191" s="16" t="n">
        <v>39.42</v>
      </c>
    </row>
    <row r="192" customFormat="false" ht="15" hidden="false" customHeight="true" outlineLevel="0" collapsed="false">
      <c r="A192" s="13" t="n">
        <v>2026</v>
      </c>
      <c r="B192" s="13" t="s">
        <v>924</v>
      </c>
      <c r="C192" s="13" t="s">
        <v>918</v>
      </c>
      <c r="D192" s="13" t="s">
        <v>122</v>
      </c>
      <c r="E192" s="14" t="n">
        <v>10032</v>
      </c>
      <c r="F192" s="14" t="n">
        <v>5956</v>
      </c>
      <c r="G192" s="16" t="n">
        <v>59.37</v>
      </c>
    </row>
    <row r="193" customFormat="false" ht="15" hidden="false" customHeight="true" outlineLevel="0" collapsed="false">
      <c r="A193" s="13" t="n">
        <v>2026</v>
      </c>
      <c r="B193" s="13" t="s">
        <v>924</v>
      </c>
      <c r="C193" s="13" t="s">
        <v>918</v>
      </c>
      <c r="D193" s="13" t="s">
        <v>192</v>
      </c>
      <c r="E193" s="14" t="n">
        <v>18044</v>
      </c>
      <c r="F193" s="14" t="n">
        <v>9114</v>
      </c>
      <c r="G193" s="16" t="n">
        <v>50.51</v>
      </c>
    </row>
    <row r="194" customFormat="false" ht="15" hidden="false" customHeight="true" outlineLevel="0" collapsed="false">
      <c r="A194" s="13" t="n">
        <v>2026</v>
      </c>
      <c r="B194" s="13" t="s">
        <v>924</v>
      </c>
      <c r="C194" s="13" t="s">
        <v>919</v>
      </c>
      <c r="D194" s="13" t="s">
        <v>124</v>
      </c>
      <c r="E194" s="14" t="n">
        <v>7366</v>
      </c>
      <c r="F194" s="14" t="n">
        <v>4479</v>
      </c>
      <c r="G194" s="16" t="n">
        <v>60.81</v>
      </c>
    </row>
    <row r="195" customFormat="false" ht="15" hidden="false" customHeight="true" outlineLevel="0" collapsed="false">
      <c r="A195" s="13" t="n">
        <v>2026</v>
      </c>
      <c r="B195" s="13" t="s">
        <v>924</v>
      </c>
      <c r="C195" s="13" t="s">
        <v>919</v>
      </c>
      <c r="D195" s="13" t="s">
        <v>122</v>
      </c>
      <c r="E195" s="14" t="n">
        <v>6834</v>
      </c>
      <c r="F195" s="14" t="n">
        <v>5067</v>
      </c>
      <c r="G195" s="16" t="n">
        <v>74.14</v>
      </c>
    </row>
    <row r="196" customFormat="false" ht="15" hidden="false" customHeight="true" outlineLevel="0" collapsed="false">
      <c r="A196" s="13" t="n">
        <v>2026</v>
      </c>
      <c r="B196" s="13" t="s">
        <v>924</v>
      </c>
      <c r="C196" s="13" t="s">
        <v>919</v>
      </c>
      <c r="D196" s="13" t="s">
        <v>192</v>
      </c>
      <c r="E196" s="14" t="n">
        <v>14200</v>
      </c>
      <c r="F196" s="14" t="n">
        <v>9546</v>
      </c>
      <c r="G196" s="16" t="n">
        <v>67.23</v>
      </c>
    </row>
    <row r="197" customFormat="false" ht="15" hidden="false" customHeight="true" outlineLevel="0" collapsed="false">
      <c r="A197" s="13" t="n">
        <v>2026</v>
      </c>
      <c r="B197" s="13" t="s">
        <v>924</v>
      </c>
      <c r="C197" s="13" t="s">
        <v>920</v>
      </c>
      <c r="D197" s="13" t="s">
        <v>124</v>
      </c>
      <c r="E197" s="14" t="n">
        <v>328</v>
      </c>
      <c r="F197" s="14" t="n">
        <v>184</v>
      </c>
      <c r="G197" s="16" t="n">
        <v>56.1</v>
      </c>
    </row>
    <row r="198" customFormat="false" ht="15" hidden="false" customHeight="true" outlineLevel="0" collapsed="false">
      <c r="A198" s="13" t="n">
        <v>2026</v>
      </c>
      <c r="B198" s="13" t="s">
        <v>924</v>
      </c>
      <c r="C198" s="13" t="s">
        <v>920</v>
      </c>
      <c r="D198" s="13" t="s">
        <v>122</v>
      </c>
      <c r="E198" s="14" t="n">
        <v>132</v>
      </c>
      <c r="F198" s="14" t="n">
        <v>120</v>
      </c>
      <c r="G198" s="16" t="n">
        <v>90.91</v>
      </c>
    </row>
    <row r="199" customFormat="false" ht="15" hidden="false" customHeight="true" outlineLevel="0" collapsed="false">
      <c r="A199" s="13" t="n">
        <v>2026</v>
      </c>
      <c r="B199" s="13" t="s">
        <v>924</v>
      </c>
      <c r="C199" s="13" t="s">
        <v>920</v>
      </c>
      <c r="D199" s="13" t="s">
        <v>192</v>
      </c>
      <c r="E199" s="14" t="n">
        <v>460</v>
      </c>
      <c r="F199" s="14" t="n">
        <v>304</v>
      </c>
      <c r="G199" s="16" t="n">
        <v>66.09</v>
      </c>
    </row>
    <row r="200" customFormat="false" ht="15" hidden="false" customHeight="true" outlineLevel="0" collapsed="false">
      <c r="A200" s="13" t="n">
        <v>2026</v>
      </c>
      <c r="B200" s="13" t="s">
        <v>924</v>
      </c>
      <c r="C200" s="13" t="s">
        <v>921</v>
      </c>
      <c r="D200" s="13" t="s">
        <v>124</v>
      </c>
      <c r="E200" s="14" t="n">
        <v>0</v>
      </c>
      <c r="F200" s="14" t="n">
        <v>0</v>
      </c>
      <c r="G200" s="16" t="n">
        <v>0</v>
      </c>
    </row>
    <row r="201" customFormat="false" ht="15" hidden="false" customHeight="true" outlineLevel="0" collapsed="false">
      <c r="A201" s="13" t="n">
        <v>2026</v>
      </c>
      <c r="B201" s="13" t="s">
        <v>924</v>
      </c>
      <c r="C201" s="13" t="s">
        <v>921</v>
      </c>
      <c r="D201" s="13" t="s">
        <v>122</v>
      </c>
      <c r="E201" s="14" t="n">
        <v>6</v>
      </c>
      <c r="F201" s="14" t="n">
        <v>3</v>
      </c>
      <c r="G201" s="16" t="n">
        <v>50</v>
      </c>
    </row>
    <row r="202" customFormat="false" ht="15" hidden="false" customHeight="true" outlineLevel="0" collapsed="false">
      <c r="A202" s="13" t="n">
        <v>2026</v>
      </c>
      <c r="B202" s="13" t="s">
        <v>924</v>
      </c>
      <c r="C202" s="13" t="s">
        <v>921</v>
      </c>
      <c r="D202" s="13" t="s">
        <v>192</v>
      </c>
      <c r="E202" s="14" t="n">
        <v>6</v>
      </c>
      <c r="F202" s="14" t="n">
        <v>3</v>
      </c>
      <c r="G202" s="16" t="n">
        <v>50</v>
      </c>
    </row>
    <row r="203" customFormat="false" ht="15" hidden="false" customHeight="true" outlineLevel="0" collapsed="false">
      <c r="A203" s="13" t="n">
        <v>2026</v>
      </c>
      <c r="B203" s="13" t="s">
        <v>924</v>
      </c>
      <c r="C203" s="13" t="s">
        <v>923</v>
      </c>
      <c r="D203" s="13" t="s">
        <v>124</v>
      </c>
      <c r="E203" s="14" t="n">
        <v>2</v>
      </c>
      <c r="F203" s="14" t="n">
        <v>1</v>
      </c>
      <c r="G203" s="16" t="n">
        <v>50</v>
      </c>
    </row>
    <row r="204" customFormat="false" ht="15" hidden="false" customHeight="true" outlineLevel="0" collapsed="false">
      <c r="A204" s="13" t="n">
        <v>2026</v>
      </c>
      <c r="B204" s="13" t="s">
        <v>924</v>
      </c>
      <c r="C204" s="13" t="s">
        <v>923</v>
      </c>
      <c r="D204" s="13" t="s">
        <v>122</v>
      </c>
      <c r="E204" s="14" t="n">
        <v>0</v>
      </c>
      <c r="F204" s="14" t="n">
        <v>0</v>
      </c>
      <c r="G204" s="16" t="n">
        <v>0</v>
      </c>
    </row>
    <row r="205" customFormat="false" ht="15" hidden="false" customHeight="true" outlineLevel="0" collapsed="false">
      <c r="A205" s="13" t="n">
        <v>2026</v>
      </c>
      <c r="B205" s="13" t="s">
        <v>924</v>
      </c>
      <c r="C205" s="13" t="s">
        <v>923</v>
      </c>
      <c r="D205" s="13" t="s">
        <v>192</v>
      </c>
      <c r="E205" s="14" t="n">
        <v>2</v>
      </c>
      <c r="F205" s="14" t="n">
        <v>1</v>
      </c>
      <c r="G205" s="16" t="n">
        <v>50</v>
      </c>
    </row>
    <row r="206" customFormat="false" ht="15" hidden="false" customHeight="true" outlineLevel="0" collapsed="false">
      <c r="A206" s="13" t="n">
        <v>2026</v>
      </c>
      <c r="B206" s="13" t="s">
        <v>924</v>
      </c>
      <c r="C206" s="13" t="s">
        <v>753</v>
      </c>
      <c r="D206" s="13" t="s">
        <v>124</v>
      </c>
      <c r="E206" s="14" t="n">
        <v>20038</v>
      </c>
      <c r="F206" s="14" t="n">
        <v>10801</v>
      </c>
      <c r="G206" s="16" t="n">
        <v>53.9</v>
      </c>
    </row>
    <row r="207" customFormat="false" ht="15" hidden="false" customHeight="true" outlineLevel="0" collapsed="false">
      <c r="A207" s="13" t="n">
        <v>2026</v>
      </c>
      <c r="B207" s="13" t="s">
        <v>924</v>
      </c>
      <c r="C207" s="13" t="s">
        <v>753</v>
      </c>
      <c r="D207" s="13" t="s">
        <v>122</v>
      </c>
      <c r="E207" s="14" t="n">
        <v>26210</v>
      </c>
      <c r="F207" s="14" t="n">
        <v>18067</v>
      </c>
      <c r="G207" s="16" t="n">
        <v>68.93</v>
      </c>
    </row>
    <row r="208" customFormat="false" ht="15" hidden="false" customHeight="true" outlineLevel="0" collapsed="false">
      <c r="A208" s="13" t="n">
        <v>2026</v>
      </c>
      <c r="B208" s="13" t="s">
        <v>924</v>
      </c>
      <c r="C208" s="13" t="s">
        <v>753</v>
      </c>
      <c r="D208" s="13" t="s">
        <v>192</v>
      </c>
      <c r="E208" s="14" t="n">
        <v>46248</v>
      </c>
      <c r="F208" s="14" t="n">
        <v>28868</v>
      </c>
      <c r="G208" s="16" t="n">
        <v>62.42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20"/>
    <col collapsed="false" customWidth="true" hidden="false" outlineLevel="0" max="3" min="3" style="13" width="36"/>
    <col collapsed="false" customWidth="true" hidden="false" outlineLevel="0" max="12" min="4" style="13" width="12"/>
  </cols>
  <sheetData>
    <row r="1" customFormat="false" ht="15" hidden="false" customHeight="true" outlineLevel="0" collapsed="false">
      <c r="A1" s="13" t="s">
        <v>925</v>
      </c>
    </row>
    <row r="2" customFormat="false" ht="15" hidden="false" customHeight="true" outlineLevel="0" collapsed="false">
      <c r="A2" s="13" t="s">
        <v>926</v>
      </c>
    </row>
    <row r="4" customFormat="false" ht="15" hidden="false" customHeight="true" outlineLevel="0" collapsed="false">
      <c r="A4" s="13" t="s">
        <v>3</v>
      </c>
      <c r="B4" s="13" t="s">
        <v>114</v>
      </c>
      <c r="C4" s="13" t="s">
        <v>141</v>
      </c>
      <c r="D4" s="13" t="s">
        <v>927</v>
      </c>
      <c r="E4" s="13" t="s">
        <v>928</v>
      </c>
      <c r="F4" s="13" t="s">
        <v>929</v>
      </c>
      <c r="G4" s="13" t="s">
        <v>930</v>
      </c>
      <c r="H4" s="13" t="s">
        <v>931</v>
      </c>
      <c r="I4" s="13" t="s">
        <v>932</v>
      </c>
      <c r="J4" s="13" t="s">
        <v>181</v>
      </c>
      <c r="K4" s="13" t="s">
        <v>570</v>
      </c>
      <c r="L4" s="13" t="s">
        <v>571</v>
      </c>
    </row>
    <row r="5" customFormat="false" ht="15" hidden="false" customHeight="true" outlineLevel="0" collapsed="false">
      <c r="A5" s="13" t="n">
        <v>2024</v>
      </c>
      <c r="B5" s="13" t="s">
        <v>916</v>
      </c>
      <c r="C5" s="13" t="s">
        <v>167</v>
      </c>
      <c r="D5" s="14" t="n">
        <v>12645</v>
      </c>
      <c r="E5" s="14" t="n">
        <v>10247</v>
      </c>
      <c r="F5" s="16" t="n">
        <v>81.04</v>
      </c>
      <c r="G5" s="14" t="n">
        <v>1801</v>
      </c>
      <c r="H5" s="14" t="n">
        <v>928</v>
      </c>
      <c r="I5" s="16" t="n">
        <v>51.53</v>
      </c>
      <c r="J5" s="14" t="n">
        <v>14446</v>
      </c>
      <c r="K5" s="14" t="n">
        <v>11175</v>
      </c>
      <c r="L5" s="16" t="n">
        <v>77.36</v>
      </c>
    </row>
    <row r="6" customFormat="false" ht="15" hidden="false" customHeight="true" outlineLevel="0" collapsed="false">
      <c r="A6" s="13" t="n">
        <v>2024</v>
      </c>
      <c r="B6" s="13" t="s">
        <v>916</v>
      </c>
      <c r="C6" s="13" t="s">
        <v>166</v>
      </c>
      <c r="D6" s="14" t="n">
        <v>12654</v>
      </c>
      <c r="E6" s="14" t="n">
        <v>10366</v>
      </c>
      <c r="F6" s="16" t="n">
        <v>81.92</v>
      </c>
      <c r="G6" s="14" t="n">
        <v>1905</v>
      </c>
      <c r="H6" s="14" t="n">
        <v>997</v>
      </c>
      <c r="I6" s="16" t="n">
        <v>52.34</v>
      </c>
      <c r="J6" s="14" t="n">
        <v>14559</v>
      </c>
      <c r="K6" s="14" t="n">
        <v>11363</v>
      </c>
      <c r="L6" s="16" t="n">
        <v>78.05</v>
      </c>
    </row>
    <row r="7" customFormat="false" ht="15" hidden="false" customHeight="true" outlineLevel="0" collapsed="false">
      <c r="A7" s="13" t="n">
        <v>2024</v>
      </c>
      <c r="B7" s="13" t="s">
        <v>916</v>
      </c>
      <c r="C7" s="13" t="s">
        <v>142</v>
      </c>
      <c r="D7" s="14" t="n">
        <v>12648</v>
      </c>
      <c r="E7" s="14" t="n">
        <v>12170</v>
      </c>
      <c r="F7" s="16" t="n">
        <v>96.22</v>
      </c>
      <c r="G7" s="14" t="n">
        <v>945</v>
      </c>
      <c r="H7" s="14" t="n">
        <v>790</v>
      </c>
      <c r="I7" s="16" t="n">
        <v>83.6</v>
      </c>
      <c r="J7" s="14" t="n">
        <v>13593</v>
      </c>
      <c r="K7" s="14" t="n">
        <v>12960</v>
      </c>
      <c r="L7" s="16" t="n">
        <v>95.34</v>
      </c>
    </row>
    <row r="8" customFormat="false" ht="15" hidden="false" customHeight="true" outlineLevel="0" collapsed="false">
      <c r="A8" s="13" t="n">
        <v>2024</v>
      </c>
      <c r="B8" s="13" t="s">
        <v>916</v>
      </c>
      <c r="C8" s="13" t="s">
        <v>143</v>
      </c>
      <c r="D8" s="14" t="n">
        <v>122</v>
      </c>
      <c r="E8" s="14" t="n">
        <v>122</v>
      </c>
      <c r="F8" s="16" t="n">
        <v>100</v>
      </c>
      <c r="G8" s="14" t="n">
        <v>0</v>
      </c>
      <c r="H8" s="14" t="n">
        <v>0</v>
      </c>
      <c r="I8" s="16" t="n">
        <v>0</v>
      </c>
      <c r="J8" s="14" t="n">
        <v>122</v>
      </c>
      <c r="K8" s="14" t="n">
        <v>122</v>
      </c>
      <c r="L8" s="16" t="n">
        <v>100</v>
      </c>
    </row>
    <row r="9" customFormat="false" ht="15" hidden="false" customHeight="true" outlineLevel="0" collapsed="false">
      <c r="A9" s="13" t="n">
        <v>2024</v>
      </c>
      <c r="B9" s="13" t="s">
        <v>916</v>
      </c>
      <c r="C9" s="13" t="s">
        <v>265</v>
      </c>
      <c r="D9" s="14" t="n">
        <v>17</v>
      </c>
      <c r="E9" s="14" t="n">
        <v>14</v>
      </c>
      <c r="F9" s="16" t="n">
        <v>82.35</v>
      </c>
      <c r="G9" s="14" t="n">
        <v>299</v>
      </c>
      <c r="H9" s="14" t="n">
        <v>295</v>
      </c>
      <c r="I9" s="16" t="n">
        <v>98.66</v>
      </c>
      <c r="J9" s="14" t="n">
        <v>316</v>
      </c>
      <c r="K9" s="14" t="n">
        <v>309</v>
      </c>
      <c r="L9" s="16" t="n">
        <v>97.78</v>
      </c>
    </row>
    <row r="10" customFormat="false" ht="15" hidden="false" customHeight="true" outlineLevel="0" collapsed="false">
      <c r="A10" s="13" t="n">
        <v>2024</v>
      </c>
      <c r="B10" s="13" t="s">
        <v>916</v>
      </c>
      <c r="C10" s="13" t="s">
        <v>149</v>
      </c>
      <c r="D10" s="14" t="n">
        <v>12633</v>
      </c>
      <c r="E10" s="14" t="n">
        <v>12619</v>
      </c>
      <c r="F10" s="16" t="n">
        <v>99.89</v>
      </c>
      <c r="G10" s="14" t="n">
        <v>272</v>
      </c>
      <c r="H10" s="14" t="n">
        <v>269</v>
      </c>
      <c r="I10" s="16" t="n">
        <v>98.9</v>
      </c>
      <c r="J10" s="14" t="n">
        <v>12905</v>
      </c>
      <c r="K10" s="14" t="n">
        <v>12888</v>
      </c>
      <c r="L10" s="16" t="n">
        <v>99.87</v>
      </c>
    </row>
    <row r="11" customFormat="false" ht="15" hidden="false" customHeight="true" outlineLevel="0" collapsed="false">
      <c r="A11" s="13" t="n">
        <v>2024</v>
      </c>
      <c r="B11" s="13" t="s">
        <v>916</v>
      </c>
      <c r="C11" s="13" t="s">
        <v>145</v>
      </c>
      <c r="D11" s="14" t="n">
        <v>5</v>
      </c>
      <c r="E11" s="14" t="n">
        <v>5</v>
      </c>
      <c r="F11" s="16" t="n">
        <v>100</v>
      </c>
      <c r="G11" s="14" t="n">
        <v>0</v>
      </c>
      <c r="H11" s="14" t="n">
        <v>0</v>
      </c>
      <c r="I11" s="16" t="n">
        <v>0</v>
      </c>
      <c r="J11" s="14" t="n">
        <v>5</v>
      </c>
      <c r="K11" s="14" t="n">
        <v>5</v>
      </c>
      <c r="L11" s="16" t="n">
        <v>100</v>
      </c>
    </row>
    <row r="12" customFormat="false" ht="15" hidden="false" customHeight="true" outlineLevel="0" collapsed="false">
      <c r="A12" s="13" t="n">
        <v>2024</v>
      </c>
      <c r="B12" s="13" t="s">
        <v>916</v>
      </c>
      <c r="C12" s="13" t="s">
        <v>165</v>
      </c>
      <c r="D12" s="14" t="n">
        <v>12643</v>
      </c>
      <c r="E12" s="14" t="n">
        <v>11076</v>
      </c>
      <c r="F12" s="16" t="n">
        <v>87.61</v>
      </c>
      <c r="G12" s="14" t="n">
        <v>1446</v>
      </c>
      <c r="H12" s="14" t="n">
        <v>900</v>
      </c>
      <c r="I12" s="16" t="n">
        <v>62.24</v>
      </c>
      <c r="J12" s="14" t="n">
        <v>14089</v>
      </c>
      <c r="K12" s="14" t="n">
        <v>11976</v>
      </c>
      <c r="L12" s="16" t="n">
        <v>85</v>
      </c>
    </row>
    <row r="13" customFormat="false" ht="15" hidden="false" customHeight="true" outlineLevel="0" collapsed="false">
      <c r="A13" s="13" t="n">
        <v>2024</v>
      </c>
      <c r="B13" s="13" t="s">
        <v>916</v>
      </c>
      <c r="C13" s="13" t="s">
        <v>933</v>
      </c>
      <c r="D13" s="14" t="n">
        <v>12483</v>
      </c>
      <c r="E13" s="14" t="n">
        <v>12473</v>
      </c>
      <c r="F13" s="16" t="n">
        <v>99.92</v>
      </c>
      <c r="G13" s="14" t="n">
        <v>50</v>
      </c>
      <c r="H13" s="14" t="n">
        <v>44</v>
      </c>
      <c r="I13" s="16" t="n">
        <v>88</v>
      </c>
      <c r="J13" s="14" t="n">
        <v>12533</v>
      </c>
      <c r="K13" s="14" t="n">
        <v>12517</v>
      </c>
      <c r="L13" s="16" t="n">
        <v>99.87</v>
      </c>
    </row>
    <row r="14" customFormat="false" ht="15" hidden="false" customHeight="true" outlineLevel="0" collapsed="false">
      <c r="A14" s="13" t="n">
        <v>2024</v>
      </c>
      <c r="B14" s="13" t="s">
        <v>916</v>
      </c>
      <c r="C14" s="13" t="s">
        <v>410</v>
      </c>
      <c r="D14" s="14" t="n">
        <v>12633</v>
      </c>
      <c r="E14" s="14" t="n">
        <v>12585</v>
      </c>
      <c r="F14" s="16" t="n">
        <v>99.62</v>
      </c>
      <c r="G14" s="14" t="n">
        <v>725</v>
      </c>
      <c r="H14" s="14" t="n">
        <v>699</v>
      </c>
      <c r="I14" s="16" t="n">
        <v>96.41</v>
      </c>
      <c r="J14" s="14" t="n">
        <v>13358</v>
      </c>
      <c r="K14" s="14" t="n">
        <v>13284</v>
      </c>
      <c r="L14" s="16" t="n">
        <v>99.45</v>
      </c>
    </row>
    <row r="15" customFormat="false" ht="15" hidden="false" customHeight="true" outlineLevel="0" collapsed="false">
      <c r="A15" s="13" t="n">
        <v>2024</v>
      </c>
      <c r="B15" s="13" t="s">
        <v>917</v>
      </c>
      <c r="C15" s="13" t="s">
        <v>166</v>
      </c>
      <c r="D15" s="14" t="n">
        <v>2785</v>
      </c>
      <c r="E15" s="14" t="n">
        <v>2197</v>
      </c>
      <c r="F15" s="16" t="n">
        <v>78.89</v>
      </c>
      <c r="G15" s="14" t="n">
        <v>424</v>
      </c>
      <c r="H15" s="14" t="n">
        <v>194</v>
      </c>
      <c r="I15" s="16" t="n">
        <v>45.75</v>
      </c>
      <c r="J15" s="14" t="n">
        <v>3209</v>
      </c>
      <c r="K15" s="14" t="n">
        <v>2621</v>
      </c>
      <c r="L15" s="16" t="n">
        <v>81.68</v>
      </c>
    </row>
    <row r="16" customFormat="false" ht="15" hidden="false" customHeight="true" outlineLevel="0" collapsed="false">
      <c r="A16" s="13" t="n">
        <v>2024</v>
      </c>
      <c r="B16" s="13" t="s">
        <v>917</v>
      </c>
      <c r="C16" s="13" t="s">
        <v>142</v>
      </c>
      <c r="D16" s="14" t="n">
        <v>2784</v>
      </c>
      <c r="E16" s="14" t="n">
        <v>2658</v>
      </c>
      <c r="F16" s="16" t="n">
        <v>95.47</v>
      </c>
      <c r="G16" s="14" t="n">
        <v>161</v>
      </c>
      <c r="H16" s="14" t="n">
        <v>117</v>
      </c>
      <c r="I16" s="16" t="n">
        <v>72.67</v>
      </c>
      <c r="J16" s="14" t="n">
        <v>2945</v>
      </c>
      <c r="K16" s="14" t="n">
        <v>2819</v>
      </c>
      <c r="L16" s="16" t="n">
        <v>95.72</v>
      </c>
    </row>
    <row r="17" customFormat="false" ht="15" hidden="false" customHeight="true" outlineLevel="0" collapsed="false">
      <c r="A17" s="13" t="n">
        <v>2024</v>
      </c>
      <c r="B17" s="13" t="s">
        <v>917</v>
      </c>
      <c r="C17" s="13" t="s">
        <v>143</v>
      </c>
      <c r="D17" s="14" t="n">
        <v>3</v>
      </c>
      <c r="E17" s="14" t="n">
        <v>3</v>
      </c>
      <c r="F17" s="16" t="n">
        <v>100</v>
      </c>
      <c r="G17" s="14" t="n">
        <v>0</v>
      </c>
      <c r="H17" s="14" t="n">
        <v>0</v>
      </c>
      <c r="I17" s="16" t="n">
        <v>0</v>
      </c>
      <c r="J17" s="14" t="n">
        <v>3</v>
      </c>
      <c r="K17" s="14" t="n">
        <v>3</v>
      </c>
      <c r="L17" s="16" t="n">
        <v>100</v>
      </c>
    </row>
    <row r="18" customFormat="false" ht="15" hidden="false" customHeight="true" outlineLevel="0" collapsed="false">
      <c r="A18" s="13" t="n">
        <v>2024</v>
      </c>
      <c r="B18" s="13" t="s">
        <v>917</v>
      </c>
      <c r="C18" s="13" t="s">
        <v>265</v>
      </c>
      <c r="D18" s="14" t="n">
        <v>4</v>
      </c>
      <c r="E18" s="14" t="n">
        <v>4</v>
      </c>
      <c r="F18" s="16" t="n">
        <v>100</v>
      </c>
      <c r="G18" s="14" t="n">
        <v>90</v>
      </c>
      <c r="H18" s="14" t="n">
        <v>88</v>
      </c>
      <c r="I18" s="16" t="n">
        <v>97.78</v>
      </c>
      <c r="J18" s="14" t="n">
        <v>94</v>
      </c>
      <c r="K18" s="14" t="n">
        <v>94</v>
      </c>
      <c r="L18" s="16" t="n">
        <v>100</v>
      </c>
    </row>
    <row r="19" customFormat="false" ht="15" hidden="false" customHeight="true" outlineLevel="0" collapsed="false">
      <c r="A19" s="13" t="n">
        <v>2024</v>
      </c>
      <c r="B19" s="13" t="s">
        <v>917</v>
      </c>
      <c r="C19" s="13" t="s">
        <v>156</v>
      </c>
      <c r="D19" s="14" t="n">
        <v>2776</v>
      </c>
      <c r="E19" s="14" t="n">
        <v>2259</v>
      </c>
      <c r="F19" s="16" t="n">
        <v>81.38</v>
      </c>
      <c r="G19" s="14" t="n">
        <v>469</v>
      </c>
      <c r="H19" s="14" t="n">
        <v>205</v>
      </c>
      <c r="I19" s="16" t="n">
        <v>43.71</v>
      </c>
      <c r="J19" s="14" t="n">
        <v>3245</v>
      </c>
      <c r="K19" s="14" t="n">
        <v>2728</v>
      </c>
      <c r="L19" s="16" t="n">
        <v>84.07</v>
      </c>
    </row>
    <row r="20" customFormat="false" ht="15" hidden="false" customHeight="true" outlineLevel="0" collapsed="false">
      <c r="A20" s="13" t="n">
        <v>2024</v>
      </c>
      <c r="B20" s="13" t="s">
        <v>917</v>
      </c>
      <c r="C20" s="13" t="s">
        <v>149</v>
      </c>
      <c r="D20" s="14" t="n">
        <v>2778</v>
      </c>
      <c r="E20" s="14" t="n">
        <v>2766</v>
      </c>
      <c r="F20" s="16" t="n">
        <v>99.57</v>
      </c>
      <c r="G20" s="14" t="n">
        <v>79</v>
      </c>
      <c r="H20" s="14" t="n">
        <v>78</v>
      </c>
      <c r="I20" s="16" t="n">
        <v>98.73</v>
      </c>
      <c r="J20" s="14" t="n">
        <v>2857</v>
      </c>
      <c r="K20" s="14" t="n">
        <v>2845</v>
      </c>
      <c r="L20" s="16" t="n">
        <v>99.58</v>
      </c>
    </row>
    <row r="21" customFormat="false" ht="15" hidden="false" customHeight="true" outlineLevel="0" collapsed="false">
      <c r="A21" s="13" t="n">
        <v>2024</v>
      </c>
      <c r="B21" s="13" t="s">
        <v>917</v>
      </c>
      <c r="C21" s="13" t="s">
        <v>165</v>
      </c>
      <c r="D21" s="14" t="n">
        <v>2778</v>
      </c>
      <c r="E21" s="14" t="n">
        <v>2451</v>
      </c>
      <c r="F21" s="16" t="n">
        <v>88.23</v>
      </c>
      <c r="G21" s="14" t="n">
        <v>221</v>
      </c>
      <c r="H21" s="14" t="n">
        <v>113</v>
      </c>
      <c r="I21" s="16" t="n">
        <v>51.13</v>
      </c>
      <c r="J21" s="14" t="n">
        <v>2999</v>
      </c>
      <c r="K21" s="14" t="n">
        <v>2672</v>
      </c>
      <c r="L21" s="16" t="n">
        <v>89.1</v>
      </c>
    </row>
    <row r="22" customFormat="false" ht="15" hidden="false" customHeight="true" outlineLevel="0" collapsed="false">
      <c r="A22" s="13" t="n">
        <v>2024</v>
      </c>
      <c r="B22" s="13" t="s">
        <v>917</v>
      </c>
      <c r="C22" s="13" t="s">
        <v>933</v>
      </c>
      <c r="D22" s="14" t="n">
        <v>2776</v>
      </c>
      <c r="E22" s="14" t="n">
        <v>2773</v>
      </c>
      <c r="F22" s="16" t="n">
        <v>99.89</v>
      </c>
      <c r="G22" s="14" t="n">
        <v>15</v>
      </c>
      <c r="H22" s="14" t="n">
        <v>13</v>
      </c>
      <c r="I22" s="16" t="n">
        <v>86.67</v>
      </c>
      <c r="J22" s="14" t="n">
        <v>2791</v>
      </c>
      <c r="K22" s="14" t="n">
        <v>2788</v>
      </c>
      <c r="L22" s="16" t="n">
        <v>99.89</v>
      </c>
    </row>
    <row r="23" customFormat="false" ht="15" hidden="false" customHeight="true" outlineLevel="0" collapsed="false">
      <c r="A23" s="13" t="n">
        <v>2024</v>
      </c>
      <c r="B23" s="13" t="s">
        <v>917</v>
      </c>
      <c r="C23" s="13" t="s">
        <v>410</v>
      </c>
      <c r="D23" s="14" t="n">
        <v>2781</v>
      </c>
      <c r="E23" s="14" t="n">
        <v>2762</v>
      </c>
      <c r="F23" s="16" t="n">
        <v>99.32</v>
      </c>
      <c r="G23" s="14" t="n">
        <v>140</v>
      </c>
      <c r="H23" s="14" t="n">
        <v>129</v>
      </c>
      <c r="I23" s="16" t="n">
        <v>92.14</v>
      </c>
      <c r="J23" s="14" t="n">
        <v>2921</v>
      </c>
      <c r="K23" s="14" t="n">
        <v>2902</v>
      </c>
      <c r="L23" s="16" t="n">
        <v>99.35</v>
      </c>
    </row>
    <row r="24" customFormat="false" ht="15" hidden="false" customHeight="true" outlineLevel="0" collapsed="false">
      <c r="A24" s="13" t="n">
        <v>2024</v>
      </c>
      <c r="B24" s="13" t="s">
        <v>919</v>
      </c>
      <c r="C24" s="13" t="s">
        <v>170</v>
      </c>
      <c r="D24" s="14" t="n">
        <v>8419</v>
      </c>
      <c r="E24" s="14" t="n">
        <v>7146</v>
      </c>
      <c r="F24" s="16" t="n">
        <v>84.88</v>
      </c>
      <c r="G24" s="14" t="n">
        <v>378</v>
      </c>
      <c r="H24" s="14" t="n">
        <v>165</v>
      </c>
      <c r="I24" s="16" t="n">
        <v>43.65</v>
      </c>
      <c r="J24" s="14" t="n">
        <v>8797</v>
      </c>
      <c r="K24" s="14" t="n">
        <v>7524</v>
      </c>
      <c r="L24" s="16" t="n">
        <v>85.53</v>
      </c>
    </row>
    <row r="25" customFormat="false" ht="15" hidden="false" customHeight="true" outlineLevel="0" collapsed="false">
      <c r="A25" s="13" t="n">
        <v>2024</v>
      </c>
      <c r="B25" s="13" t="s">
        <v>919</v>
      </c>
      <c r="C25" s="13" t="s">
        <v>152</v>
      </c>
      <c r="D25" s="14" t="n">
        <v>2268</v>
      </c>
      <c r="E25" s="14" t="n">
        <v>2035</v>
      </c>
      <c r="F25" s="16" t="n">
        <v>89.73</v>
      </c>
      <c r="G25" s="14" t="n">
        <v>61</v>
      </c>
      <c r="H25" s="14" t="n">
        <v>35</v>
      </c>
      <c r="I25" s="16" t="n">
        <v>57.38</v>
      </c>
      <c r="J25" s="14" t="n">
        <v>2329</v>
      </c>
      <c r="K25" s="14" t="n">
        <v>2096</v>
      </c>
      <c r="L25" s="16" t="n">
        <v>90</v>
      </c>
    </row>
    <row r="26" customFormat="false" ht="15" hidden="false" customHeight="true" outlineLevel="0" collapsed="false">
      <c r="A26" s="13" t="n">
        <v>2024</v>
      </c>
      <c r="B26" s="13" t="s">
        <v>919</v>
      </c>
      <c r="C26" s="13" t="s">
        <v>142</v>
      </c>
      <c r="D26" s="14" t="n">
        <v>8478</v>
      </c>
      <c r="E26" s="14" t="n">
        <v>7231</v>
      </c>
      <c r="F26" s="16" t="n">
        <v>85.29</v>
      </c>
      <c r="G26" s="14" t="n">
        <v>499</v>
      </c>
      <c r="H26" s="14" t="n">
        <v>202</v>
      </c>
      <c r="I26" s="16" t="n">
        <v>40.48</v>
      </c>
      <c r="J26" s="14" t="n">
        <v>8977</v>
      </c>
      <c r="K26" s="14" t="n">
        <v>7730</v>
      </c>
      <c r="L26" s="16" t="n">
        <v>86.11</v>
      </c>
    </row>
    <row r="27" customFormat="false" ht="15" hidden="false" customHeight="true" outlineLevel="0" collapsed="false">
      <c r="A27" s="13" t="n">
        <v>2024</v>
      </c>
      <c r="B27" s="13" t="s">
        <v>919</v>
      </c>
      <c r="C27" s="13" t="s">
        <v>143</v>
      </c>
      <c r="D27" s="14" t="n">
        <v>18</v>
      </c>
      <c r="E27" s="14" t="n">
        <v>18</v>
      </c>
      <c r="F27" s="16" t="n">
        <v>100</v>
      </c>
      <c r="G27" s="14" t="n">
        <v>0</v>
      </c>
      <c r="H27" s="14" t="n">
        <v>0</v>
      </c>
      <c r="I27" s="16" t="n">
        <v>0</v>
      </c>
      <c r="J27" s="14" t="n">
        <v>18</v>
      </c>
      <c r="K27" s="14" t="n">
        <v>18</v>
      </c>
      <c r="L27" s="16" t="n">
        <v>100</v>
      </c>
    </row>
    <row r="28" customFormat="false" ht="15" hidden="false" customHeight="true" outlineLevel="0" collapsed="false">
      <c r="A28" s="13" t="n">
        <v>2024</v>
      </c>
      <c r="B28" s="13" t="s">
        <v>919</v>
      </c>
      <c r="C28" s="13" t="s">
        <v>265</v>
      </c>
      <c r="D28" s="14" t="n">
        <v>15</v>
      </c>
      <c r="E28" s="14" t="n">
        <v>14</v>
      </c>
      <c r="F28" s="16" t="n">
        <v>93.33</v>
      </c>
      <c r="G28" s="14" t="n">
        <v>99</v>
      </c>
      <c r="H28" s="14" t="n">
        <v>98</v>
      </c>
      <c r="I28" s="16" t="n">
        <v>98.99</v>
      </c>
      <c r="J28" s="14" t="n">
        <v>114</v>
      </c>
      <c r="K28" s="14" t="n">
        <v>113</v>
      </c>
      <c r="L28" s="16" t="n">
        <v>99.12</v>
      </c>
    </row>
    <row r="29" customFormat="false" ht="15" hidden="false" customHeight="true" outlineLevel="0" collapsed="false">
      <c r="A29" s="13" t="n">
        <v>2024</v>
      </c>
      <c r="B29" s="13" t="s">
        <v>919</v>
      </c>
      <c r="C29" s="13" t="s">
        <v>156</v>
      </c>
      <c r="D29" s="14" t="n">
        <v>8455</v>
      </c>
      <c r="E29" s="14" t="n">
        <v>4736</v>
      </c>
      <c r="F29" s="16" t="n">
        <v>56.01</v>
      </c>
      <c r="G29" s="14" t="n">
        <v>1380</v>
      </c>
      <c r="H29" s="14" t="n">
        <v>383</v>
      </c>
      <c r="I29" s="16" t="n">
        <v>27.75</v>
      </c>
      <c r="J29" s="14" t="n">
        <v>9835</v>
      </c>
      <c r="K29" s="14" t="n">
        <v>6116</v>
      </c>
      <c r="L29" s="16" t="n">
        <v>62.19</v>
      </c>
    </row>
    <row r="30" customFormat="false" ht="15" hidden="false" customHeight="true" outlineLevel="0" collapsed="false">
      <c r="A30" s="13" t="n">
        <v>2024</v>
      </c>
      <c r="B30" s="13" t="s">
        <v>919</v>
      </c>
      <c r="C30" s="13" t="s">
        <v>149</v>
      </c>
      <c r="D30" s="14" t="n">
        <v>8469</v>
      </c>
      <c r="E30" s="14" t="n">
        <v>8419</v>
      </c>
      <c r="F30" s="16" t="n">
        <v>99.41</v>
      </c>
      <c r="G30" s="14" t="n">
        <v>95</v>
      </c>
      <c r="H30" s="14" t="n">
        <v>93</v>
      </c>
      <c r="I30" s="16" t="n">
        <v>97.89</v>
      </c>
      <c r="J30" s="14" t="n">
        <v>8564</v>
      </c>
      <c r="K30" s="14" t="n">
        <v>8514</v>
      </c>
      <c r="L30" s="16" t="n">
        <v>99.42</v>
      </c>
    </row>
    <row r="31" customFormat="false" ht="15" hidden="false" customHeight="true" outlineLevel="0" collapsed="false">
      <c r="A31" s="13" t="n">
        <v>2024</v>
      </c>
      <c r="B31" s="13" t="s">
        <v>919</v>
      </c>
      <c r="C31" s="13" t="s">
        <v>165</v>
      </c>
      <c r="D31" s="14" t="n">
        <v>5868</v>
      </c>
      <c r="E31" s="14" t="n">
        <v>4058</v>
      </c>
      <c r="F31" s="16" t="n">
        <v>69.15</v>
      </c>
      <c r="G31" s="14" t="n">
        <v>589</v>
      </c>
      <c r="H31" s="14" t="n">
        <v>207</v>
      </c>
      <c r="I31" s="16" t="n">
        <v>35.14</v>
      </c>
      <c r="J31" s="14" t="n">
        <v>6457</v>
      </c>
      <c r="K31" s="14" t="n">
        <v>4647</v>
      </c>
      <c r="L31" s="16" t="n">
        <v>71.97</v>
      </c>
    </row>
    <row r="32" customFormat="false" ht="15" hidden="false" customHeight="true" outlineLevel="0" collapsed="false">
      <c r="A32" s="13" t="n">
        <v>2024</v>
      </c>
      <c r="B32" s="13" t="s">
        <v>919</v>
      </c>
      <c r="C32" s="13" t="s">
        <v>155</v>
      </c>
      <c r="D32" s="14" t="n">
        <v>357</v>
      </c>
      <c r="E32" s="14" t="n">
        <v>287</v>
      </c>
      <c r="F32" s="16" t="n">
        <v>80.39</v>
      </c>
      <c r="G32" s="14" t="n">
        <v>21</v>
      </c>
      <c r="H32" s="14" t="n">
        <v>6</v>
      </c>
      <c r="I32" s="16" t="n">
        <v>28.57</v>
      </c>
      <c r="J32" s="14" t="n">
        <v>378</v>
      </c>
      <c r="K32" s="14" t="n">
        <v>308</v>
      </c>
      <c r="L32" s="16" t="n">
        <v>81.48</v>
      </c>
    </row>
    <row r="33" customFormat="false" ht="15" hidden="false" customHeight="true" outlineLevel="0" collapsed="false">
      <c r="A33" s="13" t="n">
        <v>2024</v>
      </c>
      <c r="B33" s="13" t="s">
        <v>919</v>
      </c>
      <c r="C33" s="13" t="s">
        <v>933</v>
      </c>
      <c r="D33" s="14" t="n">
        <v>8448</v>
      </c>
      <c r="E33" s="14" t="n">
        <v>8433</v>
      </c>
      <c r="F33" s="16" t="n">
        <v>99.82</v>
      </c>
      <c r="G33" s="14" t="n">
        <v>34</v>
      </c>
      <c r="H33" s="14" t="n">
        <v>27</v>
      </c>
      <c r="I33" s="16" t="n">
        <v>79.41</v>
      </c>
      <c r="J33" s="14" t="n">
        <v>8482</v>
      </c>
      <c r="K33" s="14" t="n">
        <v>8467</v>
      </c>
      <c r="L33" s="16" t="n">
        <v>99.82</v>
      </c>
    </row>
    <row r="34" customFormat="false" ht="15" hidden="false" customHeight="true" outlineLevel="0" collapsed="false">
      <c r="A34" s="13" t="n">
        <v>2024</v>
      </c>
      <c r="B34" s="13" t="s">
        <v>919</v>
      </c>
      <c r="C34" s="13" t="s">
        <v>410</v>
      </c>
      <c r="D34" s="14" t="n">
        <v>8475</v>
      </c>
      <c r="E34" s="14" t="n">
        <v>8361</v>
      </c>
      <c r="F34" s="16" t="n">
        <v>98.65</v>
      </c>
      <c r="G34" s="14" t="n">
        <v>169</v>
      </c>
      <c r="H34" s="14" t="n">
        <v>138</v>
      </c>
      <c r="I34" s="16" t="n">
        <v>81.66</v>
      </c>
      <c r="J34" s="14" t="n">
        <v>8644</v>
      </c>
      <c r="K34" s="14" t="n">
        <v>8530</v>
      </c>
      <c r="L34" s="16" t="n">
        <v>98.68</v>
      </c>
    </row>
    <row r="35" customFormat="false" ht="15" hidden="false" customHeight="true" outlineLevel="0" collapsed="false">
      <c r="A35" s="13" t="n">
        <v>2024</v>
      </c>
      <c r="B35" s="13" t="s">
        <v>920</v>
      </c>
      <c r="C35" s="13" t="s">
        <v>225</v>
      </c>
      <c r="D35" s="14" t="n">
        <v>458</v>
      </c>
      <c r="E35" s="14" t="n">
        <v>453</v>
      </c>
      <c r="F35" s="16" t="n">
        <v>98.91</v>
      </c>
      <c r="G35" s="14" t="n">
        <v>87</v>
      </c>
      <c r="H35" s="14" t="n">
        <v>75</v>
      </c>
      <c r="I35" s="16" t="n">
        <v>86.21</v>
      </c>
      <c r="J35" s="14" t="n">
        <v>545</v>
      </c>
      <c r="K35" s="14" t="n">
        <v>540</v>
      </c>
      <c r="L35" s="16" t="n">
        <v>99.08</v>
      </c>
    </row>
    <row r="36" customFormat="false" ht="15" hidden="false" customHeight="true" outlineLevel="0" collapsed="false">
      <c r="A36" s="13" t="n">
        <v>2024</v>
      </c>
      <c r="B36" s="13" t="s">
        <v>920</v>
      </c>
      <c r="C36" s="13" t="s">
        <v>585</v>
      </c>
      <c r="D36" s="14" t="n">
        <v>458</v>
      </c>
      <c r="E36" s="14" t="n">
        <v>409</v>
      </c>
      <c r="F36" s="16" t="n">
        <v>89.3</v>
      </c>
      <c r="G36" s="14" t="n">
        <v>108</v>
      </c>
      <c r="H36" s="14" t="n">
        <v>76</v>
      </c>
      <c r="I36" s="16" t="n">
        <v>70.37</v>
      </c>
      <c r="J36" s="14" t="n">
        <v>566</v>
      </c>
      <c r="K36" s="14" t="n">
        <v>517</v>
      </c>
      <c r="L36" s="16" t="n">
        <v>91.34</v>
      </c>
    </row>
    <row r="37" customFormat="false" ht="15" hidden="false" customHeight="true" outlineLevel="0" collapsed="false">
      <c r="A37" s="13" t="n">
        <v>2024</v>
      </c>
      <c r="B37" s="13" t="s">
        <v>920</v>
      </c>
      <c r="C37" s="13" t="s">
        <v>229</v>
      </c>
      <c r="D37" s="14" t="n">
        <v>458</v>
      </c>
      <c r="E37" s="14" t="n">
        <v>409</v>
      </c>
      <c r="F37" s="16" t="n">
        <v>89.3</v>
      </c>
      <c r="G37" s="14" t="n">
        <v>108</v>
      </c>
      <c r="H37" s="14" t="n">
        <v>76</v>
      </c>
      <c r="I37" s="16" t="n">
        <v>70.37</v>
      </c>
      <c r="J37" s="14" t="n">
        <v>566</v>
      </c>
      <c r="K37" s="14" t="n">
        <v>517</v>
      </c>
      <c r="L37" s="16" t="n">
        <v>91.34</v>
      </c>
    </row>
    <row r="38" customFormat="false" ht="15" hidden="false" customHeight="true" outlineLevel="0" collapsed="false">
      <c r="A38" s="13" t="n">
        <v>2024</v>
      </c>
      <c r="B38" s="13" t="s">
        <v>920</v>
      </c>
      <c r="C38" s="13" t="s">
        <v>236</v>
      </c>
      <c r="D38" s="14" t="n">
        <v>457</v>
      </c>
      <c r="E38" s="14" t="n">
        <v>450</v>
      </c>
      <c r="F38" s="16" t="n">
        <v>98.47</v>
      </c>
      <c r="G38" s="14" t="n">
        <v>101</v>
      </c>
      <c r="H38" s="14" t="n">
        <v>86</v>
      </c>
      <c r="I38" s="16" t="n">
        <v>85.15</v>
      </c>
      <c r="J38" s="14" t="n">
        <v>558</v>
      </c>
      <c r="K38" s="14" t="n">
        <v>551</v>
      </c>
      <c r="L38" s="16" t="n">
        <v>98.75</v>
      </c>
    </row>
    <row r="39" customFormat="false" ht="15" hidden="false" customHeight="true" outlineLevel="0" collapsed="false">
      <c r="A39" s="13" t="n">
        <v>2024</v>
      </c>
      <c r="B39" s="13" t="s">
        <v>920</v>
      </c>
      <c r="C39" s="13" t="s">
        <v>142</v>
      </c>
      <c r="D39" s="14" t="n">
        <v>458</v>
      </c>
      <c r="E39" s="14" t="n">
        <v>316</v>
      </c>
      <c r="F39" s="16" t="n">
        <v>69</v>
      </c>
      <c r="G39" s="14" t="n">
        <v>225</v>
      </c>
      <c r="H39" s="14" t="n">
        <v>67</v>
      </c>
      <c r="I39" s="16" t="n">
        <v>29.78</v>
      </c>
      <c r="J39" s="14" t="n">
        <v>683</v>
      </c>
      <c r="K39" s="14" t="n">
        <v>541</v>
      </c>
      <c r="L39" s="16" t="n">
        <v>79.21</v>
      </c>
    </row>
    <row r="40" customFormat="false" ht="15" hidden="false" customHeight="true" outlineLevel="0" collapsed="false">
      <c r="A40" s="13" t="n">
        <v>2024</v>
      </c>
      <c r="B40" s="13" t="s">
        <v>920</v>
      </c>
      <c r="C40" s="13" t="s">
        <v>143</v>
      </c>
      <c r="D40" s="14" t="n">
        <v>6</v>
      </c>
      <c r="E40" s="14" t="n">
        <v>6</v>
      </c>
      <c r="F40" s="16" t="n">
        <v>100</v>
      </c>
      <c r="G40" s="14" t="n">
        <v>0</v>
      </c>
      <c r="H40" s="14" t="n">
        <v>0</v>
      </c>
      <c r="I40" s="16" t="n">
        <v>0</v>
      </c>
      <c r="J40" s="14" t="n">
        <v>6</v>
      </c>
      <c r="K40" s="14" t="n">
        <v>6</v>
      </c>
      <c r="L40" s="16" t="n">
        <v>100</v>
      </c>
    </row>
    <row r="41" customFormat="false" ht="15" hidden="false" customHeight="true" outlineLevel="0" collapsed="false">
      <c r="A41" s="13" t="n">
        <v>2024</v>
      </c>
      <c r="B41" s="13" t="s">
        <v>920</v>
      </c>
      <c r="C41" s="13" t="s">
        <v>265</v>
      </c>
      <c r="D41" s="14" t="n">
        <v>7</v>
      </c>
      <c r="E41" s="14" t="n">
        <v>6</v>
      </c>
      <c r="F41" s="16" t="n">
        <v>85.71</v>
      </c>
      <c r="G41" s="14" t="n">
        <v>43</v>
      </c>
      <c r="H41" s="14" t="n">
        <v>36</v>
      </c>
      <c r="I41" s="16" t="n">
        <v>83.72</v>
      </c>
      <c r="J41" s="14" t="n">
        <v>50</v>
      </c>
      <c r="K41" s="14" t="n">
        <v>49</v>
      </c>
      <c r="L41" s="16" t="n">
        <v>98</v>
      </c>
    </row>
    <row r="42" customFormat="false" ht="15" hidden="false" customHeight="true" outlineLevel="0" collapsed="false">
      <c r="A42" s="13" t="n">
        <v>2024</v>
      </c>
      <c r="B42" s="13" t="s">
        <v>920</v>
      </c>
      <c r="C42" s="13" t="s">
        <v>149</v>
      </c>
      <c r="D42" s="14" t="n">
        <v>456</v>
      </c>
      <c r="E42" s="14" t="n">
        <v>451</v>
      </c>
      <c r="F42" s="16" t="n">
        <v>98.9</v>
      </c>
      <c r="G42" s="14" t="n">
        <v>85</v>
      </c>
      <c r="H42" s="14" t="n">
        <v>79</v>
      </c>
      <c r="I42" s="16" t="n">
        <v>92.94</v>
      </c>
      <c r="J42" s="14" t="n">
        <v>541</v>
      </c>
      <c r="K42" s="14" t="n">
        <v>536</v>
      </c>
      <c r="L42" s="16" t="n">
        <v>99.08</v>
      </c>
    </row>
    <row r="43" customFormat="false" ht="15" hidden="false" customHeight="true" outlineLevel="0" collapsed="false">
      <c r="A43" s="13" t="n">
        <v>2024</v>
      </c>
      <c r="B43" s="13" t="s">
        <v>920</v>
      </c>
      <c r="C43" s="13" t="s">
        <v>477</v>
      </c>
      <c r="D43" s="14" t="n">
        <v>458</v>
      </c>
      <c r="E43" s="14" t="n">
        <v>443</v>
      </c>
      <c r="F43" s="16" t="n">
        <v>96.72</v>
      </c>
      <c r="G43" s="14" t="n">
        <v>108</v>
      </c>
      <c r="H43" s="14" t="n">
        <v>69</v>
      </c>
      <c r="I43" s="16" t="n">
        <v>63.89</v>
      </c>
      <c r="J43" s="14" t="n">
        <v>566</v>
      </c>
      <c r="K43" s="14" t="n">
        <v>551</v>
      </c>
      <c r="L43" s="16" t="n">
        <v>97.35</v>
      </c>
    </row>
    <row r="44" customFormat="false" ht="15" hidden="false" customHeight="true" outlineLevel="0" collapsed="false">
      <c r="A44" s="13" t="n">
        <v>2024</v>
      </c>
      <c r="B44" s="13" t="s">
        <v>920</v>
      </c>
      <c r="C44" s="13" t="s">
        <v>285</v>
      </c>
      <c r="D44" s="14" t="n">
        <v>457</v>
      </c>
      <c r="E44" s="14" t="n">
        <v>450</v>
      </c>
      <c r="F44" s="16" t="n">
        <v>98.47</v>
      </c>
      <c r="G44" s="14" t="n">
        <v>101</v>
      </c>
      <c r="H44" s="14" t="n">
        <v>86</v>
      </c>
      <c r="I44" s="16" t="n">
        <v>85.15</v>
      </c>
      <c r="J44" s="14" t="n">
        <v>558</v>
      </c>
      <c r="K44" s="14" t="n">
        <v>551</v>
      </c>
      <c r="L44" s="16" t="n">
        <v>98.75</v>
      </c>
    </row>
    <row r="45" customFormat="false" ht="15" hidden="false" customHeight="true" outlineLevel="0" collapsed="false">
      <c r="A45" s="13" t="n">
        <v>2024</v>
      </c>
      <c r="B45" s="13" t="s">
        <v>920</v>
      </c>
      <c r="C45" s="13" t="s">
        <v>933</v>
      </c>
      <c r="D45" s="14" t="n">
        <v>451</v>
      </c>
      <c r="E45" s="14" t="n">
        <v>448</v>
      </c>
      <c r="F45" s="16" t="n">
        <v>99.33</v>
      </c>
      <c r="G45" s="14" t="n">
        <v>79</v>
      </c>
      <c r="H45" s="14" t="n">
        <v>66</v>
      </c>
      <c r="I45" s="16" t="n">
        <v>83.54</v>
      </c>
      <c r="J45" s="14" t="n">
        <v>530</v>
      </c>
      <c r="K45" s="14" t="n">
        <v>527</v>
      </c>
      <c r="L45" s="16" t="n">
        <v>99.43</v>
      </c>
    </row>
    <row r="46" customFormat="false" ht="15" hidden="false" customHeight="true" outlineLevel="0" collapsed="false">
      <c r="A46" s="13" t="n">
        <v>2024</v>
      </c>
      <c r="B46" s="13" t="s">
        <v>920</v>
      </c>
      <c r="C46" s="13" t="s">
        <v>410</v>
      </c>
      <c r="D46" s="14" t="n">
        <v>457</v>
      </c>
      <c r="E46" s="14" t="n">
        <v>439</v>
      </c>
      <c r="F46" s="16" t="n">
        <v>96.06</v>
      </c>
      <c r="G46" s="14" t="n">
        <v>122</v>
      </c>
      <c r="H46" s="14" t="n">
        <v>71</v>
      </c>
      <c r="I46" s="16" t="n">
        <v>58.2</v>
      </c>
      <c r="J46" s="14" t="n">
        <v>579</v>
      </c>
      <c r="K46" s="14" t="n">
        <v>561</v>
      </c>
      <c r="L46" s="16" t="n">
        <v>96.89</v>
      </c>
    </row>
    <row r="47" customFormat="false" ht="15" hidden="false" customHeight="true" outlineLevel="0" collapsed="false">
      <c r="A47" s="13" t="n">
        <v>2024</v>
      </c>
      <c r="B47" s="13" t="s">
        <v>921</v>
      </c>
      <c r="C47" s="13" t="s">
        <v>538</v>
      </c>
      <c r="D47" s="14" t="n">
        <v>6</v>
      </c>
      <c r="E47" s="14" t="n">
        <v>6</v>
      </c>
      <c r="F47" s="16" t="n">
        <v>100</v>
      </c>
      <c r="G47" s="14" t="n">
        <v>0</v>
      </c>
      <c r="H47" s="14" t="n">
        <v>0</v>
      </c>
      <c r="I47" s="16" t="n">
        <v>0</v>
      </c>
      <c r="J47" s="14" t="n">
        <v>6</v>
      </c>
      <c r="K47" s="14" t="n">
        <v>6</v>
      </c>
      <c r="L47" s="16" t="n">
        <v>100</v>
      </c>
    </row>
    <row r="48" customFormat="false" ht="15" hidden="false" customHeight="true" outlineLevel="0" collapsed="false">
      <c r="A48" s="13" t="n">
        <v>2024</v>
      </c>
      <c r="B48" s="13" t="s">
        <v>921</v>
      </c>
      <c r="C48" s="13" t="s">
        <v>579</v>
      </c>
      <c r="D48" s="14" t="n">
        <v>6</v>
      </c>
      <c r="E48" s="14" t="n">
        <v>6</v>
      </c>
      <c r="F48" s="16" t="n">
        <v>100</v>
      </c>
      <c r="G48" s="14" t="n">
        <v>0</v>
      </c>
      <c r="H48" s="14" t="n">
        <v>0</v>
      </c>
      <c r="I48" s="16" t="n">
        <v>0</v>
      </c>
      <c r="J48" s="14" t="n">
        <v>6</v>
      </c>
      <c r="K48" s="14" t="n">
        <v>6</v>
      </c>
      <c r="L48" s="16" t="n">
        <v>100</v>
      </c>
    </row>
    <row r="49" customFormat="false" ht="15" hidden="false" customHeight="true" outlineLevel="0" collapsed="false">
      <c r="A49" s="13" t="n">
        <v>2024</v>
      </c>
      <c r="B49" s="13" t="s">
        <v>921</v>
      </c>
      <c r="C49" s="13" t="s">
        <v>142</v>
      </c>
      <c r="D49" s="14" t="n">
        <v>6</v>
      </c>
      <c r="E49" s="14" t="n">
        <v>5</v>
      </c>
      <c r="F49" s="16" t="n">
        <v>83.33</v>
      </c>
      <c r="G49" s="14" t="n">
        <v>0</v>
      </c>
      <c r="H49" s="14" t="n">
        <v>0</v>
      </c>
      <c r="I49" s="16" t="n">
        <v>0</v>
      </c>
      <c r="J49" s="14" t="n">
        <v>6</v>
      </c>
      <c r="K49" s="14" t="n">
        <v>5</v>
      </c>
      <c r="L49" s="16" t="n">
        <v>83.33</v>
      </c>
    </row>
    <row r="50" customFormat="false" ht="15" hidden="false" customHeight="true" outlineLevel="0" collapsed="false">
      <c r="A50" s="13" t="n">
        <v>2024</v>
      </c>
      <c r="B50" s="13" t="s">
        <v>921</v>
      </c>
      <c r="C50" s="13" t="s">
        <v>148</v>
      </c>
      <c r="D50" s="14" t="n">
        <v>6</v>
      </c>
      <c r="E50" s="14" t="n">
        <v>6</v>
      </c>
      <c r="F50" s="16" t="n">
        <v>100</v>
      </c>
      <c r="G50" s="14" t="n">
        <v>0</v>
      </c>
      <c r="H50" s="14" t="n">
        <v>0</v>
      </c>
      <c r="I50" s="16" t="n">
        <v>0</v>
      </c>
      <c r="J50" s="14" t="n">
        <v>6</v>
      </c>
      <c r="K50" s="14" t="n">
        <v>6</v>
      </c>
      <c r="L50" s="16" t="n">
        <v>100</v>
      </c>
    </row>
    <row r="51" customFormat="false" ht="15" hidden="false" customHeight="true" outlineLevel="0" collapsed="false">
      <c r="A51" s="13" t="n">
        <v>2024</v>
      </c>
      <c r="B51" s="13" t="s">
        <v>921</v>
      </c>
      <c r="C51" s="13" t="s">
        <v>149</v>
      </c>
      <c r="D51" s="14" t="n">
        <v>6</v>
      </c>
      <c r="E51" s="14" t="n">
        <v>6</v>
      </c>
      <c r="F51" s="16" t="n">
        <v>100</v>
      </c>
      <c r="G51" s="14" t="n">
        <v>0</v>
      </c>
      <c r="H51" s="14" t="n">
        <v>0</v>
      </c>
      <c r="I51" s="16" t="n">
        <v>0</v>
      </c>
      <c r="J51" s="14" t="n">
        <v>6</v>
      </c>
      <c r="K51" s="14" t="n">
        <v>6</v>
      </c>
      <c r="L51" s="16" t="n">
        <v>100</v>
      </c>
    </row>
    <row r="52" customFormat="false" ht="15" hidden="false" customHeight="true" outlineLevel="0" collapsed="false">
      <c r="A52" s="13" t="n">
        <v>2024</v>
      </c>
      <c r="B52" s="13" t="s">
        <v>921</v>
      </c>
      <c r="C52" s="13" t="s">
        <v>933</v>
      </c>
      <c r="D52" s="14" t="n">
        <v>6</v>
      </c>
      <c r="E52" s="14" t="n">
        <v>6</v>
      </c>
      <c r="F52" s="16" t="n">
        <v>100</v>
      </c>
      <c r="G52" s="14" t="n">
        <v>0</v>
      </c>
      <c r="H52" s="14" t="n">
        <v>0</v>
      </c>
      <c r="I52" s="16" t="n">
        <v>0</v>
      </c>
      <c r="J52" s="14" t="n">
        <v>6</v>
      </c>
      <c r="K52" s="14" t="n">
        <v>6</v>
      </c>
      <c r="L52" s="16" t="n">
        <v>100</v>
      </c>
    </row>
    <row r="53" customFormat="false" ht="15" hidden="false" customHeight="true" outlineLevel="0" collapsed="false">
      <c r="A53" s="13" t="n">
        <v>2024</v>
      </c>
      <c r="B53" s="13" t="s">
        <v>921</v>
      </c>
      <c r="C53" s="13" t="s">
        <v>410</v>
      </c>
      <c r="D53" s="14" t="n">
        <v>6</v>
      </c>
      <c r="E53" s="14" t="n">
        <v>5</v>
      </c>
      <c r="F53" s="16" t="n">
        <v>83.33</v>
      </c>
      <c r="G53" s="14" t="n">
        <v>0</v>
      </c>
      <c r="H53" s="14" t="n">
        <v>0</v>
      </c>
      <c r="I53" s="16" t="n">
        <v>0</v>
      </c>
      <c r="J53" s="14" t="n">
        <v>6</v>
      </c>
      <c r="K53" s="14" t="n">
        <v>5</v>
      </c>
      <c r="L53" s="16" t="n">
        <v>83.33</v>
      </c>
    </row>
    <row r="54" customFormat="false" ht="15" hidden="false" customHeight="true" outlineLevel="0" collapsed="false">
      <c r="A54" s="13" t="n">
        <v>2024</v>
      </c>
      <c r="B54" s="13" t="s">
        <v>923</v>
      </c>
      <c r="C54" s="13" t="s">
        <v>142</v>
      </c>
      <c r="D54" s="14" t="n">
        <v>0</v>
      </c>
      <c r="E54" s="14" t="n">
        <v>0</v>
      </c>
      <c r="F54" s="16" t="n">
        <v>0</v>
      </c>
      <c r="G54" s="14" t="n">
        <v>2</v>
      </c>
      <c r="H54" s="14" t="n">
        <v>2</v>
      </c>
      <c r="I54" s="16" t="n">
        <v>100</v>
      </c>
      <c r="J54" s="14" t="n">
        <v>2</v>
      </c>
      <c r="K54" s="14" t="n">
        <v>2</v>
      </c>
      <c r="L54" s="16" t="n">
        <v>100</v>
      </c>
    </row>
    <row r="55" customFormat="false" ht="15" hidden="false" customHeight="true" outlineLevel="0" collapsed="false">
      <c r="A55" s="13" t="n">
        <v>2024</v>
      </c>
      <c r="B55" s="13" t="s">
        <v>923</v>
      </c>
      <c r="C55" s="13" t="s">
        <v>265</v>
      </c>
      <c r="D55" s="14" t="n">
        <v>0</v>
      </c>
      <c r="E55" s="14" t="n">
        <v>0</v>
      </c>
      <c r="F55" s="16" t="n">
        <v>0</v>
      </c>
      <c r="G55" s="14" t="n">
        <v>2</v>
      </c>
      <c r="H55" s="14" t="n">
        <v>2</v>
      </c>
      <c r="I55" s="16" t="n">
        <v>100</v>
      </c>
      <c r="J55" s="14" t="n">
        <v>2</v>
      </c>
      <c r="K55" s="14" t="n">
        <v>2</v>
      </c>
      <c r="L55" s="16" t="n">
        <v>100</v>
      </c>
    </row>
    <row r="56" customFormat="false" ht="15" hidden="false" customHeight="true" outlineLevel="0" collapsed="false">
      <c r="A56" s="13" t="n">
        <v>2024</v>
      </c>
      <c r="B56" s="13" t="s">
        <v>923</v>
      </c>
      <c r="C56" s="13" t="s">
        <v>410</v>
      </c>
      <c r="D56" s="14" t="n">
        <v>0</v>
      </c>
      <c r="E56" s="14" t="n">
        <v>0</v>
      </c>
      <c r="F56" s="16" t="n">
        <v>0</v>
      </c>
      <c r="G56" s="14" t="n">
        <v>2</v>
      </c>
      <c r="H56" s="14" t="n">
        <v>2</v>
      </c>
      <c r="I56" s="16" t="n">
        <v>100</v>
      </c>
      <c r="J56" s="14" t="n">
        <v>2</v>
      </c>
      <c r="K56" s="14" t="n">
        <v>2</v>
      </c>
      <c r="L56" s="16" t="n">
        <v>100</v>
      </c>
    </row>
    <row r="57" customFormat="false" ht="15" hidden="false" customHeight="true" outlineLevel="0" collapsed="false">
      <c r="A57" s="13" t="n">
        <v>2024</v>
      </c>
      <c r="B57" s="13" t="s">
        <v>918</v>
      </c>
      <c r="C57" s="13" t="s">
        <v>162</v>
      </c>
      <c r="D57" s="14" t="n">
        <v>489</v>
      </c>
      <c r="E57" s="14" t="n">
        <v>455</v>
      </c>
      <c r="F57" s="16" t="n">
        <v>93.05</v>
      </c>
      <c r="G57" s="14" t="n">
        <v>475</v>
      </c>
      <c r="H57" s="14" t="n">
        <v>421</v>
      </c>
      <c r="I57" s="16" t="n">
        <v>88.63</v>
      </c>
      <c r="J57" s="14" t="n">
        <v>964</v>
      </c>
      <c r="K57" s="14" t="n">
        <v>930</v>
      </c>
      <c r="L57" s="16" t="n">
        <v>96.47</v>
      </c>
    </row>
    <row r="58" customFormat="false" ht="15" hidden="false" customHeight="true" outlineLevel="0" collapsed="false">
      <c r="A58" s="13" t="n">
        <v>2024</v>
      </c>
      <c r="B58" s="13" t="s">
        <v>918</v>
      </c>
      <c r="C58" s="13" t="s">
        <v>154</v>
      </c>
      <c r="D58" s="14" t="n">
        <v>2796</v>
      </c>
      <c r="E58" s="14" t="n">
        <v>2566</v>
      </c>
      <c r="F58" s="16" t="n">
        <v>91.77</v>
      </c>
      <c r="G58" s="14" t="n">
        <v>2122</v>
      </c>
      <c r="H58" s="14" t="n">
        <v>1837</v>
      </c>
      <c r="I58" s="16" t="n">
        <v>86.57</v>
      </c>
      <c r="J58" s="14" t="n">
        <v>4918</v>
      </c>
      <c r="K58" s="14" t="n">
        <v>4688</v>
      </c>
      <c r="L58" s="16" t="n">
        <v>95.32</v>
      </c>
    </row>
    <row r="59" customFormat="false" ht="15" hidden="false" customHeight="true" outlineLevel="0" collapsed="false">
      <c r="A59" s="13" t="n">
        <v>2024</v>
      </c>
      <c r="B59" s="13" t="s">
        <v>918</v>
      </c>
      <c r="C59" s="13" t="s">
        <v>170</v>
      </c>
      <c r="D59" s="14" t="n">
        <v>4469</v>
      </c>
      <c r="E59" s="14" t="n">
        <v>2566</v>
      </c>
      <c r="F59" s="16" t="n">
        <v>57.42</v>
      </c>
      <c r="G59" s="14" t="n">
        <v>677</v>
      </c>
      <c r="H59" s="14" t="n">
        <v>126</v>
      </c>
      <c r="I59" s="16" t="n">
        <v>18.61</v>
      </c>
      <c r="J59" s="14" t="n">
        <v>5146</v>
      </c>
      <c r="K59" s="14" t="n">
        <v>3243</v>
      </c>
      <c r="L59" s="16" t="n">
        <v>63.02</v>
      </c>
    </row>
    <row r="60" customFormat="false" ht="15" hidden="false" customHeight="true" outlineLevel="0" collapsed="false">
      <c r="A60" s="13" t="n">
        <v>2024</v>
      </c>
      <c r="B60" s="13" t="s">
        <v>918</v>
      </c>
      <c r="C60" s="13" t="s">
        <v>152</v>
      </c>
      <c r="D60" s="14" t="n">
        <v>2383</v>
      </c>
      <c r="E60" s="14" t="n">
        <v>2001</v>
      </c>
      <c r="F60" s="16" t="n">
        <v>83.97</v>
      </c>
      <c r="G60" s="14" t="n">
        <v>686</v>
      </c>
      <c r="H60" s="14" t="n">
        <v>499</v>
      </c>
      <c r="I60" s="16" t="n">
        <v>72.74</v>
      </c>
      <c r="J60" s="14" t="n">
        <v>3069</v>
      </c>
      <c r="K60" s="14" t="n">
        <v>2687</v>
      </c>
      <c r="L60" s="16" t="n">
        <v>87.55</v>
      </c>
    </row>
    <row r="61" customFormat="false" ht="15" hidden="false" customHeight="true" outlineLevel="0" collapsed="false">
      <c r="A61" s="13" t="n">
        <v>2024</v>
      </c>
      <c r="B61" s="13" t="s">
        <v>918</v>
      </c>
      <c r="C61" s="13" t="s">
        <v>150</v>
      </c>
      <c r="D61" s="14" t="n">
        <v>3192</v>
      </c>
      <c r="E61" s="14" t="n">
        <v>2822</v>
      </c>
      <c r="F61" s="16" t="n">
        <v>88.41</v>
      </c>
      <c r="G61" s="14" t="n">
        <v>3591</v>
      </c>
      <c r="H61" s="14" t="n">
        <v>2880</v>
      </c>
      <c r="I61" s="16" t="n">
        <v>80.2</v>
      </c>
      <c r="J61" s="14" t="n">
        <v>6783</v>
      </c>
      <c r="K61" s="14" t="n">
        <v>6413</v>
      </c>
      <c r="L61" s="16" t="n">
        <v>94.55</v>
      </c>
    </row>
    <row r="62" customFormat="false" ht="15" hidden="false" customHeight="true" outlineLevel="0" collapsed="false">
      <c r="A62" s="13" t="n">
        <v>2024</v>
      </c>
      <c r="B62" s="13" t="s">
        <v>918</v>
      </c>
      <c r="C62" s="13" t="s">
        <v>142</v>
      </c>
      <c r="D62" s="14" t="n">
        <v>8633</v>
      </c>
      <c r="E62" s="14" t="n">
        <v>4548</v>
      </c>
      <c r="F62" s="16" t="n">
        <v>52.68</v>
      </c>
      <c r="G62" s="14" t="n">
        <v>7036</v>
      </c>
      <c r="H62" s="14" t="n">
        <v>2461</v>
      </c>
      <c r="I62" s="16" t="n">
        <v>34.98</v>
      </c>
      <c r="J62" s="14" t="n">
        <v>15669</v>
      </c>
      <c r="K62" s="14" t="n">
        <v>11584</v>
      </c>
      <c r="L62" s="16" t="n">
        <v>73.93</v>
      </c>
    </row>
    <row r="63" customFormat="false" ht="15" hidden="false" customHeight="true" outlineLevel="0" collapsed="false">
      <c r="A63" s="13" t="n">
        <v>2024</v>
      </c>
      <c r="B63" s="13" t="s">
        <v>918</v>
      </c>
      <c r="C63" s="13" t="s">
        <v>505</v>
      </c>
      <c r="D63" s="14" t="n">
        <v>7</v>
      </c>
      <c r="E63" s="14" t="n">
        <v>7</v>
      </c>
      <c r="F63" s="16" t="n">
        <v>100</v>
      </c>
      <c r="G63" s="14" t="n">
        <v>9</v>
      </c>
      <c r="H63" s="14" t="n">
        <v>6</v>
      </c>
      <c r="I63" s="16" t="n">
        <v>66.67</v>
      </c>
      <c r="J63" s="14" t="n">
        <v>16</v>
      </c>
      <c r="K63" s="14" t="n">
        <v>16</v>
      </c>
      <c r="L63" s="16" t="n">
        <v>100</v>
      </c>
    </row>
    <row r="64" customFormat="false" ht="15" hidden="false" customHeight="true" outlineLevel="0" collapsed="false">
      <c r="A64" s="13" t="n">
        <v>2024</v>
      </c>
      <c r="B64" s="13" t="s">
        <v>918</v>
      </c>
      <c r="C64" s="13" t="s">
        <v>143</v>
      </c>
      <c r="D64" s="14" t="n">
        <v>39</v>
      </c>
      <c r="E64" s="14" t="n">
        <v>38</v>
      </c>
      <c r="F64" s="16" t="n">
        <v>97.44</v>
      </c>
      <c r="G64" s="14" t="n">
        <v>17</v>
      </c>
      <c r="H64" s="14" t="n">
        <v>16</v>
      </c>
      <c r="I64" s="16" t="n">
        <v>94.12</v>
      </c>
      <c r="J64" s="14" t="n">
        <v>56</v>
      </c>
      <c r="K64" s="14" t="n">
        <v>55</v>
      </c>
      <c r="L64" s="16" t="n">
        <v>98.21</v>
      </c>
    </row>
    <row r="65" customFormat="false" ht="15" hidden="false" customHeight="true" outlineLevel="0" collapsed="false">
      <c r="A65" s="13" t="n">
        <v>2024</v>
      </c>
      <c r="B65" s="13" t="s">
        <v>918</v>
      </c>
      <c r="C65" s="13" t="s">
        <v>507</v>
      </c>
      <c r="D65" s="14" t="n">
        <v>32</v>
      </c>
      <c r="E65" s="14" t="n">
        <v>31</v>
      </c>
      <c r="F65" s="16" t="n">
        <v>96.88</v>
      </c>
      <c r="G65" s="14" t="n">
        <v>0</v>
      </c>
      <c r="H65" s="14" t="n">
        <v>0</v>
      </c>
      <c r="I65" s="16" t="n">
        <v>0</v>
      </c>
      <c r="J65" s="14" t="n">
        <v>32</v>
      </c>
      <c r="K65" s="14" t="n">
        <v>31</v>
      </c>
      <c r="L65" s="16" t="n">
        <v>96.88</v>
      </c>
    </row>
    <row r="66" customFormat="false" ht="15" hidden="false" customHeight="true" outlineLevel="0" collapsed="false">
      <c r="A66" s="13" t="n">
        <v>2024</v>
      </c>
      <c r="B66" s="13" t="s">
        <v>918</v>
      </c>
      <c r="C66" s="13" t="s">
        <v>161</v>
      </c>
      <c r="D66" s="14" t="n">
        <v>652</v>
      </c>
      <c r="E66" s="14" t="n">
        <v>649</v>
      </c>
      <c r="F66" s="16" t="n">
        <v>99.54</v>
      </c>
      <c r="G66" s="14" t="n">
        <v>1</v>
      </c>
      <c r="H66" s="14" t="n">
        <v>1</v>
      </c>
      <c r="I66" s="16" t="n">
        <v>100</v>
      </c>
      <c r="J66" s="14" t="n">
        <v>653</v>
      </c>
      <c r="K66" s="14" t="n">
        <v>650</v>
      </c>
      <c r="L66" s="16" t="n">
        <v>99.54</v>
      </c>
    </row>
    <row r="67" customFormat="false" ht="15" hidden="false" customHeight="true" outlineLevel="0" collapsed="false">
      <c r="A67" s="13" t="n">
        <v>2024</v>
      </c>
      <c r="B67" s="13" t="s">
        <v>918</v>
      </c>
      <c r="C67" s="13" t="s">
        <v>158</v>
      </c>
      <c r="D67" s="14" t="n">
        <v>4221</v>
      </c>
      <c r="E67" s="14" t="n">
        <v>4174</v>
      </c>
      <c r="F67" s="16" t="n">
        <v>98.89</v>
      </c>
      <c r="G67" s="14" t="n">
        <v>25</v>
      </c>
      <c r="H67" s="14" t="n">
        <v>19</v>
      </c>
      <c r="I67" s="16" t="n">
        <v>76</v>
      </c>
      <c r="J67" s="14" t="n">
        <v>4246</v>
      </c>
      <c r="K67" s="14" t="n">
        <v>4199</v>
      </c>
      <c r="L67" s="16" t="n">
        <v>98.89</v>
      </c>
    </row>
    <row r="68" customFormat="false" ht="15" hidden="false" customHeight="true" outlineLevel="0" collapsed="false">
      <c r="A68" s="13" t="n">
        <v>2024</v>
      </c>
      <c r="B68" s="13" t="s">
        <v>918</v>
      </c>
      <c r="C68" s="13" t="s">
        <v>581</v>
      </c>
      <c r="D68" s="14" t="n">
        <v>28</v>
      </c>
      <c r="E68" s="14" t="n">
        <v>28</v>
      </c>
      <c r="F68" s="16" t="n">
        <v>100</v>
      </c>
      <c r="G68" s="14" t="n">
        <v>6</v>
      </c>
      <c r="H68" s="14" t="n">
        <v>6</v>
      </c>
      <c r="I68" s="16" t="n">
        <v>100</v>
      </c>
      <c r="J68" s="14" t="n">
        <v>34</v>
      </c>
      <c r="K68" s="14" t="n">
        <v>34</v>
      </c>
      <c r="L68" s="16" t="n">
        <v>100</v>
      </c>
    </row>
    <row r="69" customFormat="false" ht="15" hidden="false" customHeight="true" outlineLevel="0" collapsed="false">
      <c r="A69" s="13" t="n">
        <v>2024</v>
      </c>
      <c r="B69" s="13" t="s">
        <v>918</v>
      </c>
      <c r="C69" s="13" t="s">
        <v>415</v>
      </c>
      <c r="D69" s="14" t="n">
        <v>400</v>
      </c>
      <c r="E69" s="14" t="n">
        <v>362</v>
      </c>
      <c r="F69" s="16" t="n">
        <v>90.5</v>
      </c>
      <c r="G69" s="14" t="n">
        <v>449</v>
      </c>
      <c r="H69" s="14" t="n">
        <v>331</v>
      </c>
      <c r="I69" s="16" t="n">
        <v>73.72</v>
      </c>
      <c r="J69" s="14" t="n">
        <v>849</v>
      </c>
      <c r="K69" s="14" t="n">
        <v>811</v>
      </c>
      <c r="L69" s="16" t="n">
        <v>95.52</v>
      </c>
    </row>
    <row r="70" customFormat="false" ht="15" hidden="false" customHeight="true" outlineLevel="0" collapsed="false">
      <c r="A70" s="13" t="n">
        <v>2024</v>
      </c>
      <c r="B70" s="13" t="s">
        <v>918</v>
      </c>
      <c r="C70" s="13" t="s">
        <v>418</v>
      </c>
      <c r="D70" s="14" t="n">
        <v>67</v>
      </c>
      <c r="E70" s="14" t="n">
        <v>59</v>
      </c>
      <c r="F70" s="16" t="n">
        <v>88.06</v>
      </c>
      <c r="G70" s="14" t="n">
        <v>87</v>
      </c>
      <c r="H70" s="14" t="n">
        <v>60</v>
      </c>
      <c r="I70" s="16" t="n">
        <v>68.97</v>
      </c>
      <c r="J70" s="14" t="n">
        <v>154</v>
      </c>
      <c r="K70" s="14" t="n">
        <v>146</v>
      </c>
      <c r="L70" s="16" t="n">
        <v>94.81</v>
      </c>
    </row>
    <row r="71" customFormat="false" ht="15" hidden="false" customHeight="true" outlineLevel="0" collapsed="false">
      <c r="A71" s="13" t="n">
        <v>2024</v>
      </c>
      <c r="B71" s="13" t="s">
        <v>918</v>
      </c>
      <c r="C71" s="13" t="s">
        <v>265</v>
      </c>
      <c r="D71" s="14" t="n">
        <v>98</v>
      </c>
      <c r="E71" s="14" t="n">
        <v>73</v>
      </c>
      <c r="F71" s="16" t="n">
        <v>74.49</v>
      </c>
      <c r="G71" s="14" t="n">
        <v>1640</v>
      </c>
      <c r="H71" s="14" t="n">
        <v>1533</v>
      </c>
      <c r="I71" s="16" t="n">
        <v>93.48</v>
      </c>
      <c r="J71" s="14" t="n">
        <v>1738</v>
      </c>
      <c r="K71" s="14" t="n">
        <v>1713</v>
      </c>
      <c r="L71" s="16" t="n">
        <v>98.56</v>
      </c>
    </row>
    <row r="72" customFormat="false" ht="15" hidden="false" customHeight="true" outlineLevel="0" collapsed="false">
      <c r="A72" s="13" t="n">
        <v>2024</v>
      </c>
      <c r="B72" s="13" t="s">
        <v>918</v>
      </c>
      <c r="C72" s="13" t="s">
        <v>583</v>
      </c>
      <c r="D72" s="14" t="n">
        <v>4147</v>
      </c>
      <c r="E72" s="14" t="n">
        <v>4064</v>
      </c>
      <c r="F72" s="16" t="n">
        <v>98</v>
      </c>
      <c r="G72" s="14" t="n">
        <v>3734</v>
      </c>
      <c r="H72" s="14" t="n">
        <v>3269</v>
      </c>
      <c r="I72" s="16" t="n">
        <v>87.55</v>
      </c>
      <c r="J72" s="14" t="n">
        <v>7881</v>
      </c>
      <c r="K72" s="14" t="n">
        <v>7798</v>
      </c>
      <c r="L72" s="16" t="n">
        <v>98.95</v>
      </c>
    </row>
    <row r="73" customFormat="false" ht="15" hidden="false" customHeight="true" outlineLevel="0" collapsed="false">
      <c r="A73" s="13" t="n">
        <v>2024</v>
      </c>
      <c r="B73" s="13" t="s">
        <v>918</v>
      </c>
      <c r="C73" s="13" t="s">
        <v>159</v>
      </c>
      <c r="D73" s="14" t="n">
        <v>346</v>
      </c>
      <c r="E73" s="14" t="n">
        <v>338</v>
      </c>
      <c r="F73" s="16" t="n">
        <v>97.69</v>
      </c>
      <c r="G73" s="14" t="n">
        <v>3</v>
      </c>
      <c r="H73" s="14" t="n">
        <v>3</v>
      </c>
      <c r="I73" s="16" t="n">
        <v>100</v>
      </c>
      <c r="J73" s="14" t="n">
        <v>349</v>
      </c>
      <c r="K73" s="14" t="n">
        <v>341</v>
      </c>
      <c r="L73" s="16" t="n">
        <v>97.71</v>
      </c>
    </row>
    <row r="74" customFormat="false" ht="15" hidden="false" customHeight="true" outlineLevel="0" collapsed="false">
      <c r="A74" s="13" t="n">
        <v>2024</v>
      </c>
      <c r="B74" s="13" t="s">
        <v>918</v>
      </c>
      <c r="C74" s="13" t="s">
        <v>156</v>
      </c>
      <c r="D74" s="14" t="n">
        <v>61</v>
      </c>
      <c r="E74" s="14" t="n">
        <v>30</v>
      </c>
      <c r="F74" s="16" t="n">
        <v>49.18</v>
      </c>
      <c r="G74" s="14" t="n">
        <v>62</v>
      </c>
      <c r="H74" s="14" t="n">
        <v>16</v>
      </c>
      <c r="I74" s="16" t="n">
        <v>25.81</v>
      </c>
      <c r="J74" s="14" t="n">
        <v>123</v>
      </c>
      <c r="K74" s="14" t="n">
        <v>92</v>
      </c>
      <c r="L74" s="16" t="n">
        <v>74.8</v>
      </c>
    </row>
    <row r="75" customFormat="false" ht="15" hidden="false" customHeight="true" outlineLevel="0" collapsed="false">
      <c r="A75" s="13" t="n">
        <v>2024</v>
      </c>
      <c r="B75" s="13" t="s">
        <v>918</v>
      </c>
      <c r="C75" s="13" t="s">
        <v>414</v>
      </c>
      <c r="D75" s="14" t="n">
        <v>81</v>
      </c>
      <c r="E75" s="14" t="n">
        <v>81</v>
      </c>
      <c r="F75" s="16" t="n">
        <v>100</v>
      </c>
      <c r="G75" s="14" t="n">
        <v>0</v>
      </c>
      <c r="H75" s="14" t="n">
        <v>0</v>
      </c>
      <c r="I75" s="16" t="n">
        <v>0</v>
      </c>
      <c r="J75" s="14" t="n">
        <v>81</v>
      </c>
      <c r="K75" s="14" t="n">
        <v>81</v>
      </c>
      <c r="L75" s="16" t="n">
        <v>100</v>
      </c>
    </row>
    <row r="76" customFormat="false" ht="15" hidden="false" customHeight="true" outlineLevel="0" collapsed="false">
      <c r="A76" s="13" t="n">
        <v>2024</v>
      </c>
      <c r="B76" s="13" t="s">
        <v>918</v>
      </c>
      <c r="C76" s="13" t="s">
        <v>149</v>
      </c>
      <c r="D76" s="14" t="n">
        <v>8631</v>
      </c>
      <c r="E76" s="14" t="n">
        <v>8573</v>
      </c>
      <c r="F76" s="16" t="n">
        <v>99.33</v>
      </c>
      <c r="G76" s="14" t="n">
        <v>4204</v>
      </c>
      <c r="H76" s="14" t="n">
        <v>4135</v>
      </c>
      <c r="I76" s="16" t="n">
        <v>98.36</v>
      </c>
      <c r="J76" s="14" t="n">
        <v>12835</v>
      </c>
      <c r="K76" s="14" t="n">
        <v>12777</v>
      </c>
      <c r="L76" s="16" t="n">
        <v>99.55</v>
      </c>
    </row>
    <row r="77" customFormat="false" ht="15" hidden="false" customHeight="true" outlineLevel="0" collapsed="false">
      <c r="A77" s="13" t="n">
        <v>2024</v>
      </c>
      <c r="B77" s="13" t="s">
        <v>918</v>
      </c>
      <c r="C77" s="13" t="s">
        <v>424</v>
      </c>
      <c r="D77" s="14" t="n">
        <v>92</v>
      </c>
      <c r="E77" s="14" t="n">
        <v>91</v>
      </c>
      <c r="F77" s="16" t="n">
        <v>98.91</v>
      </c>
      <c r="G77" s="14" t="n">
        <v>95</v>
      </c>
      <c r="H77" s="14" t="n">
        <v>92</v>
      </c>
      <c r="I77" s="16" t="n">
        <v>96.84</v>
      </c>
      <c r="J77" s="14" t="n">
        <v>187</v>
      </c>
      <c r="K77" s="14" t="n">
        <v>186</v>
      </c>
      <c r="L77" s="16" t="n">
        <v>99.47</v>
      </c>
    </row>
    <row r="78" customFormat="false" ht="15" hidden="false" customHeight="true" outlineLevel="0" collapsed="false">
      <c r="A78" s="13" t="n">
        <v>2024</v>
      </c>
      <c r="B78" s="13" t="s">
        <v>918</v>
      </c>
      <c r="C78" s="13" t="s">
        <v>425</v>
      </c>
      <c r="D78" s="14" t="n">
        <v>4</v>
      </c>
      <c r="E78" s="14" t="n">
        <v>4</v>
      </c>
      <c r="F78" s="16" t="n">
        <v>100</v>
      </c>
      <c r="G78" s="14" t="n">
        <v>16</v>
      </c>
      <c r="H78" s="14" t="n">
        <v>15</v>
      </c>
      <c r="I78" s="16" t="n">
        <v>93.75</v>
      </c>
      <c r="J78" s="14" t="n">
        <v>20</v>
      </c>
      <c r="K78" s="14" t="n">
        <v>20</v>
      </c>
      <c r="L78" s="16" t="n">
        <v>100</v>
      </c>
    </row>
    <row r="79" customFormat="false" ht="15" hidden="false" customHeight="true" outlineLevel="0" collapsed="false">
      <c r="A79" s="13" t="n">
        <v>2024</v>
      </c>
      <c r="B79" s="13" t="s">
        <v>918</v>
      </c>
      <c r="C79" s="13" t="s">
        <v>153</v>
      </c>
      <c r="D79" s="14" t="n">
        <v>579</v>
      </c>
      <c r="E79" s="14" t="n">
        <v>557</v>
      </c>
      <c r="F79" s="16" t="n">
        <v>96.2</v>
      </c>
      <c r="G79" s="14" t="n">
        <v>9</v>
      </c>
      <c r="H79" s="14" t="n">
        <v>6</v>
      </c>
      <c r="I79" s="16" t="n">
        <v>66.67</v>
      </c>
      <c r="J79" s="14" t="n">
        <v>588</v>
      </c>
      <c r="K79" s="14" t="n">
        <v>566</v>
      </c>
      <c r="L79" s="16" t="n">
        <v>96.26</v>
      </c>
    </row>
    <row r="80" customFormat="false" ht="15" hidden="false" customHeight="true" outlineLevel="0" collapsed="false">
      <c r="A80" s="13" t="n">
        <v>2024</v>
      </c>
      <c r="B80" s="13" t="s">
        <v>918</v>
      </c>
      <c r="C80" s="13" t="s">
        <v>426</v>
      </c>
      <c r="D80" s="14" t="n">
        <v>407</v>
      </c>
      <c r="E80" s="14" t="n">
        <v>400</v>
      </c>
      <c r="F80" s="16" t="n">
        <v>98.28</v>
      </c>
      <c r="G80" s="14" t="n">
        <v>868</v>
      </c>
      <c r="H80" s="14" t="n">
        <v>820</v>
      </c>
      <c r="I80" s="16" t="n">
        <v>94.47</v>
      </c>
      <c r="J80" s="14" t="n">
        <v>1275</v>
      </c>
      <c r="K80" s="14" t="n">
        <v>1268</v>
      </c>
      <c r="L80" s="16" t="n">
        <v>99.45</v>
      </c>
    </row>
    <row r="81" customFormat="false" ht="15" hidden="false" customHeight="true" outlineLevel="0" collapsed="false">
      <c r="A81" s="13" t="n">
        <v>2024</v>
      </c>
      <c r="B81" s="13" t="s">
        <v>918</v>
      </c>
      <c r="C81" s="13" t="s">
        <v>427</v>
      </c>
      <c r="D81" s="14" t="n">
        <v>1206</v>
      </c>
      <c r="E81" s="14" t="n">
        <v>1183</v>
      </c>
      <c r="F81" s="16" t="n">
        <v>98.09</v>
      </c>
      <c r="G81" s="14" t="n">
        <v>1441</v>
      </c>
      <c r="H81" s="14" t="n">
        <v>1309</v>
      </c>
      <c r="I81" s="16" t="n">
        <v>90.84</v>
      </c>
      <c r="J81" s="14" t="n">
        <v>2647</v>
      </c>
      <c r="K81" s="14" t="n">
        <v>2624</v>
      </c>
      <c r="L81" s="16" t="n">
        <v>99.13</v>
      </c>
    </row>
    <row r="82" customFormat="false" ht="15" hidden="false" customHeight="true" outlineLevel="0" collapsed="false">
      <c r="A82" s="13" t="n">
        <v>2024</v>
      </c>
      <c r="B82" s="13" t="s">
        <v>918</v>
      </c>
      <c r="C82" s="13" t="s">
        <v>155</v>
      </c>
      <c r="D82" s="14" t="n">
        <v>140</v>
      </c>
      <c r="E82" s="14" t="n">
        <v>113</v>
      </c>
      <c r="F82" s="16" t="n">
        <v>80.71</v>
      </c>
      <c r="G82" s="14" t="n">
        <v>13</v>
      </c>
      <c r="H82" s="14" t="n">
        <v>8</v>
      </c>
      <c r="I82" s="16" t="n">
        <v>61.54</v>
      </c>
      <c r="J82" s="14" t="n">
        <v>153</v>
      </c>
      <c r="K82" s="14" t="n">
        <v>126</v>
      </c>
      <c r="L82" s="16" t="n">
        <v>82.35</v>
      </c>
    </row>
    <row r="83" customFormat="false" ht="15" hidden="false" customHeight="true" outlineLevel="0" collapsed="false">
      <c r="A83" s="13" t="n">
        <v>2024</v>
      </c>
      <c r="B83" s="13" t="s">
        <v>918</v>
      </c>
      <c r="C83" s="13" t="s">
        <v>933</v>
      </c>
      <c r="D83" s="14" t="n">
        <v>8558</v>
      </c>
      <c r="E83" s="14" t="n">
        <v>8491</v>
      </c>
      <c r="F83" s="16" t="n">
        <v>99.22</v>
      </c>
      <c r="G83" s="14" t="n">
        <v>4102</v>
      </c>
      <c r="H83" s="14" t="n">
        <v>3854</v>
      </c>
      <c r="I83" s="16" t="n">
        <v>93.95</v>
      </c>
      <c r="J83" s="14" t="n">
        <v>12660</v>
      </c>
      <c r="K83" s="14" t="n">
        <v>12593</v>
      </c>
      <c r="L83" s="16" t="n">
        <v>99.47</v>
      </c>
    </row>
    <row r="84" customFormat="false" ht="15" hidden="false" customHeight="true" outlineLevel="0" collapsed="false">
      <c r="A84" s="13" t="n">
        <v>2024</v>
      </c>
      <c r="B84" s="13" t="s">
        <v>918</v>
      </c>
      <c r="C84" s="13" t="s">
        <v>410</v>
      </c>
      <c r="D84" s="14" t="n">
        <v>8626</v>
      </c>
      <c r="E84" s="14" t="n">
        <v>7891</v>
      </c>
      <c r="F84" s="16" t="n">
        <v>91.48</v>
      </c>
      <c r="G84" s="14" t="n">
        <v>4664</v>
      </c>
      <c r="H84" s="14" t="n">
        <v>3554</v>
      </c>
      <c r="I84" s="16" t="n">
        <v>76.2</v>
      </c>
      <c r="J84" s="14" t="n">
        <v>13290</v>
      </c>
      <c r="K84" s="14" t="n">
        <v>12555</v>
      </c>
      <c r="L84" s="16" t="n">
        <v>94.47</v>
      </c>
    </row>
    <row r="85" customFormat="false" ht="15" hidden="false" customHeight="true" outlineLevel="0" collapsed="false">
      <c r="A85" s="13" t="n">
        <v>2024</v>
      </c>
      <c r="B85" s="13" t="s">
        <v>918</v>
      </c>
      <c r="C85" s="13" t="s">
        <v>171</v>
      </c>
      <c r="D85" s="14" t="n">
        <v>76</v>
      </c>
      <c r="E85" s="14" t="n">
        <v>68</v>
      </c>
      <c r="F85" s="16" t="n">
        <v>89.47</v>
      </c>
      <c r="G85" s="14" t="n">
        <v>45</v>
      </c>
      <c r="H85" s="14" t="n">
        <v>28</v>
      </c>
      <c r="I85" s="16" t="n">
        <v>62.22</v>
      </c>
      <c r="J85" s="14" t="n">
        <v>121</v>
      </c>
      <c r="K85" s="14" t="n">
        <v>113</v>
      </c>
      <c r="L85" s="16" t="n">
        <v>93.39</v>
      </c>
    </row>
    <row r="86" customFormat="false" ht="15" hidden="false" customHeight="true" outlineLevel="0" collapsed="false">
      <c r="A86" s="13" t="n">
        <v>2025</v>
      </c>
      <c r="B86" s="13" t="s">
        <v>916</v>
      </c>
      <c r="C86" s="13" t="s">
        <v>167</v>
      </c>
      <c r="D86" s="14" t="n">
        <v>9614</v>
      </c>
      <c r="E86" s="14" t="n">
        <v>8407</v>
      </c>
      <c r="F86" s="16" t="n">
        <v>87.45</v>
      </c>
      <c r="G86" s="14" t="n">
        <v>1712</v>
      </c>
      <c r="H86" s="14" t="n">
        <v>1058</v>
      </c>
      <c r="I86" s="16" t="n">
        <v>61.8</v>
      </c>
      <c r="J86" s="14" t="n">
        <v>11326</v>
      </c>
      <c r="K86" s="14" t="n">
        <v>9465</v>
      </c>
      <c r="L86" s="16" t="n">
        <v>83.57</v>
      </c>
    </row>
    <row r="87" customFormat="false" ht="15" hidden="false" customHeight="true" outlineLevel="0" collapsed="false">
      <c r="A87" s="13" t="n">
        <v>2025</v>
      </c>
      <c r="B87" s="13" t="s">
        <v>916</v>
      </c>
      <c r="C87" s="13" t="s">
        <v>166</v>
      </c>
      <c r="D87" s="14" t="n">
        <v>9629</v>
      </c>
      <c r="E87" s="14" t="n">
        <v>8309</v>
      </c>
      <c r="F87" s="16" t="n">
        <v>86.29</v>
      </c>
      <c r="G87" s="14" t="n">
        <v>1724</v>
      </c>
      <c r="H87" s="14" t="n">
        <v>854</v>
      </c>
      <c r="I87" s="16" t="n">
        <v>49.54</v>
      </c>
      <c r="J87" s="14" t="n">
        <v>11353</v>
      </c>
      <c r="K87" s="14" t="n">
        <v>9163</v>
      </c>
      <c r="L87" s="16" t="n">
        <v>80.71</v>
      </c>
    </row>
    <row r="88" customFormat="false" ht="15" hidden="false" customHeight="true" outlineLevel="0" collapsed="false">
      <c r="A88" s="13" t="n">
        <v>2025</v>
      </c>
      <c r="B88" s="13" t="s">
        <v>916</v>
      </c>
      <c r="C88" s="13" t="s">
        <v>142</v>
      </c>
      <c r="D88" s="14" t="n">
        <v>9635</v>
      </c>
      <c r="E88" s="14" t="n">
        <v>9384</v>
      </c>
      <c r="F88" s="16" t="n">
        <v>97.39</v>
      </c>
      <c r="G88" s="14" t="n">
        <v>716</v>
      </c>
      <c r="H88" s="14" t="n">
        <v>606</v>
      </c>
      <c r="I88" s="16" t="n">
        <v>84.64</v>
      </c>
      <c r="J88" s="14" t="n">
        <v>10351</v>
      </c>
      <c r="K88" s="14" t="n">
        <v>9990</v>
      </c>
      <c r="L88" s="16" t="n">
        <v>96.51</v>
      </c>
    </row>
    <row r="89" customFormat="false" ht="15" hidden="false" customHeight="true" outlineLevel="0" collapsed="false">
      <c r="A89" s="13" t="n">
        <v>2025</v>
      </c>
      <c r="B89" s="13" t="s">
        <v>916</v>
      </c>
      <c r="C89" s="13" t="s">
        <v>143</v>
      </c>
      <c r="D89" s="14" t="n">
        <v>123</v>
      </c>
      <c r="E89" s="14" t="n">
        <v>123</v>
      </c>
      <c r="F89" s="16" t="n">
        <v>100</v>
      </c>
      <c r="G89" s="14" t="n">
        <v>7</v>
      </c>
      <c r="H89" s="14" t="n">
        <v>6</v>
      </c>
      <c r="I89" s="16" t="n">
        <v>0</v>
      </c>
      <c r="J89" s="14" t="n">
        <v>130</v>
      </c>
      <c r="K89" s="14" t="n">
        <v>129</v>
      </c>
      <c r="L89" s="16" t="n">
        <v>99.23</v>
      </c>
    </row>
    <row r="90" customFormat="false" ht="15" hidden="false" customHeight="true" outlineLevel="0" collapsed="false">
      <c r="A90" s="13" t="n">
        <v>2025</v>
      </c>
      <c r="B90" s="13" t="s">
        <v>916</v>
      </c>
      <c r="C90" s="13" t="s">
        <v>265</v>
      </c>
      <c r="D90" s="14" t="n">
        <v>34</v>
      </c>
      <c r="E90" s="14" t="n">
        <v>32</v>
      </c>
      <c r="F90" s="16" t="n">
        <v>94.12</v>
      </c>
      <c r="G90" s="14" t="n">
        <v>267</v>
      </c>
      <c r="H90" s="14" t="n">
        <v>257</v>
      </c>
      <c r="I90" s="16" t="n">
        <v>96.25</v>
      </c>
      <c r="J90" s="14" t="n">
        <v>301</v>
      </c>
      <c r="K90" s="14" t="n">
        <v>289</v>
      </c>
      <c r="L90" s="16" t="n">
        <v>96.01</v>
      </c>
    </row>
    <row r="91" customFormat="false" ht="15" hidden="false" customHeight="true" outlineLevel="0" collapsed="false">
      <c r="A91" s="13" t="n">
        <v>2025</v>
      </c>
      <c r="B91" s="13" t="s">
        <v>916</v>
      </c>
      <c r="C91" s="13" t="s">
        <v>149</v>
      </c>
      <c r="D91" s="14" t="n">
        <v>9622</v>
      </c>
      <c r="E91" s="14" t="n">
        <v>9612</v>
      </c>
      <c r="F91" s="16" t="n">
        <v>99.9</v>
      </c>
      <c r="G91" s="14" t="n">
        <v>241</v>
      </c>
      <c r="H91" s="14" t="n">
        <v>238</v>
      </c>
      <c r="I91" s="16" t="n">
        <v>98.76</v>
      </c>
      <c r="J91" s="14" t="n">
        <v>9863</v>
      </c>
      <c r="K91" s="14" t="n">
        <v>9850</v>
      </c>
      <c r="L91" s="16" t="n">
        <v>99.87</v>
      </c>
    </row>
    <row r="92" customFormat="false" ht="15" hidden="false" customHeight="true" outlineLevel="0" collapsed="false">
      <c r="A92" s="13" t="n">
        <v>2025</v>
      </c>
      <c r="B92" s="13" t="s">
        <v>916</v>
      </c>
      <c r="C92" s="13" t="s">
        <v>145</v>
      </c>
      <c r="D92" s="14" t="n">
        <v>1</v>
      </c>
      <c r="E92" s="14" t="n">
        <v>1</v>
      </c>
      <c r="F92" s="16" t="n">
        <v>100</v>
      </c>
      <c r="G92" s="14" t="n">
        <v>0</v>
      </c>
      <c r="H92" s="14" t="n">
        <v>0</v>
      </c>
      <c r="I92" s="16" t="n">
        <v>0</v>
      </c>
      <c r="J92" s="14" t="n">
        <v>1</v>
      </c>
      <c r="K92" s="14" t="n">
        <v>1</v>
      </c>
      <c r="L92" s="16" t="n">
        <v>100</v>
      </c>
    </row>
    <row r="93" customFormat="false" ht="15" hidden="false" customHeight="true" outlineLevel="0" collapsed="false">
      <c r="A93" s="13" t="n">
        <v>2025</v>
      </c>
      <c r="B93" s="13" t="s">
        <v>916</v>
      </c>
      <c r="C93" s="13" t="s">
        <v>165</v>
      </c>
      <c r="D93" s="14" t="n">
        <v>9632</v>
      </c>
      <c r="E93" s="14" t="n">
        <v>8781</v>
      </c>
      <c r="F93" s="16" t="n">
        <v>91.16</v>
      </c>
      <c r="G93" s="14" t="n">
        <v>1421</v>
      </c>
      <c r="H93" s="14" t="n">
        <v>992</v>
      </c>
      <c r="I93" s="16" t="n">
        <v>69.81</v>
      </c>
      <c r="J93" s="14" t="n">
        <v>11053</v>
      </c>
      <c r="K93" s="14" t="n">
        <v>9773</v>
      </c>
      <c r="L93" s="16" t="n">
        <v>88.42</v>
      </c>
    </row>
    <row r="94" customFormat="false" ht="15" hidden="false" customHeight="true" outlineLevel="0" collapsed="false">
      <c r="A94" s="13" t="n">
        <v>2025</v>
      </c>
      <c r="B94" s="13" t="s">
        <v>916</v>
      </c>
      <c r="C94" s="13" t="s">
        <v>933</v>
      </c>
      <c r="D94" s="14" t="n">
        <v>9499</v>
      </c>
      <c r="E94" s="14" t="n">
        <v>9487</v>
      </c>
      <c r="F94" s="16" t="n">
        <v>99.87</v>
      </c>
      <c r="G94" s="14" t="n">
        <v>263</v>
      </c>
      <c r="H94" s="14" t="n">
        <v>233</v>
      </c>
      <c r="I94" s="16" t="n">
        <v>88.59</v>
      </c>
      <c r="J94" s="14" t="n">
        <v>9762</v>
      </c>
      <c r="K94" s="14" t="n">
        <v>9720</v>
      </c>
      <c r="L94" s="16" t="n">
        <v>99.57</v>
      </c>
    </row>
    <row r="95" customFormat="false" ht="15" hidden="false" customHeight="true" outlineLevel="0" collapsed="false">
      <c r="A95" s="13" t="n">
        <v>2025</v>
      </c>
      <c r="B95" s="13" t="s">
        <v>916</v>
      </c>
      <c r="C95" s="13" t="s">
        <v>410</v>
      </c>
      <c r="D95" s="14" t="n">
        <v>9624</v>
      </c>
      <c r="E95" s="14" t="n">
        <v>9599</v>
      </c>
      <c r="F95" s="16" t="n">
        <v>99.74</v>
      </c>
      <c r="G95" s="14" t="n">
        <v>683</v>
      </c>
      <c r="H95" s="14" t="n">
        <v>652</v>
      </c>
      <c r="I95" s="16" t="n">
        <v>95.46</v>
      </c>
      <c r="J95" s="14" t="n">
        <v>10307</v>
      </c>
      <c r="K95" s="14" t="n">
        <v>10251</v>
      </c>
      <c r="L95" s="16" t="n">
        <v>99.46</v>
      </c>
    </row>
    <row r="96" customFormat="false" ht="15" hidden="false" customHeight="true" outlineLevel="0" collapsed="false">
      <c r="A96" s="13" t="n">
        <v>2025</v>
      </c>
      <c r="B96" s="13" t="s">
        <v>917</v>
      </c>
      <c r="C96" s="13" t="s">
        <v>166</v>
      </c>
      <c r="D96" s="14" t="n">
        <v>1850</v>
      </c>
      <c r="E96" s="14" t="n">
        <v>1599</v>
      </c>
      <c r="F96" s="16" t="n">
        <v>86.43</v>
      </c>
      <c r="G96" s="14" t="n">
        <v>364</v>
      </c>
      <c r="H96" s="14" t="n">
        <v>128</v>
      </c>
      <c r="I96" s="16" t="n">
        <v>35.16</v>
      </c>
      <c r="J96" s="14" t="n">
        <v>2214</v>
      </c>
      <c r="K96" s="14" t="n">
        <v>1963</v>
      </c>
      <c r="L96" s="16" t="n">
        <v>88.66</v>
      </c>
    </row>
    <row r="97" customFormat="false" ht="15" hidden="false" customHeight="true" outlineLevel="0" collapsed="false">
      <c r="A97" s="13" t="n">
        <v>2025</v>
      </c>
      <c r="B97" s="13" t="s">
        <v>917</v>
      </c>
      <c r="C97" s="13" t="s">
        <v>142</v>
      </c>
      <c r="D97" s="14" t="n">
        <v>1852</v>
      </c>
      <c r="E97" s="14" t="n">
        <v>1783</v>
      </c>
      <c r="F97" s="16" t="n">
        <v>96.27</v>
      </c>
      <c r="G97" s="14" t="n">
        <v>85</v>
      </c>
      <c r="H97" s="14" t="n">
        <v>67</v>
      </c>
      <c r="I97" s="16" t="n">
        <v>78.82</v>
      </c>
      <c r="J97" s="14" t="n">
        <v>1937</v>
      </c>
      <c r="K97" s="14" t="n">
        <v>1868</v>
      </c>
      <c r="L97" s="16" t="n">
        <v>96.44</v>
      </c>
    </row>
    <row r="98" customFormat="false" ht="15" hidden="false" customHeight="true" outlineLevel="0" collapsed="false">
      <c r="A98" s="13" t="n">
        <v>2025</v>
      </c>
      <c r="B98" s="13" t="s">
        <v>917</v>
      </c>
      <c r="C98" s="13" t="s">
        <v>143</v>
      </c>
      <c r="D98" s="14" t="n">
        <v>7</v>
      </c>
      <c r="E98" s="14" t="n">
        <v>6</v>
      </c>
      <c r="F98" s="16" t="n">
        <v>85.71</v>
      </c>
      <c r="G98" s="14" t="n">
        <v>0</v>
      </c>
      <c r="H98" s="14" t="n">
        <v>0</v>
      </c>
      <c r="I98" s="16" t="n">
        <v>0</v>
      </c>
      <c r="J98" s="14" t="n">
        <v>7</v>
      </c>
      <c r="K98" s="14" t="n">
        <v>6</v>
      </c>
      <c r="L98" s="16" t="n">
        <v>85.71</v>
      </c>
    </row>
    <row r="99" customFormat="false" ht="15" hidden="false" customHeight="true" outlineLevel="0" collapsed="false">
      <c r="A99" s="13" t="n">
        <v>2025</v>
      </c>
      <c r="B99" s="13" t="s">
        <v>917</v>
      </c>
      <c r="C99" s="13" t="s">
        <v>265</v>
      </c>
      <c r="D99" s="14" t="n">
        <v>3</v>
      </c>
      <c r="E99" s="14" t="n">
        <v>2</v>
      </c>
      <c r="F99" s="16" t="n">
        <v>66.67</v>
      </c>
      <c r="G99" s="14" t="n">
        <v>40</v>
      </c>
      <c r="H99" s="14" t="n">
        <v>39</v>
      </c>
      <c r="I99" s="16" t="n">
        <v>97.5</v>
      </c>
      <c r="J99" s="14" t="n">
        <v>43</v>
      </c>
      <c r="K99" s="14" t="n">
        <v>42</v>
      </c>
      <c r="L99" s="16" t="n">
        <v>97.67</v>
      </c>
    </row>
    <row r="100" customFormat="false" ht="15" hidden="false" customHeight="true" outlineLevel="0" collapsed="false">
      <c r="A100" s="13" t="n">
        <v>2025</v>
      </c>
      <c r="B100" s="13" t="s">
        <v>917</v>
      </c>
      <c r="C100" s="13" t="s">
        <v>156</v>
      </c>
      <c r="D100" s="14" t="n">
        <v>1850</v>
      </c>
      <c r="E100" s="14" t="n">
        <v>1582</v>
      </c>
      <c r="F100" s="16" t="n">
        <v>85.51</v>
      </c>
      <c r="G100" s="14" t="n">
        <v>307</v>
      </c>
      <c r="H100" s="14" t="n">
        <v>154</v>
      </c>
      <c r="I100" s="16" t="n">
        <v>50.16</v>
      </c>
      <c r="J100" s="14" t="n">
        <v>2157</v>
      </c>
      <c r="K100" s="14" t="n">
        <v>1889</v>
      </c>
      <c r="L100" s="16" t="n">
        <v>87.58</v>
      </c>
    </row>
    <row r="101" customFormat="false" ht="15" hidden="false" customHeight="true" outlineLevel="0" collapsed="false">
      <c r="A101" s="13" t="n">
        <v>2025</v>
      </c>
      <c r="B101" s="13" t="s">
        <v>917</v>
      </c>
      <c r="C101" s="13" t="s">
        <v>149</v>
      </c>
      <c r="D101" s="14" t="n">
        <v>1848</v>
      </c>
      <c r="E101" s="14" t="n">
        <v>1847</v>
      </c>
      <c r="F101" s="16" t="n">
        <v>99.95</v>
      </c>
      <c r="G101" s="14" t="n">
        <v>45</v>
      </c>
      <c r="H101" s="14" t="n">
        <v>45</v>
      </c>
      <c r="I101" s="16" t="n">
        <v>100</v>
      </c>
      <c r="J101" s="14" t="n">
        <v>1893</v>
      </c>
      <c r="K101" s="14" t="n">
        <v>1892</v>
      </c>
      <c r="L101" s="16" t="n">
        <v>99.95</v>
      </c>
    </row>
    <row r="102" customFormat="false" ht="15" hidden="false" customHeight="true" outlineLevel="0" collapsed="false">
      <c r="A102" s="13" t="n">
        <v>2025</v>
      </c>
      <c r="B102" s="13" t="s">
        <v>917</v>
      </c>
      <c r="C102" s="13" t="s">
        <v>165</v>
      </c>
      <c r="D102" s="14" t="n">
        <v>1850</v>
      </c>
      <c r="E102" s="14" t="n">
        <v>1780</v>
      </c>
      <c r="F102" s="16" t="n">
        <v>96.22</v>
      </c>
      <c r="G102" s="14" t="n">
        <v>215</v>
      </c>
      <c r="H102" s="14" t="n">
        <v>126</v>
      </c>
      <c r="I102" s="16" t="n">
        <v>58.6</v>
      </c>
      <c r="J102" s="14" t="n">
        <v>2065</v>
      </c>
      <c r="K102" s="14" t="n">
        <v>1995</v>
      </c>
      <c r="L102" s="16" t="n">
        <v>96.61</v>
      </c>
    </row>
    <row r="103" customFormat="false" ht="15" hidden="false" customHeight="true" outlineLevel="0" collapsed="false">
      <c r="A103" s="13" t="n">
        <v>2025</v>
      </c>
      <c r="B103" s="13" t="s">
        <v>917</v>
      </c>
      <c r="C103" s="13" t="s">
        <v>933</v>
      </c>
      <c r="D103" s="14" t="n">
        <v>1841</v>
      </c>
      <c r="E103" s="14" t="n">
        <v>1840</v>
      </c>
      <c r="F103" s="16" t="n">
        <v>99.95</v>
      </c>
      <c r="G103" s="14" t="n">
        <v>27</v>
      </c>
      <c r="H103" s="14" t="n">
        <v>24</v>
      </c>
      <c r="I103" s="16" t="n">
        <v>88.89</v>
      </c>
      <c r="J103" s="14" t="n">
        <v>1868</v>
      </c>
      <c r="K103" s="14" t="n">
        <v>1867</v>
      </c>
      <c r="L103" s="16" t="n">
        <v>99.95</v>
      </c>
    </row>
    <row r="104" customFormat="false" ht="15" hidden="false" customHeight="true" outlineLevel="0" collapsed="false">
      <c r="A104" s="13" t="n">
        <v>2025</v>
      </c>
      <c r="B104" s="13" t="s">
        <v>917</v>
      </c>
      <c r="C104" s="13" t="s">
        <v>410</v>
      </c>
      <c r="D104" s="14" t="n">
        <v>1849</v>
      </c>
      <c r="E104" s="14" t="n">
        <v>1841</v>
      </c>
      <c r="F104" s="16" t="n">
        <v>99.57</v>
      </c>
      <c r="G104" s="14" t="n">
        <v>78</v>
      </c>
      <c r="H104" s="14" t="n">
        <v>68</v>
      </c>
      <c r="I104" s="16" t="n">
        <v>87.18</v>
      </c>
      <c r="J104" s="14" t="n">
        <v>1927</v>
      </c>
      <c r="K104" s="14" t="n">
        <v>1919</v>
      </c>
      <c r="L104" s="16" t="n">
        <v>99.58</v>
      </c>
    </row>
    <row r="105" customFormat="false" ht="15" hidden="false" customHeight="true" outlineLevel="0" collapsed="false">
      <c r="A105" s="13" t="n">
        <v>2025</v>
      </c>
      <c r="B105" s="13" t="s">
        <v>919</v>
      </c>
      <c r="C105" s="13" t="s">
        <v>170</v>
      </c>
      <c r="D105" s="14" t="n">
        <v>9818</v>
      </c>
      <c r="E105" s="14" t="n">
        <v>8569</v>
      </c>
      <c r="F105" s="16" t="n">
        <v>87.28</v>
      </c>
      <c r="G105" s="14" t="n">
        <v>463</v>
      </c>
      <c r="H105" s="14" t="n">
        <v>193</v>
      </c>
      <c r="I105" s="16" t="n">
        <v>41.68</v>
      </c>
      <c r="J105" s="14" t="n">
        <v>10281</v>
      </c>
      <c r="K105" s="14" t="n">
        <v>9032</v>
      </c>
      <c r="L105" s="16" t="n">
        <v>87.85</v>
      </c>
    </row>
    <row r="106" customFormat="false" ht="15" hidden="false" customHeight="true" outlineLevel="0" collapsed="false">
      <c r="A106" s="13" t="n">
        <v>2025</v>
      </c>
      <c r="B106" s="13" t="s">
        <v>919</v>
      </c>
      <c r="C106" s="13" t="s">
        <v>152</v>
      </c>
      <c r="D106" s="14" t="n">
        <v>2440</v>
      </c>
      <c r="E106" s="14" t="n">
        <v>2299</v>
      </c>
      <c r="F106" s="16" t="n">
        <v>94.22</v>
      </c>
      <c r="G106" s="14" t="n">
        <v>63</v>
      </c>
      <c r="H106" s="14" t="n">
        <v>30</v>
      </c>
      <c r="I106" s="16" t="n">
        <v>47.62</v>
      </c>
      <c r="J106" s="14" t="n">
        <v>2503</v>
      </c>
      <c r="K106" s="14" t="n">
        <v>2362</v>
      </c>
      <c r="L106" s="16" t="n">
        <v>94.37</v>
      </c>
    </row>
    <row r="107" customFormat="false" ht="15" hidden="false" customHeight="true" outlineLevel="0" collapsed="false">
      <c r="A107" s="13" t="n">
        <v>2025</v>
      </c>
      <c r="B107" s="13" t="s">
        <v>919</v>
      </c>
      <c r="C107" s="13" t="s">
        <v>142</v>
      </c>
      <c r="D107" s="14" t="n">
        <v>9907</v>
      </c>
      <c r="E107" s="14" t="n">
        <v>8623</v>
      </c>
      <c r="F107" s="16" t="n">
        <v>87.04</v>
      </c>
      <c r="G107" s="14" t="n">
        <v>381</v>
      </c>
      <c r="H107" s="14" t="n">
        <v>152</v>
      </c>
      <c r="I107" s="16" t="n">
        <v>39.9</v>
      </c>
      <c r="J107" s="14" t="n">
        <v>10288</v>
      </c>
      <c r="K107" s="14" t="n">
        <v>9004</v>
      </c>
      <c r="L107" s="16" t="n">
        <v>87.52</v>
      </c>
    </row>
    <row r="108" customFormat="false" ht="15" hidden="false" customHeight="true" outlineLevel="0" collapsed="false">
      <c r="A108" s="13" t="n">
        <v>2025</v>
      </c>
      <c r="B108" s="13" t="s">
        <v>919</v>
      </c>
      <c r="C108" s="13" t="s">
        <v>143</v>
      </c>
      <c r="D108" s="14" t="n">
        <v>38</v>
      </c>
      <c r="E108" s="14" t="n">
        <v>38</v>
      </c>
      <c r="F108" s="16" t="n">
        <v>100</v>
      </c>
      <c r="G108" s="14" t="n">
        <v>1</v>
      </c>
      <c r="H108" s="14" t="n">
        <v>1</v>
      </c>
      <c r="I108" s="16" t="n">
        <v>0</v>
      </c>
      <c r="J108" s="14" t="n">
        <v>39</v>
      </c>
      <c r="K108" s="14" t="n">
        <v>39</v>
      </c>
      <c r="L108" s="16" t="n">
        <v>100</v>
      </c>
    </row>
    <row r="109" customFormat="false" ht="15" hidden="false" customHeight="true" outlineLevel="0" collapsed="false">
      <c r="A109" s="13" t="n">
        <v>2025</v>
      </c>
      <c r="B109" s="13" t="s">
        <v>919</v>
      </c>
      <c r="C109" s="13" t="s">
        <v>265</v>
      </c>
      <c r="D109" s="14" t="n">
        <v>24</v>
      </c>
      <c r="E109" s="14" t="n">
        <v>19</v>
      </c>
      <c r="F109" s="16" t="n">
        <v>79.17</v>
      </c>
      <c r="G109" s="14" t="n">
        <v>79</v>
      </c>
      <c r="H109" s="14" t="n">
        <v>78</v>
      </c>
      <c r="I109" s="16" t="n">
        <v>98.73</v>
      </c>
      <c r="J109" s="14" t="n">
        <v>103</v>
      </c>
      <c r="K109" s="14" t="n">
        <v>98</v>
      </c>
      <c r="L109" s="16" t="n">
        <v>95.15</v>
      </c>
    </row>
    <row r="110" customFormat="false" ht="15" hidden="false" customHeight="true" outlineLevel="0" collapsed="false">
      <c r="A110" s="13" t="n">
        <v>2025</v>
      </c>
      <c r="B110" s="13" t="s">
        <v>919</v>
      </c>
      <c r="C110" s="13" t="s">
        <v>156</v>
      </c>
      <c r="D110" s="14" t="n">
        <v>9890</v>
      </c>
      <c r="E110" s="14" t="n">
        <v>6579</v>
      </c>
      <c r="F110" s="16" t="n">
        <v>66.52</v>
      </c>
      <c r="G110" s="14" t="n">
        <v>1491</v>
      </c>
      <c r="H110" s="14" t="n">
        <v>430</v>
      </c>
      <c r="I110" s="16" t="n">
        <v>28.84</v>
      </c>
      <c r="J110" s="14" t="n">
        <v>11381</v>
      </c>
      <c r="K110" s="14" t="n">
        <v>8070</v>
      </c>
      <c r="L110" s="16" t="n">
        <v>70.91</v>
      </c>
    </row>
    <row r="111" customFormat="false" ht="15" hidden="false" customHeight="true" outlineLevel="0" collapsed="false">
      <c r="A111" s="13" t="n">
        <v>2025</v>
      </c>
      <c r="B111" s="13" t="s">
        <v>919</v>
      </c>
      <c r="C111" s="13" t="s">
        <v>149</v>
      </c>
      <c r="D111" s="14" t="n">
        <v>9904</v>
      </c>
      <c r="E111" s="14" t="n">
        <v>9880</v>
      </c>
      <c r="F111" s="16" t="n">
        <v>99.76</v>
      </c>
      <c r="G111" s="14" t="n">
        <v>92</v>
      </c>
      <c r="H111" s="14" t="n">
        <v>89</v>
      </c>
      <c r="I111" s="16" t="n">
        <v>96.74</v>
      </c>
      <c r="J111" s="14" t="n">
        <v>9996</v>
      </c>
      <c r="K111" s="14" t="n">
        <v>9972</v>
      </c>
      <c r="L111" s="16" t="n">
        <v>99.76</v>
      </c>
    </row>
    <row r="112" customFormat="false" ht="15" hidden="false" customHeight="true" outlineLevel="0" collapsed="false">
      <c r="A112" s="13" t="n">
        <v>2025</v>
      </c>
      <c r="B112" s="13" t="s">
        <v>919</v>
      </c>
      <c r="C112" s="13" t="s">
        <v>165</v>
      </c>
      <c r="D112" s="14" t="n">
        <v>7052</v>
      </c>
      <c r="E112" s="14" t="n">
        <v>5502</v>
      </c>
      <c r="F112" s="16" t="n">
        <v>78.02</v>
      </c>
      <c r="G112" s="14" t="n">
        <v>677</v>
      </c>
      <c r="H112" s="14" t="n">
        <v>269</v>
      </c>
      <c r="I112" s="16" t="n">
        <v>39.73</v>
      </c>
      <c r="J112" s="14" t="n">
        <v>7729</v>
      </c>
      <c r="K112" s="14" t="n">
        <v>6179</v>
      </c>
      <c r="L112" s="16" t="n">
        <v>79.95</v>
      </c>
    </row>
    <row r="113" customFormat="false" ht="15" hidden="false" customHeight="true" outlineLevel="0" collapsed="false">
      <c r="A113" s="13" t="n">
        <v>2025</v>
      </c>
      <c r="B113" s="13" t="s">
        <v>919</v>
      </c>
      <c r="C113" s="13" t="s">
        <v>155</v>
      </c>
      <c r="D113" s="14" t="n">
        <v>429</v>
      </c>
      <c r="E113" s="14" t="n">
        <v>384</v>
      </c>
      <c r="F113" s="16" t="n">
        <v>89.51</v>
      </c>
      <c r="G113" s="14" t="n">
        <v>23</v>
      </c>
      <c r="H113" s="14" t="n">
        <v>9</v>
      </c>
      <c r="I113" s="16" t="n">
        <v>39.13</v>
      </c>
      <c r="J113" s="14" t="n">
        <v>452</v>
      </c>
      <c r="K113" s="14" t="n">
        <v>407</v>
      </c>
      <c r="L113" s="16" t="n">
        <v>90.04</v>
      </c>
    </row>
    <row r="114" customFormat="false" ht="15" hidden="false" customHeight="true" outlineLevel="0" collapsed="false">
      <c r="A114" s="13" t="n">
        <v>2025</v>
      </c>
      <c r="B114" s="13" t="s">
        <v>919</v>
      </c>
      <c r="C114" s="13" t="s">
        <v>933</v>
      </c>
      <c r="D114" s="14" t="n">
        <v>9835</v>
      </c>
      <c r="E114" s="14" t="n">
        <v>9803</v>
      </c>
      <c r="F114" s="16" t="n">
        <v>99.67</v>
      </c>
      <c r="G114" s="14" t="n">
        <v>79</v>
      </c>
      <c r="H114" s="14" t="n">
        <v>70</v>
      </c>
      <c r="I114" s="16" t="n">
        <v>88.61</v>
      </c>
      <c r="J114" s="14" t="n">
        <v>9914</v>
      </c>
      <c r="K114" s="14" t="n">
        <v>9882</v>
      </c>
      <c r="L114" s="16" t="n">
        <v>99.68</v>
      </c>
    </row>
    <row r="115" customFormat="false" ht="15" hidden="false" customHeight="true" outlineLevel="0" collapsed="false">
      <c r="A115" s="13" t="n">
        <v>2025</v>
      </c>
      <c r="B115" s="13" t="s">
        <v>919</v>
      </c>
      <c r="C115" s="13" t="s">
        <v>410</v>
      </c>
      <c r="D115" s="14" t="n">
        <v>9893</v>
      </c>
      <c r="E115" s="14" t="n">
        <v>9814</v>
      </c>
      <c r="F115" s="16" t="n">
        <v>99.2</v>
      </c>
      <c r="G115" s="14" t="n">
        <v>159</v>
      </c>
      <c r="H115" s="14" t="n">
        <v>132</v>
      </c>
      <c r="I115" s="16" t="n">
        <v>83.02</v>
      </c>
      <c r="J115" s="14" t="n">
        <v>10052</v>
      </c>
      <c r="K115" s="14" t="n">
        <v>9973</v>
      </c>
      <c r="L115" s="16" t="n">
        <v>99.21</v>
      </c>
    </row>
    <row r="116" customFormat="false" ht="15" hidden="false" customHeight="true" outlineLevel="0" collapsed="false">
      <c r="A116" s="13" t="n">
        <v>2025</v>
      </c>
      <c r="B116" s="13" t="s">
        <v>920</v>
      </c>
      <c r="C116" s="13" t="s">
        <v>225</v>
      </c>
      <c r="D116" s="14" t="n">
        <v>380</v>
      </c>
      <c r="E116" s="14" t="n">
        <v>377</v>
      </c>
      <c r="F116" s="16" t="n">
        <v>99.21</v>
      </c>
      <c r="G116" s="14" t="n">
        <v>79</v>
      </c>
      <c r="H116" s="14" t="n">
        <v>71</v>
      </c>
      <c r="I116" s="16" t="n">
        <v>89.87</v>
      </c>
      <c r="J116" s="14" t="n">
        <v>459</v>
      </c>
      <c r="K116" s="14" t="n">
        <v>456</v>
      </c>
      <c r="L116" s="16" t="n">
        <v>99.35</v>
      </c>
    </row>
    <row r="117" customFormat="false" ht="15" hidden="false" customHeight="true" outlineLevel="0" collapsed="false">
      <c r="A117" s="13" t="n">
        <v>2025</v>
      </c>
      <c r="B117" s="13" t="s">
        <v>920</v>
      </c>
      <c r="C117" s="13" t="s">
        <v>585</v>
      </c>
      <c r="D117" s="14" t="n">
        <v>382</v>
      </c>
      <c r="E117" s="14" t="n">
        <v>362</v>
      </c>
      <c r="F117" s="16" t="n">
        <v>94.76</v>
      </c>
      <c r="G117" s="14" t="n">
        <v>92</v>
      </c>
      <c r="H117" s="14" t="n">
        <v>60</v>
      </c>
      <c r="I117" s="16" t="n">
        <v>65.22</v>
      </c>
      <c r="J117" s="14" t="n">
        <v>474</v>
      </c>
      <c r="K117" s="14" t="n">
        <v>454</v>
      </c>
      <c r="L117" s="16" t="n">
        <v>95.78</v>
      </c>
    </row>
    <row r="118" customFormat="false" ht="15" hidden="false" customHeight="true" outlineLevel="0" collapsed="false">
      <c r="A118" s="13" t="n">
        <v>2025</v>
      </c>
      <c r="B118" s="13" t="s">
        <v>920</v>
      </c>
      <c r="C118" s="13" t="s">
        <v>229</v>
      </c>
      <c r="D118" s="14" t="n">
        <v>382</v>
      </c>
      <c r="E118" s="14" t="n">
        <v>362</v>
      </c>
      <c r="F118" s="16" t="n">
        <v>94.76</v>
      </c>
      <c r="G118" s="14" t="n">
        <v>92</v>
      </c>
      <c r="H118" s="14" t="n">
        <v>60</v>
      </c>
      <c r="I118" s="16" t="n">
        <v>65.22</v>
      </c>
      <c r="J118" s="14" t="n">
        <v>474</v>
      </c>
      <c r="K118" s="14" t="n">
        <v>454</v>
      </c>
      <c r="L118" s="16" t="n">
        <v>95.78</v>
      </c>
    </row>
    <row r="119" customFormat="false" ht="15" hidden="false" customHeight="true" outlineLevel="0" collapsed="false">
      <c r="A119" s="13" t="n">
        <v>2025</v>
      </c>
      <c r="B119" s="13" t="s">
        <v>920</v>
      </c>
      <c r="C119" s="13" t="s">
        <v>236</v>
      </c>
      <c r="D119" s="14" t="n">
        <v>382</v>
      </c>
      <c r="E119" s="14" t="n">
        <v>372</v>
      </c>
      <c r="F119" s="16" t="n">
        <v>97.38</v>
      </c>
      <c r="G119" s="14" t="n">
        <v>82</v>
      </c>
      <c r="H119" s="14" t="n">
        <v>71</v>
      </c>
      <c r="I119" s="16" t="n">
        <v>86.59</v>
      </c>
      <c r="J119" s="14" t="n">
        <v>464</v>
      </c>
      <c r="K119" s="14" t="n">
        <v>454</v>
      </c>
      <c r="L119" s="16" t="n">
        <v>97.84</v>
      </c>
    </row>
    <row r="120" customFormat="false" ht="15" hidden="false" customHeight="true" outlineLevel="0" collapsed="false">
      <c r="A120" s="13" t="n">
        <v>2025</v>
      </c>
      <c r="B120" s="13" t="s">
        <v>920</v>
      </c>
      <c r="C120" s="13" t="s">
        <v>142</v>
      </c>
      <c r="D120" s="14" t="n">
        <v>382</v>
      </c>
      <c r="E120" s="14" t="n">
        <v>213</v>
      </c>
      <c r="F120" s="16" t="n">
        <v>55.76</v>
      </c>
      <c r="G120" s="14" t="n">
        <v>137</v>
      </c>
      <c r="H120" s="14" t="n">
        <v>54</v>
      </c>
      <c r="I120" s="16" t="n">
        <v>39.42</v>
      </c>
      <c r="J120" s="14" t="n">
        <v>519</v>
      </c>
      <c r="K120" s="14" t="n">
        <v>350</v>
      </c>
      <c r="L120" s="16" t="n">
        <v>67.44</v>
      </c>
    </row>
    <row r="121" customFormat="false" ht="15" hidden="false" customHeight="true" outlineLevel="0" collapsed="false">
      <c r="A121" s="13" t="n">
        <v>2025</v>
      </c>
      <c r="B121" s="13" t="s">
        <v>920</v>
      </c>
      <c r="C121" s="13" t="s">
        <v>143</v>
      </c>
      <c r="D121" s="14" t="n">
        <v>8</v>
      </c>
      <c r="E121" s="14" t="n">
        <v>8</v>
      </c>
      <c r="F121" s="16" t="n">
        <v>100</v>
      </c>
      <c r="G121" s="14" t="n">
        <v>0</v>
      </c>
      <c r="H121" s="14" t="n">
        <v>0</v>
      </c>
      <c r="I121" s="16" t="n">
        <v>0</v>
      </c>
      <c r="J121" s="14" t="n">
        <v>8</v>
      </c>
      <c r="K121" s="14" t="n">
        <v>8</v>
      </c>
      <c r="L121" s="16" t="n">
        <v>100</v>
      </c>
    </row>
    <row r="122" customFormat="false" ht="15" hidden="false" customHeight="true" outlineLevel="0" collapsed="false">
      <c r="A122" s="13" t="n">
        <v>2025</v>
      </c>
      <c r="B122" s="13" t="s">
        <v>920</v>
      </c>
      <c r="C122" s="13" t="s">
        <v>265</v>
      </c>
      <c r="D122" s="14" t="n">
        <v>23</v>
      </c>
      <c r="E122" s="14" t="n">
        <v>23</v>
      </c>
      <c r="F122" s="16" t="n">
        <v>100</v>
      </c>
      <c r="G122" s="14" t="n">
        <v>35</v>
      </c>
      <c r="H122" s="14" t="n">
        <v>34</v>
      </c>
      <c r="I122" s="16" t="n">
        <v>97.14</v>
      </c>
      <c r="J122" s="14" t="n">
        <v>58</v>
      </c>
      <c r="K122" s="14" t="n">
        <v>58</v>
      </c>
      <c r="L122" s="16" t="n">
        <v>100</v>
      </c>
    </row>
    <row r="123" customFormat="false" ht="15" hidden="false" customHeight="true" outlineLevel="0" collapsed="false">
      <c r="A123" s="13" t="n">
        <v>2025</v>
      </c>
      <c r="B123" s="13" t="s">
        <v>920</v>
      </c>
      <c r="C123" s="13" t="s">
        <v>149</v>
      </c>
      <c r="D123" s="14" t="n">
        <v>382</v>
      </c>
      <c r="E123" s="14" t="n">
        <v>378</v>
      </c>
      <c r="F123" s="16" t="n">
        <v>98.95</v>
      </c>
      <c r="G123" s="14" t="n">
        <v>79</v>
      </c>
      <c r="H123" s="14" t="n">
        <v>75</v>
      </c>
      <c r="I123" s="16" t="n">
        <v>94.94</v>
      </c>
      <c r="J123" s="14" t="n">
        <v>461</v>
      </c>
      <c r="K123" s="14" t="n">
        <v>457</v>
      </c>
      <c r="L123" s="16" t="n">
        <v>99.13</v>
      </c>
    </row>
    <row r="124" customFormat="false" ht="15" hidden="false" customHeight="true" outlineLevel="0" collapsed="false">
      <c r="A124" s="13" t="n">
        <v>2025</v>
      </c>
      <c r="B124" s="13" t="s">
        <v>920</v>
      </c>
      <c r="C124" s="13" t="s">
        <v>477</v>
      </c>
      <c r="D124" s="14" t="n">
        <v>377</v>
      </c>
      <c r="E124" s="14" t="n">
        <v>363</v>
      </c>
      <c r="F124" s="16" t="n">
        <v>96.29</v>
      </c>
      <c r="G124" s="14" t="n">
        <v>90</v>
      </c>
      <c r="H124" s="14" t="n">
        <v>70</v>
      </c>
      <c r="I124" s="16" t="n">
        <v>77.78</v>
      </c>
      <c r="J124" s="14" t="n">
        <v>467</v>
      </c>
      <c r="K124" s="14" t="n">
        <v>453</v>
      </c>
      <c r="L124" s="16" t="n">
        <v>97</v>
      </c>
    </row>
    <row r="125" customFormat="false" ht="15" hidden="false" customHeight="true" outlineLevel="0" collapsed="false">
      <c r="A125" s="13" t="n">
        <v>2025</v>
      </c>
      <c r="B125" s="13" t="s">
        <v>920</v>
      </c>
      <c r="C125" s="13" t="s">
        <v>285</v>
      </c>
      <c r="D125" s="14" t="n">
        <v>382</v>
      </c>
      <c r="E125" s="14" t="n">
        <v>372</v>
      </c>
      <c r="F125" s="16" t="n">
        <v>97.38</v>
      </c>
      <c r="G125" s="14" t="n">
        <v>82</v>
      </c>
      <c r="H125" s="14" t="n">
        <v>71</v>
      </c>
      <c r="I125" s="16" t="n">
        <v>86.59</v>
      </c>
      <c r="J125" s="14" t="n">
        <v>464</v>
      </c>
      <c r="K125" s="14" t="n">
        <v>454</v>
      </c>
      <c r="L125" s="16" t="n">
        <v>97.84</v>
      </c>
    </row>
    <row r="126" customFormat="false" ht="15" hidden="false" customHeight="true" outlineLevel="0" collapsed="false">
      <c r="A126" s="13" t="n">
        <v>2025</v>
      </c>
      <c r="B126" s="13" t="s">
        <v>920</v>
      </c>
      <c r="C126" s="13" t="s">
        <v>933</v>
      </c>
      <c r="D126" s="14" t="n">
        <v>371</v>
      </c>
      <c r="E126" s="14" t="n">
        <v>363</v>
      </c>
      <c r="F126" s="16" t="n">
        <v>97.84</v>
      </c>
      <c r="G126" s="14" t="n">
        <v>79</v>
      </c>
      <c r="H126" s="14" t="n">
        <v>69</v>
      </c>
      <c r="I126" s="16" t="n">
        <v>87.34</v>
      </c>
      <c r="J126" s="14" t="n">
        <v>450</v>
      </c>
      <c r="K126" s="14" t="n">
        <v>442</v>
      </c>
      <c r="L126" s="16" t="n">
        <v>98.22</v>
      </c>
    </row>
    <row r="127" customFormat="false" ht="15" hidden="false" customHeight="true" outlineLevel="0" collapsed="false">
      <c r="A127" s="13" t="n">
        <v>2025</v>
      </c>
      <c r="B127" s="13" t="s">
        <v>920</v>
      </c>
      <c r="C127" s="13" t="s">
        <v>410</v>
      </c>
      <c r="D127" s="14" t="n">
        <v>382</v>
      </c>
      <c r="E127" s="14" t="n">
        <v>371</v>
      </c>
      <c r="F127" s="16" t="n">
        <v>97.12</v>
      </c>
      <c r="G127" s="14" t="n">
        <v>101</v>
      </c>
      <c r="H127" s="14" t="n">
        <v>72</v>
      </c>
      <c r="I127" s="16" t="n">
        <v>71.29</v>
      </c>
      <c r="J127" s="14" t="n">
        <v>483</v>
      </c>
      <c r="K127" s="14" t="n">
        <v>472</v>
      </c>
      <c r="L127" s="16" t="n">
        <v>97.72</v>
      </c>
    </row>
    <row r="128" customFormat="false" ht="15" hidden="false" customHeight="true" outlineLevel="0" collapsed="false">
      <c r="A128" s="13" t="n">
        <v>2025</v>
      </c>
      <c r="B128" s="13" t="s">
        <v>921</v>
      </c>
      <c r="C128" s="13" t="s">
        <v>538</v>
      </c>
      <c r="D128" s="14" t="n">
        <v>3</v>
      </c>
      <c r="E128" s="14" t="n">
        <v>3</v>
      </c>
      <c r="F128" s="16" t="n">
        <v>100</v>
      </c>
      <c r="G128" s="14" t="n">
        <v>0</v>
      </c>
      <c r="H128" s="14" t="n">
        <v>0</v>
      </c>
      <c r="I128" s="16" t="n">
        <v>0</v>
      </c>
      <c r="J128" s="14" t="n">
        <v>3</v>
      </c>
      <c r="K128" s="14" t="n">
        <v>3</v>
      </c>
      <c r="L128" s="16" t="n">
        <v>100</v>
      </c>
    </row>
    <row r="129" customFormat="false" ht="15" hidden="false" customHeight="true" outlineLevel="0" collapsed="false">
      <c r="A129" s="13" t="n">
        <v>2025</v>
      </c>
      <c r="B129" s="13" t="s">
        <v>921</v>
      </c>
      <c r="C129" s="13" t="s">
        <v>579</v>
      </c>
      <c r="D129" s="14" t="n">
        <v>3</v>
      </c>
      <c r="E129" s="14" t="n">
        <v>3</v>
      </c>
      <c r="F129" s="16" t="n">
        <v>100</v>
      </c>
      <c r="G129" s="14" t="n">
        <v>0</v>
      </c>
      <c r="H129" s="14" t="n">
        <v>0</v>
      </c>
      <c r="I129" s="16" t="n">
        <v>0</v>
      </c>
      <c r="J129" s="14" t="n">
        <v>3</v>
      </c>
      <c r="K129" s="14" t="n">
        <v>3</v>
      </c>
      <c r="L129" s="16" t="n">
        <v>100</v>
      </c>
    </row>
    <row r="130" customFormat="false" ht="15" hidden="false" customHeight="true" outlineLevel="0" collapsed="false">
      <c r="A130" s="13" t="n">
        <v>2025</v>
      </c>
      <c r="B130" s="13" t="s">
        <v>921</v>
      </c>
      <c r="C130" s="13" t="s">
        <v>142</v>
      </c>
      <c r="D130" s="14" t="n">
        <v>3</v>
      </c>
      <c r="E130" s="14" t="n">
        <v>0</v>
      </c>
      <c r="F130" s="16" t="n">
        <v>0</v>
      </c>
      <c r="G130" s="14" t="n">
        <v>0</v>
      </c>
      <c r="H130" s="14" t="n">
        <v>0</v>
      </c>
      <c r="I130" s="16" t="n">
        <v>0</v>
      </c>
      <c r="J130" s="14" t="n">
        <v>3</v>
      </c>
      <c r="K130" s="14" t="n">
        <v>0</v>
      </c>
      <c r="L130" s="16" t="n">
        <v>0</v>
      </c>
    </row>
    <row r="131" customFormat="false" ht="15" hidden="false" customHeight="true" outlineLevel="0" collapsed="false">
      <c r="A131" s="13" t="n">
        <v>2025</v>
      </c>
      <c r="B131" s="13" t="s">
        <v>921</v>
      </c>
      <c r="C131" s="13" t="s">
        <v>148</v>
      </c>
      <c r="D131" s="14" t="n">
        <v>3</v>
      </c>
      <c r="E131" s="14" t="n">
        <v>3</v>
      </c>
      <c r="F131" s="16" t="n">
        <v>100</v>
      </c>
      <c r="G131" s="14" t="n">
        <v>0</v>
      </c>
      <c r="H131" s="14" t="n">
        <v>0</v>
      </c>
      <c r="I131" s="16" t="n">
        <v>0</v>
      </c>
      <c r="J131" s="14" t="n">
        <v>3</v>
      </c>
      <c r="K131" s="14" t="n">
        <v>3</v>
      </c>
      <c r="L131" s="16" t="n">
        <v>100</v>
      </c>
    </row>
    <row r="132" customFormat="false" ht="15" hidden="false" customHeight="true" outlineLevel="0" collapsed="false">
      <c r="A132" s="13" t="n">
        <v>2025</v>
      </c>
      <c r="B132" s="13" t="s">
        <v>921</v>
      </c>
      <c r="C132" s="13" t="s">
        <v>149</v>
      </c>
      <c r="D132" s="14" t="n">
        <v>3</v>
      </c>
      <c r="E132" s="14" t="n">
        <v>3</v>
      </c>
      <c r="F132" s="16" t="n">
        <v>100</v>
      </c>
      <c r="G132" s="14" t="n">
        <v>0</v>
      </c>
      <c r="H132" s="14" t="n">
        <v>0</v>
      </c>
      <c r="I132" s="16" t="n">
        <v>0</v>
      </c>
      <c r="J132" s="14" t="n">
        <v>3</v>
      </c>
      <c r="K132" s="14" t="n">
        <v>3</v>
      </c>
      <c r="L132" s="16" t="n">
        <v>100</v>
      </c>
    </row>
    <row r="133" customFormat="false" ht="15" hidden="false" customHeight="true" outlineLevel="0" collapsed="false">
      <c r="A133" s="13" t="n">
        <v>2025</v>
      </c>
      <c r="B133" s="13" t="s">
        <v>921</v>
      </c>
      <c r="C133" s="13" t="s">
        <v>933</v>
      </c>
      <c r="D133" s="14" t="n">
        <v>3</v>
      </c>
      <c r="E133" s="14" t="n">
        <v>3</v>
      </c>
      <c r="F133" s="16" t="n">
        <v>100</v>
      </c>
      <c r="G133" s="14" t="n">
        <v>0</v>
      </c>
      <c r="H133" s="14" t="n">
        <v>0</v>
      </c>
      <c r="I133" s="16" t="n">
        <v>0</v>
      </c>
      <c r="J133" s="14" t="n">
        <v>3</v>
      </c>
      <c r="K133" s="14" t="n">
        <v>3</v>
      </c>
      <c r="L133" s="16" t="n">
        <v>100</v>
      </c>
    </row>
    <row r="134" customFormat="false" ht="15" hidden="false" customHeight="true" outlineLevel="0" collapsed="false">
      <c r="A134" s="13" t="n">
        <v>2025</v>
      </c>
      <c r="B134" s="13" t="s">
        <v>921</v>
      </c>
      <c r="C134" s="13" t="s">
        <v>410</v>
      </c>
      <c r="D134" s="14" t="n">
        <v>3</v>
      </c>
      <c r="E134" s="14" t="n">
        <v>3</v>
      </c>
      <c r="F134" s="16" t="n">
        <v>100</v>
      </c>
      <c r="G134" s="14" t="n">
        <v>0</v>
      </c>
      <c r="H134" s="14" t="n">
        <v>0</v>
      </c>
      <c r="I134" s="16" t="n">
        <v>0</v>
      </c>
      <c r="J134" s="14" t="n">
        <v>3</v>
      </c>
      <c r="K134" s="14" t="n">
        <v>3</v>
      </c>
      <c r="L134" s="16" t="n">
        <v>100</v>
      </c>
    </row>
    <row r="135" customFormat="false" ht="15" hidden="false" customHeight="true" outlineLevel="0" collapsed="false">
      <c r="A135" s="13" t="n">
        <v>2025</v>
      </c>
      <c r="B135" s="13" t="s">
        <v>923</v>
      </c>
      <c r="C135" s="13" t="s">
        <v>142</v>
      </c>
      <c r="D135" s="14" t="n">
        <v>0</v>
      </c>
      <c r="E135" s="14" t="n">
        <v>0</v>
      </c>
      <c r="F135" s="16" t="n">
        <v>0</v>
      </c>
      <c r="G135" s="14" t="n">
        <v>3</v>
      </c>
      <c r="H135" s="14" t="n">
        <v>0</v>
      </c>
      <c r="I135" s="16" t="n">
        <v>0</v>
      </c>
      <c r="J135" s="14" t="n">
        <v>3</v>
      </c>
      <c r="K135" s="14" t="n">
        <v>3</v>
      </c>
      <c r="L135" s="16" t="n">
        <v>100</v>
      </c>
    </row>
    <row r="136" customFormat="false" ht="15" hidden="false" customHeight="true" outlineLevel="0" collapsed="false">
      <c r="A136" s="13" t="n">
        <v>2025</v>
      </c>
      <c r="B136" s="13" t="s">
        <v>923</v>
      </c>
      <c r="C136" s="13" t="s">
        <v>265</v>
      </c>
      <c r="D136" s="14" t="n">
        <v>0</v>
      </c>
      <c r="E136" s="14" t="n">
        <v>0</v>
      </c>
      <c r="F136" s="16" t="n">
        <v>0</v>
      </c>
      <c r="G136" s="14" t="n">
        <v>3</v>
      </c>
      <c r="H136" s="14" t="n">
        <v>3</v>
      </c>
      <c r="I136" s="16" t="n">
        <v>100</v>
      </c>
      <c r="J136" s="14" t="n">
        <v>3</v>
      </c>
      <c r="K136" s="14" t="n">
        <v>3</v>
      </c>
      <c r="L136" s="16" t="n">
        <v>100</v>
      </c>
    </row>
    <row r="137" customFormat="false" ht="15" hidden="false" customHeight="true" outlineLevel="0" collapsed="false">
      <c r="A137" s="13" t="n">
        <v>2025</v>
      </c>
      <c r="B137" s="13" t="s">
        <v>923</v>
      </c>
      <c r="C137" s="13" t="s">
        <v>410</v>
      </c>
      <c r="D137" s="14" t="n">
        <v>0</v>
      </c>
      <c r="E137" s="14" t="n">
        <v>0</v>
      </c>
      <c r="F137" s="16" t="n">
        <v>0</v>
      </c>
      <c r="G137" s="14" t="n">
        <v>3</v>
      </c>
      <c r="H137" s="14" t="n">
        <v>2</v>
      </c>
      <c r="I137" s="16" t="n">
        <v>66.67</v>
      </c>
      <c r="J137" s="14" t="n">
        <v>3</v>
      </c>
      <c r="K137" s="14" t="n">
        <v>3</v>
      </c>
      <c r="L137" s="16" t="n">
        <v>100</v>
      </c>
    </row>
    <row r="138" customFormat="false" ht="15" hidden="false" customHeight="true" outlineLevel="0" collapsed="false">
      <c r="A138" s="13" t="n">
        <v>2025</v>
      </c>
      <c r="B138" s="13" t="s">
        <v>918</v>
      </c>
      <c r="C138" s="13" t="s">
        <v>162</v>
      </c>
      <c r="D138" s="14" t="n">
        <v>447</v>
      </c>
      <c r="E138" s="14" t="n">
        <v>417</v>
      </c>
      <c r="F138" s="16" t="n">
        <v>93.29</v>
      </c>
      <c r="G138" s="14" t="n">
        <v>474</v>
      </c>
      <c r="H138" s="14" t="n">
        <v>431</v>
      </c>
      <c r="I138" s="16" t="n">
        <v>90.93</v>
      </c>
      <c r="J138" s="14" t="n">
        <v>921</v>
      </c>
      <c r="K138" s="14" t="n">
        <v>891</v>
      </c>
      <c r="L138" s="16" t="n">
        <v>96.74</v>
      </c>
    </row>
    <row r="139" customFormat="false" ht="15" hidden="false" customHeight="true" outlineLevel="0" collapsed="false">
      <c r="A139" s="13" t="n">
        <v>2025</v>
      </c>
      <c r="B139" s="13" t="s">
        <v>918</v>
      </c>
      <c r="C139" s="13" t="s">
        <v>154</v>
      </c>
      <c r="D139" s="14" t="n">
        <v>2949</v>
      </c>
      <c r="E139" s="14" t="n">
        <v>2869</v>
      </c>
      <c r="F139" s="16" t="n">
        <v>97.29</v>
      </c>
      <c r="G139" s="14" t="n">
        <v>2243</v>
      </c>
      <c r="H139" s="14" t="n">
        <v>1971</v>
      </c>
      <c r="I139" s="16" t="n">
        <v>87.87</v>
      </c>
      <c r="J139" s="14" t="n">
        <v>5192</v>
      </c>
      <c r="K139" s="14" t="n">
        <v>5112</v>
      </c>
      <c r="L139" s="16" t="n">
        <v>98.46</v>
      </c>
    </row>
    <row r="140" customFormat="false" ht="15" hidden="false" customHeight="true" outlineLevel="0" collapsed="false">
      <c r="A140" s="13" t="n">
        <v>2025</v>
      </c>
      <c r="B140" s="13" t="s">
        <v>918</v>
      </c>
      <c r="C140" s="13" t="s">
        <v>170</v>
      </c>
      <c r="D140" s="14" t="n">
        <v>5977</v>
      </c>
      <c r="E140" s="14" t="n">
        <v>3810</v>
      </c>
      <c r="F140" s="16" t="n">
        <v>63.74</v>
      </c>
      <c r="G140" s="14" t="n">
        <v>592</v>
      </c>
      <c r="H140" s="14" t="n">
        <v>160</v>
      </c>
      <c r="I140" s="16" t="n">
        <v>27.03</v>
      </c>
      <c r="J140" s="14" t="n">
        <v>6569</v>
      </c>
      <c r="K140" s="14" t="n">
        <v>4402</v>
      </c>
      <c r="L140" s="16" t="n">
        <v>67.01</v>
      </c>
    </row>
    <row r="141" customFormat="false" ht="15" hidden="false" customHeight="true" outlineLevel="0" collapsed="false">
      <c r="A141" s="13" t="n">
        <v>2025</v>
      </c>
      <c r="B141" s="13" t="s">
        <v>918</v>
      </c>
      <c r="C141" s="13" t="s">
        <v>152</v>
      </c>
      <c r="D141" s="14" t="n">
        <v>2818</v>
      </c>
      <c r="E141" s="14" t="n">
        <v>2272</v>
      </c>
      <c r="F141" s="16" t="n">
        <v>80.62</v>
      </c>
      <c r="G141" s="14" t="n">
        <v>684</v>
      </c>
      <c r="H141" s="14" t="n">
        <v>384</v>
      </c>
      <c r="I141" s="16" t="n">
        <v>56.14</v>
      </c>
      <c r="J141" s="14" t="n">
        <v>3502</v>
      </c>
      <c r="K141" s="14" t="n">
        <v>2956</v>
      </c>
      <c r="L141" s="16" t="n">
        <v>84.41</v>
      </c>
    </row>
    <row r="142" customFormat="false" ht="15" hidden="false" customHeight="true" outlineLevel="0" collapsed="false">
      <c r="A142" s="13" t="n">
        <v>2025</v>
      </c>
      <c r="B142" s="13" t="s">
        <v>918</v>
      </c>
      <c r="C142" s="13" t="s">
        <v>150</v>
      </c>
      <c r="D142" s="14" t="n">
        <v>4017</v>
      </c>
      <c r="E142" s="14" t="n">
        <v>3796</v>
      </c>
      <c r="F142" s="16" t="n">
        <v>94.5</v>
      </c>
      <c r="G142" s="14" t="n">
        <v>3489</v>
      </c>
      <c r="H142" s="14" t="n">
        <v>2593</v>
      </c>
      <c r="I142" s="16" t="n">
        <v>74.32</v>
      </c>
      <c r="J142" s="14" t="n">
        <v>7506</v>
      </c>
      <c r="K142" s="14" t="n">
        <v>7285</v>
      </c>
      <c r="L142" s="16" t="n">
        <v>97.06</v>
      </c>
    </row>
    <row r="143" customFormat="false" ht="15" hidden="false" customHeight="true" outlineLevel="0" collapsed="false">
      <c r="A143" s="13" t="n">
        <v>2025</v>
      </c>
      <c r="B143" s="13" t="s">
        <v>918</v>
      </c>
      <c r="C143" s="13" t="s">
        <v>142</v>
      </c>
      <c r="D143" s="14" t="n">
        <v>10233</v>
      </c>
      <c r="E143" s="14" t="n">
        <v>5773</v>
      </c>
      <c r="F143" s="16" t="n">
        <v>56.42</v>
      </c>
      <c r="G143" s="14" t="n">
        <v>6221</v>
      </c>
      <c r="H143" s="14" t="n">
        <v>2224</v>
      </c>
      <c r="I143" s="16" t="n">
        <v>35.75</v>
      </c>
      <c r="J143" s="14" t="n">
        <v>16454</v>
      </c>
      <c r="K143" s="14" t="n">
        <v>11994</v>
      </c>
      <c r="L143" s="16" t="n">
        <v>72.89</v>
      </c>
    </row>
    <row r="144" customFormat="false" ht="15" hidden="false" customHeight="true" outlineLevel="0" collapsed="false">
      <c r="A144" s="13" t="n">
        <v>2025</v>
      </c>
      <c r="B144" s="13" t="s">
        <v>918</v>
      </c>
      <c r="C144" s="13" t="s">
        <v>505</v>
      </c>
      <c r="D144" s="14" t="n">
        <v>6</v>
      </c>
      <c r="E144" s="14" t="n">
        <v>6</v>
      </c>
      <c r="F144" s="16" t="n">
        <v>100</v>
      </c>
      <c r="G144" s="14" t="n">
        <v>7</v>
      </c>
      <c r="H144" s="14" t="n">
        <v>6</v>
      </c>
      <c r="I144" s="16" t="n">
        <v>85.71</v>
      </c>
      <c r="J144" s="14" t="n">
        <v>13</v>
      </c>
      <c r="K144" s="14" t="n">
        <v>13</v>
      </c>
      <c r="L144" s="16" t="n">
        <v>100</v>
      </c>
    </row>
    <row r="145" customFormat="false" ht="15" hidden="false" customHeight="true" outlineLevel="0" collapsed="false">
      <c r="A145" s="13" t="n">
        <v>2025</v>
      </c>
      <c r="B145" s="13" t="s">
        <v>918</v>
      </c>
      <c r="C145" s="13" t="s">
        <v>143</v>
      </c>
      <c r="D145" s="14" t="n">
        <v>67</v>
      </c>
      <c r="E145" s="14" t="n">
        <v>67</v>
      </c>
      <c r="F145" s="16" t="n">
        <v>100</v>
      </c>
      <c r="G145" s="14" t="n">
        <v>19</v>
      </c>
      <c r="H145" s="14" t="n">
        <v>19</v>
      </c>
      <c r="I145" s="16" t="n">
        <v>100</v>
      </c>
      <c r="J145" s="14" t="n">
        <v>86</v>
      </c>
      <c r="K145" s="14" t="n">
        <v>86</v>
      </c>
      <c r="L145" s="16" t="n">
        <v>100</v>
      </c>
    </row>
    <row r="146" customFormat="false" ht="15" hidden="false" customHeight="true" outlineLevel="0" collapsed="false">
      <c r="A146" s="13" t="n">
        <v>2025</v>
      </c>
      <c r="B146" s="13" t="s">
        <v>918</v>
      </c>
      <c r="C146" s="13" t="s">
        <v>507</v>
      </c>
      <c r="D146" s="14" t="n">
        <v>27</v>
      </c>
      <c r="E146" s="14" t="n">
        <v>27</v>
      </c>
      <c r="F146" s="16" t="n">
        <v>100</v>
      </c>
      <c r="G146" s="14" t="n">
        <v>0</v>
      </c>
      <c r="H146" s="14" t="n">
        <v>0</v>
      </c>
      <c r="I146" s="16" t="n">
        <v>0</v>
      </c>
      <c r="J146" s="14" t="n">
        <v>27</v>
      </c>
      <c r="K146" s="14" t="n">
        <v>27</v>
      </c>
      <c r="L146" s="16" t="n">
        <v>100</v>
      </c>
    </row>
    <row r="147" customFormat="false" ht="15" hidden="false" customHeight="true" outlineLevel="0" collapsed="false">
      <c r="A147" s="13" t="n">
        <v>2025</v>
      </c>
      <c r="B147" s="13" t="s">
        <v>918</v>
      </c>
      <c r="C147" s="13" t="s">
        <v>161</v>
      </c>
      <c r="D147" s="14" t="n">
        <v>704</v>
      </c>
      <c r="E147" s="14" t="n">
        <v>701</v>
      </c>
      <c r="F147" s="16" t="n">
        <v>99.57</v>
      </c>
      <c r="G147" s="14" t="n">
        <v>2</v>
      </c>
      <c r="H147" s="14" t="n">
        <v>2</v>
      </c>
      <c r="I147" s="16" t="n">
        <v>100</v>
      </c>
      <c r="J147" s="14" t="n">
        <v>706</v>
      </c>
      <c r="K147" s="14" t="n">
        <v>703</v>
      </c>
      <c r="L147" s="16" t="n">
        <v>99.58</v>
      </c>
    </row>
    <row r="148" customFormat="false" ht="15" hidden="false" customHeight="true" outlineLevel="0" collapsed="false">
      <c r="A148" s="13" t="n">
        <v>2025</v>
      </c>
      <c r="B148" s="13" t="s">
        <v>918</v>
      </c>
      <c r="C148" s="13" t="s">
        <v>158</v>
      </c>
      <c r="D148" s="14" t="n">
        <v>4934</v>
      </c>
      <c r="E148" s="14" t="n">
        <v>4819</v>
      </c>
      <c r="F148" s="16" t="n">
        <v>97.67</v>
      </c>
      <c r="G148" s="14" t="n">
        <v>43</v>
      </c>
      <c r="H148" s="14" t="n">
        <v>36</v>
      </c>
      <c r="I148" s="16" t="n">
        <v>83.72</v>
      </c>
      <c r="J148" s="14" t="n">
        <v>4977</v>
      </c>
      <c r="K148" s="14" t="n">
        <v>4862</v>
      </c>
      <c r="L148" s="16" t="n">
        <v>97.69</v>
      </c>
    </row>
    <row r="149" customFormat="false" ht="15" hidden="false" customHeight="true" outlineLevel="0" collapsed="false">
      <c r="A149" s="13" t="n">
        <v>2025</v>
      </c>
      <c r="B149" s="13" t="s">
        <v>918</v>
      </c>
      <c r="C149" s="13" t="s">
        <v>581</v>
      </c>
      <c r="D149" s="14" t="n">
        <v>25</v>
      </c>
      <c r="E149" s="14" t="n">
        <v>23</v>
      </c>
      <c r="F149" s="16" t="n">
        <v>92</v>
      </c>
      <c r="G149" s="14" t="n">
        <v>7</v>
      </c>
      <c r="H149" s="14" t="n">
        <v>3</v>
      </c>
      <c r="I149" s="16" t="n">
        <v>42.86</v>
      </c>
      <c r="J149" s="14" t="n">
        <v>32</v>
      </c>
      <c r="K149" s="14" t="n">
        <v>30</v>
      </c>
      <c r="L149" s="16" t="n">
        <v>93.75</v>
      </c>
    </row>
    <row r="150" customFormat="false" ht="15" hidden="false" customHeight="true" outlineLevel="0" collapsed="false">
      <c r="A150" s="13" t="n">
        <v>2025</v>
      </c>
      <c r="B150" s="13" t="s">
        <v>918</v>
      </c>
      <c r="C150" s="13" t="s">
        <v>415</v>
      </c>
      <c r="D150" s="14" t="n">
        <v>362</v>
      </c>
      <c r="E150" s="14" t="n">
        <v>316</v>
      </c>
      <c r="F150" s="16" t="n">
        <v>87.29</v>
      </c>
      <c r="G150" s="14" t="n">
        <v>396</v>
      </c>
      <c r="H150" s="14" t="n">
        <v>279</v>
      </c>
      <c r="I150" s="16" t="n">
        <v>70.45</v>
      </c>
      <c r="J150" s="14" t="n">
        <v>758</v>
      </c>
      <c r="K150" s="14" t="n">
        <v>712</v>
      </c>
      <c r="L150" s="16" t="n">
        <v>93.93</v>
      </c>
    </row>
    <row r="151" customFormat="false" ht="15" hidden="false" customHeight="true" outlineLevel="0" collapsed="false">
      <c r="A151" s="13" t="n">
        <v>2025</v>
      </c>
      <c r="B151" s="13" t="s">
        <v>918</v>
      </c>
      <c r="C151" s="13" t="s">
        <v>418</v>
      </c>
      <c r="D151" s="14" t="n">
        <v>88</v>
      </c>
      <c r="E151" s="14" t="n">
        <v>78</v>
      </c>
      <c r="F151" s="16" t="n">
        <v>88.64</v>
      </c>
      <c r="G151" s="14" t="n">
        <v>78</v>
      </c>
      <c r="H151" s="14" t="n">
        <v>54</v>
      </c>
      <c r="I151" s="16" t="n">
        <v>69.23</v>
      </c>
      <c r="J151" s="14" t="n">
        <v>166</v>
      </c>
      <c r="K151" s="14" t="n">
        <v>156</v>
      </c>
      <c r="L151" s="16" t="n">
        <v>93.98</v>
      </c>
    </row>
    <row r="152" customFormat="false" ht="15" hidden="false" customHeight="true" outlineLevel="0" collapsed="false">
      <c r="A152" s="13" t="n">
        <v>2025</v>
      </c>
      <c r="B152" s="13" t="s">
        <v>918</v>
      </c>
      <c r="C152" s="13" t="s">
        <v>265</v>
      </c>
      <c r="D152" s="14" t="n">
        <v>208</v>
      </c>
      <c r="E152" s="14" t="n">
        <v>188</v>
      </c>
      <c r="F152" s="16" t="n">
        <v>90.38</v>
      </c>
      <c r="G152" s="14" t="n">
        <v>1898</v>
      </c>
      <c r="H152" s="14" t="n">
        <v>1832</v>
      </c>
      <c r="I152" s="16" t="n">
        <v>96.52</v>
      </c>
      <c r="J152" s="14" t="n">
        <v>2106</v>
      </c>
      <c r="K152" s="14" t="n">
        <v>2086</v>
      </c>
      <c r="L152" s="16" t="n">
        <v>99.05</v>
      </c>
    </row>
    <row r="153" customFormat="false" ht="15" hidden="false" customHeight="true" outlineLevel="0" collapsed="false">
      <c r="A153" s="13" t="n">
        <v>2025</v>
      </c>
      <c r="B153" s="13" t="s">
        <v>918</v>
      </c>
      <c r="C153" s="13" t="s">
        <v>583</v>
      </c>
      <c r="D153" s="14" t="n">
        <v>4871</v>
      </c>
      <c r="E153" s="14" t="n">
        <v>4623</v>
      </c>
      <c r="F153" s="16" t="n">
        <v>94.91</v>
      </c>
      <c r="G153" s="14" t="n">
        <v>3662</v>
      </c>
      <c r="H153" s="14" t="n">
        <v>3308</v>
      </c>
      <c r="I153" s="16" t="n">
        <v>90.33</v>
      </c>
      <c r="J153" s="14" t="n">
        <v>8533</v>
      </c>
      <c r="K153" s="14" t="n">
        <v>8285</v>
      </c>
      <c r="L153" s="16" t="n">
        <v>97.09</v>
      </c>
    </row>
    <row r="154" customFormat="false" ht="15" hidden="false" customHeight="true" outlineLevel="0" collapsed="false">
      <c r="A154" s="13" t="n">
        <v>2025</v>
      </c>
      <c r="B154" s="13" t="s">
        <v>918</v>
      </c>
      <c r="C154" s="13" t="s">
        <v>159</v>
      </c>
      <c r="D154" s="14" t="n">
        <v>377</v>
      </c>
      <c r="E154" s="14" t="n">
        <v>369</v>
      </c>
      <c r="F154" s="16" t="n">
        <v>97.88</v>
      </c>
      <c r="G154" s="14" t="n">
        <v>3</v>
      </c>
      <c r="H154" s="14" t="n">
        <v>2</v>
      </c>
      <c r="I154" s="16" t="n">
        <v>66.67</v>
      </c>
      <c r="J154" s="14" t="n">
        <v>380</v>
      </c>
      <c r="K154" s="14" t="n">
        <v>372</v>
      </c>
      <c r="L154" s="16" t="n">
        <v>97.89</v>
      </c>
    </row>
    <row r="155" customFormat="false" ht="15" hidden="false" customHeight="true" outlineLevel="0" collapsed="false">
      <c r="A155" s="13" t="n">
        <v>2025</v>
      </c>
      <c r="B155" s="13" t="s">
        <v>918</v>
      </c>
      <c r="C155" s="13" t="s">
        <v>156</v>
      </c>
      <c r="D155" s="14" t="n">
        <v>33</v>
      </c>
      <c r="E155" s="14" t="n">
        <v>21</v>
      </c>
      <c r="F155" s="16" t="n">
        <v>63.64</v>
      </c>
      <c r="G155" s="14" t="n">
        <v>58</v>
      </c>
      <c r="H155" s="14" t="n">
        <v>19</v>
      </c>
      <c r="I155" s="16" t="n">
        <v>32.76</v>
      </c>
      <c r="J155" s="14" t="n">
        <v>91</v>
      </c>
      <c r="K155" s="14" t="n">
        <v>79</v>
      </c>
      <c r="L155" s="16" t="n">
        <v>86.81</v>
      </c>
    </row>
    <row r="156" customFormat="false" ht="15" hidden="false" customHeight="true" outlineLevel="0" collapsed="false">
      <c r="A156" s="13" t="n">
        <v>2025</v>
      </c>
      <c r="B156" s="13" t="s">
        <v>918</v>
      </c>
      <c r="C156" s="13" t="s">
        <v>414</v>
      </c>
      <c r="D156" s="14" t="n">
        <v>135</v>
      </c>
      <c r="E156" s="14" t="n">
        <v>135</v>
      </c>
      <c r="F156" s="16" t="n">
        <v>100</v>
      </c>
      <c r="G156" s="14" t="n">
        <v>1</v>
      </c>
      <c r="H156" s="14" t="n">
        <v>1</v>
      </c>
      <c r="I156" s="16" t="n">
        <v>0</v>
      </c>
      <c r="J156" s="14" t="n">
        <v>136</v>
      </c>
      <c r="K156" s="14" t="n">
        <v>136</v>
      </c>
      <c r="L156" s="16" t="n">
        <v>100</v>
      </c>
    </row>
    <row r="157" customFormat="false" ht="15" hidden="false" customHeight="true" outlineLevel="0" collapsed="false">
      <c r="A157" s="13" t="n">
        <v>2025</v>
      </c>
      <c r="B157" s="13" t="s">
        <v>918</v>
      </c>
      <c r="C157" s="13" t="s">
        <v>149</v>
      </c>
      <c r="D157" s="14" t="n">
        <v>10235</v>
      </c>
      <c r="E157" s="14" t="n">
        <v>10155</v>
      </c>
      <c r="F157" s="16" t="n">
        <v>99.22</v>
      </c>
      <c r="G157" s="14" t="n">
        <v>4249</v>
      </c>
      <c r="H157" s="14" t="n">
        <v>4148</v>
      </c>
      <c r="I157" s="16" t="n">
        <v>97.62</v>
      </c>
      <c r="J157" s="14" t="n">
        <v>14484</v>
      </c>
      <c r="K157" s="14" t="n">
        <v>14404</v>
      </c>
      <c r="L157" s="16" t="n">
        <v>99.45</v>
      </c>
    </row>
    <row r="158" customFormat="false" ht="15" hidden="false" customHeight="true" outlineLevel="0" collapsed="false">
      <c r="A158" s="13" t="n">
        <v>2025</v>
      </c>
      <c r="B158" s="13" t="s">
        <v>918</v>
      </c>
      <c r="C158" s="13" t="s">
        <v>424</v>
      </c>
      <c r="D158" s="14" t="n">
        <v>93</v>
      </c>
      <c r="E158" s="14" t="n">
        <v>93</v>
      </c>
      <c r="F158" s="16" t="n">
        <v>100</v>
      </c>
      <c r="G158" s="14" t="n">
        <v>81</v>
      </c>
      <c r="H158" s="14" t="n">
        <v>75</v>
      </c>
      <c r="I158" s="16" t="n">
        <v>92.59</v>
      </c>
      <c r="J158" s="14" t="n">
        <v>174</v>
      </c>
      <c r="K158" s="14" t="n">
        <v>174</v>
      </c>
      <c r="L158" s="16" t="n">
        <v>100</v>
      </c>
    </row>
    <row r="159" customFormat="false" ht="15" hidden="false" customHeight="true" outlineLevel="0" collapsed="false">
      <c r="A159" s="13" t="n">
        <v>2025</v>
      </c>
      <c r="B159" s="13" t="s">
        <v>918</v>
      </c>
      <c r="C159" s="13" t="s">
        <v>425</v>
      </c>
      <c r="D159" s="14" t="n">
        <v>7</v>
      </c>
      <c r="E159" s="14" t="n">
        <v>7</v>
      </c>
      <c r="F159" s="16" t="n">
        <v>100</v>
      </c>
      <c r="G159" s="14" t="n">
        <v>8</v>
      </c>
      <c r="H159" s="14" t="n">
        <v>7</v>
      </c>
      <c r="I159" s="16" t="n">
        <v>87.5</v>
      </c>
      <c r="J159" s="14" t="n">
        <v>15</v>
      </c>
      <c r="K159" s="14" t="n">
        <v>15</v>
      </c>
      <c r="L159" s="16" t="n">
        <v>100</v>
      </c>
    </row>
    <row r="160" customFormat="false" ht="15" hidden="false" customHeight="true" outlineLevel="0" collapsed="false">
      <c r="A160" s="13" t="n">
        <v>2025</v>
      </c>
      <c r="B160" s="13" t="s">
        <v>918</v>
      </c>
      <c r="C160" s="13" t="s">
        <v>153</v>
      </c>
      <c r="D160" s="14" t="n">
        <v>579</v>
      </c>
      <c r="E160" s="14" t="n">
        <v>552</v>
      </c>
      <c r="F160" s="16" t="n">
        <v>95.34</v>
      </c>
      <c r="G160" s="14" t="n">
        <v>8</v>
      </c>
      <c r="H160" s="14" t="n">
        <v>8</v>
      </c>
      <c r="I160" s="16" t="n">
        <v>100</v>
      </c>
      <c r="J160" s="14" t="n">
        <v>587</v>
      </c>
      <c r="K160" s="14" t="n">
        <v>560</v>
      </c>
      <c r="L160" s="16" t="n">
        <v>95.4</v>
      </c>
    </row>
    <row r="161" customFormat="false" ht="15" hidden="false" customHeight="true" outlineLevel="0" collapsed="false">
      <c r="A161" s="13" t="n">
        <v>2025</v>
      </c>
      <c r="B161" s="13" t="s">
        <v>918</v>
      </c>
      <c r="C161" s="13" t="s">
        <v>426</v>
      </c>
      <c r="D161" s="14" t="n">
        <v>520</v>
      </c>
      <c r="E161" s="14" t="n">
        <v>517</v>
      </c>
      <c r="F161" s="16" t="n">
        <v>99.42</v>
      </c>
      <c r="G161" s="14" t="n">
        <v>738</v>
      </c>
      <c r="H161" s="14" t="n">
        <v>632</v>
      </c>
      <c r="I161" s="16" t="n">
        <v>85.64</v>
      </c>
      <c r="J161" s="14" t="n">
        <v>1258</v>
      </c>
      <c r="K161" s="14" t="n">
        <v>1255</v>
      </c>
      <c r="L161" s="16" t="n">
        <v>99.76</v>
      </c>
    </row>
    <row r="162" customFormat="false" ht="15" hidden="false" customHeight="true" outlineLevel="0" collapsed="false">
      <c r="A162" s="13" t="n">
        <v>2025</v>
      </c>
      <c r="B162" s="13" t="s">
        <v>918</v>
      </c>
      <c r="C162" s="13" t="s">
        <v>427</v>
      </c>
      <c r="D162" s="14" t="n">
        <v>1451</v>
      </c>
      <c r="E162" s="14" t="n">
        <v>1436</v>
      </c>
      <c r="F162" s="16" t="n">
        <v>98.97</v>
      </c>
      <c r="G162" s="14" t="n">
        <v>1412</v>
      </c>
      <c r="H162" s="14" t="n">
        <v>1329</v>
      </c>
      <c r="I162" s="16" t="n">
        <v>94.12</v>
      </c>
      <c r="J162" s="14" t="n">
        <v>2863</v>
      </c>
      <c r="K162" s="14" t="n">
        <v>2848</v>
      </c>
      <c r="L162" s="16" t="n">
        <v>99.48</v>
      </c>
    </row>
    <row r="163" customFormat="false" ht="15" hidden="false" customHeight="true" outlineLevel="0" collapsed="false">
      <c r="A163" s="13" t="n">
        <v>2025</v>
      </c>
      <c r="B163" s="13" t="s">
        <v>918</v>
      </c>
      <c r="C163" s="13" t="s">
        <v>155</v>
      </c>
      <c r="D163" s="14" t="n">
        <v>83</v>
      </c>
      <c r="E163" s="14" t="n">
        <v>71</v>
      </c>
      <c r="F163" s="16" t="n">
        <v>85.54</v>
      </c>
      <c r="G163" s="14" t="n">
        <v>8</v>
      </c>
      <c r="H163" s="14" t="n">
        <v>2</v>
      </c>
      <c r="I163" s="16" t="n">
        <v>25</v>
      </c>
      <c r="J163" s="14" t="n">
        <v>91</v>
      </c>
      <c r="K163" s="14" t="n">
        <v>79</v>
      </c>
      <c r="L163" s="16" t="n">
        <v>86.81</v>
      </c>
    </row>
    <row r="164" customFormat="false" ht="15" hidden="false" customHeight="true" outlineLevel="0" collapsed="false">
      <c r="A164" s="13" t="n">
        <v>2025</v>
      </c>
      <c r="B164" s="13" t="s">
        <v>918</v>
      </c>
      <c r="C164" s="13" t="s">
        <v>933</v>
      </c>
      <c r="D164" s="14" t="n">
        <v>10111</v>
      </c>
      <c r="E164" s="14" t="n">
        <v>9922</v>
      </c>
      <c r="F164" s="16" t="n">
        <v>98.13</v>
      </c>
      <c r="G164" s="14" t="n">
        <v>4224</v>
      </c>
      <c r="H164" s="14" t="n">
        <v>3864</v>
      </c>
      <c r="I164" s="16" t="n">
        <v>91.48</v>
      </c>
      <c r="J164" s="14" t="n">
        <v>14335</v>
      </c>
      <c r="K164" s="14" t="n">
        <v>14146</v>
      </c>
      <c r="L164" s="16" t="n">
        <v>98.68</v>
      </c>
    </row>
    <row r="165" customFormat="false" ht="15" hidden="false" customHeight="true" outlineLevel="0" collapsed="false">
      <c r="A165" s="13" t="n">
        <v>2025</v>
      </c>
      <c r="B165" s="13" t="s">
        <v>918</v>
      </c>
      <c r="C165" s="13" t="s">
        <v>410</v>
      </c>
      <c r="D165" s="14" t="n">
        <v>10224</v>
      </c>
      <c r="E165" s="14" t="n">
        <v>9665</v>
      </c>
      <c r="F165" s="16" t="n">
        <v>94.53</v>
      </c>
      <c r="G165" s="14" t="n">
        <v>4704</v>
      </c>
      <c r="H165" s="14" t="n">
        <v>3526</v>
      </c>
      <c r="I165" s="16" t="n">
        <v>74.96</v>
      </c>
      <c r="J165" s="14" t="n">
        <v>14928</v>
      </c>
      <c r="K165" s="14" t="n">
        <v>14369</v>
      </c>
      <c r="L165" s="16" t="n">
        <v>96.26</v>
      </c>
    </row>
    <row r="166" customFormat="false" ht="15" hidden="false" customHeight="true" outlineLevel="0" collapsed="false">
      <c r="A166" s="13" t="n">
        <v>2025</v>
      </c>
      <c r="B166" s="13" t="s">
        <v>918</v>
      </c>
      <c r="C166" s="13" t="s">
        <v>171</v>
      </c>
      <c r="D166" s="14" t="n">
        <v>95</v>
      </c>
      <c r="E166" s="14" t="n">
        <v>80</v>
      </c>
      <c r="F166" s="16" t="n">
        <v>84.21</v>
      </c>
      <c r="G166" s="14" t="n">
        <v>42</v>
      </c>
      <c r="H166" s="14" t="n">
        <v>25</v>
      </c>
      <c r="I166" s="16" t="n">
        <v>59.52</v>
      </c>
      <c r="J166" s="14" t="n">
        <v>137</v>
      </c>
      <c r="K166" s="14" t="n">
        <v>122</v>
      </c>
      <c r="L166" s="16" t="n">
        <v>89.05</v>
      </c>
    </row>
    <row r="167" customFormat="false" ht="15" hidden="false" customHeight="true" outlineLevel="0" collapsed="false">
      <c r="A167" s="13" t="n">
        <v>2026</v>
      </c>
      <c r="B167" s="13" t="s">
        <v>916</v>
      </c>
      <c r="C167" s="13" t="s">
        <v>167</v>
      </c>
      <c r="D167" s="14" t="n">
        <v>10012</v>
      </c>
      <c r="E167" s="14" t="n">
        <v>8041</v>
      </c>
      <c r="F167" s="16" t="n">
        <v>80.31</v>
      </c>
      <c r="G167" s="14" t="n">
        <v>1087</v>
      </c>
      <c r="H167" s="14" t="n">
        <v>588</v>
      </c>
      <c r="I167" s="16" t="n">
        <v>54.09</v>
      </c>
      <c r="J167" s="14" t="n">
        <v>11099</v>
      </c>
      <c r="K167" s="14" t="n">
        <v>8629</v>
      </c>
      <c r="L167" s="16" t="n">
        <v>77.75</v>
      </c>
    </row>
    <row r="168" customFormat="false" ht="15" hidden="false" customHeight="true" outlineLevel="0" collapsed="false">
      <c r="A168" s="13" t="n">
        <v>2026</v>
      </c>
      <c r="B168" s="13" t="s">
        <v>916</v>
      </c>
      <c r="C168" s="13" t="s">
        <v>668</v>
      </c>
      <c r="D168" s="14" t="n">
        <v>10118</v>
      </c>
      <c r="E168" s="14" t="n">
        <v>9967</v>
      </c>
      <c r="F168" s="16" t="n">
        <v>98.51</v>
      </c>
      <c r="G168" s="14" t="n">
        <v>197</v>
      </c>
      <c r="H168" s="14" t="n">
        <v>146</v>
      </c>
      <c r="I168" s="16" t="n">
        <v>74.11</v>
      </c>
      <c r="J168" s="14" t="n">
        <v>10315</v>
      </c>
      <c r="K168" s="14" t="n">
        <v>10113</v>
      </c>
      <c r="L168" s="16" t="n">
        <v>98.04</v>
      </c>
    </row>
    <row r="169" customFormat="false" ht="15" hidden="false" customHeight="true" outlineLevel="0" collapsed="false">
      <c r="A169" s="13" t="n">
        <v>2026</v>
      </c>
      <c r="B169" s="13" t="s">
        <v>916</v>
      </c>
      <c r="C169" s="13" t="s">
        <v>166</v>
      </c>
      <c r="D169" s="14" t="n">
        <v>10026</v>
      </c>
      <c r="E169" s="14" t="n">
        <v>8067</v>
      </c>
      <c r="F169" s="16" t="n">
        <v>80.46</v>
      </c>
      <c r="G169" s="14" t="n">
        <v>1160</v>
      </c>
      <c r="H169" s="14" t="n">
        <v>595</v>
      </c>
      <c r="I169" s="16" t="n">
        <v>51.29</v>
      </c>
      <c r="J169" s="14" t="n">
        <v>11186</v>
      </c>
      <c r="K169" s="14" t="n">
        <v>8662</v>
      </c>
      <c r="L169" s="16" t="n">
        <v>77.44</v>
      </c>
    </row>
    <row r="170" customFormat="false" ht="15" hidden="false" customHeight="true" outlineLevel="0" collapsed="false">
      <c r="A170" s="13" t="n">
        <v>2026</v>
      </c>
      <c r="B170" s="13" t="s">
        <v>916</v>
      </c>
      <c r="C170" s="13" t="s">
        <v>666</v>
      </c>
      <c r="D170" s="14" t="n">
        <v>10118</v>
      </c>
      <c r="E170" s="14" t="n">
        <v>9978</v>
      </c>
      <c r="F170" s="16" t="n">
        <v>98.62</v>
      </c>
      <c r="G170" s="14" t="n">
        <v>227</v>
      </c>
      <c r="H170" s="14" t="n">
        <v>172</v>
      </c>
      <c r="I170" s="16" t="n">
        <v>75.77</v>
      </c>
      <c r="J170" s="14" t="n">
        <v>10345</v>
      </c>
      <c r="K170" s="14" t="n">
        <v>10150</v>
      </c>
      <c r="L170" s="16" t="n">
        <v>98.12</v>
      </c>
    </row>
    <row r="171" customFormat="false" ht="15" hidden="false" customHeight="true" outlineLevel="0" collapsed="false">
      <c r="A171" s="13" t="n">
        <v>2026</v>
      </c>
      <c r="B171" s="13" t="s">
        <v>916</v>
      </c>
      <c r="C171" s="13" t="s">
        <v>142</v>
      </c>
      <c r="D171" s="14" t="n">
        <v>10032</v>
      </c>
      <c r="E171" s="14" t="n">
        <v>9818</v>
      </c>
      <c r="F171" s="16" t="n">
        <v>97.87</v>
      </c>
      <c r="G171" s="14" t="n">
        <v>416</v>
      </c>
      <c r="H171" s="14" t="n">
        <v>382</v>
      </c>
      <c r="I171" s="16" t="n">
        <v>91.83</v>
      </c>
      <c r="J171" s="14" t="n">
        <v>10448</v>
      </c>
      <c r="K171" s="14" t="n">
        <v>10200</v>
      </c>
      <c r="L171" s="16" t="n">
        <v>97.63</v>
      </c>
    </row>
    <row r="172" customFormat="false" ht="15" hidden="false" customHeight="true" outlineLevel="0" collapsed="false">
      <c r="A172" s="13" t="n">
        <v>2026</v>
      </c>
      <c r="B172" s="13" t="s">
        <v>916</v>
      </c>
      <c r="C172" s="13" t="s">
        <v>143</v>
      </c>
      <c r="D172" s="14" t="n">
        <v>203</v>
      </c>
      <c r="E172" s="14" t="n">
        <v>203</v>
      </c>
      <c r="F172" s="16" t="n">
        <v>100</v>
      </c>
      <c r="G172" s="14" t="n">
        <v>5</v>
      </c>
      <c r="H172" s="14" t="n">
        <v>5</v>
      </c>
      <c r="I172" s="16" t="n">
        <v>100</v>
      </c>
      <c r="J172" s="14" t="n">
        <v>208</v>
      </c>
      <c r="K172" s="14" t="n">
        <v>208</v>
      </c>
      <c r="L172" s="16" t="n">
        <v>100</v>
      </c>
    </row>
    <row r="173" customFormat="false" ht="15" hidden="false" customHeight="true" outlineLevel="0" collapsed="false">
      <c r="A173" s="13" t="n">
        <v>2026</v>
      </c>
      <c r="B173" s="13" t="s">
        <v>916</v>
      </c>
      <c r="C173" s="13" t="s">
        <v>265</v>
      </c>
      <c r="D173" s="14" t="n">
        <v>32</v>
      </c>
      <c r="E173" s="14" t="n">
        <v>31</v>
      </c>
      <c r="F173" s="16" t="n">
        <v>96.88</v>
      </c>
      <c r="G173" s="14" t="n">
        <v>180</v>
      </c>
      <c r="H173" s="14" t="n">
        <v>178</v>
      </c>
      <c r="I173" s="16" t="n">
        <v>98.89</v>
      </c>
      <c r="J173" s="14" t="n">
        <v>212</v>
      </c>
      <c r="K173" s="14" t="n">
        <v>209</v>
      </c>
      <c r="L173" s="16" t="n">
        <v>98.58</v>
      </c>
    </row>
    <row r="174" customFormat="false" ht="15" hidden="false" customHeight="true" outlineLevel="0" collapsed="false">
      <c r="A174" s="13" t="n">
        <v>2026</v>
      </c>
      <c r="B174" s="13" t="s">
        <v>916</v>
      </c>
      <c r="C174" s="13" t="s">
        <v>149</v>
      </c>
      <c r="D174" s="14" t="n">
        <v>10030</v>
      </c>
      <c r="E174" s="14" t="n">
        <v>10017</v>
      </c>
      <c r="F174" s="16" t="n">
        <v>99.87</v>
      </c>
      <c r="G174" s="14" t="n">
        <v>116</v>
      </c>
      <c r="H174" s="14" t="n">
        <v>115</v>
      </c>
      <c r="I174" s="16" t="n">
        <v>99.14</v>
      </c>
      <c r="J174" s="14" t="n">
        <v>10146</v>
      </c>
      <c r="K174" s="14" t="n">
        <v>10132</v>
      </c>
      <c r="L174" s="16" t="n">
        <v>99.86</v>
      </c>
    </row>
    <row r="175" customFormat="false" ht="15" hidden="false" customHeight="true" outlineLevel="0" collapsed="false">
      <c r="A175" s="13" t="n">
        <v>2026</v>
      </c>
      <c r="B175" s="13" t="s">
        <v>916</v>
      </c>
      <c r="C175" s="13" t="s">
        <v>165</v>
      </c>
      <c r="D175" s="14" t="n">
        <v>10023</v>
      </c>
      <c r="E175" s="14" t="n">
        <v>8532</v>
      </c>
      <c r="F175" s="16" t="n">
        <v>85.12</v>
      </c>
      <c r="G175" s="14" t="n">
        <v>785</v>
      </c>
      <c r="H175" s="14" t="n">
        <v>501</v>
      </c>
      <c r="I175" s="16" t="n">
        <v>63.82</v>
      </c>
      <c r="J175" s="14" t="n">
        <v>10808</v>
      </c>
      <c r="K175" s="14" t="n">
        <v>9033</v>
      </c>
      <c r="L175" s="16" t="n">
        <v>83.58</v>
      </c>
    </row>
    <row r="176" customFormat="false" ht="15" hidden="false" customHeight="true" outlineLevel="0" collapsed="false">
      <c r="A176" s="13" t="n">
        <v>2026</v>
      </c>
      <c r="B176" s="13" t="s">
        <v>916</v>
      </c>
      <c r="C176" s="13" t="s">
        <v>664</v>
      </c>
      <c r="D176" s="14" t="n">
        <v>10118</v>
      </c>
      <c r="E176" s="14" t="n">
        <v>9983</v>
      </c>
      <c r="F176" s="16" t="n">
        <v>98.67</v>
      </c>
      <c r="G176" s="14" t="n">
        <v>195</v>
      </c>
      <c r="H176" s="14" t="n">
        <v>146</v>
      </c>
      <c r="I176" s="16" t="n">
        <v>74.87</v>
      </c>
      <c r="J176" s="14" t="n">
        <v>10313</v>
      </c>
      <c r="K176" s="14" t="n">
        <v>10129</v>
      </c>
      <c r="L176" s="16" t="n">
        <v>98.22</v>
      </c>
    </row>
    <row r="177" customFormat="false" ht="15" hidden="false" customHeight="true" outlineLevel="0" collapsed="false">
      <c r="A177" s="13" t="n">
        <v>2026</v>
      </c>
      <c r="B177" s="13" t="s">
        <v>916</v>
      </c>
      <c r="C177" s="13" t="s">
        <v>531</v>
      </c>
      <c r="D177" s="14" t="n">
        <v>0</v>
      </c>
      <c r="E177" s="14" t="n">
        <v>0</v>
      </c>
      <c r="F177" s="16" t="n">
        <v>0</v>
      </c>
      <c r="G177" s="14" t="n">
        <v>2</v>
      </c>
      <c r="H177" s="14" t="n">
        <v>2</v>
      </c>
      <c r="I177" s="16" t="n">
        <v>100</v>
      </c>
      <c r="J177" s="14" t="n">
        <v>2</v>
      </c>
      <c r="K177" s="14" t="n">
        <v>2</v>
      </c>
      <c r="L177" s="16" t="n">
        <v>100</v>
      </c>
    </row>
    <row r="178" customFormat="false" ht="15" hidden="false" customHeight="true" outlineLevel="0" collapsed="false">
      <c r="A178" s="13" t="n">
        <v>2026</v>
      </c>
      <c r="B178" s="13" t="s">
        <v>916</v>
      </c>
      <c r="C178" s="13" t="s">
        <v>523</v>
      </c>
      <c r="D178" s="14" t="n">
        <v>9835</v>
      </c>
      <c r="E178" s="14" t="n">
        <v>9831</v>
      </c>
      <c r="F178" s="16" t="n">
        <v>99.96</v>
      </c>
      <c r="G178" s="14" t="n">
        <v>166</v>
      </c>
      <c r="H178" s="14" t="n">
        <v>151</v>
      </c>
      <c r="I178" s="16" t="n">
        <v>90.96</v>
      </c>
      <c r="J178" s="14" t="n">
        <v>10001</v>
      </c>
      <c r="K178" s="14" t="n">
        <v>9982</v>
      </c>
      <c r="L178" s="16" t="n">
        <v>99.81</v>
      </c>
    </row>
    <row r="179" customFormat="false" ht="15" hidden="false" customHeight="true" outlineLevel="0" collapsed="false">
      <c r="A179" s="13" t="n">
        <v>2026</v>
      </c>
      <c r="B179" s="13" t="s">
        <v>916</v>
      </c>
      <c r="C179" s="13" t="s">
        <v>410</v>
      </c>
      <c r="D179" s="14" t="n">
        <v>10035</v>
      </c>
      <c r="E179" s="14" t="n">
        <v>10012</v>
      </c>
      <c r="F179" s="16" t="n">
        <v>99.77</v>
      </c>
      <c r="G179" s="14" t="n">
        <v>407</v>
      </c>
      <c r="H179" s="14" t="n">
        <v>379</v>
      </c>
      <c r="I179" s="16" t="n">
        <v>93.12</v>
      </c>
      <c r="J179" s="14" t="n">
        <v>10442</v>
      </c>
      <c r="K179" s="14" t="n">
        <v>10391</v>
      </c>
      <c r="L179" s="16" t="n">
        <v>99.51</v>
      </c>
    </row>
    <row r="180" customFormat="false" ht="15" hidden="false" customHeight="true" outlineLevel="0" collapsed="false">
      <c r="A180" s="13" t="n">
        <v>2026</v>
      </c>
      <c r="B180" s="13" t="s">
        <v>917</v>
      </c>
      <c r="C180" s="13" t="s">
        <v>166</v>
      </c>
      <c r="D180" s="14" t="n">
        <v>1710</v>
      </c>
      <c r="E180" s="14" t="n">
        <v>1468</v>
      </c>
      <c r="F180" s="16" t="n">
        <v>85.85</v>
      </c>
      <c r="G180" s="14" t="n">
        <v>177</v>
      </c>
      <c r="H180" s="14" t="n">
        <v>44</v>
      </c>
      <c r="I180" s="16" t="n">
        <v>24.86</v>
      </c>
      <c r="J180" s="14" t="n">
        <v>1887</v>
      </c>
      <c r="K180" s="14" t="n">
        <v>1512</v>
      </c>
      <c r="L180" s="16" t="n">
        <v>80.13</v>
      </c>
    </row>
    <row r="181" customFormat="false" ht="15" hidden="false" customHeight="true" outlineLevel="0" collapsed="false">
      <c r="A181" s="13" t="n">
        <v>2026</v>
      </c>
      <c r="B181" s="13" t="s">
        <v>917</v>
      </c>
      <c r="C181" s="13" t="s">
        <v>666</v>
      </c>
      <c r="D181" s="14" t="n">
        <v>1729</v>
      </c>
      <c r="E181" s="14" t="n">
        <v>1702</v>
      </c>
      <c r="F181" s="16" t="n">
        <v>98.44</v>
      </c>
      <c r="G181" s="14" t="n">
        <v>44</v>
      </c>
      <c r="H181" s="14" t="n">
        <v>27</v>
      </c>
      <c r="I181" s="16" t="n">
        <v>61.36</v>
      </c>
      <c r="J181" s="14" t="n">
        <v>1773</v>
      </c>
      <c r="K181" s="14" t="n">
        <v>1729</v>
      </c>
      <c r="L181" s="16" t="n">
        <v>97.52</v>
      </c>
    </row>
    <row r="182" customFormat="false" ht="15" hidden="false" customHeight="true" outlineLevel="0" collapsed="false">
      <c r="A182" s="13" t="n">
        <v>2026</v>
      </c>
      <c r="B182" s="13" t="s">
        <v>917</v>
      </c>
      <c r="C182" s="13" t="s">
        <v>142</v>
      </c>
      <c r="D182" s="14" t="n">
        <v>1710</v>
      </c>
      <c r="E182" s="14" t="n">
        <v>1688</v>
      </c>
      <c r="F182" s="16" t="n">
        <v>98.71</v>
      </c>
      <c r="G182" s="14" t="n">
        <v>49</v>
      </c>
      <c r="H182" s="14" t="n">
        <v>32</v>
      </c>
      <c r="I182" s="16" t="n">
        <v>65.31</v>
      </c>
      <c r="J182" s="14" t="n">
        <v>1759</v>
      </c>
      <c r="K182" s="14" t="n">
        <v>1720</v>
      </c>
      <c r="L182" s="16" t="n">
        <v>97.78</v>
      </c>
    </row>
    <row r="183" customFormat="false" ht="15" hidden="false" customHeight="true" outlineLevel="0" collapsed="false">
      <c r="A183" s="13" t="n">
        <v>2026</v>
      </c>
      <c r="B183" s="13" t="s">
        <v>917</v>
      </c>
      <c r="C183" s="13" t="s">
        <v>143</v>
      </c>
      <c r="D183" s="14" t="n">
        <v>6</v>
      </c>
      <c r="E183" s="14" t="n">
        <v>6</v>
      </c>
      <c r="F183" s="16" t="n">
        <v>100</v>
      </c>
      <c r="G183" s="14" t="n">
        <v>0</v>
      </c>
      <c r="H183" s="14" t="n">
        <v>0</v>
      </c>
      <c r="I183" s="16" t="n">
        <v>0</v>
      </c>
      <c r="J183" s="14" t="n">
        <v>6</v>
      </c>
      <c r="K183" s="14" t="n">
        <v>6</v>
      </c>
      <c r="L183" s="16" t="n">
        <v>100</v>
      </c>
    </row>
    <row r="184" customFormat="false" ht="15" hidden="false" customHeight="true" outlineLevel="0" collapsed="false">
      <c r="A184" s="13" t="n">
        <v>2026</v>
      </c>
      <c r="B184" s="13" t="s">
        <v>917</v>
      </c>
      <c r="C184" s="13" t="s">
        <v>265</v>
      </c>
      <c r="D184" s="14" t="n">
        <v>2</v>
      </c>
      <c r="E184" s="14" t="n">
        <v>2</v>
      </c>
      <c r="F184" s="16" t="n">
        <v>100</v>
      </c>
      <c r="G184" s="14" t="n">
        <v>18</v>
      </c>
      <c r="H184" s="14" t="n">
        <v>17</v>
      </c>
      <c r="I184" s="16" t="n">
        <v>94.44</v>
      </c>
      <c r="J184" s="14" t="n">
        <v>20</v>
      </c>
      <c r="K184" s="14" t="n">
        <v>19</v>
      </c>
      <c r="L184" s="16" t="n">
        <v>95</v>
      </c>
    </row>
    <row r="185" customFormat="false" ht="15" hidden="false" customHeight="true" outlineLevel="0" collapsed="false">
      <c r="A185" s="13" t="n">
        <v>2026</v>
      </c>
      <c r="B185" s="13" t="s">
        <v>917</v>
      </c>
      <c r="C185" s="13" t="s">
        <v>156</v>
      </c>
      <c r="D185" s="14" t="n">
        <v>1710</v>
      </c>
      <c r="E185" s="14" t="n">
        <v>1520</v>
      </c>
      <c r="F185" s="16" t="n">
        <v>88.89</v>
      </c>
      <c r="G185" s="14" t="n">
        <v>208</v>
      </c>
      <c r="H185" s="14" t="n">
        <v>80</v>
      </c>
      <c r="I185" s="16" t="n">
        <v>38.46</v>
      </c>
      <c r="J185" s="14" t="n">
        <v>1918</v>
      </c>
      <c r="K185" s="14" t="n">
        <v>1600</v>
      </c>
      <c r="L185" s="16" t="n">
        <v>83.42</v>
      </c>
    </row>
    <row r="186" customFormat="false" ht="15" hidden="false" customHeight="true" outlineLevel="0" collapsed="false">
      <c r="A186" s="13" t="n">
        <v>2026</v>
      </c>
      <c r="B186" s="13" t="s">
        <v>917</v>
      </c>
      <c r="C186" s="13" t="s">
        <v>149</v>
      </c>
      <c r="D186" s="14" t="n">
        <v>1710</v>
      </c>
      <c r="E186" s="14" t="n">
        <v>1707</v>
      </c>
      <c r="F186" s="16" t="n">
        <v>99.82</v>
      </c>
      <c r="G186" s="14" t="n">
        <v>17</v>
      </c>
      <c r="H186" s="14" t="n">
        <v>17</v>
      </c>
      <c r="I186" s="16" t="n">
        <v>100</v>
      </c>
      <c r="J186" s="14" t="n">
        <v>1727</v>
      </c>
      <c r="K186" s="14" t="n">
        <v>1724</v>
      </c>
      <c r="L186" s="16" t="n">
        <v>99.83</v>
      </c>
    </row>
    <row r="187" customFormat="false" ht="15" hidden="false" customHeight="true" outlineLevel="0" collapsed="false">
      <c r="A187" s="13" t="n">
        <v>2026</v>
      </c>
      <c r="B187" s="13" t="s">
        <v>917</v>
      </c>
      <c r="C187" s="13" t="s">
        <v>165</v>
      </c>
      <c r="D187" s="14" t="n">
        <v>1708</v>
      </c>
      <c r="E187" s="14" t="n">
        <v>1526</v>
      </c>
      <c r="F187" s="16" t="n">
        <v>89.34</v>
      </c>
      <c r="G187" s="14" t="n">
        <v>66</v>
      </c>
      <c r="H187" s="14" t="n">
        <v>24</v>
      </c>
      <c r="I187" s="16" t="n">
        <v>36.36</v>
      </c>
      <c r="J187" s="14" t="n">
        <v>1774</v>
      </c>
      <c r="K187" s="14" t="n">
        <v>1550</v>
      </c>
      <c r="L187" s="16" t="n">
        <v>87.37</v>
      </c>
    </row>
    <row r="188" customFormat="false" ht="15" hidden="false" customHeight="true" outlineLevel="0" collapsed="false">
      <c r="A188" s="13" t="n">
        <v>2026</v>
      </c>
      <c r="B188" s="13" t="s">
        <v>917</v>
      </c>
      <c r="C188" s="13" t="s">
        <v>664</v>
      </c>
      <c r="D188" s="14" t="n">
        <v>1729</v>
      </c>
      <c r="E188" s="14" t="n">
        <v>1704</v>
      </c>
      <c r="F188" s="16" t="n">
        <v>98.55</v>
      </c>
      <c r="G188" s="14" t="n">
        <v>33</v>
      </c>
      <c r="H188" s="14" t="n">
        <v>16</v>
      </c>
      <c r="I188" s="16" t="n">
        <v>48.48</v>
      </c>
      <c r="J188" s="14" t="n">
        <v>1762</v>
      </c>
      <c r="K188" s="14" t="n">
        <v>1720</v>
      </c>
      <c r="L188" s="16" t="n">
        <v>97.62</v>
      </c>
    </row>
    <row r="189" customFormat="false" ht="15" hidden="false" customHeight="true" outlineLevel="0" collapsed="false">
      <c r="A189" s="13" t="n">
        <v>2026</v>
      </c>
      <c r="B189" s="13" t="s">
        <v>917</v>
      </c>
      <c r="C189" s="13" t="s">
        <v>523</v>
      </c>
      <c r="D189" s="14" t="n">
        <v>1706</v>
      </c>
      <c r="E189" s="14" t="n">
        <v>1704</v>
      </c>
      <c r="F189" s="16" t="n">
        <v>99.88</v>
      </c>
      <c r="G189" s="14" t="n">
        <v>23</v>
      </c>
      <c r="H189" s="14" t="n">
        <v>18</v>
      </c>
      <c r="I189" s="16" t="n">
        <v>78.26</v>
      </c>
      <c r="J189" s="14" t="n">
        <v>1729</v>
      </c>
      <c r="K189" s="14" t="n">
        <v>1722</v>
      </c>
      <c r="L189" s="16" t="n">
        <v>99.6</v>
      </c>
    </row>
    <row r="190" customFormat="false" ht="15" hidden="false" customHeight="true" outlineLevel="0" collapsed="false">
      <c r="A190" s="13" t="n">
        <v>2026</v>
      </c>
      <c r="B190" s="13" t="s">
        <v>917</v>
      </c>
      <c r="C190" s="13" t="s">
        <v>410</v>
      </c>
      <c r="D190" s="14" t="n">
        <v>1711</v>
      </c>
      <c r="E190" s="14" t="n">
        <v>1699</v>
      </c>
      <c r="F190" s="16" t="n">
        <v>99.3</v>
      </c>
      <c r="G190" s="14" t="n">
        <v>37</v>
      </c>
      <c r="H190" s="14" t="n">
        <v>31</v>
      </c>
      <c r="I190" s="16" t="n">
        <v>83.78</v>
      </c>
      <c r="J190" s="14" t="n">
        <v>1748</v>
      </c>
      <c r="K190" s="14" t="n">
        <v>1730</v>
      </c>
      <c r="L190" s="16" t="n">
        <v>98.97</v>
      </c>
    </row>
    <row r="191" customFormat="false" ht="15" hidden="false" customHeight="true" outlineLevel="0" collapsed="false">
      <c r="A191" s="13" t="n">
        <v>2026</v>
      </c>
      <c r="B191" s="13" t="s">
        <v>918</v>
      </c>
      <c r="C191" s="13" t="s">
        <v>162</v>
      </c>
      <c r="D191" s="14" t="n">
        <v>433</v>
      </c>
      <c r="E191" s="14" t="n">
        <v>399</v>
      </c>
      <c r="F191" s="16" t="n">
        <v>92.15</v>
      </c>
      <c r="G191" s="14" t="n">
        <v>583</v>
      </c>
      <c r="H191" s="14" t="n">
        <v>544</v>
      </c>
      <c r="I191" s="16" t="n">
        <v>93.31</v>
      </c>
      <c r="J191" s="14" t="n">
        <v>1016</v>
      </c>
      <c r="K191" s="14" t="n">
        <v>943</v>
      </c>
      <c r="L191" s="16" t="n">
        <v>92.81</v>
      </c>
    </row>
    <row r="192" customFormat="false" ht="15" hidden="false" customHeight="true" outlineLevel="0" collapsed="false">
      <c r="A192" s="13" t="n">
        <v>2026</v>
      </c>
      <c r="B192" s="13" t="s">
        <v>918</v>
      </c>
      <c r="C192" s="13" t="s">
        <v>154</v>
      </c>
      <c r="D192" s="14" t="n">
        <v>2931</v>
      </c>
      <c r="E192" s="14" t="n">
        <v>2858</v>
      </c>
      <c r="F192" s="16" t="n">
        <v>97.51</v>
      </c>
      <c r="G192" s="14" t="n">
        <v>2088</v>
      </c>
      <c r="H192" s="14" t="n">
        <v>1862</v>
      </c>
      <c r="I192" s="16" t="n">
        <v>89.18</v>
      </c>
      <c r="J192" s="14" t="n">
        <v>5019</v>
      </c>
      <c r="K192" s="14" t="n">
        <v>4720</v>
      </c>
      <c r="L192" s="16" t="n">
        <v>94.04</v>
      </c>
    </row>
    <row r="193" customFormat="false" ht="15" hidden="false" customHeight="true" outlineLevel="0" collapsed="false">
      <c r="A193" s="13" t="n">
        <v>2026</v>
      </c>
      <c r="B193" s="13" t="s">
        <v>918</v>
      </c>
      <c r="C193" s="13" t="s">
        <v>170</v>
      </c>
      <c r="D193" s="14" t="n">
        <v>7000</v>
      </c>
      <c r="E193" s="14" t="n">
        <v>4249</v>
      </c>
      <c r="F193" s="16" t="n">
        <v>60.7</v>
      </c>
      <c r="G193" s="14" t="n">
        <v>813</v>
      </c>
      <c r="H193" s="14" t="n">
        <v>187</v>
      </c>
      <c r="I193" s="16" t="n">
        <v>23</v>
      </c>
      <c r="J193" s="14" t="n">
        <v>7813</v>
      </c>
      <c r="K193" s="14" t="n">
        <v>4436</v>
      </c>
      <c r="L193" s="16" t="n">
        <v>56.78</v>
      </c>
    </row>
    <row r="194" customFormat="false" ht="15" hidden="false" customHeight="true" outlineLevel="0" collapsed="false">
      <c r="A194" s="13" t="n">
        <v>2026</v>
      </c>
      <c r="B194" s="13" t="s">
        <v>918</v>
      </c>
      <c r="C194" s="13" t="s">
        <v>671</v>
      </c>
      <c r="D194" s="14" t="n">
        <v>7125</v>
      </c>
      <c r="E194" s="14" t="n">
        <v>6868</v>
      </c>
      <c r="F194" s="16" t="n">
        <v>96.39</v>
      </c>
      <c r="G194" s="14" t="n">
        <v>36</v>
      </c>
      <c r="H194" s="14" t="n">
        <v>27</v>
      </c>
      <c r="I194" s="16" t="n">
        <v>75</v>
      </c>
      <c r="J194" s="14" t="n">
        <v>7161</v>
      </c>
      <c r="K194" s="14" t="n">
        <v>6895</v>
      </c>
      <c r="L194" s="16" t="n">
        <v>96.29</v>
      </c>
    </row>
    <row r="195" customFormat="false" ht="15" hidden="false" customHeight="true" outlineLevel="0" collapsed="false">
      <c r="A195" s="13" t="n">
        <v>2026</v>
      </c>
      <c r="B195" s="13" t="s">
        <v>918</v>
      </c>
      <c r="C195" s="13" t="s">
        <v>152</v>
      </c>
      <c r="D195" s="14" t="n">
        <v>2882</v>
      </c>
      <c r="E195" s="14" t="n">
        <v>2537</v>
      </c>
      <c r="F195" s="16" t="n">
        <v>88.03</v>
      </c>
      <c r="G195" s="14" t="n">
        <v>744</v>
      </c>
      <c r="H195" s="14" t="n">
        <v>476</v>
      </c>
      <c r="I195" s="16" t="n">
        <v>63.98</v>
      </c>
      <c r="J195" s="14" t="n">
        <v>3626</v>
      </c>
      <c r="K195" s="14" t="n">
        <v>3013</v>
      </c>
      <c r="L195" s="16" t="n">
        <v>83.09</v>
      </c>
    </row>
    <row r="196" customFormat="false" ht="15" hidden="false" customHeight="true" outlineLevel="0" collapsed="false">
      <c r="A196" s="13" t="n">
        <v>2026</v>
      </c>
      <c r="B196" s="13" t="s">
        <v>918</v>
      </c>
      <c r="C196" s="13" t="s">
        <v>150</v>
      </c>
      <c r="D196" s="14" t="n">
        <v>4256</v>
      </c>
      <c r="E196" s="14" t="n">
        <v>4147</v>
      </c>
      <c r="F196" s="16" t="n">
        <v>97.44</v>
      </c>
      <c r="G196" s="14" t="n">
        <v>3458</v>
      </c>
      <c r="H196" s="14" t="n">
        <v>2999</v>
      </c>
      <c r="I196" s="16" t="n">
        <v>86.73</v>
      </c>
      <c r="J196" s="14" t="n">
        <v>7714</v>
      </c>
      <c r="K196" s="14" t="n">
        <v>7146</v>
      </c>
      <c r="L196" s="16" t="n">
        <v>92.64</v>
      </c>
    </row>
    <row r="197" customFormat="false" ht="15" hidden="false" customHeight="true" outlineLevel="0" collapsed="false">
      <c r="A197" s="13" t="n">
        <v>2026</v>
      </c>
      <c r="B197" s="13" t="s">
        <v>918</v>
      </c>
      <c r="C197" s="13" t="s">
        <v>142</v>
      </c>
      <c r="D197" s="14" t="n">
        <v>11037</v>
      </c>
      <c r="E197" s="14" t="n">
        <v>6567</v>
      </c>
      <c r="F197" s="16" t="n">
        <v>59.5</v>
      </c>
      <c r="G197" s="14" t="n">
        <v>6618</v>
      </c>
      <c r="H197" s="14" t="n">
        <v>3191</v>
      </c>
      <c r="I197" s="16" t="n">
        <v>48.22</v>
      </c>
      <c r="J197" s="14" t="n">
        <v>17655</v>
      </c>
      <c r="K197" s="14" t="n">
        <v>9758</v>
      </c>
      <c r="L197" s="16" t="n">
        <v>55.27</v>
      </c>
    </row>
    <row r="198" customFormat="false" ht="15" hidden="false" customHeight="true" outlineLevel="0" collapsed="false">
      <c r="A198" s="13" t="n">
        <v>2026</v>
      </c>
      <c r="B198" s="13" t="s">
        <v>918</v>
      </c>
      <c r="C198" s="13" t="s">
        <v>505</v>
      </c>
      <c r="D198" s="14" t="n">
        <v>7</v>
      </c>
      <c r="E198" s="14" t="n">
        <v>7</v>
      </c>
      <c r="F198" s="16" t="n">
        <v>100</v>
      </c>
      <c r="G198" s="14" t="n">
        <v>6</v>
      </c>
      <c r="H198" s="14" t="n">
        <v>6</v>
      </c>
      <c r="I198" s="16" t="n">
        <v>100</v>
      </c>
      <c r="J198" s="14" t="n">
        <v>13</v>
      </c>
      <c r="K198" s="14" t="n">
        <v>13</v>
      </c>
      <c r="L198" s="16" t="n">
        <v>100</v>
      </c>
    </row>
    <row r="199" customFormat="false" ht="15" hidden="false" customHeight="true" outlineLevel="0" collapsed="false">
      <c r="A199" s="13" t="n">
        <v>2026</v>
      </c>
      <c r="B199" s="13" t="s">
        <v>918</v>
      </c>
      <c r="C199" s="13" t="s">
        <v>143</v>
      </c>
      <c r="D199" s="14" t="n">
        <v>85</v>
      </c>
      <c r="E199" s="14" t="n">
        <v>84</v>
      </c>
      <c r="F199" s="16" t="n">
        <v>98.82</v>
      </c>
      <c r="G199" s="14" t="n">
        <v>25</v>
      </c>
      <c r="H199" s="14" t="n">
        <v>23</v>
      </c>
      <c r="I199" s="16" t="n">
        <v>92</v>
      </c>
      <c r="J199" s="14" t="n">
        <v>110</v>
      </c>
      <c r="K199" s="14" t="n">
        <v>107</v>
      </c>
      <c r="L199" s="16" t="n">
        <v>97.27</v>
      </c>
    </row>
    <row r="200" customFormat="false" ht="15" hidden="false" customHeight="true" outlineLevel="0" collapsed="false">
      <c r="A200" s="13" t="n">
        <v>2026</v>
      </c>
      <c r="B200" s="13" t="s">
        <v>918</v>
      </c>
      <c r="C200" s="13" t="s">
        <v>507</v>
      </c>
      <c r="D200" s="14" t="n">
        <v>18</v>
      </c>
      <c r="E200" s="14" t="n">
        <v>18</v>
      </c>
      <c r="F200" s="16" t="n">
        <v>100</v>
      </c>
      <c r="G200" s="14" t="n">
        <v>0</v>
      </c>
      <c r="H200" s="14" t="n">
        <v>0</v>
      </c>
      <c r="I200" s="16" t="n">
        <v>0</v>
      </c>
      <c r="J200" s="14" t="n">
        <v>18</v>
      </c>
      <c r="K200" s="14" t="n">
        <v>18</v>
      </c>
      <c r="L200" s="16" t="n">
        <v>100</v>
      </c>
    </row>
    <row r="201" customFormat="false" ht="15" hidden="false" customHeight="true" outlineLevel="0" collapsed="false">
      <c r="A201" s="13" t="n">
        <v>2026</v>
      </c>
      <c r="B201" s="13" t="s">
        <v>918</v>
      </c>
      <c r="C201" s="13" t="s">
        <v>934</v>
      </c>
      <c r="D201" s="14" t="n">
        <v>18</v>
      </c>
      <c r="E201" s="14" t="n">
        <v>17</v>
      </c>
      <c r="F201" s="16" t="n">
        <v>94.44</v>
      </c>
      <c r="G201" s="14" t="n">
        <v>0</v>
      </c>
      <c r="H201" s="14" t="n">
        <v>0</v>
      </c>
      <c r="I201" s="16" t="n">
        <v>0</v>
      </c>
      <c r="J201" s="14" t="n">
        <v>18</v>
      </c>
      <c r="K201" s="14" t="n">
        <v>17</v>
      </c>
      <c r="L201" s="16" t="n">
        <v>94.44</v>
      </c>
    </row>
    <row r="202" customFormat="false" ht="15" hidden="false" customHeight="true" outlineLevel="0" collapsed="false">
      <c r="A202" s="13" t="n">
        <v>2026</v>
      </c>
      <c r="B202" s="13" t="s">
        <v>918</v>
      </c>
      <c r="C202" s="13" t="s">
        <v>161</v>
      </c>
      <c r="D202" s="14" t="n">
        <v>667</v>
      </c>
      <c r="E202" s="14" t="n">
        <v>665</v>
      </c>
      <c r="F202" s="16" t="n">
        <v>99.7</v>
      </c>
      <c r="G202" s="14" t="n">
        <v>4</v>
      </c>
      <c r="H202" s="14" t="n">
        <v>5</v>
      </c>
      <c r="I202" s="16" t="n">
        <v>125</v>
      </c>
      <c r="J202" s="14" t="n">
        <v>671</v>
      </c>
      <c r="K202" s="14" t="n">
        <v>670</v>
      </c>
      <c r="L202" s="16" t="n">
        <v>99.85</v>
      </c>
    </row>
    <row r="203" customFormat="false" ht="15" hidden="false" customHeight="true" outlineLevel="0" collapsed="false">
      <c r="A203" s="13" t="n">
        <v>2026</v>
      </c>
      <c r="B203" s="13" t="s">
        <v>918</v>
      </c>
      <c r="C203" s="13" t="s">
        <v>688</v>
      </c>
      <c r="D203" s="14" t="n">
        <v>674</v>
      </c>
      <c r="E203" s="14" t="n">
        <v>650</v>
      </c>
      <c r="F203" s="16" t="n">
        <v>96.44</v>
      </c>
      <c r="G203" s="14" t="n">
        <v>6</v>
      </c>
      <c r="H203" s="14" t="n">
        <v>4</v>
      </c>
      <c r="I203" s="16" t="n">
        <v>66.67</v>
      </c>
      <c r="J203" s="14" t="n">
        <v>680</v>
      </c>
      <c r="K203" s="14" t="n">
        <v>654</v>
      </c>
      <c r="L203" s="16" t="n">
        <v>96.18</v>
      </c>
    </row>
    <row r="204" customFormat="false" ht="15" hidden="false" customHeight="true" outlineLevel="0" collapsed="false">
      <c r="A204" s="13" t="n">
        <v>2026</v>
      </c>
      <c r="B204" s="13" t="s">
        <v>918</v>
      </c>
      <c r="C204" s="13" t="s">
        <v>158</v>
      </c>
      <c r="D204" s="14" t="n">
        <v>5473</v>
      </c>
      <c r="E204" s="14" t="n">
        <v>5419</v>
      </c>
      <c r="F204" s="16" t="n">
        <v>99.01</v>
      </c>
      <c r="G204" s="14" t="n">
        <v>37</v>
      </c>
      <c r="H204" s="14" t="n">
        <v>31</v>
      </c>
      <c r="I204" s="16" t="n">
        <v>83.78</v>
      </c>
      <c r="J204" s="14" t="n">
        <v>5510</v>
      </c>
      <c r="K204" s="14" t="n">
        <v>5450</v>
      </c>
      <c r="L204" s="16" t="n">
        <v>98.91</v>
      </c>
    </row>
    <row r="205" customFormat="false" ht="15" hidden="false" customHeight="true" outlineLevel="0" collapsed="false">
      <c r="A205" s="13" t="n">
        <v>2026</v>
      </c>
      <c r="B205" s="13" t="s">
        <v>918</v>
      </c>
      <c r="C205" s="13" t="s">
        <v>701</v>
      </c>
      <c r="D205" s="14" t="n">
        <v>5578</v>
      </c>
      <c r="E205" s="14" t="n">
        <v>5374</v>
      </c>
      <c r="F205" s="16" t="n">
        <v>96.34</v>
      </c>
      <c r="G205" s="14" t="n">
        <v>33</v>
      </c>
      <c r="H205" s="14" t="n">
        <v>21</v>
      </c>
      <c r="I205" s="16" t="n">
        <v>63.64</v>
      </c>
      <c r="J205" s="14" t="n">
        <v>5611</v>
      </c>
      <c r="K205" s="14" t="n">
        <v>5395</v>
      </c>
      <c r="L205" s="16" t="n">
        <v>96.15</v>
      </c>
    </row>
    <row r="206" customFormat="false" ht="15" hidden="false" customHeight="true" outlineLevel="0" collapsed="false">
      <c r="A206" s="13" t="n">
        <v>2026</v>
      </c>
      <c r="B206" s="13" t="s">
        <v>918</v>
      </c>
      <c r="C206" s="13" t="s">
        <v>581</v>
      </c>
      <c r="D206" s="14" t="n">
        <v>34</v>
      </c>
      <c r="E206" s="14" t="n">
        <v>32</v>
      </c>
      <c r="F206" s="16" t="n">
        <v>94.12</v>
      </c>
      <c r="G206" s="14" t="n">
        <v>6</v>
      </c>
      <c r="H206" s="14" t="n">
        <v>4</v>
      </c>
      <c r="I206" s="16" t="n">
        <v>66.67</v>
      </c>
      <c r="J206" s="14" t="n">
        <v>40</v>
      </c>
      <c r="K206" s="14" t="n">
        <v>36</v>
      </c>
      <c r="L206" s="16" t="n">
        <v>90</v>
      </c>
    </row>
    <row r="207" customFormat="false" ht="15" hidden="false" customHeight="true" outlineLevel="0" collapsed="false">
      <c r="A207" s="13" t="n">
        <v>2026</v>
      </c>
      <c r="B207" s="13" t="s">
        <v>918</v>
      </c>
      <c r="C207" s="13" t="s">
        <v>415</v>
      </c>
      <c r="D207" s="14" t="n">
        <v>382</v>
      </c>
      <c r="E207" s="14" t="n">
        <v>335</v>
      </c>
      <c r="F207" s="16" t="n">
        <v>87.7</v>
      </c>
      <c r="G207" s="14" t="n">
        <v>490</v>
      </c>
      <c r="H207" s="14" t="n">
        <v>385</v>
      </c>
      <c r="I207" s="16" t="n">
        <v>78.57</v>
      </c>
      <c r="J207" s="14" t="n">
        <v>872</v>
      </c>
      <c r="K207" s="14" t="n">
        <v>720</v>
      </c>
      <c r="L207" s="16" t="n">
        <v>82.57</v>
      </c>
    </row>
    <row r="208" customFormat="false" ht="15" hidden="false" customHeight="true" outlineLevel="0" collapsed="false">
      <c r="A208" s="13" t="n">
        <v>2026</v>
      </c>
      <c r="B208" s="13" t="s">
        <v>918</v>
      </c>
      <c r="C208" s="13" t="s">
        <v>418</v>
      </c>
      <c r="D208" s="14" t="n">
        <v>72</v>
      </c>
      <c r="E208" s="14" t="n">
        <v>61</v>
      </c>
      <c r="F208" s="16" t="n">
        <v>84.72</v>
      </c>
      <c r="G208" s="14" t="n">
        <v>86</v>
      </c>
      <c r="H208" s="14" t="n">
        <v>40</v>
      </c>
      <c r="I208" s="16" t="n">
        <v>46.51</v>
      </c>
      <c r="J208" s="14" t="n">
        <v>158</v>
      </c>
      <c r="K208" s="14" t="n">
        <v>101</v>
      </c>
      <c r="L208" s="16" t="n">
        <v>63.92</v>
      </c>
    </row>
    <row r="209" customFormat="false" ht="15" hidden="false" customHeight="true" outlineLevel="0" collapsed="false">
      <c r="A209" s="13" t="n">
        <v>2026</v>
      </c>
      <c r="B209" s="13" t="s">
        <v>918</v>
      </c>
      <c r="C209" s="13" t="s">
        <v>265</v>
      </c>
      <c r="D209" s="14" t="n">
        <v>27</v>
      </c>
      <c r="E209" s="14" t="n">
        <v>27</v>
      </c>
      <c r="F209" s="16" t="n">
        <v>100</v>
      </c>
      <c r="G209" s="14" t="n">
        <v>1538</v>
      </c>
      <c r="H209" s="14" t="n">
        <v>1489</v>
      </c>
      <c r="I209" s="16" t="n">
        <v>96.81</v>
      </c>
      <c r="J209" s="14" t="n">
        <v>1565</v>
      </c>
      <c r="K209" s="14" t="n">
        <v>1516</v>
      </c>
      <c r="L209" s="16" t="n">
        <v>96.87</v>
      </c>
    </row>
    <row r="210" customFormat="false" ht="15" hidden="false" customHeight="true" outlineLevel="0" collapsed="false">
      <c r="A210" s="13" t="n">
        <v>2026</v>
      </c>
      <c r="B210" s="13" t="s">
        <v>918</v>
      </c>
      <c r="C210" s="13" t="s">
        <v>419</v>
      </c>
      <c r="D210" s="14" t="n">
        <v>5105</v>
      </c>
      <c r="E210" s="14" t="n">
        <v>5038</v>
      </c>
      <c r="F210" s="16" t="n">
        <v>98.69</v>
      </c>
      <c r="G210" s="14" t="n">
        <v>3712</v>
      </c>
      <c r="H210" s="14" t="n">
        <v>3326</v>
      </c>
      <c r="I210" s="16" t="n">
        <v>89.6</v>
      </c>
      <c r="J210" s="14" t="n">
        <v>8817</v>
      </c>
      <c r="K210" s="14" t="n">
        <v>8364</v>
      </c>
      <c r="L210" s="16" t="n">
        <v>94.86</v>
      </c>
    </row>
    <row r="211" customFormat="false" ht="15" hidden="false" customHeight="true" outlineLevel="0" collapsed="false">
      <c r="A211" s="13" t="n">
        <v>2026</v>
      </c>
      <c r="B211" s="13" t="s">
        <v>918</v>
      </c>
      <c r="C211" s="13" t="s">
        <v>159</v>
      </c>
      <c r="D211" s="14" t="n">
        <v>507</v>
      </c>
      <c r="E211" s="14" t="n">
        <v>506</v>
      </c>
      <c r="F211" s="16" t="n">
        <v>99.8</v>
      </c>
      <c r="G211" s="14" t="n">
        <v>1</v>
      </c>
      <c r="H211" s="14" t="n">
        <v>3</v>
      </c>
      <c r="I211" s="16" t="n">
        <v>300</v>
      </c>
      <c r="J211" s="14" t="n">
        <v>508</v>
      </c>
      <c r="K211" s="14" t="n">
        <v>509</v>
      </c>
      <c r="L211" s="16" t="n">
        <v>100.2</v>
      </c>
    </row>
    <row r="212" customFormat="false" ht="15" hidden="false" customHeight="true" outlineLevel="0" collapsed="false">
      <c r="A212" s="13" t="n">
        <v>2026</v>
      </c>
      <c r="B212" s="13" t="s">
        <v>918</v>
      </c>
      <c r="C212" s="13" t="s">
        <v>686</v>
      </c>
      <c r="D212" s="14" t="n">
        <v>514</v>
      </c>
      <c r="E212" s="14" t="n">
        <v>499</v>
      </c>
      <c r="F212" s="16" t="n">
        <v>97.08</v>
      </c>
      <c r="G212" s="14" t="n">
        <v>3</v>
      </c>
      <c r="H212" s="14" t="n">
        <v>2</v>
      </c>
      <c r="I212" s="16" t="n">
        <v>66.67</v>
      </c>
      <c r="J212" s="14" t="n">
        <v>517</v>
      </c>
      <c r="K212" s="14" t="n">
        <v>501</v>
      </c>
      <c r="L212" s="16" t="n">
        <v>96.91</v>
      </c>
    </row>
    <row r="213" customFormat="false" ht="15" hidden="false" customHeight="true" outlineLevel="0" collapsed="false">
      <c r="A213" s="13" t="n">
        <v>2026</v>
      </c>
      <c r="B213" s="13" t="s">
        <v>918</v>
      </c>
      <c r="C213" s="13" t="s">
        <v>156</v>
      </c>
      <c r="D213" s="14" t="n">
        <v>40</v>
      </c>
      <c r="E213" s="14" t="n">
        <v>24</v>
      </c>
      <c r="F213" s="16" t="n">
        <v>60</v>
      </c>
      <c r="G213" s="14" t="n">
        <v>52</v>
      </c>
      <c r="H213" s="14" t="n">
        <v>25</v>
      </c>
      <c r="I213" s="16" t="n">
        <v>48.08</v>
      </c>
      <c r="J213" s="14" t="n">
        <v>92</v>
      </c>
      <c r="K213" s="14" t="n">
        <v>49</v>
      </c>
      <c r="L213" s="16" t="n">
        <v>53.26</v>
      </c>
    </row>
    <row r="214" customFormat="false" ht="15" hidden="false" customHeight="true" outlineLevel="0" collapsed="false">
      <c r="A214" s="13" t="n">
        <v>2026</v>
      </c>
      <c r="B214" s="13" t="s">
        <v>918</v>
      </c>
      <c r="C214" s="13" t="s">
        <v>414</v>
      </c>
      <c r="D214" s="14" t="n">
        <v>168</v>
      </c>
      <c r="E214" s="14" t="n">
        <v>168</v>
      </c>
      <c r="F214" s="16" t="n">
        <v>100</v>
      </c>
      <c r="G214" s="14" t="n">
        <v>0</v>
      </c>
      <c r="H214" s="14" t="n">
        <v>0</v>
      </c>
      <c r="I214" s="16" t="n">
        <v>0</v>
      </c>
      <c r="J214" s="14" t="n">
        <v>168</v>
      </c>
      <c r="K214" s="14" t="n">
        <v>168</v>
      </c>
      <c r="L214" s="16" t="n">
        <v>100</v>
      </c>
    </row>
    <row r="215" customFormat="false" ht="15" hidden="false" customHeight="true" outlineLevel="0" collapsed="false">
      <c r="A215" s="13" t="n">
        <v>2026</v>
      </c>
      <c r="B215" s="13" t="s">
        <v>918</v>
      </c>
      <c r="C215" s="13" t="s">
        <v>935</v>
      </c>
      <c r="D215" s="14" t="n">
        <v>170</v>
      </c>
      <c r="E215" s="14" t="n">
        <v>165</v>
      </c>
      <c r="F215" s="16" t="n">
        <v>97.06</v>
      </c>
      <c r="G215" s="14" t="n">
        <v>0</v>
      </c>
      <c r="H215" s="14" t="n">
        <v>0</v>
      </c>
      <c r="I215" s="16" t="n">
        <v>0</v>
      </c>
      <c r="J215" s="14" t="n">
        <v>170</v>
      </c>
      <c r="K215" s="14" t="n">
        <v>165</v>
      </c>
      <c r="L215" s="16" t="n">
        <v>97.06</v>
      </c>
    </row>
    <row r="216" customFormat="false" ht="15" hidden="false" customHeight="true" outlineLevel="0" collapsed="false">
      <c r="A216" s="13" t="n">
        <v>2026</v>
      </c>
      <c r="B216" s="13" t="s">
        <v>918</v>
      </c>
      <c r="C216" s="13" t="s">
        <v>149</v>
      </c>
      <c r="D216" s="14" t="n">
        <v>11024</v>
      </c>
      <c r="E216" s="14" t="n">
        <v>10941</v>
      </c>
      <c r="F216" s="16" t="n">
        <v>99.25</v>
      </c>
      <c r="G216" s="14" t="n">
        <v>4177</v>
      </c>
      <c r="H216" s="14" t="n">
        <v>4079</v>
      </c>
      <c r="I216" s="16" t="n">
        <v>97.65</v>
      </c>
      <c r="J216" s="14" t="n">
        <v>15201</v>
      </c>
      <c r="K216" s="14" t="n">
        <v>15020</v>
      </c>
      <c r="L216" s="16" t="n">
        <v>98.81</v>
      </c>
    </row>
    <row r="217" customFormat="false" ht="15" hidden="false" customHeight="true" outlineLevel="0" collapsed="false">
      <c r="A217" s="13" t="n">
        <v>2026</v>
      </c>
      <c r="B217" s="13" t="s">
        <v>918</v>
      </c>
      <c r="C217" s="13" t="s">
        <v>424</v>
      </c>
      <c r="D217" s="14" t="n">
        <v>95</v>
      </c>
      <c r="E217" s="14" t="n">
        <v>94</v>
      </c>
      <c r="F217" s="16" t="n">
        <v>98.95</v>
      </c>
      <c r="G217" s="14" t="n">
        <v>79</v>
      </c>
      <c r="H217" s="14" t="n">
        <v>78</v>
      </c>
      <c r="I217" s="16" t="n">
        <v>98.73</v>
      </c>
      <c r="J217" s="14" t="n">
        <v>174</v>
      </c>
      <c r="K217" s="14" t="n">
        <v>172</v>
      </c>
      <c r="L217" s="16" t="n">
        <v>98.85</v>
      </c>
    </row>
    <row r="218" customFormat="false" ht="15" hidden="false" customHeight="true" outlineLevel="0" collapsed="false">
      <c r="A218" s="13" t="n">
        <v>2026</v>
      </c>
      <c r="B218" s="13" t="s">
        <v>918</v>
      </c>
      <c r="C218" s="13" t="s">
        <v>425</v>
      </c>
      <c r="D218" s="14" t="n">
        <v>9</v>
      </c>
      <c r="E218" s="14" t="n">
        <v>9</v>
      </c>
      <c r="F218" s="16" t="n">
        <v>100</v>
      </c>
      <c r="G218" s="14" t="n">
        <v>21</v>
      </c>
      <c r="H218" s="14" t="n">
        <v>19</v>
      </c>
      <c r="I218" s="16" t="n">
        <v>90.48</v>
      </c>
      <c r="J218" s="14" t="n">
        <v>30</v>
      </c>
      <c r="K218" s="14" t="n">
        <v>28</v>
      </c>
      <c r="L218" s="16" t="n">
        <v>93.33</v>
      </c>
    </row>
    <row r="219" customFormat="false" ht="15" hidden="false" customHeight="true" outlineLevel="0" collapsed="false">
      <c r="A219" s="13" t="n">
        <v>2026</v>
      </c>
      <c r="B219" s="13" t="s">
        <v>918</v>
      </c>
      <c r="C219" s="13" t="s">
        <v>153</v>
      </c>
      <c r="D219" s="14" t="n">
        <v>600</v>
      </c>
      <c r="E219" s="14" t="n">
        <v>596</v>
      </c>
      <c r="F219" s="16" t="n">
        <v>99.33</v>
      </c>
      <c r="G219" s="14" t="n">
        <v>3</v>
      </c>
      <c r="H219" s="14" t="n">
        <v>3</v>
      </c>
      <c r="I219" s="16" t="n">
        <v>100</v>
      </c>
      <c r="J219" s="14" t="n">
        <v>603</v>
      </c>
      <c r="K219" s="14" t="n">
        <v>599</v>
      </c>
      <c r="L219" s="16" t="n">
        <v>99.34</v>
      </c>
    </row>
    <row r="220" customFormat="false" ht="15" hidden="false" customHeight="true" outlineLevel="0" collapsed="false">
      <c r="A220" s="13" t="n">
        <v>2026</v>
      </c>
      <c r="B220" s="13" t="s">
        <v>918</v>
      </c>
      <c r="C220" s="13" t="s">
        <v>693</v>
      </c>
      <c r="D220" s="14" t="n">
        <v>614</v>
      </c>
      <c r="E220" s="14" t="n">
        <v>598</v>
      </c>
      <c r="F220" s="16" t="n">
        <v>97.39</v>
      </c>
      <c r="G220" s="14" t="n">
        <v>3</v>
      </c>
      <c r="H220" s="14" t="n">
        <v>2</v>
      </c>
      <c r="I220" s="16" t="n">
        <v>66.67</v>
      </c>
      <c r="J220" s="14" t="n">
        <v>617</v>
      </c>
      <c r="K220" s="14" t="n">
        <v>600</v>
      </c>
      <c r="L220" s="16" t="n">
        <v>97.24</v>
      </c>
    </row>
    <row r="221" customFormat="false" ht="15" hidden="false" customHeight="true" outlineLevel="0" collapsed="false">
      <c r="A221" s="13" t="n">
        <v>2026</v>
      </c>
      <c r="B221" s="13" t="s">
        <v>918</v>
      </c>
      <c r="C221" s="13" t="s">
        <v>426</v>
      </c>
      <c r="D221" s="14" t="n">
        <v>617</v>
      </c>
      <c r="E221" s="14" t="n">
        <v>616</v>
      </c>
      <c r="F221" s="16" t="n">
        <v>99.84</v>
      </c>
      <c r="G221" s="14" t="n">
        <v>708</v>
      </c>
      <c r="H221" s="14" t="n">
        <v>653</v>
      </c>
      <c r="I221" s="16" t="n">
        <v>92.23</v>
      </c>
      <c r="J221" s="14" t="n">
        <v>1325</v>
      </c>
      <c r="K221" s="14" t="n">
        <v>1269</v>
      </c>
      <c r="L221" s="16" t="n">
        <v>95.77</v>
      </c>
    </row>
    <row r="222" customFormat="false" ht="15" hidden="false" customHeight="true" outlineLevel="0" collapsed="false">
      <c r="A222" s="13" t="n">
        <v>2026</v>
      </c>
      <c r="B222" s="13" t="s">
        <v>918</v>
      </c>
      <c r="C222" s="13" t="s">
        <v>531</v>
      </c>
      <c r="D222" s="14" t="n">
        <v>0</v>
      </c>
      <c r="E222" s="14" t="n">
        <v>0</v>
      </c>
      <c r="F222" s="16" t="n">
        <v>0</v>
      </c>
      <c r="G222" s="14" t="n">
        <v>9</v>
      </c>
      <c r="H222" s="14" t="n">
        <v>11</v>
      </c>
      <c r="I222" s="16" t="n">
        <v>122.22</v>
      </c>
      <c r="J222" s="14" t="n">
        <v>9</v>
      </c>
      <c r="K222" s="14" t="n">
        <v>11</v>
      </c>
      <c r="L222" s="16" t="n">
        <v>122.22</v>
      </c>
    </row>
    <row r="223" customFormat="false" ht="15" hidden="false" customHeight="true" outlineLevel="0" collapsed="false">
      <c r="A223" s="13" t="n">
        <v>2026</v>
      </c>
      <c r="B223" s="13" t="s">
        <v>918</v>
      </c>
      <c r="C223" s="13" t="s">
        <v>427</v>
      </c>
      <c r="D223" s="14" t="n">
        <v>1517</v>
      </c>
      <c r="E223" s="14" t="n">
        <v>1506</v>
      </c>
      <c r="F223" s="16" t="n">
        <v>99.27</v>
      </c>
      <c r="G223" s="14" t="n">
        <v>1380</v>
      </c>
      <c r="H223" s="14" t="n">
        <v>1286</v>
      </c>
      <c r="I223" s="16" t="n">
        <v>93.19</v>
      </c>
      <c r="J223" s="14" t="n">
        <v>2897</v>
      </c>
      <c r="K223" s="14" t="n">
        <v>2792</v>
      </c>
      <c r="L223" s="16" t="n">
        <v>96.38</v>
      </c>
    </row>
    <row r="224" customFormat="false" ht="15" hidden="false" customHeight="true" outlineLevel="0" collapsed="false">
      <c r="A224" s="13" t="n">
        <v>2026</v>
      </c>
      <c r="B224" s="13" t="s">
        <v>918</v>
      </c>
      <c r="C224" s="13" t="s">
        <v>155</v>
      </c>
      <c r="D224" s="14" t="n">
        <v>124</v>
      </c>
      <c r="E224" s="14" t="n">
        <v>84</v>
      </c>
      <c r="F224" s="16" t="n">
        <v>67.74</v>
      </c>
      <c r="G224" s="14" t="n">
        <v>4</v>
      </c>
      <c r="H224" s="14" t="n">
        <v>1</v>
      </c>
      <c r="I224" s="16" t="n">
        <v>25</v>
      </c>
      <c r="J224" s="14" t="n">
        <v>128</v>
      </c>
      <c r="K224" s="14" t="n">
        <v>85</v>
      </c>
      <c r="L224" s="16" t="n">
        <v>66.41</v>
      </c>
    </row>
    <row r="225" customFormat="false" ht="15" hidden="false" customHeight="true" outlineLevel="0" collapsed="false">
      <c r="A225" s="13" t="n">
        <v>2026</v>
      </c>
      <c r="B225" s="13" t="s">
        <v>918</v>
      </c>
      <c r="C225" s="13" t="s">
        <v>673</v>
      </c>
      <c r="D225" s="14" t="n">
        <v>126</v>
      </c>
      <c r="E225" s="14" t="n">
        <v>120</v>
      </c>
      <c r="F225" s="16" t="n">
        <v>95.24</v>
      </c>
      <c r="G225" s="14" t="n">
        <v>1</v>
      </c>
      <c r="H225" s="14" t="n">
        <v>1</v>
      </c>
      <c r="I225" s="16" t="n">
        <v>100</v>
      </c>
      <c r="J225" s="14" t="n">
        <v>127</v>
      </c>
      <c r="K225" s="14" t="n">
        <v>121</v>
      </c>
      <c r="L225" s="16" t="n">
        <v>95.28</v>
      </c>
    </row>
    <row r="226" customFormat="false" ht="15" hidden="false" customHeight="true" outlineLevel="0" collapsed="false">
      <c r="A226" s="13" t="n">
        <v>2026</v>
      </c>
      <c r="B226" s="13" t="s">
        <v>918</v>
      </c>
      <c r="C226" s="13" t="s">
        <v>523</v>
      </c>
      <c r="D226" s="14" t="n">
        <v>10950</v>
      </c>
      <c r="E226" s="14" t="n">
        <v>10922</v>
      </c>
      <c r="F226" s="16" t="n">
        <v>99.74</v>
      </c>
      <c r="G226" s="14" t="n">
        <v>4390</v>
      </c>
      <c r="H226" s="14" t="n">
        <v>4086</v>
      </c>
      <c r="I226" s="16" t="n">
        <v>93.08</v>
      </c>
      <c r="J226" s="14" t="n">
        <v>15340</v>
      </c>
      <c r="K226" s="14" t="n">
        <v>15008</v>
      </c>
      <c r="L226" s="16" t="n">
        <v>97.84</v>
      </c>
    </row>
    <row r="227" customFormat="false" ht="15" hidden="false" customHeight="true" outlineLevel="0" collapsed="false">
      <c r="A227" s="13" t="n">
        <v>2026</v>
      </c>
      <c r="B227" s="13" t="s">
        <v>918</v>
      </c>
      <c r="C227" s="13" t="s">
        <v>410</v>
      </c>
      <c r="D227" s="14" t="n">
        <v>11019</v>
      </c>
      <c r="E227" s="14" t="n">
        <v>10609</v>
      </c>
      <c r="F227" s="16" t="n">
        <v>96.28</v>
      </c>
      <c r="G227" s="14" t="n">
        <v>4755</v>
      </c>
      <c r="H227" s="14" t="n">
        <v>4133</v>
      </c>
      <c r="I227" s="16" t="n">
        <v>86.92</v>
      </c>
      <c r="J227" s="14" t="n">
        <v>15774</v>
      </c>
      <c r="K227" s="14" t="n">
        <v>14742</v>
      </c>
      <c r="L227" s="16" t="n">
        <v>93.46</v>
      </c>
    </row>
    <row r="228" customFormat="false" ht="15" hidden="false" customHeight="true" outlineLevel="0" collapsed="false">
      <c r="A228" s="13" t="n">
        <v>2026</v>
      </c>
      <c r="B228" s="13" t="s">
        <v>918</v>
      </c>
      <c r="C228" s="13" t="s">
        <v>171</v>
      </c>
      <c r="D228" s="14" t="n">
        <v>84</v>
      </c>
      <c r="E228" s="14" t="n">
        <v>73</v>
      </c>
      <c r="F228" s="16" t="n">
        <v>86.9</v>
      </c>
      <c r="G228" s="14" t="n">
        <v>37</v>
      </c>
      <c r="H228" s="14" t="n">
        <v>18</v>
      </c>
      <c r="I228" s="16" t="n">
        <v>48.65</v>
      </c>
      <c r="J228" s="14" t="n">
        <v>121</v>
      </c>
      <c r="K228" s="14" t="n">
        <v>91</v>
      </c>
      <c r="L228" s="16" t="n">
        <v>75.21</v>
      </c>
    </row>
    <row r="229" customFormat="false" ht="15" hidden="false" customHeight="true" outlineLevel="0" collapsed="false">
      <c r="A229" s="13" t="n">
        <v>2026</v>
      </c>
      <c r="B229" s="13" t="s">
        <v>919</v>
      </c>
      <c r="C229" s="13" t="s">
        <v>170</v>
      </c>
      <c r="D229" s="14" t="n">
        <v>12395</v>
      </c>
      <c r="E229" s="14" t="n">
        <v>11414</v>
      </c>
      <c r="F229" s="16" t="n">
        <v>92.09</v>
      </c>
      <c r="G229" s="14" t="n">
        <v>484</v>
      </c>
      <c r="H229" s="14" t="n">
        <v>265</v>
      </c>
      <c r="I229" s="16" t="n">
        <v>54.75</v>
      </c>
      <c r="J229" s="14" t="n">
        <v>12879</v>
      </c>
      <c r="K229" s="14" t="n">
        <v>11679</v>
      </c>
      <c r="L229" s="16" t="n">
        <v>90.68</v>
      </c>
    </row>
    <row r="230" customFormat="false" ht="15" hidden="false" customHeight="true" outlineLevel="0" collapsed="false">
      <c r="A230" s="13" t="n">
        <v>2026</v>
      </c>
      <c r="B230" s="13" t="s">
        <v>919</v>
      </c>
      <c r="C230" s="13" t="s">
        <v>671</v>
      </c>
      <c r="D230" s="14" t="n">
        <v>12517</v>
      </c>
      <c r="E230" s="14" t="n">
        <v>12261</v>
      </c>
      <c r="F230" s="16" t="n">
        <v>97.95</v>
      </c>
      <c r="G230" s="14" t="n">
        <v>117</v>
      </c>
      <c r="H230" s="14" t="n">
        <v>70</v>
      </c>
      <c r="I230" s="16" t="n">
        <v>59.83</v>
      </c>
      <c r="J230" s="14" t="n">
        <v>12634</v>
      </c>
      <c r="K230" s="14" t="n">
        <v>12331</v>
      </c>
      <c r="L230" s="16" t="n">
        <v>97.6</v>
      </c>
    </row>
    <row r="231" customFormat="false" ht="15" hidden="false" customHeight="true" outlineLevel="0" collapsed="false">
      <c r="A231" s="13" t="n">
        <v>2026</v>
      </c>
      <c r="B231" s="13" t="s">
        <v>919</v>
      </c>
      <c r="C231" s="13" t="s">
        <v>152</v>
      </c>
      <c r="D231" s="14" t="n">
        <v>2954</v>
      </c>
      <c r="E231" s="14" t="n">
        <v>2795</v>
      </c>
      <c r="F231" s="16" t="n">
        <v>94.62</v>
      </c>
      <c r="G231" s="14" t="n">
        <v>55</v>
      </c>
      <c r="H231" s="14" t="n">
        <v>42</v>
      </c>
      <c r="I231" s="16" t="n">
        <v>76.36</v>
      </c>
      <c r="J231" s="14" t="n">
        <v>3009</v>
      </c>
      <c r="K231" s="14" t="n">
        <v>2837</v>
      </c>
      <c r="L231" s="16" t="n">
        <v>94.28</v>
      </c>
    </row>
    <row r="232" customFormat="false" ht="15" hidden="false" customHeight="true" outlineLevel="0" collapsed="false">
      <c r="A232" s="13" t="n">
        <v>2026</v>
      </c>
      <c r="B232" s="13" t="s">
        <v>919</v>
      </c>
      <c r="C232" s="13" t="s">
        <v>142</v>
      </c>
      <c r="D232" s="14" t="n">
        <v>12418</v>
      </c>
      <c r="E232" s="14" t="n">
        <v>11258</v>
      </c>
      <c r="F232" s="16" t="n">
        <v>90.66</v>
      </c>
      <c r="G232" s="14" t="n">
        <v>407</v>
      </c>
      <c r="H232" s="14" t="n">
        <v>211</v>
      </c>
      <c r="I232" s="16" t="n">
        <v>51.84</v>
      </c>
      <c r="J232" s="14" t="n">
        <v>12825</v>
      </c>
      <c r="K232" s="14" t="n">
        <v>11469</v>
      </c>
      <c r="L232" s="16" t="n">
        <v>89.43</v>
      </c>
    </row>
    <row r="233" customFormat="false" ht="15" hidden="false" customHeight="true" outlineLevel="0" collapsed="false">
      <c r="A233" s="13" t="n">
        <v>2026</v>
      </c>
      <c r="B233" s="13" t="s">
        <v>919</v>
      </c>
      <c r="C233" s="13" t="s">
        <v>143</v>
      </c>
      <c r="D233" s="14" t="n">
        <v>54</v>
      </c>
      <c r="E233" s="14" t="n">
        <v>54</v>
      </c>
      <c r="F233" s="16" t="n">
        <v>100</v>
      </c>
      <c r="G233" s="14" t="n">
        <v>1</v>
      </c>
      <c r="H233" s="14" t="n">
        <v>1</v>
      </c>
      <c r="I233" s="16" t="n">
        <v>100</v>
      </c>
      <c r="J233" s="14" t="n">
        <v>55</v>
      </c>
      <c r="K233" s="14" t="n">
        <v>55</v>
      </c>
      <c r="L233" s="16" t="n">
        <v>100</v>
      </c>
    </row>
    <row r="234" customFormat="false" ht="15" hidden="false" customHeight="true" outlineLevel="0" collapsed="false">
      <c r="A234" s="13" t="n">
        <v>2026</v>
      </c>
      <c r="B234" s="13" t="s">
        <v>919</v>
      </c>
      <c r="C234" s="13" t="s">
        <v>265</v>
      </c>
      <c r="D234" s="14" t="n">
        <v>24</v>
      </c>
      <c r="E234" s="14" t="n">
        <v>23</v>
      </c>
      <c r="F234" s="16" t="n">
        <v>95.83</v>
      </c>
      <c r="G234" s="14" t="n">
        <v>59</v>
      </c>
      <c r="H234" s="14" t="n">
        <v>56</v>
      </c>
      <c r="I234" s="16" t="n">
        <v>94.92</v>
      </c>
      <c r="J234" s="14" t="n">
        <v>83</v>
      </c>
      <c r="K234" s="14" t="n">
        <v>79</v>
      </c>
      <c r="L234" s="16" t="n">
        <v>95.18</v>
      </c>
    </row>
    <row r="235" customFormat="false" ht="15" hidden="false" customHeight="true" outlineLevel="0" collapsed="false">
      <c r="A235" s="13" t="n">
        <v>2026</v>
      </c>
      <c r="B235" s="13" t="s">
        <v>919</v>
      </c>
      <c r="C235" s="13" t="s">
        <v>156</v>
      </c>
      <c r="D235" s="14" t="n">
        <v>12406</v>
      </c>
      <c r="E235" s="14" t="n">
        <v>9128</v>
      </c>
      <c r="F235" s="16" t="n">
        <v>73.58</v>
      </c>
      <c r="G235" s="14" t="n">
        <v>1632</v>
      </c>
      <c r="H235" s="14" t="n">
        <v>756</v>
      </c>
      <c r="I235" s="16" t="n">
        <v>46.32</v>
      </c>
      <c r="J235" s="14" t="n">
        <v>14038</v>
      </c>
      <c r="K235" s="14" t="n">
        <v>9884</v>
      </c>
      <c r="L235" s="16" t="n">
        <v>70.41</v>
      </c>
    </row>
    <row r="236" customFormat="false" ht="15" hidden="false" customHeight="true" outlineLevel="0" collapsed="false">
      <c r="A236" s="13" t="n">
        <v>2026</v>
      </c>
      <c r="B236" s="13" t="s">
        <v>919</v>
      </c>
      <c r="C236" s="13" t="s">
        <v>149</v>
      </c>
      <c r="D236" s="14" t="n">
        <v>12398</v>
      </c>
      <c r="E236" s="14" t="n">
        <v>12359</v>
      </c>
      <c r="F236" s="16" t="n">
        <v>99.69</v>
      </c>
      <c r="G236" s="14" t="n">
        <v>63</v>
      </c>
      <c r="H236" s="14" t="n">
        <v>58</v>
      </c>
      <c r="I236" s="16" t="n">
        <v>92.06</v>
      </c>
      <c r="J236" s="14" t="n">
        <v>12461</v>
      </c>
      <c r="K236" s="14" t="n">
        <v>12417</v>
      </c>
      <c r="L236" s="16" t="n">
        <v>99.65</v>
      </c>
    </row>
    <row r="237" customFormat="false" ht="15" hidden="false" customHeight="true" outlineLevel="0" collapsed="false">
      <c r="A237" s="13" t="n">
        <v>2026</v>
      </c>
      <c r="B237" s="13" t="s">
        <v>919</v>
      </c>
      <c r="C237" s="13" t="s">
        <v>165</v>
      </c>
      <c r="D237" s="14" t="n">
        <v>8926</v>
      </c>
      <c r="E237" s="14" t="n">
        <v>7437</v>
      </c>
      <c r="F237" s="16" t="n">
        <v>83.32</v>
      </c>
      <c r="G237" s="14" t="n">
        <v>559</v>
      </c>
      <c r="H237" s="14" t="n">
        <v>238</v>
      </c>
      <c r="I237" s="16" t="n">
        <v>42.58</v>
      </c>
      <c r="J237" s="14" t="n">
        <v>9485</v>
      </c>
      <c r="K237" s="14" t="n">
        <v>7675</v>
      </c>
      <c r="L237" s="16" t="n">
        <v>80.92</v>
      </c>
    </row>
    <row r="238" customFormat="false" ht="15" hidden="false" customHeight="true" outlineLevel="0" collapsed="false">
      <c r="A238" s="13" t="n">
        <v>2026</v>
      </c>
      <c r="B238" s="13" t="s">
        <v>919</v>
      </c>
      <c r="C238" s="13" t="s">
        <v>664</v>
      </c>
      <c r="D238" s="14" t="n">
        <v>9011</v>
      </c>
      <c r="E238" s="14" t="n">
        <v>8808</v>
      </c>
      <c r="F238" s="16" t="n">
        <v>97.75</v>
      </c>
      <c r="G238" s="14" t="n">
        <v>76</v>
      </c>
      <c r="H238" s="14" t="n">
        <v>50</v>
      </c>
      <c r="I238" s="16" t="n">
        <v>65.79</v>
      </c>
      <c r="J238" s="14" t="n">
        <v>9087</v>
      </c>
      <c r="K238" s="14" t="n">
        <v>8858</v>
      </c>
      <c r="L238" s="16" t="n">
        <v>97.48</v>
      </c>
    </row>
    <row r="239" customFormat="false" ht="15" hidden="false" customHeight="true" outlineLevel="0" collapsed="false">
      <c r="A239" s="13" t="n">
        <v>2026</v>
      </c>
      <c r="B239" s="13" t="s">
        <v>919</v>
      </c>
      <c r="C239" s="13" t="s">
        <v>155</v>
      </c>
      <c r="D239" s="14" t="n">
        <v>509</v>
      </c>
      <c r="E239" s="14" t="n">
        <v>433</v>
      </c>
      <c r="F239" s="16" t="n">
        <v>85.07</v>
      </c>
      <c r="G239" s="14" t="n">
        <v>17</v>
      </c>
      <c r="H239" s="14" t="n">
        <v>13</v>
      </c>
      <c r="I239" s="16" t="n">
        <v>76.47</v>
      </c>
      <c r="J239" s="14" t="n">
        <v>526</v>
      </c>
      <c r="K239" s="14" t="n">
        <v>446</v>
      </c>
      <c r="L239" s="16" t="n">
        <v>84.79</v>
      </c>
    </row>
    <row r="240" customFormat="false" ht="15" hidden="false" customHeight="true" outlineLevel="0" collapsed="false">
      <c r="A240" s="13" t="n">
        <v>2026</v>
      </c>
      <c r="B240" s="13" t="s">
        <v>919</v>
      </c>
      <c r="C240" s="13" t="s">
        <v>673</v>
      </c>
      <c r="D240" s="14" t="n">
        <v>514</v>
      </c>
      <c r="E240" s="14" t="n">
        <v>501</v>
      </c>
      <c r="F240" s="16" t="n">
        <v>97.47</v>
      </c>
      <c r="G240" s="14" t="n">
        <v>11</v>
      </c>
      <c r="H240" s="14" t="n">
        <v>6</v>
      </c>
      <c r="I240" s="16" t="n">
        <v>54.55</v>
      </c>
      <c r="J240" s="14" t="n">
        <v>525</v>
      </c>
      <c r="K240" s="14" t="n">
        <v>507</v>
      </c>
      <c r="L240" s="16" t="n">
        <v>96.57</v>
      </c>
    </row>
    <row r="241" customFormat="false" ht="15" hidden="false" customHeight="true" outlineLevel="0" collapsed="false">
      <c r="A241" s="13" t="n">
        <v>2026</v>
      </c>
      <c r="B241" s="13" t="s">
        <v>919</v>
      </c>
      <c r="C241" s="13" t="s">
        <v>523</v>
      </c>
      <c r="D241" s="14" t="n">
        <v>12363</v>
      </c>
      <c r="E241" s="14" t="n">
        <v>12358</v>
      </c>
      <c r="F241" s="16" t="n">
        <v>99.96</v>
      </c>
      <c r="G241" s="14" t="n">
        <v>91</v>
      </c>
      <c r="H241" s="14" t="n">
        <v>78</v>
      </c>
      <c r="I241" s="16" t="n">
        <v>85.71</v>
      </c>
      <c r="J241" s="14" t="n">
        <v>12454</v>
      </c>
      <c r="K241" s="14" t="n">
        <v>12436</v>
      </c>
      <c r="L241" s="16" t="n">
        <v>99.86</v>
      </c>
    </row>
    <row r="242" customFormat="false" ht="15" hidden="false" customHeight="true" outlineLevel="0" collapsed="false">
      <c r="A242" s="13" t="n">
        <v>2026</v>
      </c>
      <c r="B242" s="13" t="s">
        <v>919</v>
      </c>
      <c r="C242" s="13" t="s">
        <v>410</v>
      </c>
      <c r="D242" s="14" t="n">
        <v>12406</v>
      </c>
      <c r="E242" s="14" t="n">
        <v>12225</v>
      </c>
      <c r="F242" s="16" t="n">
        <v>98.54</v>
      </c>
      <c r="G242" s="14" t="n">
        <v>128</v>
      </c>
      <c r="H242" s="14" t="n">
        <v>109</v>
      </c>
      <c r="I242" s="16" t="n">
        <v>85.16</v>
      </c>
      <c r="J242" s="14" t="n">
        <v>12534</v>
      </c>
      <c r="K242" s="14" t="n">
        <v>12334</v>
      </c>
      <c r="L242" s="16" t="n">
        <v>98.4</v>
      </c>
    </row>
    <row r="243" customFormat="false" ht="15" hidden="false" customHeight="true" outlineLevel="0" collapsed="false">
      <c r="A243" s="13" t="n">
        <v>2026</v>
      </c>
      <c r="B243" s="13" t="s">
        <v>920</v>
      </c>
      <c r="C243" s="13" t="s">
        <v>585</v>
      </c>
      <c r="D243" s="14" t="n">
        <v>329</v>
      </c>
      <c r="E243" s="14" t="n">
        <v>314</v>
      </c>
      <c r="F243" s="16" t="n">
        <v>95.44</v>
      </c>
      <c r="G243" s="14" t="n">
        <v>77</v>
      </c>
      <c r="H243" s="14" t="n">
        <v>53</v>
      </c>
      <c r="I243" s="16" t="n">
        <v>68.83</v>
      </c>
      <c r="J243" s="14" t="n">
        <v>406</v>
      </c>
      <c r="K243" s="14" t="n">
        <v>367</v>
      </c>
      <c r="L243" s="16" t="n">
        <v>90.39</v>
      </c>
    </row>
    <row r="244" customFormat="false" ht="15" hidden="false" customHeight="true" outlineLevel="0" collapsed="false">
      <c r="A244" s="13" t="n">
        <v>2026</v>
      </c>
      <c r="B244" s="13" t="s">
        <v>920</v>
      </c>
      <c r="C244" s="13" t="s">
        <v>142</v>
      </c>
      <c r="D244" s="14" t="n">
        <v>329</v>
      </c>
      <c r="E244" s="14" t="n">
        <v>249</v>
      </c>
      <c r="F244" s="16" t="n">
        <v>75.68</v>
      </c>
      <c r="G244" s="14" t="n">
        <v>124</v>
      </c>
      <c r="H244" s="14" t="n">
        <v>62</v>
      </c>
      <c r="I244" s="16" t="n">
        <v>50</v>
      </c>
      <c r="J244" s="14" t="n">
        <v>453</v>
      </c>
      <c r="K244" s="14" t="n">
        <v>311</v>
      </c>
      <c r="L244" s="16" t="n">
        <v>68.65</v>
      </c>
    </row>
    <row r="245" customFormat="false" ht="15" hidden="false" customHeight="true" outlineLevel="0" collapsed="false">
      <c r="A245" s="13" t="n">
        <v>2026</v>
      </c>
      <c r="B245" s="13" t="s">
        <v>920</v>
      </c>
      <c r="C245" s="13" t="s">
        <v>143</v>
      </c>
      <c r="D245" s="14" t="n">
        <v>4</v>
      </c>
      <c r="E245" s="14" t="n">
        <v>4</v>
      </c>
      <c r="F245" s="16" t="n">
        <v>100</v>
      </c>
      <c r="G245" s="14" t="n">
        <v>0</v>
      </c>
      <c r="H245" s="14" t="n">
        <v>0</v>
      </c>
      <c r="I245" s="16" t="n">
        <v>0</v>
      </c>
      <c r="J245" s="14" t="n">
        <v>4</v>
      </c>
      <c r="K245" s="14" t="n">
        <v>4</v>
      </c>
      <c r="L245" s="16" t="n">
        <v>100</v>
      </c>
    </row>
    <row r="246" customFormat="false" ht="15" hidden="false" customHeight="true" outlineLevel="0" collapsed="false">
      <c r="A246" s="13" t="n">
        <v>2026</v>
      </c>
      <c r="B246" s="13" t="s">
        <v>920</v>
      </c>
      <c r="C246" s="13" t="s">
        <v>265</v>
      </c>
      <c r="D246" s="14" t="n">
        <v>4</v>
      </c>
      <c r="E246" s="14" t="n">
        <v>4</v>
      </c>
      <c r="F246" s="16" t="n">
        <v>100</v>
      </c>
      <c r="G246" s="14" t="n">
        <v>24</v>
      </c>
      <c r="H246" s="14" t="n">
        <v>21</v>
      </c>
      <c r="I246" s="16" t="n">
        <v>87.5</v>
      </c>
      <c r="J246" s="14" t="n">
        <v>28</v>
      </c>
      <c r="K246" s="14" t="n">
        <v>25</v>
      </c>
      <c r="L246" s="16" t="n">
        <v>89.29</v>
      </c>
    </row>
    <row r="247" customFormat="false" ht="15" hidden="false" customHeight="true" outlineLevel="0" collapsed="false">
      <c r="A247" s="13" t="n">
        <v>2026</v>
      </c>
      <c r="B247" s="13" t="s">
        <v>920</v>
      </c>
      <c r="C247" s="13" t="s">
        <v>149</v>
      </c>
      <c r="D247" s="14" t="n">
        <v>328</v>
      </c>
      <c r="E247" s="14" t="n">
        <v>326</v>
      </c>
      <c r="F247" s="16" t="n">
        <v>99.39</v>
      </c>
      <c r="G247" s="14" t="n">
        <v>68</v>
      </c>
      <c r="H247" s="14" t="n">
        <v>61</v>
      </c>
      <c r="I247" s="16" t="n">
        <v>89.71</v>
      </c>
      <c r="J247" s="14" t="n">
        <v>396</v>
      </c>
      <c r="K247" s="14" t="n">
        <v>387</v>
      </c>
      <c r="L247" s="16" t="n">
        <v>97.73</v>
      </c>
    </row>
    <row r="248" customFormat="false" ht="15" hidden="false" customHeight="true" outlineLevel="0" collapsed="false">
      <c r="A248" s="13" t="n">
        <v>2026</v>
      </c>
      <c r="B248" s="13" t="s">
        <v>920</v>
      </c>
      <c r="C248" s="13" t="s">
        <v>477</v>
      </c>
      <c r="D248" s="14" t="n">
        <v>329</v>
      </c>
      <c r="E248" s="14" t="n">
        <v>323</v>
      </c>
      <c r="F248" s="16" t="n">
        <v>98.18</v>
      </c>
      <c r="G248" s="14" t="n">
        <v>75</v>
      </c>
      <c r="H248" s="14" t="n">
        <v>62</v>
      </c>
      <c r="I248" s="16" t="n">
        <v>82.67</v>
      </c>
      <c r="J248" s="14" t="n">
        <v>404</v>
      </c>
      <c r="K248" s="14" t="n">
        <v>385</v>
      </c>
      <c r="L248" s="16" t="n">
        <v>95.3</v>
      </c>
    </row>
    <row r="249" customFormat="false" ht="15" hidden="false" customHeight="true" outlineLevel="0" collapsed="false">
      <c r="A249" s="13" t="n">
        <v>2026</v>
      </c>
      <c r="B249" s="13" t="s">
        <v>920</v>
      </c>
      <c r="C249" s="13" t="s">
        <v>284</v>
      </c>
      <c r="D249" s="14" t="n">
        <v>326</v>
      </c>
      <c r="E249" s="14" t="n">
        <v>326</v>
      </c>
      <c r="F249" s="16" t="n">
        <v>100</v>
      </c>
      <c r="G249" s="14" t="n">
        <v>71</v>
      </c>
      <c r="H249" s="14" t="n">
        <v>67</v>
      </c>
      <c r="I249" s="16" t="n">
        <v>94.37</v>
      </c>
      <c r="J249" s="14" t="n">
        <v>397</v>
      </c>
      <c r="K249" s="14" t="n">
        <v>393</v>
      </c>
      <c r="L249" s="16" t="n">
        <v>98.99</v>
      </c>
    </row>
    <row r="250" customFormat="false" ht="15" hidden="false" customHeight="true" outlineLevel="0" collapsed="false">
      <c r="A250" s="13" t="n">
        <v>2026</v>
      </c>
      <c r="B250" s="13" t="s">
        <v>920</v>
      </c>
      <c r="C250" s="13" t="s">
        <v>936</v>
      </c>
      <c r="D250" s="14" t="n">
        <v>5</v>
      </c>
      <c r="E250" s="14" t="n">
        <v>5</v>
      </c>
      <c r="F250" s="16" t="n">
        <v>100</v>
      </c>
      <c r="G250" s="14" t="n">
        <v>0</v>
      </c>
      <c r="H250" s="14" t="n">
        <v>0</v>
      </c>
      <c r="I250" s="16" t="n">
        <v>0</v>
      </c>
      <c r="J250" s="14" t="n">
        <v>5</v>
      </c>
      <c r="K250" s="14" t="n">
        <v>5</v>
      </c>
      <c r="L250" s="16" t="n">
        <v>100</v>
      </c>
    </row>
    <row r="251" customFormat="false" ht="15" hidden="false" customHeight="true" outlineLevel="0" collapsed="false">
      <c r="A251" s="13" t="n">
        <v>2026</v>
      </c>
      <c r="B251" s="13" t="s">
        <v>920</v>
      </c>
      <c r="C251" s="13" t="s">
        <v>285</v>
      </c>
      <c r="D251" s="14" t="n">
        <v>329</v>
      </c>
      <c r="E251" s="14" t="n">
        <v>329</v>
      </c>
      <c r="F251" s="16" t="n">
        <v>100</v>
      </c>
      <c r="G251" s="14" t="n">
        <v>71</v>
      </c>
      <c r="H251" s="14" t="n">
        <v>65</v>
      </c>
      <c r="I251" s="16" t="n">
        <v>91.55</v>
      </c>
      <c r="J251" s="14" t="n">
        <v>400</v>
      </c>
      <c r="K251" s="14" t="n">
        <v>394</v>
      </c>
      <c r="L251" s="16" t="n">
        <v>98.5</v>
      </c>
    </row>
    <row r="252" customFormat="false" ht="15" hidden="false" customHeight="true" outlineLevel="0" collapsed="false">
      <c r="A252" s="13" t="n">
        <v>2026</v>
      </c>
      <c r="B252" s="13" t="s">
        <v>920</v>
      </c>
      <c r="C252" s="13" t="s">
        <v>531</v>
      </c>
      <c r="D252" s="14" t="n">
        <v>0</v>
      </c>
      <c r="E252" s="14" t="n">
        <v>0</v>
      </c>
      <c r="F252" s="16" t="n">
        <v>0</v>
      </c>
      <c r="G252" s="14" t="n">
        <v>0</v>
      </c>
      <c r="H252" s="14" t="n">
        <v>1</v>
      </c>
      <c r="I252" s="16" t="n">
        <v>0</v>
      </c>
      <c r="J252" s="14" t="n">
        <v>0</v>
      </c>
      <c r="K252" s="14" t="n">
        <v>1</v>
      </c>
      <c r="L252" s="16" t="n">
        <v>0</v>
      </c>
    </row>
    <row r="253" customFormat="false" ht="15" hidden="false" customHeight="true" outlineLevel="0" collapsed="false">
      <c r="A253" s="13" t="n">
        <v>2026</v>
      </c>
      <c r="B253" s="13" t="s">
        <v>920</v>
      </c>
      <c r="C253" s="13" t="s">
        <v>523</v>
      </c>
      <c r="D253" s="14" t="n">
        <v>325</v>
      </c>
      <c r="E253" s="14" t="n">
        <v>323</v>
      </c>
      <c r="F253" s="16" t="n">
        <v>99.38</v>
      </c>
      <c r="G253" s="14" t="n">
        <v>74</v>
      </c>
      <c r="H253" s="14" t="n">
        <v>62</v>
      </c>
      <c r="I253" s="16" t="n">
        <v>83.78</v>
      </c>
      <c r="J253" s="14" t="n">
        <v>399</v>
      </c>
      <c r="K253" s="14" t="n">
        <v>385</v>
      </c>
      <c r="L253" s="16" t="n">
        <v>96.49</v>
      </c>
    </row>
    <row r="254" customFormat="false" ht="15" hidden="false" customHeight="true" outlineLevel="0" collapsed="false">
      <c r="A254" s="13" t="n">
        <v>2026</v>
      </c>
      <c r="B254" s="13" t="s">
        <v>920</v>
      </c>
      <c r="C254" s="13" t="s">
        <v>410</v>
      </c>
      <c r="D254" s="14" t="n">
        <v>328</v>
      </c>
      <c r="E254" s="14" t="n">
        <v>306</v>
      </c>
      <c r="F254" s="16" t="n">
        <v>93.29</v>
      </c>
      <c r="G254" s="14" t="n">
        <v>83</v>
      </c>
      <c r="H254" s="14" t="n">
        <v>64</v>
      </c>
      <c r="I254" s="16" t="n">
        <v>77.11</v>
      </c>
      <c r="J254" s="14" t="n">
        <v>411</v>
      </c>
      <c r="K254" s="14" t="n">
        <v>370</v>
      </c>
      <c r="L254" s="16" t="n">
        <v>90.02</v>
      </c>
    </row>
    <row r="255" customFormat="false" ht="15" hidden="false" customHeight="true" outlineLevel="0" collapsed="false">
      <c r="A255" s="13" t="n">
        <v>2026</v>
      </c>
      <c r="B255" s="13" t="s">
        <v>920</v>
      </c>
      <c r="C255" s="13" t="s">
        <v>585</v>
      </c>
      <c r="D255" s="14" t="n">
        <v>329</v>
      </c>
      <c r="E255" s="14" t="n">
        <v>314</v>
      </c>
      <c r="F255" s="16" t="n">
        <v>95.44</v>
      </c>
      <c r="G255" s="14" t="n">
        <v>77</v>
      </c>
      <c r="H255" s="14" t="n">
        <v>53</v>
      </c>
      <c r="I255" s="16" t="n">
        <v>68.83</v>
      </c>
      <c r="J255" s="14" t="n">
        <v>406</v>
      </c>
      <c r="K255" s="14" t="n">
        <v>367</v>
      </c>
      <c r="L255" s="16" t="n">
        <v>90.39</v>
      </c>
    </row>
    <row r="256" customFormat="false" ht="15" hidden="false" customHeight="true" outlineLevel="0" collapsed="false">
      <c r="A256" s="13" t="n">
        <v>2026</v>
      </c>
      <c r="B256" s="13" t="s">
        <v>921</v>
      </c>
      <c r="C256" s="13" t="s">
        <v>538</v>
      </c>
      <c r="D256" s="14" t="n">
        <v>6</v>
      </c>
      <c r="E256" s="14" t="n">
        <v>6</v>
      </c>
      <c r="F256" s="16" t="n">
        <v>100</v>
      </c>
      <c r="G256" s="14" t="n">
        <v>0</v>
      </c>
      <c r="H256" s="14" t="n">
        <v>0</v>
      </c>
      <c r="I256" s="16" t="n">
        <v>0</v>
      </c>
      <c r="J256" s="14" t="n">
        <v>6</v>
      </c>
      <c r="K256" s="14" t="n">
        <v>6</v>
      </c>
      <c r="L256" s="16" t="n">
        <v>100</v>
      </c>
    </row>
    <row r="257" customFormat="false" ht="15" hidden="false" customHeight="true" outlineLevel="0" collapsed="false">
      <c r="A257" s="13" t="n">
        <v>2026</v>
      </c>
      <c r="B257" s="13" t="s">
        <v>921</v>
      </c>
      <c r="C257" s="13" t="s">
        <v>579</v>
      </c>
      <c r="D257" s="14" t="n">
        <v>6</v>
      </c>
      <c r="E257" s="14" t="n">
        <v>6</v>
      </c>
      <c r="F257" s="16" t="n">
        <v>100</v>
      </c>
      <c r="G257" s="14" t="n">
        <v>0</v>
      </c>
      <c r="H257" s="14" t="n">
        <v>0</v>
      </c>
      <c r="I257" s="16" t="n">
        <v>0</v>
      </c>
      <c r="J257" s="14" t="n">
        <v>6</v>
      </c>
      <c r="K257" s="14" t="n">
        <v>6</v>
      </c>
      <c r="L257" s="16" t="n">
        <v>100</v>
      </c>
    </row>
    <row r="258" customFormat="false" ht="15" hidden="false" customHeight="true" outlineLevel="0" collapsed="false">
      <c r="A258" s="13" t="n">
        <v>2026</v>
      </c>
      <c r="B258" s="13" t="s">
        <v>921</v>
      </c>
      <c r="C258" s="13" t="s">
        <v>142</v>
      </c>
      <c r="D258" s="14" t="n">
        <v>6</v>
      </c>
      <c r="E258" s="14" t="n">
        <v>3</v>
      </c>
      <c r="F258" s="16" t="n">
        <v>50</v>
      </c>
      <c r="G258" s="14" t="n">
        <v>0</v>
      </c>
      <c r="H258" s="14" t="n">
        <v>0</v>
      </c>
      <c r="I258" s="16" t="n">
        <v>0</v>
      </c>
      <c r="J258" s="14" t="n">
        <v>6</v>
      </c>
      <c r="K258" s="14" t="n">
        <v>3</v>
      </c>
      <c r="L258" s="16" t="n">
        <v>50</v>
      </c>
    </row>
    <row r="259" customFormat="false" ht="15" hidden="false" customHeight="true" outlineLevel="0" collapsed="false">
      <c r="A259" s="13" t="n">
        <v>2026</v>
      </c>
      <c r="B259" s="13" t="s">
        <v>921</v>
      </c>
      <c r="C259" s="13" t="s">
        <v>148</v>
      </c>
      <c r="D259" s="14" t="n">
        <v>6</v>
      </c>
      <c r="E259" s="14" t="n">
        <v>6</v>
      </c>
      <c r="F259" s="16" t="n">
        <v>100</v>
      </c>
      <c r="G259" s="14" t="n">
        <v>0</v>
      </c>
      <c r="H259" s="14" t="n">
        <v>0</v>
      </c>
      <c r="I259" s="16" t="n">
        <v>0</v>
      </c>
      <c r="J259" s="14" t="n">
        <v>6</v>
      </c>
      <c r="K259" s="14" t="n">
        <v>6</v>
      </c>
      <c r="L259" s="16" t="n">
        <v>100</v>
      </c>
    </row>
    <row r="260" customFormat="false" ht="15" hidden="false" customHeight="true" outlineLevel="0" collapsed="false">
      <c r="A260" s="13" t="n">
        <v>2026</v>
      </c>
      <c r="B260" s="13" t="s">
        <v>921</v>
      </c>
      <c r="C260" s="13" t="s">
        <v>149</v>
      </c>
      <c r="D260" s="14" t="n">
        <v>6</v>
      </c>
      <c r="E260" s="14" t="n">
        <v>6</v>
      </c>
      <c r="F260" s="16" t="n">
        <v>100</v>
      </c>
      <c r="G260" s="14" t="n">
        <v>0</v>
      </c>
      <c r="H260" s="14" t="n">
        <v>0</v>
      </c>
      <c r="I260" s="16" t="n">
        <v>0</v>
      </c>
      <c r="J260" s="14" t="n">
        <v>6</v>
      </c>
      <c r="K260" s="14" t="n">
        <v>6</v>
      </c>
      <c r="L260" s="16" t="n">
        <v>100</v>
      </c>
    </row>
    <row r="261" customFormat="false" ht="15" hidden="false" customHeight="true" outlineLevel="0" collapsed="false">
      <c r="A261" s="13" t="n">
        <v>2026</v>
      </c>
      <c r="B261" s="13" t="s">
        <v>921</v>
      </c>
      <c r="C261" s="13" t="s">
        <v>523</v>
      </c>
      <c r="D261" s="14" t="n">
        <v>6</v>
      </c>
      <c r="E261" s="14" t="n">
        <v>6</v>
      </c>
      <c r="F261" s="16" t="n">
        <v>100</v>
      </c>
      <c r="G261" s="14" t="n">
        <v>0</v>
      </c>
      <c r="H261" s="14" t="n">
        <v>0</v>
      </c>
      <c r="I261" s="16" t="n">
        <v>0</v>
      </c>
      <c r="J261" s="14" t="n">
        <v>6</v>
      </c>
      <c r="K261" s="14" t="n">
        <v>6</v>
      </c>
      <c r="L261" s="16" t="n">
        <v>100</v>
      </c>
    </row>
    <row r="262" customFormat="false" ht="15" hidden="false" customHeight="true" outlineLevel="0" collapsed="false">
      <c r="A262" s="13" t="n">
        <v>2026</v>
      </c>
      <c r="B262" s="13" t="s">
        <v>921</v>
      </c>
      <c r="C262" s="13" t="s">
        <v>410</v>
      </c>
      <c r="D262" s="14" t="n">
        <v>6</v>
      </c>
      <c r="E262" s="14" t="n">
        <v>5</v>
      </c>
      <c r="F262" s="16" t="n">
        <v>83.33</v>
      </c>
      <c r="G262" s="14" t="n">
        <v>0</v>
      </c>
      <c r="H262" s="14" t="n">
        <v>0</v>
      </c>
      <c r="I262" s="16" t="n">
        <v>0</v>
      </c>
      <c r="J262" s="14" t="n">
        <v>6</v>
      </c>
      <c r="K262" s="14" t="n">
        <v>5</v>
      </c>
      <c r="L262" s="16" t="n">
        <v>83.33</v>
      </c>
    </row>
    <row r="263" customFormat="false" ht="15" hidden="false" customHeight="true" outlineLevel="0" collapsed="false">
      <c r="A263" s="13" t="n">
        <v>2026</v>
      </c>
      <c r="B263" s="13" t="s">
        <v>923</v>
      </c>
      <c r="C263" s="13" t="s">
        <v>142</v>
      </c>
      <c r="D263" s="14" t="n">
        <v>0</v>
      </c>
      <c r="E263" s="14" t="n">
        <v>0</v>
      </c>
      <c r="F263" s="16" t="n">
        <v>0</v>
      </c>
      <c r="G263" s="14" t="n">
        <v>3</v>
      </c>
      <c r="H263" s="14" t="n">
        <v>1</v>
      </c>
      <c r="I263" s="16" t="n">
        <v>33.33</v>
      </c>
      <c r="J263" s="14" t="n">
        <v>3</v>
      </c>
      <c r="K263" s="14" t="n">
        <v>1</v>
      </c>
      <c r="L263" s="16" t="n">
        <v>33.33</v>
      </c>
    </row>
    <row r="264" customFormat="false" ht="15" hidden="false" customHeight="true" outlineLevel="0" collapsed="false">
      <c r="A264" s="13" t="n">
        <v>2026</v>
      </c>
      <c r="B264" s="13" t="s">
        <v>923</v>
      </c>
      <c r="C264" s="13" t="s">
        <v>265</v>
      </c>
      <c r="D264" s="14" t="n">
        <v>0</v>
      </c>
      <c r="E264" s="14" t="n">
        <v>0</v>
      </c>
      <c r="F264" s="16" t="n">
        <v>0</v>
      </c>
      <c r="G264" s="14" t="n">
        <v>1</v>
      </c>
      <c r="H264" s="14" t="n">
        <v>1</v>
      </c>
      <c r="I264" s="16" t="n">
        <v>100</v>
      </c>
      <c r="J264" s="14" t="n">
        <v>1</v>
      </c>
      <c r="K264" s="14" t="n">
        <v>1</v>
      </c>
      <c r="L264" s="16" t="n">
        <v>100</v>
      </c>
    </row>
    <row r="265" customFormat="false" ht="15" hidden="false" customHeight="true" outlineLevel="0" collapsed="false">
      <c r="A265" s="13" t="n">
        <v>2026</v>
      </c>
      <c r="B265" s="13" t="s">
        <v>923</v>
      </c>
      <c r="C265" s="13" t="s">
        <v>531</v>
      </c>
      <c r="D265" s="14" t="n">
        <v>0</v>
      </c>
      <c r="E265" s="14" t="n">
        <v>0</v>
      </c>
      <c r="F265" s="16" t="n">
        <v>0</v>
      </c>
      <c r="G265" s="14" t="n">
        <v>1</v>
      </c>
      <c r="H265" s="14" t="n">
        <v>0</v>
      </c>
      <c r="I265" s="16" t="n">
        <v>0</v>
      </c>
      <c r="J265" s="14" t="n">
        <v>1</v>
      </c>
      <c r="K265" s="14" t="n">
        <v>0</v>
      </c>
      <c r="L265" s="16" t="n">
        <v>0</v>
      </c>
    </row>
    <row r="266" customFormat="false" ht="15" hidden="false" customHeight="true" outlineLevel="0" collapsed="false">
      <c r="A266" s="13" t="n">
        <v>2026</v>
      </c>
      <c r="B266" s="13" t="s">
        <v>923</v>
      </c>
      <c r="C266" s="13" t="s">
        <v>410</v>
      </c>
      <c r="D266" s="14" t="n">
        <v>0</v>
      </c>
      <c r="E266" s="14" t="n">
        <v>0</v>
      </c>
      <c r="F266" s="16" t="n">
        <v>0</v>
      </c>
      <c r="G266" s="14" t="n">
        <v>3</v>
      </c>
      <c r="H266" s="14" t="n">
        <v>1</v>
      </c>
      <c r="I266" s="16" t="n">
        <v>33.33</v>
      </c>
      <c r="J266" s="14" t="n">
        <v>3</v>
      </c>
      <c r="K266" s="14" t="n">
        <v>1</v>
      </c>
      <c r="L266" s="16" t="n">
        <v>33.33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36"/>
    <col collapsed="false" customWidth="true" hidden="false" outlineLevel="0" max="11" min="3" style="13" width="12"/>
  </cols>
  <sheetData>
    <row r="1" customFormat="false" ht="15" hidden="false" customHeight="true" outlineLevel="0" collapsed="false">
      <c r="A1" s="13" t="s">
        <v>937</v>
      </c>
    </row>
    <row r="2" customFormat="false" ht="15" hidden="false" customHeight="true" outlineLevel="0" collapsed="false">
      <c r="A2" s="13" t="s">
        <v>938</v>
      </c>
    </row>
    <row r="4" customFormat="false" ht="15" hidden="false" customHeight="true" outlineLevel="0" collapsed="false">
      <c r="A4" s="13" t="s">
        <v>3</v>
      </c>
      <c r="B4" s="13" t="s">
        <v>222</v>
      </c>
      <c r="C4" s="13" t="s">
        <v>927</v>
      </c>
      <c r="D4" s="13" t="s">
        <v>928</v>
      </c>
      <c r="E4" s="13" t="s">
        <v>929</v>
      </c>
      <c r="F4" s="13" t="s">
        <v>930</v>
      </c>
      <c r="G4" s="13" t="s">
        <v>931</v>
      </c>
      <c r="H4" s="13" t="s">
        <v>932</v>
      </c>
      <c r="I4" s="13" t="s">
        <v>659</v>
      </c>
      <c r="J4" s="13" t="s">
        <v>939</v>
      </c>
      <c r="K4" s="13" t="s">
        <v>183</v>
      </c>
    </row>
    <row r="5" customFormat="false" ht="15" hidden="false" customHeight="true" outlineLevel="0" collapsed="false">
      <c r="A5" s="13" t="n">
        <v>2024</v>
      </c>
      <c r="B5" s="13" t="s">
        <v>538</v>
      </c>
      <c r="C5" s="14" t="n">
        <v>6</v>
      </c>
      <c r="D5" s="14" t="n">
        <v>6</v>
      </c>
      <c r="E5" s="16" t="n">
        <v>100</v>
      </c>
      <c r="F5" s="14" t="n">
        <v>0</v>
      </c>
      <c r="G5" s="14" t="n">
        <v>0</v>
      </c>
      <c r="H5" s="16" t="n">
        <v>0</v>
      </c>
      <c r="I5" s="14" t="n">
        <v>6</v>
      </c>
      <c r="J5" s="14" t="n">
        <v>6</v>
      </c>
      <c r="K5" s="16" t="n">
        <v>100</v>
      </c>
    </row>
    <row r="6" customFormat="false" ht="15" hidden="false" customHeight="true" outlineLevel="0" collapsed="false">
      <c r="A6" s="13" t="n">
        <v>2024</v>
      </c>
      <c r="B6" s="13" t="s">
        <v>162</v>
      </c>
      <c r="C6" s="14" t="n">
        <v>489</v>
      </c>
      <c r="D6" s="14" t="n">
        <v>455</v>
      </c>
      <c r="E6" s="16" t="n">
        <v>93.05</v>
      </c>
      <c r="F6" s="14" t="n">
        <v>475</v>
      </c>
      <c r="G6" s="14" t="n">
        <v>421</v>
      </c>
      <c r="H6" s="16" t="n">
        <v>88.63</v>
      </c>
      <c r="I6" s="14" t="n">
        <v>964</v>
      </c>
      <c r="J6" s="14" t="n">
        <v>876</v>
      </c>
      <c r="K6" s="16" t="n">
        <v>90.87</v>
      </c>
    </row>
    <row r="7" customFormat="false" ht="15" hidden="false" customHeight="true" outlineLevel="0" collapsed="false">
      <c r="A7" s="13" t="n">
        <v>2024</v>
      </c>
      <c r="B7" s="13" t="s">
        <v>225</v>
      </c>
      <c r="C7" s="14" t="n">
        <v>458</v>
      </c>
      <c r="D7" s="14" t="n">
        <v>453</v>
      </c>
      <c r="E7" s="16" t="n">
        <v>98.91</v>
      </c>
      <c r="F7" s="14" t="n">
        <v>87</v>
      </c>
      <c r="G7" s="14" t="n">
        <v>75</v>
      </c>
      <c r="H7" s="16" t="n">
        <v>86.21</v>
      </c>
      <c r="I7" s="14" t="n">
        <v>545</v>
      </c>
      <c r="J7" s="14" t="n">
        <v>528</v>
      </c>
      <c r="K7" s="16" t="n">
        <v>96.88</v>
      </c>
    </row>
    <row r="8" customFormat="false" ht="15" hidden="false" customHeight="true" outlineLevel="0" collapsed="false">
      <c r="A8" s="13" t="n">
        <v>2024</v>
      </c>
      <c r="B8" s="13" t="s">
        <v>167</v>
      </c>
      <c r="C8" s="14" t="n">
        <v>12645</v>
      </c>
      <c r="D8" s="14" t="n">
        <v>10247</v>
      </c>
      <c r="E8" s="16" t="n">
        <v>81.04</v>
      </c>
      <c r="F8" s="14" t="n">
        <v>1801</v>
      </c>
      <c r="G8" s="14" t="n">
        <v>928</v>
      </c>
      <c r="H8" s="16" t="n">
        <v>51.53</v>
      </c>
      <c r="I8" s="14" t="n">
        <v>14446</v>
      </c>
      <c r="J8" s="14" t="n">
        <v>11175</v>
      </c>
      <c r="K8" s="16" t="n">
        <v>77.36</v>
      </c>
    </row>
    <row r="9" customFormat="false" ht="15" hidden="false" customHeight="true" outlineLevel="0" collapsed="false">
      <c r="A9" s="13" t="n">
        <v>2024</v>
      </c>
      <c r="B9" s="13" t="s">
        <v>585</v>
      </c>
      <c r="C9" s="14" t="n">
        <v>458</v>
      </c>
      <c r="D9" s="14" t="n">
        <v>409</v>
      </c>
      <c r="E9" s="16" t="n">
        <v>89.3</v>
      </c>
      <c r="F9" s="14" t="n">
        <v>108</v>
      </c>
      <c r="G9" s="14" t="n">
        <v>76</v>
      </c>
      <c r="H9" s="16" t="n">
        <v>70.37</v>
      </c>
      <c r="I9" s="14" t="n">
        <v>566</v>
      </c>
      <c r="J9" s="14" t="n">
        <v>485</v>
      </c>
      <c r="K9" s="16" t="n">
        <v>85.69</v>
      </c>
    </row>
    <row r="10" customFormat="false" ht="15" hidden="false" customHeight="true" outlineLevel="0" collapsed="false">
      <c r="A10" s="13" t="n">
        <v>2024</v>
      </c>
      <c r="B10" s="13" t="s">
        <v>229</v>
      </c>
      <c r="C10" s="14" t="n">
        <v>458</v>
      </c>
      <c r="D10" s="14" t="n">
        <v>409</v>
      </c>
      <c r="E10" s="16" t="n">
        <v>89.3</v>
      </c>
      <c r="F10" s="14" t="n">
        <v>108</v>
      </c>
      <c r="G10" s="14" t="n">
        <v>76</v>
      </c>
      <c r="H10" s="16" t="n">
        <v>70.37</v>
      </c>
      <c r="I10" s="14" t="n">
        <v>566</v>
      </c>
      <c r="J10" s="14" t="n">
        <v>485</v>
      </c>
      <c r="K10" s="16" t="n">
        <v>85.69</v>
      </c>
    </row>
    <row r="11" customFormat="false" ht="15" hidden="false" customHeight="true" outlineLevel="0" collapsed="false">
      <c r="A11" s="13" t="n">
        <v>2024</v>
      </c>
      <c r="B11" s="13" t="s">
        <v>166</v>
      </c>
      <c r="C11" s="14" t="n">
        <v>15439</v>
      </c>
      <c r="D11" s="14" t="n">
        <v>12563</v>
      </c>
      <c r="E11" s="16" t="n">
        <v>81.37</v>
      </c>
      <c r="F11" s="14" t="n">
        <v>2329</v>
      </c>
      <c r="G11" s="14" t="n">
        <v>1191</v>
      </c>
      <c r="H11" s="16" t="n">
        <v>51.14</v>
      </c>
      <c r="I11" s="14" t="n">
        <v>17768</v>
      </c>
      <c r="J11" s="14" t="n">
        <v>13754</v>
      </c>
      <c r="K11" s="16" t="n">
        <v>77.41</v>
      </c>
    </row>
    <row r="12" customFormat="false" ht="15" hidden="false" customHeight="true" outlineLevel="0" collapsed="false">
      <c r="A12" s="13" t="n">
        <v>2024</v>
      </c>
      <c r="B12" s="13" t="s">
        <v>579</v>
      </c>
      <c r="C12" s="14" t="n">
        <v>6</v>
      </c>
      <c r="D12" s="14" t="n">
        <v>6</v>
      </c>
      <c r="E12" s="16" t="n">
        <v>100</v>
      </c>
      <c r="F12" s="14" t="n">
        <v>0</v>
      </c>
      <c r="G12" s="14" t="n">
        <v>0</v>
      </c>
      <c r="H12" s="16" t="n">
        <v>0</v>
      </c>
      <c r="I12" s="14" t="n">
        <v>6</v>
      </c>
      <c r="J12" s="14" t="n">
        <v>6</v>
      </c>
      <c r="K12" s="16" t="n">
        <v>100</v>
      </c>
    </row>
    <row r="13" customFormat="false" ht="15" hidden="false" customHeight="true" outlineLevel="0" collapsed="false">
      <c r="A13" s="13" t="n">
        <v>2024</v>
      </c>
      <c r="B13" s="13" t="s">
        <v>154</v>
      </c>
      <c r="C13" s="14" t="n">
        <v>2796</v>
      </c>
      <c r="D13" s="14" t="n">
        <v>2566</v>
      </c>
      <c r="E13" s="16" t="n">
        <v>91.77</v>
      </c>
      <c r="F13" s="14" t="n">
        <v>2122</v>
      </c>
      <c r="G13" s="14" t="n">
        <v>1837</v>
      </c>
      <c r="H13" s="16" t="n">
        <v>86.57</v>
      </c>
      <c r="I13" s="14" t="n">
        <v>4918</v>
      </c>
      <c r="J13" s="14" t="n">
        <v>4403</v>
      </c>
      <c r="K13" s="16" t="n">
        <v>89.53</v>
      </c>
    </row>
    <row r="14" customFormat="false" ht="15" hidden="false" customHeight="true" outlineLevel="0" collapsed="false">
      <c r="A14" s="13" t="n">
        <v>2024</v>
      </c>
      <c r="B14" s="13" t="s">
        <v>236</v>
      </c>
      <c r="C14" s="14" t="n">
        <v>457</v>
      </c>
      <c r="D14" s="14" t="n">
        <v>450</v>
      </c>
      <c r="E14" s="16" t="n">
        <v>98.47</v>
      </c>
      <c r="F14" s="14" t="n">
        <v>101</v>
      </c>
      <c r="G14" s="14" t="n">
        <v>86</v>
      </c>
      <c r="H14" s="16" t="n">
        <v>85.15</v>
      </c>
      <c r="I14" s="14" t="n">
        <v>558</v>
      </c>
      <c r="J14" s="14" t="n">
        <v>536</v>
      </c>
      <c r="K14" s="16" t="n">
        <v>96.06</v>
      </c>
    </row>
    <row r="15" customFormat="false" ht="15" hidden="false" customHeight="true" outlineLevel="0" collapsed="false">
      <c r="A15" s="13" t="n">
        <v>2024</v>
      </c>
      <c r="B15" s="13" t="s">
        <v>170</v>
      </c>
      <c r="C15" s="14" t="n">
        <v>12888</v>
      </c>
      <c r="D15" s="14" t="n">
        <v>9712</v>
      </c>
      <c r="E15" s="16" t="n">
        <v>75.36</v>
      </c>
      <c r="F15" s="14" t="n">
        <v>1055</v>
      </c>
      <c r="G15" s="14" t="n">
        <v>291</v>
      </c>
      <c r="H15" s="16" t="n">
        <v>27.58</v>
      </c>
      <c r="I15" s="14" t="n">
        <v>13943</v>
      </c>
      <c r="J15" s="14" t="n">
        <v>10003</v>
      </c>
      <c r="K15" s="16" t="n">
        <v>71.74</v>
      </c>
    </row>
    <row r="16" customFormat="false" ht="15" hidden="false" customHeight="true" outlineLevel="0" collapsed="false">
      <c r="A16" s="13" t="n">
        <v>2024</v>
      </c>
      <c r="B16" s="13" t="s">
        <v>152</v>
      </c>
      <c r="C16" s="14" t="n">
        <v>4651</v>
      </c>
      <c r="D16" s="14" t="n">
        <v>4036</v>
      </c>
      <c r="E16" s="16" t="n">
        <v>86.78</v>
      </c>
      <c r="F16" s="14" t="n">
        <v>747</v>
      </c>
      <c r="G16" s="14" t="n">
        <v>534</v>
      </c>
      <c r="H16" s="16" t="n">
        <v>71.49</v>
      </c>
      <c r="I16" s="14" t="n">
        <v>5398</v>
      </c>
      <c r="J16" s="14" t="n">
        <v>4570</v>
      </c>
      <c r="K16" s="16" t="n">
        <v>84.66</v>
      </c>
    </row>
    <row r="17" customFormat="false" ht="15" hidden="false" customHeight="true" outlineLevel="0" collapsed="false">
      <c r="A17" s="13" t="n">
        <v>2024</v>
      </c>
      <c r="B17" s="13" t="s">
        <v>150</v>
      </c>
      <c r="C17" s="14" t="n">
        <v>3192</v>
      </c>
      <c r="D17" s="14" t="n">
        <v>2822</v>
      </c>
      <c r="E17" s="16" t="n">
        <v>88.41</v>
      </c>
      <c r="F17" s="14" t="n">
        <v>3591</v>
      </c>
      <c r="G17" s="14" t="n">
        <v>2880</v>
      </c>
      <c r="H17" s="16" t="n">
        <v>80.2</v>
      </c>
      <c r="I17" s="14" t="n">
        <v>6783</v>
      </c>
      <c r="J17" s="14" t="n">
        <v>5702</v>
      </c>
      <c r="K17" s="16" t="n">
        <v>84.06</v>
      </c>
    </row>
    <row r="18" customFormat="false" ht="15" hidden="false" customHeight="true" outlineLevel="0" collapsed="false">
      <c r="A18" s="13" t="n">
        <v>2024</v>
      </c>
      <c r="B18" s="13" t="s">
        <v>142</v>
      </c>
      <c r="C18" s="14" t="n">
        <v>33007</v>
      </c>
      <c r="D18" s="14" t="n">
        <v>26928</v>
      </c>
      <c r="E18" s="16" t="n">
        <v>81.58</v>
      </c>
      <c r="F18" s="14" t="n">
        <v>8868</v>
      </c>
      <c r="G18" s="14" t="n">
        <v>3639</v>
      </c>
      <c r="H18" s="16" t="n">
        <v>41.04</v>
      </c>
      <c r="I18" s="14" t="n">
        <v>41875</v>
      </c>
      <c r="J18" s="14" t="n">
        <v>30567</v>
      </c>
      <c r="K18" s="16" t="n">
        <v>73</v>
      </c>
    </row>
    <row r="19" customFormat="false" ht="15" hidden="false" customHeight="true" outlineLevel="0" collapsed="false">
      <c r="A19" s="13" t="n">
        <v>2024</v>
      </c>
      <c r="B19" s="13" t="s">
        <v>505</v>
      </c>
      <c r="C19" s="14" t="n">
        <v>7</v>
      </c>
      <c r="D19" s="14" t="n">
        <v>7</v>
      </c>
      <c r="E19" s="16" t="n">
        <v>100</v>
      </c>
      <c r="F19" s="14" t="n">
        <v>9</v>
      </c>
      <c r="G19" s="14" t="n">
        <v>6</v>
      </c>
      <c r="H19" s="16" t="n">
        <v>66.67</v>
      </c>
      <c r="I19" s="14" t="n">
        <v>16</v>
      </c>
      <c r="J19" s="14" t="n">
        <v>13</v>
      </c>
      <c r="K19" s="16" t="n">
        <v>81.25</v>
      </c>
    </row>
    <row r="20" customFormat="false" ht="15" hidden="false" customHeight="true" outlineLevel="0" collapsed="false">
      <c r="A20" s="13" t="n">
        <v>2024</v>
      </c>
      <c r="B20" s="13" t="s">
        <v>143</v>
      </c>
      <c r="C20" s="14" t="n">
        <v>188</v>
      </c>
      <c r="D20" s="14" t="n">
        <v>187</v>
      </c>
      <c r="E20" s="16" t="n">
        <v>99.47</v>
      </c>
      <c r="F20" s="14" t="n">
        <v>17</v>
      </c>
      <c r="G20" s="14" t="n">
        <v>16</v>
      </c>
      <c r="H20" s="16" t="n">
        <v>94.12</v>
      </c>
      <c r="I20" s="14" t="n">
        <v>205</v>
      </c>
      <c r="J20" s="14" t="n">
        <v>203</v>
      </c>
      <c r="K20" s="16" t="n">
        <v>99.02</v>
      </c>
    </row>
    <row r="21" customFormat="false" ht="15" hidden="false" customHeight="true" outlineLevel="0" collapsed="false">
      <c r="A21" s="13" t="n">
        <v>2024</v>
      </c>
      <c r="B21" s="13" t="s">
        <v>507</v>
      </c>
      <c r="C21" s="14" t="n">
        <v>32</v>
      </c>
      <c r="D21" s="14" t="n">
        <v>31</v>
      </c>
      <c r="E21" s="16" t="n">
        <v>96.88</v>
      </c>
      <c r="F21" s="14" t="n">
        <v>0</v>
      </c>
      <c r="G21" s="14" t="n">
        <v>0</v>
      </c>
      <c r="H21" s="16" t="n">
        <v>0</v>
      </c>
      <c r="I21" s="14" t="n">
        <v>32</v>
      </c>
      <c r="J21" s="14" t="n">
        <v>31</v>
      </c>
      <c r="K21" s="16" t="n">
        <v>96.88</v>
      </c>
    </row>
    <row r="22" customFormat="false" ht="15" hidden="false" customHeight="true" outlineLevel="0" collapsed="false">
      <c r="A22" s="13" t="n">
        <v>2024</v>
      </c>
      <c r="B22" s="13" t="s">
        <v>148</v>
      </c>
      <c r="C22" s="14" t="n">
        <v>6</v>
      </c>
      <c r="D22" s="14" t="n">
        <v>6</v>
      </c>
      <c r="E22" s="16" t="n">
        <v>100</v>
      </c>
      <c r="F22" s="14" t="n">
        <v>0</v>
      </c>
      <c r="G22" s="14" t="n">
        <v>0</v>
      </c>
      <c r="H22" s="16" t="n">
        <v>0</v>
      </c>
      <c r="I22" s="14" t="n">
        <v>6</v>
      </c>
      <c r="J22" s="14" t="n">
        <v>6</v>
      </c>
      <c r="K22" s="16" t="n">
        <v>100</v>
      </c>
    </row>
    <row r="23" customFormat="false" ht="15" hidden="false" customHeight="true" outlineLevel="0" collapsed="false">
      <c r="A23" s="13" t="n">
        <v>2024</v>
      </c>
      <c r="B23" s="13" t="s">
        <v>161</v>
      </c>
      <c r="C23" s="14" t="n">
        <v>652</v>
      </c>
      <c r="D23" s="14" t="n">
        <v>649</v>
      </c>
      <c r="E23" s="16" t="n">
        <v>99.54</v>
      </c>
      <c r="F23" s="14" t="n">
        <v>1</v>
      </c>
      <c r="G23" s="14" t="n">
        <v>1</v>
      </c>
      <c r="H23" s="16" t="n">
        <v>100</v>
      </c>
      <c r="I23" s="14" t="n">
        <v>653</v>
      </c>
      <c r="J23" s="14" t="n">
        <v>650</v>
      </c>
      <c r="K23" s="16" t="n">
        <v>99.54</v>
      </c>
    </row>
    <row r="24" customFormat="false" ht="15" hidden="false" customHeight="true" outlineLevel="0" collapsed="false">
      <c r="A24" s="13" t="n">
        <v>2024</v>
      </c>
      <c r="B24" s="13" t="s">
        <v>158</v>
      </c>
      <c r="C24" s="14" t="n">
        <v>4221</v>
      </c>
      <c r="D24" s="14" t="n">
        <v>4174</v>
      </c>
      <c r="E24" s="16" t="n">
        <v>98.89</v>
      </c>
      <c r="F24" s="14" t="n">
        <v>25</v>
      </c>
      <c r="G24" s="14" t="n">
        <v>19</v>
      </c>
      <c r="H24" s="16" t="n">
        <v>76</v>
      </c>
      <c r="I24" s="14" t="n">
        <v>4246</v>
      </c>
      <c r="J24" s="14" t="n">
        <v>4193</v>
      </c>
      <c r="K24" s="16" t="n">
        <v>98.75</v>
      </c>
    </row>
    <row r="25" customFormat="false" ht="15" hidden="false" customHeight="true" outlineLevel="0" collapsed="false">
      <c r="A25" s="13" t="n">
        <v>2024</v>
      </c>
      <c r="B25" s="13" t="s">
        <v>581</v>
      </c>
      <c r="C25" s="14" t="n">
        <v>28</v>
      </c>
      <c r="D25" s="14" t="n">
        <v>28</v>
      </c>
      <c r="E25" s="16" t="n">
        <v>100</v>
      </c>
      <c r="F25" s="14" t="n">
        <v>6</v>
      </c>
      <c r="G25" s="14" t="n">
        <v>6</v>
      </c>
      <c r="H25" s="16" t="n">
        <v>100</v>
      </c>
      <c r="I25" s="14" t="n">
        <v>34</v>
      </c>
      <c r="J25" s="14" t="n">
        <v>34</v>
      </c>
      <c r="K25" s="16" t="n">
        <v>100</v>
      </c>
    </row>
    <row r="26" customFormat="false" ht="15" hidden="false" customHeight="true" outlineLevel="0" collapsed="false">
      <c r="A26" s="13" t="n">
        <v>2024</v>
      </c>
      <c r="B26" s="13" t="s">
        <v>415</v>
      </c>
      <c r="C26" s="14" t="n">
        <v>400</v>
      </c>
      <c r="D26" s="14" t="n">
        <v>362</v>
      </c>
      <c r="E26" s="16" t="n">
        <v>90.5</v>
      </c>
      <c r="F26" s="14" t="n">
        <v>449</v>
      </c>
      <c r="G26" s="14" t="n">
        <v>331</v>
      </c>
      <c r="H26" s="16" t="n">
        <v>73.72</v>
      </c>
      <c r="I26" s="14" t="n">
        <v>849</v>
      </c>
      <c r="J26" s="14" t="n">
        <v>693</v>
      </c>
      <c r="K26" s="16" t="n">
        <v>81.63</v>
      </c>
    </row>
    <row r="27" customFormat="false" ht="15" hidden="false" customHeight="true" outlineLevel="0" collapsed="false">
      <c r="A27" s="13" t="n">
        <v>2024</v>
      </c>
      <c r="B27" s="13" t="s">
        <v>418</v>
      </c>
      <c r="C27" s="14" t="n">
        <v>67</v>
      </c>
      <c r="D27" s="14" t="n">
        <v>59</v>
      </c>
      <c r="E27" s="16" t="n">
        <v>88.06</v>
      </c>
      <c r="F27" s="14" t="n">
        <v>87</v>
      </c>
      <c r="G27" s="14" t="n">
        <v>60</v>
      </c>
      <c r="H27" s="16" t="n">
        <v>68.97</v>
      </c>
      <c r="I27" s="14" t="n">
        <v>154</v>
      </c>
      <c r="J27" s="14" t="n">
        <v>119</v>
      </c>
      <c r="K27" s="16" t="n">
        <v>77.27</v>
      </c>
    </row>
    <row r="28" customFormat="false" ht="15" hidden="false" customHeight="true" outlineLevel="0" collapsed="false">
      <c r="A28" s="13" t="n">
        <v>2024</v>
      </c>
      <c r="B28" s="13" t="s">
        <v>265</v>
      </c>
      <c r="C28" s="14" t="n">
        <v>141</v>
      </c>
      <c r="D28" s="14" t="n">
        <v>111</v>
      </c>
      <c r="E28" s="16" t="n">
        <v>78.72</v>
      </c>
      <c r="F28" s="14" t="n">
        <v>2173</v>
      </c>
      <c r="G28" s="14" t="n">
        <v>2052</v>
      </c>
      <c r="H28" s="16" t="n">
        <v>94.43</v>
      </c>
      <c r="I28" s="14" t="n">
        <v>2314</v>
      </c>
      <c r="J28" s="14" t="n">
        <v>2163</v>
      </c>
      <c r="K28" s="16" t="n">
        <v>93.47</v>
      </c>
    </row>
    <row r="29" customFormat="false" ht="15" hidden="false" customHeight="true" outlineLevel="0" collapsed="false">
      <c r="A29" s="13" t="n">
        <v>2024</v>
      </c>
      <c r="B29" s="13" t="s">
        <v>583</v>
      </c>
      <c r="C29" s="14" t="n">
        <v>4147</v>
      </c>
      <c r="D29" s="14" t="n">
        <v>4064</v>
      </c>
      <c r="E29" s="16" t="n">
        <v>98</v>
      </c>
      <c r="F29" s="14" t="n">
        <v>3734</v>
      </c>
      <c r="G29" s="14" t="n">
        <v>3269</v>
      </c>
      <c r="H29" s="16" t="n">
        <v>87.55</v>
      </c>
      <c r="I29" s="14" t="n">
        <v>7881</v>
      </c>
      <c r="J29" s="14" t="n">
        <v>7333</v>
      </c>
      <c r="K29" s="16" t="n">
        <v>93.05</v>
      </c>
    </row>
    <row r="30" customFormat="false" ht="15" hidden="false" customHeight="true" outlineLevel="0" collapsed="false">
      <c r="A30" s="13" t="n">
        <v>2024</v>
      </c>
      <c r="B30" s="13" t="s">
        <v>159</v>
      </c>
      <c r="C30" s="14" t="n">
        <v>346</v>
      </c>
      <c r="D30" s="14" t="n">
        <v>338</v>
      </c>
      <c r="E30" s="16" t="n">
        <v>97.69</v>
      </c>
      <c r="F30" s="14" t="n">
        <v>3</v>
      </c>
      <c r="G30" s="14" t="n">
        <v>3</v>
      </c>
      <c r="H30" s="16" t="n">
        <v>100</v>
      </c>
      <c r="I30" s="14" t="n">
        <v>349</v>
      </c>
      <c r="J30" s="14" t="n">
        <v>341</v>
      </c>
      <c r="K30" s="16" t="n">
        <v>97.71</v>
      </c>
    </row>
    <row r="31" customFormat="false" ht="15" hidden="false" customHeight="true" outlineLevel="0" collapsed="false">
      <c r="A31" s="13" t="n">
        <v>2024</v>
      </c>
      <c r="B31" s="13" t="s">
        <v>156</v>
      </c>
      <c r="C31" s="14" t="n">
        <v>11292</v>
      </c>
      <c r="D31" s="14" t="n">
        <v>7025</v>
      </c>
      <c r="E31" s="16" t="n">
        <v>62.21</v>
      </c>
      <c r="F31" s="14" t="n">
        <v>1911</v>
      </c>
      <c r="G31" s="14" t="n">
        <v>604</v>
      </c>
      <c r="H31" s="16" t="n">
        <v>31.61</v>
      </c>
      <c r="I31" s="14" t="n">
        <v>13203</v>
      </c>
      <c r="J31" s="14" t="n">
        <v>7629</v>
      </c>
      <c r="K31" s="16" t="n">
        <v>57.78</v>
      </c>
    </row>
    <row r="32" customFormat="false" ht="15" hidden="false" customHeight="true" outlineLevel="0" collapsed="false">
      <c r="A32" s="13" t="n">
        <v>2024</v>
      </c>
      <c r="B32" s="13" t="s">
        <v>414</v>
      </c>
      <c r="C32" s="14" t="n">
        <v>81</v>
      </c>
      <c r="D32" s="14" t="n">
        <v>81</v>
      </c>
      <c r="E32" s="16" t="n">
        <v>100</v>
      </c>
      <c r="F32" s="14" t="n">
        <v>0</v>
      </c>
      <c r="G32" s="14" t="n">
        <v>0</v>
      </c>
      <c r="H32" s="16" t="n">
        <v>0</v>
      </c>
      <c r="I32" s="14" t="n">
        <v>81</v>
      </c>
      <c r="J32" s="14" t="n">
        <v>81</v>
      </c>
      <c r="K32" s="16" t="n">
        <v>100</v>
      </c>
    </row>
    <row r="33" customFormat="false" ht="15" hidden="false" customHeight="true" outlineLevel="0" collapsed="false">
      <c r="A33" s="13" t="n">
        <v>2024</v>
      </c>
      <c r="B33" s="13" t="s">
        <v>149</v>
      </c>
      <c r="C33" s="14" t="n">
        <v>32973</v>
      </c>
      <c r="D33" s="14" t="n">
        <v>32834</v>
      </c>
      <c r="E33" s="16" t="n">
        <v>99.58</v>
      </c>
      <c r="F33" s="14" t="n">
        <v>4735</v>
      </c>
      <c r="G33" s="14" t="n">
        <v>4654</v>
      </c>
      <c r="H33" s="16" t="n">
        <v>98.29</v>
      </c>
      <c r="I33" s="14" t="n">
        <v>37708</v>
      </c>
      <c r="J33" s="14" t="n">
        <v>37488</v>
      </c>
      <c r="K33" s="16" t="n">
        <v>99.42</v>
      </c>
    </row>
    <row r="34" customFormat="false" ht="15" hidden="false" customHeight="true" outlineLevel="0" collapsed="false">
      <c r="A34" s="13" t="n">
        <v>2024</v>
      </c>
      <c r="B34" s="13" t="s">
        <v>145</v>
      </c>
      <c r="C34" s="14" t="n">
        <v>5</v>
      </c>
      <c r="D34" s="14" t="n">
        <v>5</v>
      </c>
      <c r="E34" s="16" t="n">
        <v>100</v>
      </c>
      <c r="F34" s="14" t="n">
        <v>0</v>
      </c>
      <c r="G34" s="14" t="n">
        <v>0</v>
      </c>
      <c r="H34" s="16" t="n">
        <v>0</v>
      </c>
      <c r="I34" s="14" t="n">
        <v>5</v>
      </c>
      <c r="J34" s="14" t="n">
        <v>5</v>
      </c>
      <c r="K34" s="16" t="n">
        <v>100</v>
      </c>
    </row>
    <row r="35" customFormat="false" ht="15" hidden="false" customHeight="true" outlineLevel="0" collapsed="false">
      <c r="A35" s="13" t="n">
        <v>2024</v>
      </c>
      <c r="B35" s="13" t="s">
        <v>424</v>
      </c>
      <c r="C35" s="14" t="n">
        <v>92</v>
      </c>
      <c r="D35" s="14" t="n">
        <v>91</v>
      </c>
      <c r="E35" s="16" t="n">
        <v>98.91</v>
      </c>
      <c r="F35" s="14" t="n">
        <v>95</v>
      </c>
      <c r="G35" s="14" t="n">
        <v>92</v>
      </c>
      <c r="H35" s="16" t="n">
        <v>96.84</v>
      </c>
      <c r="I35" s="14" t="n">
        <v>187</v>
      </c>
      <c r="J35" s="14" t="n">
        <v>183</v>
      </c>
      <c r="K35" s="16" t="n">
        <v>97.86</v>
      </c>
    </row>
    <row r="36" customFormat="false" ht="15" hidden="false" customHeight="true" outlineLevel="0" collapsed="false">
      <c r="A36" s="13" t="n">
        <v>2024</v>
      </c>
      <c r="B36" s="13" t="s">
        <v>425</v>
      </c>
      <c r="C36" s="14" t="n">
        <v>4</v>
      </c>
      <c r="D36" s="14" t="n">
        <v>4</v>
      </c>
      <c r="E36" s="16" t="n">
        <v>100</v>
      </c>
      <c r="F36" s="14" t="n">
        <v>16</v>
      </c>
      <c r="G36" s="14" t="n">
        <v>15</v>
      </c>
      <c r="H36" s="16" t="n">
        <v>93.75</v>
      </c>
      <c r="I36" s="14" t="n">
        <v>20</v>
      </c>
      <c r="J36" s="14" t="n">
        <v>19</v>
      </c>
      <c r="K36" s="16" t="n">
        <v>95</v>
      </c>
    </row>
    <row r="37" customFormat="false" ht="15" hidden="false" customHeight="true" outlineLevel="0" collapsed="false">
      <c r="A37" s="13" t="n">
        <v>2024</v>
      </c>
      <c r="B37" s="13" t="s">
        <v>165</v>
      </c>
      <c r="C37" s="14" t="n">
        <v>21289</v>
      </c>
      <c r="D37" s="14" t="n">
        <v>17585</v>
      </c>
      <c r="E37" s="16" t="n">
        <v>82.6</v>
      </c>
      <c r="F37" s="14" t="n">
        <v>2256</v>
      </c>
      <c r="G37" s="14" t="n">
        <v>1220</v>
      </c>
      <c r="H37" s="16" t="n">
        <v>54.08</v>
      </c>
      <c r="I37" s="14" t="n">
        <v>23545</v>
      </c>
      <c r="J37" s="14" t="n">
        <v>18805</v>
      </c>
      <c r="K37" s="16" t="n">
        <v>79.87</v>
      </c>
    </row>
    <row r="38" customFormat="false" ht="15" hidden="false" customHeight="true" outlineLevel="0" collapsed="false">
      <c r="A38" s="13" t="n">
        <v>2024</v>
      </c>
      <c r="B38" s="13" t="s">
        <v>477</v>
      </c>
      <c r="C38" s="14" t="n">
        <v>458</v>
      </c>
      <c r="D38" s="14" t="n">
        <v>443</v>
      </c>
      <c r="E38" s="16" t="n">
        <v>96.72</v>
      </c>
      <c r="F38" s="14" t="n">
        <v>108</v>
      </c>
      <c r="G38" s="14" t="n">
        <v>69</v>
      </c>
      <c r="H38" s="16" t="n">
        <v>63.89</v>
      </c>
      <c r="I38" s="14" t="n">
        <v>566</v>
      </c>
      <c r="J38" s="14" t="n">
        <v>512</v>
      </c>
      <c r="K38" s="16" t="n">
        <v>90.46</v>
      </c>
    </row>
    <row r="39" customFormat="false" ht="15" hidden="false" customHeight="true" outlineLevel="0" collapsed="false">
      <c r="A39" s="13" t="n">
        <v>2024</v>
      </c>
      <c r="B39" s="13" t="s">
        <v>285</v>
      </c>
      <c r="C39" s="14" t="n">
        <v>457</v>
      </c>
      <c r="D39" s="14" t="n">
        <v>450</v>
      </c>
      <c r="E39" s="16" t="n">
        <v>98.47</v>
      </c>
      <c r="F39" s="14" t="n">
        <v>101</v>
      </c>
      <c r="G39" s="14" t="n">
        <v>86</v>
      </c>
      <c r="H39" s="16" t="n">
        <v>85.15</v>
      </c>
      <c r="I39" s="14" t="n">
        <v>558</v>
      </c>
      <c r="J39" s="14" t="n">
        <v>536</v>
      </c>
      <c r="K39" s="16" t="n">
        <v>96.06</v>
      </c>
    </row>
    <row r="40" customFormat="false" ht="15" hidden="false" customHeight="true" outlineLevel="0" collapsed="false">
      <c r="A40" s="13" t="n">
        <v>2024</v>
      </c>
      <c r="B40" s="13" t="s">
        <v>153</v>
      </c>
      <c r="C40" s="14" t="n">
        <v>579</v>
      </c>
      <c r="D40" s="14" t="n">
        <v>557</v>
      </c>
      <c r="E40" s="16" t="n">
        <v>96.2</v>
      </c>
      <c r="F40" s="14" t="n">
        <v>9</v>
      </c>
      <c r="G40" s="14" t="n">
        <v>6</v>
      </c>
      <c r="H40" s="16" t="n">
        <v>66.67</v>
      </c>
      <c r="I40" s="14" t="n">
        <v>588</v>
      </c>
      <c r="J40" s="14" t="n">
        <v>563</v>
      </c>
      <c r="K40" s="16" t="n">
        <v>95.75</v>
      </c>
    </row>
    <row r="41" customFormat="false" ht="15" hidden="false" customHeight="true" outlineLevel="0" collapsed="false">
      <c r="A41" s="13" t="n">
        <v>2024</v>
      </c>
      <c r="B41" s="13" t="s">
        <v>426</v>
      </c>
      <c r="C41" s="14" t="n">
        <v>407</v>
      </c>
      <c r="D41" s="14" t="n">
        <v>400</v>
      </c>
      <c r="E41" s="16" t="n">
        <v>98.28</v>
      </c>
      <c r="F41" s="14" t="n">
        <v>868</v>
      </c>
      <c r="G41" s="14" t="n">
        <v>820</v>
      </c>
      <c r="H41" s="16" t="n">
        <v>94.47</v>
      </c>
      <c r="I41" s="14" t="n">
        <v>1275</v>
      </c>
      <c r="J41" s="14" t="n">
        <v>1220</v>
      </c>
      <c r="K41" s="16" t="n">
        <v>95.69</v>
      </c>
    </row>
    <row r="42" customFormat="false" ht="15" hidden="false" customHeight="true" outlineLevel="0" collapsed="false">
      <c r="A42" s="13" t="n">
        <v>2024</v>
      </c>
      <c r="B42" s="13" t="s">
        <v>427</v>
      </c>
      <c r="C42" s="14" t="n">
        <v>1206</v>
      </c>
      <c r="D42" s="14" t="n">
        <v>1183</v>
      </c>
      <c r="E42" s="16" t="n">
        <v>98.09</v>
      </c>
      <c r="F42" s="14" t="n">
        <v>1441</v>
      </c>
      <c r="G42" s="14" t="n">
        <v>1309</v>
      </c>
      <c r="H42" s="16" t="n">
        <v>90.84</v>
      </c>
      <c r="I42" s="14" t="n">
        <v>2647</v>
      </c>
      <c r="J42" s="14" t="n">
        <v>2492</v>
      </c>
      <c r="K42" s="16" t="n">
        <v>94.14</v>
      </c>
    </row>
    <row r="43" customFormat="false" ht="15" hidden="false" customHeight="true" outlineLevel="0" collapsed="false">
      <c r="A43" s="13" t="n">
        <v>2024</v>
      </c>
      <c r="B43" s="13" t="s">
        <v>155</v>
      </c>
      <c r="C43" s="14" t="n">
        <v>497</v>
      </c>
      <c r="D43" s="14" t="n">
        <v>400</v>
      </c>
      <c r="E43" s="16" t="n">
        <v>80.48</v>
      </c>
      <c r="F43" s="14" t="n">
        <v>34</v>
      </c>
      <c r="G43" s="14" t="n">
        <v>14</v>
      </c>
      <c r="H43" s="16" t="n">
        <v>41.18</v>
      </c>
      <c r="I43" s="14" t="n">
        <v>531</v>
      </c>
      <c r="J43" s="14" t="n">
        <v>414</v>
      </c>
      <c r="K43" s="16" t="n">
        <v>77.97</v>
      </c>
    </row>
    <row r="44" customFormat="false" ht="15" hidden="false" customHeight="true" outlineLevel="0" collapsed="false">
      <c r="A44" s="13" t="n">
        <v>2024</v>
      </c>
      <c r="B44" s="13" t="s">
        <v>523</v>
      </c>
      <c r="C44" s="14" t="n">
        <v>32722</v>
      </c>
      <c r="D44" s="14" t="n">
        <v>32624</v>
      </c>
      <c r="E44" s="16" t="n">
        <v>99.7</v>
      </c>
      <c r="F44" s="14" t="n">
        <v>4280</v>
      </c>
      <c r="G44" s="14" t="n">
        <v>4004</v>
      </c>
      <c r="H44" s="16" t="n">
        <v>93.55</v>
      </c>
      <c r="I44" s="14" t="n">
        <v>37002</v>
      </c>
      <c r="J44" s="14" t="n">
        <v>36628</v>
      </c>
      <c r="K44" s="16" t="n">
        <v>98.99</v>
      </c>
    </row>
    <row r="45" customFormat="false" ht="15" hidden="false" customHeight="true" outlineLevel="0" collapsed="false">
      <c r="A45" s="13" t="n">
        <v>2024</v>
      </c>
      <c r="B45" s="13" t="s">
        <v>410</v>
      </c>
      <c r="C45" s="14" t="n">
        <v>32978</v>
      </c>
      <c r="D45" s="14" t="n">
        <v>32043</v>
      </c>
      <c r="E45" s="16" t="n">
        <v>97.16</v>
      </c>
      <c r="F45" s="14" t="n">
        <v>5822</v>
      </c>
      <c r="G45" s="14" t="n">
        <v>4593</v>
      </c>
      <c r="H45" s="16" t="n">
        <v>78.89</v>
      </c>
      <c r="I45" s="14" t="n">
        <v>38800</v>
      </c>
      <c r="J45" s="14" t="n">
        <v>36636</v>
      </c>
      <c r="K45" s="16" t="n">
        <v>94.42</v>
      </c>
    </row>
    <row r="46" customFormat="false" ht="15" hidden="false" customHeight="true" outlineLevel="0" collapsed="false">
      <c r="A46" s="13" t="n">
        <v>2024</v>
      </c>
      <c r="B46" s="13" t="s">
        <v>171</v>
      </c>
      <c r="C46" s="14" t="n">
        <v>76</v>
      </c>
      <c r="D46" s="14" t="n">
        <v>68</v>
      </c>
      <c r="E46" s="16" t="n">
        <v>89.47</v>
      </c>
      <c r="F46" s="14" t="n">
        <v>45</v>
      </c>
      <c r="G46" s="14" t="n">
        <v>28</v>
      </c>
      <c r="H46" s="16" t="n">
        <v>62.22</v>
      </c>
      <c r="I46" s="14" t="n">
        <v>121</v>
      </c>
      <c r="J46" s="14" t="n">
        <v>96</v>
      </c>
      <c r="K46" s="16" t="n">
        <v>79.34</v>
      </c>
    </row>
    <row r="47" customFormat="false" ht="15" hidden="false" customHeight="true" outlineLevel="0" collapsed="false">
      <c r="A47" s="13" t="n">
        <v>2025</v>
      </c>
      <c r="B47" s="13" t="s">
        <v>538</v>
      </c>
      <c r="C47" s="14" t="n">
        <v>3</v>
      </c>
      <c r="D47" s="14" t="n">
        <v>3</v>
      </c>
      <c r="E47" s="16" t="n">
        <v>100</v>
      </c>
      <c r="F47" s="14" t="n">
        <v>0</v>
      </c>
      <c r="G47" s="14" t="n">
        <v>0</v>
      </c>
      <c r="H47" s="16" t="n">
        <v>0</v>
      </c>
      <c r="I47" s="14" t="n">
        <v>3</v>
      </c>
      <c r="J47" s="14" t="n">
        <v>3</v>
      </c>
      <c r="K47" s="16" t="n">
        <v>100</v>
      </c>
    </row>
    <row r="48" customFormat="false" ht="15" hidden="false" customHeight="true" outlineLevel="0" collapsed="false">
      <c r="A48" s="13" t="n">
        <v>2025</v>
      </c>
      <c r="B48" s="13" t="s">
        <v>162</v>
      </c>
      <c r="C48" s="14" t="n">
        <v>447</v>
      </c>
      <c r="D48" s="14" t="n">
        <v>417</v>
      </c>
      <c r="E48" s="16" t="n">
        <v>93.29</v>
      </c>
      <c r="F48" s="14" t="n">
        <v>474</v>
      </c>
      <c r="G48" s="14" t="n">
        <v>431</v>
      </c>
      <c r="H48" s="16" t="n">
        <v>90.93</v>
      </c>
      <c r="I48" s="14" t="n">
        <v>921</v>
      </c>
      <c r="J48" s="14" t="n">
        <v>848</v>
      </c>
      <c r="K48" s="16" t="n">
        <v>92.07</v>
      </c>
    </row>
    <row r="49" customFormat="false" ht="15" hidden="false" customHeight="true" outlineLevel="0" collapsed="false">
      <c r="A49" s="13" t="n">
        <v>2025</v>
      </c>
      <c r="B49" s="13" t="s">
        <v>225</v>
      </c>
      <c r="C49" s="14" t="n">
        <v>380</v>
      </c>
      <c r="D49" s="14" t="n">
        <v>377</v>
      </c>
      <c r="E49" s="16" t="n">
        <v>99.21</v>
      </c>
      <c r="F49" s="14" t="n">
        <v>79</v>
      </c>
      <c r="G49" s="14" t="n">
        <v>71</v>
      </c>
      <c r="H49" s="16" t="n">
        <v>89.87</v>
      </c>
      <c r="I49" s="14" t="n">
        <v>459</v>
      </c>
      <c r="J49" s="14" t="n">
        <v>448</v>
      </c>
      <c r="K49" s="16" t="n">
        <v>97.6</v>
      </c>
    </row>
    <row r="50" customFormat="false" ht="15" hidden="false" customHeight="true" outlineLevel="0" collapsed="false">
      <c r="A50" s="13" t="n">
        <v>2025</v>
      </c>
      <c r="B50" s="13" t="s">
        <v>167</v>
      </c>
      <c r="C50" s="14" t="n">
        <v>9614</v>
      </c>
      <c r="D50" s="14" t="n">
        <v>8407</v>
      </c>
      <c r="E50" s="16" t="n">
        <v>87.45</v>
      </c>
      <c r="F50" s="14" t="n">
        <v>1712</v>
      </c>
      <c r="G50" s="14" t="n">
        <v>1058</v>
      </c>
      <c r="H50" s="16" t="n">
        <v>61.8</v>
      </c>
      <c r="I50" s="14" t="n">
        <v>11326</v>
      </c>
      <c r="J50" s="14" t="n">
        <v>9465</v>
      </c>
      <c r="K50" s="16" t="n">
        <v>83.57</v>
      </c>
    </row>
    <row r="51" customFormat="false" ht="15" hidden="false" customHeight="true" outlineLevel="0" collapsed="false">
      <c r="A51" s="13" t="n">
        <v>2025</v>
      </c>
      <c r="B51" s="13" t="s">
        <v>585</v>
      </c>
      <c r="C51" s="14" t="n">
        <v>382</v>
      </c>
      <c r="D51" s="14" t="n">
        <v>362</v>
      </c>
      <c r="E51" s="16" t="n">
        <v>94.76</v>
      </c>
      <c r="F51" s="14" t="n">
        <v>92</v>
      </c>
      <c r="G51" s="14" t="n">
        <v>60</v>
      </c>
      <c r="H51" s="16" t="n">
        <v>65.22</v>
      </c>
      <c r="I51" s="14" t="n">
        <v>474</v>
      </c>
      <c r="J51" s="14" t="n">
        <v>422</v>
      </c>
      <c r="K51" s="16" t="n">
        <v>89.03</v>
      </c>
    </row>
    <row r="52" customFormat="false" ht="15" hidden="false" customHeight="true" outlineLevel="0" collapsed="false">
      <c r="A52" s="13" t="n">
        <v>2025</v>
      </c>
      <c r="B52" s="13" t="s">
        <v>229</v>
      </c>
      <c r="C52" s="14" t="n">
        <v>382</v>
      </c>
      <c r="D52" s="14" t="n">
        <v>362</v>
      </c>
      <c r="E52" s="16" t="n">
        <v>94.76</v>
      </c>
      <c r="F52" s="14" t="n">
        <v>92</v>
      </c>
      <c r="G52" s="14" t="n">
        <v>60</v>
      </c>
      <c r="H52" s="16" t="n">
        <v>65.22</v>
      </c>
      <c r="I52" s="14" t="n">
        <v>474</v>
      </c>
      <c r="J52" s="14" t="n">
        <v>422</v>
      </c>
      <c r="K52" s="16" t="n">
        <v>89.03</v>
      </c>
    </row>
    <row r="53" customFormat="false" ht="15" hidden="false" customHeight="true" outlineLevel="0" collapsed="false">
      <c r="A53" s="13" t="n">
        <v>2025</v>
      </c>
      <c r="B53" s="13" t="s">
        <v>166</v>
      </c>
      <c r="C53" s="14" t="n">
        <v>11479</v>
      </c>
      <c r="D53" s="14" t="n">
        <v>9908</v>
      </c>
      <c r="E53" s="16" t="n">
        <v>86.31</v>
      </c>
      <c r="F53" s="14" t="n">
        <v>2088</v>
      </c>
      <c r="G53" s="14" t="n">
        <v>982</v>
      </c>
      <c r="H53" s="16" t="n">
        <v>47.03</v>
      </c>
      <c r="I53" s="14" t="n">
        <v>13567</v>
      </c>
      <c r="J53" s="14" t="n">
        <v>10890</v>
      </c>
      <c r="K53" s="16" t="n">
        <v>80.27</v>
      </c>
    </row>
    <row r="54" customFormat="false" ht="15" hidden="false" customHeight="true" outlineLevel="0" collapsed="false">
      <c r="A54" s="13" t="n">
        <v>2025</v>
      </c>
      <c r="B54" s="13" t="s">
        <v>579</v>
      </c>
      <c r="C54" s="14" t="n">
        <v>3</v>
      </c>
      <c r="D54" s="14" t="n">
        <v>3</v>
      </c>
      <c r="E54" s="16" t="n">
        <v>100</v>
      </c>
      <c r="F54" s="14" t="n">
        <v>0</v>
      </c>
      <c r="G54" s="14" t="n">
        <v>0</v>
      </c>
      <c r="H54" s="16" t="n">
        <v>0</v>
      </c>
      <c r="I54" s="14" t="n">
        <v>3</v>
      </c>
      <c r="J54" s="14" t="n">
        <v>3</v>
      </c>
      <c r="K54" s="16" t="n">
        <v>100</v>
      </c>
    </row>
    <row r="55" customFormat="false" ht="15" hidden="false" customHeight="true" outlineLevel="0" collapsed="false">
      <c r="A55" s="13" t="n">
        <v>2025</v>
      </c>
      <c r="B55" s="13" t="s">
        <v>154</v>
      </c>
      <c r="C55" s="14" t="n">
        <v>2949</v>
      </c>
      <c r="D55" s="14" t="n">
        <v>2869</v>
      </c>
      <c r="E55" s="16" t="n">
        <v>97.29</v>
      </c>
      <c r="F55" s="14" t="n">
        <v>2243</v>
      </c>
      <c r="G55" s="14" t="n">
        <v>1971</v>
      </c>
      <c r="H55" s="16" t="n">
        <v>87.87</v>
      </c>
      <c r="I55" s="14" t="n">
        <v>5192</v>
      </c>
      <c r="J55" s="14" t="n">
        <v>4840</v>
      </c>
      <c r="K55" s="16" t="n">
        <v>93.22</v>
      </c>
    </row>
    <row r="56" customFormat="false" ht="15" hidden="false" customHeight="true" outlineLevel="0" collapsed="false">
      <c r="A56" s="13" t="n">
        <v>2025</v>
      </c>
      <c r="B56" s="13" t="s">
        <v>236</v>
      </c>
      <c r="C56" s="14" t="n">
        <v>382</v>
      </c>
      <c r="D56" s="14" t="n">
        <v>372</v>
      </c>
      <c r="E56" s="16" t="n">
        <v>97.38</v>
      </c>
      <c r="F56" s="14" t="n">
        <v>82</v>
      </c>
      <c r="G56" s="14" t="n">
        <v>71</v>
      </c>
      <c r="H56" s="16" t="n">
        <v>86.59</v>
      </c>
      <c r="I56" s="14" t="n">
        <v>464</v>
      </c>
      <c r="J56" s="14" t="n">
        <v>443</v>
      </c>
      <c r="K56" s="16" t="n">
        <v>95.47</v>
      </c>
    </row>
    <row r="57" customFormat="false" ht="15" hidden="false" customHeight="true" outlineLevel="0" collapsed="false">
      <c r="A57" s="13" t="n">
        <v>2025</v>
      </c>
      <c r="B57" s="13" t="s">
        <v>170</v>
      </c>
      <c r="C57" s="14" t="n">
        <v>15795</v>
      </c>
      <c r="D57" s="14" t="n">
        <v>12379</v>
      </c>
      <c r="E57" s="16" t="n">
        <v>78.37</v>
      </c>
      <c r="F57" s="14" t="n">
        <v>1055</v>
      </c>
      <c r="G57" s="14" t="n">
        <v>353</v>
      </c>
      <c r="H57" s="16" t="n">
        <v>33.46</v>
      </c>
      <c r="I57" s="14" t="n">
        <v>16850</v>
      </c>
      <c r="J57" s="14" t="n">
        <v>12732</v>
      </c>
      <c r="K57" s="16" t="n">
        <v>75.56</v>
      </c>
    </row>
    <row r="58" customFormat="false" ht="15" hidden="false" customHeight="true" outlineLevel="0" collapsed="false">
      <c r="A58" s="13" t="n">
        <v>2025</v>
      </c>
      <c r="B58" s="13" t="s">
        <v>152</v>
      </c>
      <c r="C58" s="14" t="n">
        <v>5258</v>
      </c>
      <c r="D58" s="14" t="n">
        <v>4571</v>
      </c>
      <c r="E58" s="16" t="n">
        <v>86.93</v>
      </c>
      <c r="F58" s="14" t="n">
        <v>747</v>
      </c>
      <c r="G58" s="14" t="n">
        <v>414</v>
      </c>
      <c r="H58" s="16" t="n">
        <v>55.42</v>
      </c>
      <c r="I58" s="14" t="n">
        <v>6005</v>
      </c>
      <c r="J58" s="14" t="n">
        <v>4985</v>
      </c>
      <c r="K58" s="16" t="n">
        <v>83.01</v>
      </c>
    </row>
    <row r="59" customFormat="false" ht="15" hidden="false" customHeight="true" outlineLevel="0" collapsed="false">
      <c r="A59" s="13" t="n">
        <v>2025</v>
      </c>
      <c r="B59" s="13" t="s">
        <v>150</v>
      </c>
      <c r="C59" s="14" t="n">
        <v>4017</v>
      </c>
      <c r="D59" s="14" t="n">
        <v>3796</v>
      </c>
      <c r="E59" s="16" t="n">
        <v>94.5</v>
      </c>
      <c r="F59" s="14" t="n">
        <v>3489</v>
      </c>
      <c r="G59" s="14" t="n">
        <v>2593</v>
      </c>
      <c r="H59" s="16" t="n">
        <v>74.32</v>
      </c>
      <c r="I59" s="14" t="n">
        <v>7506</v>
      </c>
      <c r="J59" s="14" t="n">
        <v>6389</v>
      </c>
      <c r="K59" s="16" t="n">
        <v>85.12</v>
      </c>
    </row>
    <row r="60" customFormat="false" ht="15" hidden="false" customHeight="true" outlineLevel="0" collapsed="false">
      <c r="A60" s="13" t="n">
        <v>2025</v>
      </c>
      <c r="B60" s="13" t="s">
        <v>142</v>
      </c>
      <c r="C60" s="14" t="n">
        <v>32012</v>
      </c>
      <c r="D60" s="14" t="n">
        <v>25776</v>
      </c>
      <c r="E60" s="16" t="n">
        <v>80.52</v>
      </c>
      <c r="F60" s="14" t="n">
        <v>7543</v>
      </c>
      <c r="G60" s="14" t="n">
        <v>3103</v>
      </c>
      <c r="H60" s="16" t="n">
        <v>41.14</v>
      </c>
      <c r="I60" s="14" t="n">
        <v>39555</v>
      </c>
      <c r="J60" s="14" t="n">
        <v>28879</v>
      </c>
      <c r="K60" s="16" t="n">
        <v>73.01</v>
      </c>
    </row>
    <row r="61" customFormat="false" ht="15" hidden="false" customHeight="true" outlineLevel="0" collapsed="false">
      <c r="A61" s="13" t="n">
        <v>2025</v>
      </c>
      <c r="B61" s="13" t="s">
        <v>505</v>
      </c>
      <c r="C61" s="14" t="n">
        <v>6</v>
      </c>
      <c r="D61" s="14" t="n">
        <v>6</v>
      </c>
      <c r="E61" s="16" t="n">
        <v>100</v>
      </c>
      <c r="F61" s="14" t="n">
        <v>7</v>
      </c>
      <c r="G61" s="14" t="n">
        <v>6</v>
      </c>
      <c r="H61" s="16" t="n">
        <v>85.71</v>
      </c>
      <c r="I61" s="14" t="n">
        <v>13</v>
      </c>
      <c r="J61" s="14" t="n">
        <v>12</v>
      </c>
      <c r="K61" s="16" t="n">
        <v>92.31</v>
      </c>
    </row>
    <row r="62" customFormat="false" ht="15" hidden="false" customHeight="true" outlineLevel="0" collapsed="false">
      <c r="A62" s="13" t="n">
        <v>2025</v>
      </c>
      <c r="B62" s="13" t="s">
        <v>143</v>
      </c>
      <c r="C62" s="14" t="n">
        <v>243</v>
      </c>
      <c r="D62" s="14" t="n">
        <v>242</v>
      </c>
      <c r="E62" s="16" t="n">
        <v>99.59</v>
      </c>
      <c r="F62" s="14" t="n">
        <v>27</v>
      </c>
      <c r="G62" s="14" t="n">
        <v>26</v>
      </c>
      <c r="H62" s="16" t="n">
        <v>96.3</v>
      </c>
      <c r="I62" s="14" t="n">
        <v>270</v>
      </c>
      <c r="J62" s="14" t="n">
        <v>268</v>
      </c>
      <c r="K62" s="16" t="n">
        <v>99.26</v>
      </c>
    </row>
    <row r="63" customFormat="false" ht="15" hidden="false" customHeight="true" outlineLevel="0" collapsed="false">
      <c r="A63" s="13" t="n">
        <v>2025</v>
      </c>
      <c r="B63" s="13" t="s">
        <v>507</v>
      </c>
      <c r="C63" s="14" t="n">
        <v>27</v>
      </c>
      <c r="D63" s="14" t="n">
        <v>27</v>
      </c>
      <c r="E63" s="16" t="n">
        <v>100</v>
      </c>
      <c r="F63" s="14" t="n">
        <v>0</v>
      </c>
      <c r="G63" s="14" t="n">
        <v>0</v>
      </c>
      <c r="H63" s="16" t="n">
        <v>0</v>
      </c>
      <c r="I63" s="14" t="n">
        <v>27</v>
      </c>
      <c r="J63" s="14" t="n">
        <v>27</v>
      </c>
      <c r="K63" s="16" t="n">
        <v>100</v>
      </c>
    </row>
    <row r="64" customFormat="false" ht="15" hidden="false" customHeight="true" outlineLevel="0" collapsed="false">
      <c r="A64" s="13" t="n">
        <v>2025</v>
      </c>
      <c r="B64" s="13" t="s">
        <v>148</v>
      </c>
      <c r="C64" s="14" t="n">
        <v>3</v>
      </c>
      <c r="D64" s="14" t="n">
        <v>3</v>
      </c>
      <c r="E64" s="16" t="n">
        <v>100</v>
      </c>
      <c r="F64" s="14" t="n">
        <v>0</v>
      </c>
      <c r="G64" s="14" t="n">
        <v>0</v>
      </c>
      <c r="H64" s="16" t="n">
        <v>0</v>
      </c>
      <c r="I64" s="14" t="n">
        <v>3</v>
      </c>
      <c r="J64" s="14" t="n">
        <v>3</v>
      </c>
      <c r="K64" s="16" t="n">
        <v>100</v>
      </c>
    </row>
    <row r="65" customFormat="false" ht="15" hidden="false" customHeight="true" outlineLevel="0" collapsed="false">
      <c r="A65" s="13" t="n">
        <v>2025</v>
      </c>
      <c r="B65" s="13" t="s">
        <v>161</v>
      </c>
      <c r="C65" s="14" t="n">
        <v>704</v>
      </c>
      <c r="D65" s="14" t="n">
        <v>701</v>
      </c>
      <c r="E65" s="16" t="n">
        <v>99.57</v>
      </c>
      <c r="F65" s="14" t="n">
        <v>2</v>
      </c>
      <c r="G65" s="14" t="n">
        <v>2</v>
      </c>
      <c r="H65" s="16" t="n">
        <v>100</v>
      </c>
      <c r="I65" s="14" t="n">
        <v>706</v>
      </c>
      <c r="J65" s="14" t="n">
        <v>703</v>
      </c>
      <c r="K65" s="16" t="n">
        <v>99.58</v>
      </c>
    </row>
    <row r="66" customFormat="false" ht="15" hidden="false" customHeight="true" outlineLevel="0" collapsed="false">
      <c r="A66" s="13" t="n">
        <v>2025</v>
      </c>
      <c r="B66" s="13" t="s">
        <v>158</v>
      </c>
      <c r="C66" s="14" t="n">
        <v>4934</v>
      </c>
      <c r="D66" s="14" t="n">
        <v>4819</v>
      </c>
      <c r="E66" s="16" t="n">
        <v>97.67</v>
      </c>
      <c r="F66" s="14" t="n">
        <v>43</v>
      </c>
      <c r="G66" s="14" t="n">
        <v>36</v>
      </c>
      <c r="H66" s="16" t="n">
        <v>83.72</v>
      </c>
      <c r="I66" s="14" t="n">
        <v>4977</v>
      </c>
      <c r="J66" s="14" t="n">
        <v>4855</v>
      </c>
      <c r="K66" s="16" t="n">
        <v>97.55</v>
      </c>
    </row>
    <row r="67" customFormat="false" ht="15" hidden="false" customHeight="true" outlineLevel="0" collapsed="false">
      <c r="A67" s="13" t="n">
        <v>2025</v>
      </c>
      <c r="B67" s="13" t="s">
        <v>581</v>
      </c>
      <c r="C67" s="14" t="n">
        <v>25</v>
      </c>
      <c r="D67" s="14" t="n">
        <v>23</v>
      </c>
      <c r="E67" s="16" t="n">
        <v>92</v>
      </c>
      <c r="F67" s="14" t="n">
        <v>7</v>
      </c>
      <c r="G67" s="14" t="n">
        <v>3</v>
      </c>
      <c r="H67" s="16" t="n">
        <v>42.86</v>
      </c>
      <c r="I67" s="14" t="n">
        <v>32</v>
      </c>
      <c r="J67" s="14" t="n">
        <v>26</v>
      </c>
      <c r="K67" s="16" t="n">
        <v>81.25</v>
      </c>
    </row>
    <row r="68" customFormat="false" ht="15" hidden="false" customHeight="true" outlineLevel="0" collapsed="false">
      <c r="A68" s="13" t="n">
        <v>2025</v>
      </c>
      <c r="B68" s="13" t="s">
        <v>415</v>
      </c>
      <c r="C68" s="14" t="n">
        <v>362</v>
      </c>
      <c r="D68" s="14" t="n">
        <v>316</v>
      </c>
      <c r="E68" s="16" t="n">
        <v>87.29</v>
      </c>
      <c r="F68" s="14" t="n">
        <v>396</v>
      </c>
      <c r="G68" s="14" t="n">
        <v>279</v>
      </c>
      <c r="H68" s="16" t="n">
        <v>70.45</v>
      </c>
      <c r="I68" s="14" t="n">
        <v>758</v>
      </c>
      <c r="J68" s="14" t="n">
        <v>595</v>
      </c>
      <c r="K68" s="16" t="n">
        <v>78.5</v>
      </c>
    </row>
    <row r="69" customFormat="false" ht="15" hidden="false" customHeight="true" outlineLevel="0" collapsed="false">
      <c r="A69" s="13" t="n">
        <v>2025</v>
      </c>
      <c r="B69" s="13" t="s">
        <v>418</v>
      </c>
      <c r="C69" s="14" t="n">
        <v>88</v>
      </c>
      <c r="D69" s="14" t="n">
        <v>78</v>
      </c>
      <c r="E69" s="16" t="n">
        <v>88.64</v>
      </c>
      <c r="F69" s="14" t="n">
        <v>78</v>
      </c>
      <c r="G69" s="14" t="n">
        <v>54</v>
      </c>
      <c r="H69" s="16" t="n">
        <v>69.23</v>
      </c>
      <c r="I69" s="14" t="n">
        <v>166</v>
      </c>
      <c r="J69" s="14" t="n">
        <v>132</v>
      </c>
      <c r="K69" s="16" t="n">
        <v>79.52</v>
      </c>
    </row>
    <row r="70" customFormat="false" ht="15" hidden="false" customHeight="true" outlineLevel="0" collapsed="false">
      <c r="A70" s="13" t="n">
        <v>2025</v>
      </c>
      <c r="B70" s="13" t="s">
        <v>265</v>
      </c>
      <c r="C70" s="14" t="n">
        <v>292</v>
      </c>
      <c r="D70" s="14" t="n">
        <v>264</v>
      </c>
      <c r="E70" s="16" t="n">
        <v>90.41</v>
      </c>
      <c r="F70" s="14" t="n">
        <v>2322</v>
      </c>
      <c r="G70" s="14" t="n">
        <v>2243</v>
      </c>
      <c r="H70" s="16" t="n">
        <v>96.6</v>
      </c>
      <c r="I70" s="14" t="n">
        <v>2614</v>
      </c>
      <c r="J70" s="14" t="n">
        <v>2507</v>
      </c>
      <c r="K70" s="16" t="n">
        <v>95.91</v>
      </c>
    </row>
    <row r="71" customFormat="false" ht="15" hidden="false" customHeight="true" outlineLevel="0" collapsed="false">
      <c r="A71" s="13" t="n">
        <v>2025</v>
      </c>
      <c r="B71" s="13" t="s">
        <v>583</v>
      </c>
      <c r="C71" s="14" t="n">
        <v>4871</v>
      </c>
      <c r="D71" s="14" t="n">
        <v>4623</v>
      </c>
      <c r="E71" s="16" t="n">
        <v>94.91</v>
      </c>
      <c r="F71" s="14" t="n">
        <v>3662</v>
      </c>
      <c r="G71" s="14" t="n">
        <v>3308</v>
      </c>
      <c r="H71" s="16" t="n">
        <v>90.33</v>
      </c>
      <c r="I71" s="14" t="n">
        <v>8533</v>
      </c>
      <c r="J71" s="14" t="n">
        <v>7931</v>
      </c>
      <c r="K71" s="16" t="n">
        <v>92.95</v>
      </c>
    </row>
    <row r="72" customFormat="false" ht="15" hidden="false" customHeight="true" outlineLevel="0" collapsed="false">
      <c r="A72" s="13" t="n">
        <v>2025</v>
      </c>
      <c r="B72" s="13" t="s">
        <v>159</v>
      </c>
      <c r="C72" s="14" t="n">
        <v>377</v>
      </c>
      <c r="D72" s="14" t="n">
        <v>369</v>
      </c>
      <c r="E72" s="16" t="n">
        <v>97.88</v>
      </c>
      <c r="F72" s="14" t="n">
        <v>3</v>
      </c>
      <c r="G72" s="14" t="n">
        <v>2</v>
      </c>
      <c r="H72" s="16" t="n">
        <v>66.67</v>
      </c>
      <c r="I72" s="14" t="n">
        <v>380</v>
      </c>
      <c r="J72" s="14" t="n">
        <v>371</v>
      </c>
      <c r="K72" s="16" t="n">
        <v>97.63</v>
      </c>
    </row>
    <row r="73" customFormat="false" ht="15" hidden="false" customHeight="true" outlineLevel="0" collapsed="false">
      <c r="A73" s="13" t="n">
        <v>2025</v>
      </c>
      <c r="B73" s="13" t="s">
        <v>156</v>
      </c>
      <c r="C73" s="14" t="n">
        <v>11773</v>
      </c>
      <c r="D73" s="14" t="n">
        <v>8182</v>
      </c>
      <c r="E73" s="16" t="n">
        <v>69.5</v>
      </c>
      <c r="F73" s="14" t="n">
        <v>1856</v>
      </c>
      <c r="G73" s="14" t="n">
        <v>603</v>
      </c>
      <c r="H73" s="16" t="n">
        <v>32.49</v>
      </c>
      <c r="I73" s="14" t="n">
        <v>13629</v>
      </c>
      <c r="J73" s="14" t="n">
        <v>8785</v>
      </c>
      <c r="K73" s="16" t="n">
        <v>64.46</v>
      </c>
    </row>
    <row r="74" customFormat="false" ht="15" hidden="false" customHeight="true" outlineLevel="0" collapsed="false">
      <c r="A74" s="13" t="n">
        <v>2025</v>
      </c>
      <c r="B74" s="13" t="s">
        <v>414</v>
      </c>
      <c r="C74" s="14" t="n">
        <v>135</v>
      </c>
      <c r="D74" s="14" t="n">
        <v>135</v>
      </c>
      <c r="E74" s="16" t="n">
        <v>100</v>
      </c>
      <c r="F74" s="14" t="n">
        <v>1</v>
      </c>
      <c r="G74" s="14" t="n">
        <v>1</v>
      </c>
      <c r="H74" s="16" t="n">
        <v>0</v>
      </c>
      <c r="I74" s="14" t="n">
        <v>136</v>
      </c>
      <c r="J74" s="14" t="n">
        <v>136</v>
      </c>
      <c r="K74" s="16" t="n">
        <v>100</v>
      </c>
    </row>
    <row r="75" customFormat="false" ht="15" hidden="false" customHeight="true" outlineLevel="0" collapsed="false">
      <c r="A75" s="13" t="n">
        <v>2025</v>
      </c>
      <c r="B75" s="13" t="s">
        <v>149</v>
      </c>
      <c r="C75" s="14" t="n">
        <v>31994</v>
      </c>
      <c r="D75" s="14" t="n">
        <v>31875</v>
      </c>
      <c r="E75" s="16" t="n">
        <v>99.63</v>
      </c>
      <c r="F75" s="14" t="n">
        <v>4706</v>
      </c>
      <c r="G75" s="14" t="n">
        <v>4595</v>
      </c>
      <c r="H75" s="16" t="n">
        <v>97.64</v>
      </c>
      <c r="I75" s="14" t="n">
        <v>36700</v>
      </c>
      <c r="J75" s="14" t="n">
        <v>36470</v>
      </c>
      <c r="K75" s="16" t="n">
        <v>99.37</v>
      </c>
    </row>
    <row r="76" customFormat="false" ht="15" hidden="false" customHeight="true" outlineLevel="0" collapsed="false">
      <c r="A76" s="13" t="n">
        <v>2025</v>
      </c>
      <c r="B76" s="13" t="s">
        <v>145</v>
      </c>
      <c r="C76" s="14" t="n">
        <v>1</v>
      </c>
      <c r="D76" s="14" t="n">
        <v>1</v>
      </c>
      <c r="E76" s="16" t="n">
        <v>100</v>
      </c>
      <c r="F76" s="14" t="n">
        <v>0</v>
      </c>
      <c r="G76" s="14" t="n">
        <v>0</v>
      </c>
      <c r="H76" s="16" t="n">
        <v>0</v>
      </c>
      <c r="I76" s="14" t="n">
        <v>1</v>
      </c>
      <c r="J76" s="14" t="n">
        <v>1</v>
      </c>
      <c r="K76" s="16" t="n">
        <v>100</v>
      </c>
    </row>
    <row r="77" customFormat="false" ht="15" hidden="false" customHeight="true" outlineLevel="0" collapsed="false">
      <c r="A77" s="13" t="n">
        <v>2025</v>
      </c>
      <c r="B77" s="13" t="s">
        <v>424</v>
      </c>
      <c r="C77" s="14" t="n">
        <v>93</v>
      </c>
      <c r="D77" s="14" t="n">
        <v>93</v>
      </c>
      <c r="E77" s="16" t="n">
        <v>100</v>
      </c>
      <c r="F77" s="14" t="n">
        <v>81</v>
      </c>
      <c r="G77" s="14" t="n">
        <v>75</v>
      </c>
      <c r="H77" s="16" t="n">
        <v>92.59</v>
      </c>
      <c r="I77" s="14" t="n">
        <v>174</v>
      </c>
      <c r="J77" s="14" t="n">
        <v>168</v>
      </c>
      <c r="K77" s="16" t="n">
        <v>96.55</v>
      </c>
    </row>
    <row r="78" customFormat="false" ht="15" hidden="false" customHeight="true" outlineLevel="0" collapsed="false">
      <c r="A78" s="13" t="n">
        <v>2025</v>
      </c>
      <c r="B78" s="13" t="s">
        <v>425</v>
      </c>
      <c r="C78" s="14" t="n">
        <v>7</v>
      </c>
      <c r="D78" s="14" t="n">
        <v>7</v>
      </c>
      <c r="E78" s="16" t="n">
        <v>100</v>
      </c>
      <c r="F78" s="14" t="n">
        <v>8</v>
      </c>
      <c r="G78" s="14" t="n">
        <v>7</v>
      </c>
      <c r="H78" s="16" t="n">
        <v>87.5</v>
      </c>
      <c r="I78" s="14" t="n">
        <v>15</v>
      </c>
      <c r="J78" s="14" t="n">
        <v>14</v>
      </c>
      <c r="K78" s="16" t="n">
        <v>93.33</v>
      </c>
    </row>
    <row r="79" customFormat="false" ht="15" hidden="false" customHeight="true" outlineLevel="0" collapsed="false">
      <c r="A79" s="13" t="n">
        <v>2025</v>
      </c>
      <c r="B79" s="13" t="s">
        <v>165</v>
      </c>
      <c r="C79" s="14" t="n">
        <v>18534</v>
      </c>
      <c r="D79" s="14" t="n">
        <v>16063</v>
      </c>
      <c r="E79" s="16" t="n">
        <v>86.67</v>
      </c>
      <c r="F79" s="14" t="n">
        <v>2313</v>
      </c>
      <c r="G79" s="14" t="n">
        <v>1387</v>
      </c>
      <c r="H79" s="16" t="n">
        <v>59.97</v>
      </c>
      <c r="I79" s="14" t="n">
        <v>20847</v>
      </c>
      <c r="J79" s="14" t="n">
        <v>17450</v>
      </c>
      <c r="K79" s="16" t="n">
        <v>83.71</v>
      </c>
    </row>
    <row r="80" customFormat="false" ht="15" hidden="false" customHeight="true" outlineLevel="0" collapsed="false">
      <c r="A80" s="13" t="n">
        <v>2025</v>
      </c>
      <c r="B80" s="13" t="s">
        <v>477</v>
      </c>
      <c r="C80" s="14" t="n">
        <v>377</v>
      </c>
      <c r="D80" s="14" t="n">
        <v>363</v>
      </c>
      <c r="E80" s="16" t="n">
        <v>96.29</v>
      </c>
      <c r="F80" s="14" t="n">
        <v>90</v>
      </c>
      <c r="G80" s="14" t="n">
        <v>70</v>
      </c>
      <c r="H80" s="16" t="n">
        <v>77.78</v>
      </c>
      <c r="I80" s="14" t="n">
        <v>467</v>
      </c>
      <c r="J80" s="14" t="n">
        <v>433</v>
      </c>
      <c r="K80" s="16" t="n">
        <v>92.72</v>
      </c>
    </row>
    <row r="81" customFormat="false" ht="15" hidden="false" customHeight="true" outlineLevel="0" collapsed="false">
      <c r="A81" s="13" t="n">
        <v>2025</v>
      </c>
      <c r="B81" s="13" t="s">
        <v>285</v>
      </c>
      <c r="C81" s="14" t="n">
        <v>382</v>
      </c>
      <c r="D81" s="14" t="n">
        <v>372</v>
      </c>
      <c r="E81" s="16" t="n">
        <v>97.38</v>
      </c>
      <c r="F81" s="14" t="n">
        <v>82</v>
      </c>
      <c r="G81" s="14" t="n">
        <v>71</v>
      </c>
      <c r="H81" s="16" t="n">
        <v>86.59</v>
      </c>
      <c r="I81" s="14" t="n">
        <v>464</v>
      </c>
      <c r="J81" s="14" t="n">
        <v>443</v>
      </c>
      <c r="K81" s="16" t="n">
        <v>95.47</v>
      </c>
    </row>
    <row r="82" customFormat="false" ht="15" hidden="false" customHeight="true" outlineLevel="0" collapsed="false">
      <c r="A82" s="13" t="n">
        <v>2025</v>
      </c>
      <c r="B82" s="13" t="s">
        <v>153</v>
      </c>
      <c r="C82" s="14" t="n">
        <v>579</v>
      </c>
      <c r="D82" s="14" t="n">
        <v>552</v>
      </c>
      <c r="E82" s="16" t="n">
        <v>95.34</v>
      </c>
      <c r="F82" s="14" t="n">
        <v>8</v>
      </c>
      <c r="G82" s="14" t="n">
        <v>8</v>
      </c>
      <c r="H82" s="16" t="n">
        <v>100</v>
      </c>
      <c r="I82" s="14" t="n">
        <v>587</v>
      </c>
      <c r="J82" s="14" t="n">
        <v>560</v>
      </c>
      <c r="K82" s="16" t="n">
        <v>95.4</v>
      </c>
    </row>
    <row r="83" customFormat="false" ht="15" hidden="false" customHeight="true" outlineLevel="0" collapsed="false">
      <c r="A83" s="13" t="n">
        <v>2025</v>
      </c>
      <c r="B83" s="13" t="s">
        <v>426</v>
      </c>
      <c r="C83" s="14" t="n">
        <v>520</v>
      </c>
      <c r="D83" s="14" t="n">
        <v>517</v>
      </c>
      <c r="E83" s="16" t="n">
        <v>99.42</v>
      </c>
      <c r="F83" s="14" t="n">
        <v>738</v>
      </c>
      <c r="G83" s="14" t="n">
        <v>632</v>
      </c>
      <c r="H83" s="16" t="n">
        <v>85.64</v>
      </c>
      <c r="I83" s="14" t="n">
        <v>1258</v>
      </c>
      <c r="J83" s="14" t="n">
        <v>1149</v>
      </c>
      <c r="K83" s="16" t="n">
        <v>91.34</v>
      </c>
    </row>
    <row r="84" customFormat="false" ht="15" hidden="false" customHeight="true" outlineLevel="0" collapsed="false">
      <c r="A84" s="13" t="n">
        <v>2025</v>
      </c>
      <c r="B84" s="13" t="s">
        <v>427</v>
      </c>
      <c r="C84" s="14" t="n">
        <v>1451</v>
      </c>
      <c r="D84" s="14" t="n">
        <v>1436</v>
      </c>
      <c r="E84" s="16" t="n">
        <v>98.97</v>
      </c>
      <c r="F84" s="14" t="n">
        <v>1412</v>
      </c>
      <c r="G84" s="14" t="n">
        <v>1329</v>
      </c>
      <c r="H84" s="16" t="n">
        <v>94.12</v>
      </c>
      <c r="I84" s="14" t="n">
        <v>2863</v>
      </c>
      <c r="J84" s="14" t="n">
        <v>2765</v>
      </c>
      <c r="K84" s="16" t="n">
        <v>96.58</v>
      </c>
    </row>
    <row r="85" customFormat="false" ht="15" hidden="false" customHeight="true" outlineLevel="0" collapsed="false">
      <c r="A85" s="13" t="n">
        <v>2025</v>
      </c>
      <c r="B85" s="13" t="s">
        <v>155</v>
      </c>
      <c r="C85" s="14" t="n">
        <v>512</v>
      </c>
      <c r="D85" s="14" t="n">
        <v>455</v>
      </c>
      <c r="E85" s="16" t="n">
        <v>88.87</v>
      </c>
      <c r="F85" s="14" t="n">
        <v>31</v>
      </c>
      <c r="G85" s="14" t="n">
        <v>11</v>
      </c>
      <c r="H85" s="16" t="n">
        <v>35.48</v>
      </c>
      <c r="I85" s="14" t="n">
        <v>543</v>
      </c>
      <c r="J85" s="14" t="n">
        <v>466</v>
      </c>
      <c r="K85" s="16" t="n">
        <v>85.82</v>
      </c>
    </row>
    <row r="86" customFormat="false" ht="15" hidden="false" customHeight="true" outlineLevel="0" collapsed="false">
      <c r="A86" s="13" t="n">
        <v>2025</v>
      </c>
      <c r="B86" s="13" t="s">
        <v>523</v>
      </c>
      <c r="C86" s="14" t="n">
        <v>31660</v>
      </c>
      <c r="D86" s="14" t="n">
        <v>31418</v>
      </c>
      <c r="E86" s="16" t="n">
        <v>99.24</v>
      </c>
      <c r="F86" s="14" t="n">
        <v>4672</v>
      </c>
      <c r="G86" s="14" t="n">
        <v>4260</v>
      </c>
      <c r="H86" s="16" t="n">
        <v>91.18</v>
      </c>
      <c r="I86" s="14" t="n">
        <v>36332</v>
      </c>
      <c r="J86" s="14" t="n">
        <v>35678</v>
      </c>
      <c r="K86" s="16" t="n">
        <v>98.2</v>
      </c>
    </row>
    <row r="87" customFormat="false" ht="15" hidden="false" customHeight="true" outlineLevel="0" collapsed="false">
      <c r="A87" s="13" t="n">
        <v>2025</v>
      </c>
      <c r="B87" s="13" t="s">
        <v>410</v>
      </c>
      <c r="C87" s="14" t="n">
        <v>31975</v>
      </c>
      <c r="D87" s="14" t="n">
        <v>31293</v>
      </c>
      <c r="E87" s="16" t="n">
        <v>97.87</v>
      </c>
      <c r="F87" s="14" t="n">
        <v>5728</v>
      </c>
      <c r="G87" s="14" t="n">
        <v>4452</v>
      </c>
      <c r="H87" s="16" t="n">
        <v>77.72</v>
      </c>
      <c r="I87" s="14" t="n">
        <v>37703</v>
      </c>
      <c r="J87" s="14" t="n">
        <v>35745</v>
      </c>
      <c r="K87" s="16" t="n">
        <v>94.81</v>
      </c>
    </row>
    <row r="88" customFormat="false" ht="15" hidden="false" customHeight="true" outlineLevel="0" collapsed="false">
      <c r="A88" s="13" t="n">
        <v>2025</v>
      </c>
      <c r="B88" s="13" t="s">
        <v>171</v>
      </c>
      <c r="C88" s="14" t="n">
        <v>95</v>
      </c>
      <c r="D88" s="14" t="n">
        <v>80</v>
      </c>
      <c r="E88" s="16" t="n">
        <v>84.21</v>
      </c>
      <c r="F88" s="14" t="n">
        <v>42</v>
      </c>
      <c r="G88" s="14" t="n">
        <v>25</v>
      </c>
      <c r="H88" s="16" t="n">
        <v>59.52</v>
      </c>
      <c r="I88" s="14" t="n">
        <v>137</v>
      </c>
      <c r="J88" s="14" t="n">
        <v>105</v>
      </c>
      <c r="K88" s="16" t="n">
        <v>76.64</v>
      </c>
    </row>
    <row r="89" customFormat="false" ht="15" hidden="false" customHeight="true" outlineLevel="0" collapsed="false">
      <c r="A89" s="13" t="n">
        <v>2026</v>
      </c>
      <c r="B89" s="13" t="s">
        <v>538</v>
      </c>
      <c r="C89" s="14" t="n">
        <v>6</v>
      </c>
      <c r="D89" s="14" t="n">
        <v>6</v>
      </c>
      <c r="E89" s="16" t="n">
        <v>100</v>
      </c>
      <c r="F89" s="14" t="n">
        <v>0</v>
      </c>
      <c r="G89" s="14" t="n">
        <v>0</v>
      </c>
      <c r="H89" s="16" t="n">
        <v>0</v>
      </c>
      <c r="I89" s="14" t="n">
        <v>6</v>
      </c>
      <c r="J89" s="14" t="n">
        <v>6</v>
      </c>
      <c r="K89" s="16" t="n">
        <v>100</v>
      </c>
    </row>
    <row r="90" customFormat="false" ht="15" hidden="false" customHeight="true" outlineLevel="0" collapsed="false">
      <c r="A90" s="13" t="n">
        <v>2026</v>
      </c>
      <c r="B90" s="13" t="s">
        <v>162</v>
      </c>
      <c r="C90" s="14" t="n">
        <v>433</v>
      </c>
      <c r="D90" s="14" t="n">
        <v>399</v>
      </c>
      <c r="E90" s="16" t="n">
        <v>92.15</v>
      </c>
      <c r="F90" s="14" t="n">
        <v>583</v>
      </c>
      <c r="G90" s="14" t="n">
        <v>544</v>
      </c>
      <c r="H90" s="16" t="n">
        <v>93.31</v>
      </c>
      <c r="I90" s="14" t="n">
        <v>1016</v>
      </c>
      <c r="J90" s="14" t="n">
        <v>943</v>
      </c>
      <c r="K90" s="16" t="n">
        <v>92.81</v>
      </c>
    </row>
    <row r="91" customFormat="false" ht="15" hidden="false" customHeight="true" outlineLevel="0" collapsed="false">
      <c r="A91" s="13" t="n">
        <v>2026</v>
      </c>
      <c r="B91" s="13" t="s">
        <v>167</v>
      </c>
      <c r="C91" s="14" t="n">
        <v>10012</v>
      </c>
      <c r="D91" s="14" t="n">
        <v>8041</v>
      </c>
      <c r="E91" s="16" t="n">
        <v>80.31</v>
      </c>
      <c r="F91" s="14" t="n">
        <v>1087</v>
      </c>
      <c r="G91" s="14" t="n">
        <v>588</v>
      </c>
      <c r="H91" s="16" t="n">
        <v>54.09</v>
      </c>
      <c r="I91" s="14" t="n">
        <v>11099</v>
      </c>
      <c r="J91" s="14" t="n">
        <v>8629</v>
      </c>
      <c r="K91" s="16" t="n">
        <v>77.75</v>
      </c>
    </row>
    <row r="92" customFormat="false" ht="15" hidden="false" customHeight="true" outlineLevel="0" collapsed="false">
      <c r="A92" s="13" t="n">
        <v>2026</v>
      </c>
      <c r="B92" s="13" t="s">
        <v>668</v>
      </c>
      <c r="C92" s="14" t="n">
        <v>10118</v>
      </c>
      <c r="D92" s="14" t="n">
        <v>9967</v>
      </c>
      <c r="E92" s="16" t="n">
        <v>98.51</v>
      </c>
      <c r="F92" s="14" t="n">
        <v>197</v>
      </c>
      <c r="G92" s="14" t="n">
        <v>146</v>
      </c>
      <c r="H92" s="16" t="n">
        <v>74.11</v>
      </c>
      <c r="I92" s="14" t="n">
        <v>10315</v>
      </c>
      <c r="J92" s="14" t="n">
        <v>10113</v>
      </c>
      <c r="K92" s="16" t="n">
        <v>98.04</v>
      </c>
    </row>
    <row r="93" customFormat="false" ht="15" hidden="false" customHeight="true" outlineLevel="0" collapsed="false">
      <c r="A93" s="13" t="n">
        <v>2026</v>
      </c>
      <c r="B93" s="13" t="s">
        <v>585</v>
      </c>
      <c r="C93" s="14" t="n">
        <v>329</v>
      </c>
      <c r="D93" s="14" t="n">
        <v>314</v>
      </c>
      <c r="E93" s="16" t="n">
        <v>95.44</v>
      </c>
      <c r="F93" s="14" t="n">
        <v>77</v>
      </c>
      <c r="G93" s="14" t="n">
        <v>53</v>
      </c>
      <c r="H93" s="16" t="n">
        <v>68.83</v>
      </c>
      <c r="I93" s="14" t="n">
        <v>406</v>
      </c>
      <c r="J93" s="14" t="n">
        <v>367</v>
      </c>
      <c r="K93" s="16" t="n">
        <v>90.39</v>
      </c>
    </row>
    <row r="94" customFormat="false" ht="15" hidden="false" customHeight="true" outlineLevel="0" collapsed="false">
      <c r="A94" s="13" t="n">
        <v>2026</v>
      </c>
      <c r="B94" s="13" t="s">
        <v>166</v>
      </c>
      <c r="C94" s="14" t="n">
        <v>11736</v>
      </c>
      <c r="D94" s="14" t="n">
        <v>9535</v>
      </c>
      <c r="E94" s="16" t="n">
        <v>81.25</v>
      </c>
      <c r="F94" s="14" t="n">
        <v>1337</v>
      </c>
      <c r="G94" s="14" t="n">
        <v>639</v>
      </c>
      <c r="H94" s="16" t="n">
        <v>47.79</v>
      </c>
      <c r="I94" s="14" t="n">
        <v>13073</v>
      </c>
      <c r="J94" s="14" t="n">
        <v>10174</v>
      </c>
      <c r="K94" s="16" t="n">
        <v>77.82</v>
      </c>
    </row>
    <row r="95" customFormat="false" ht="15" hidden="false" customHeight="true" outlineLevel="0" collapsed="false">
      <c r="A95" s="13" t="n">
        <v>2026</v>
      </c>
      <c r="B95" s="13" t="s">
        <v>666</v>
      </c>
      <c r="C95" s="14" t="n">
        <v>11847</v>
      </c>
      <c r="D95" s="14" t="n">
        <v>11680</v>
      </c>
      <c r="E95" s="16" t="n">
        <v>98.59</v>
      </c>
      <c r="F95" s="14" t="n">
        <v>271</v>
      </c>
      <c r="G95" s="14" t="n">
        <v>199</v>
      </c>
      <c r="H95" s="16" t="n">
        <v>73.43</v>
      </c>
      <c r="I95" s="14" t="n">
        <v>12118</v>
      </c>
      <c r="J95" s="14" t="n">
        <v>11879</v>
      </c>
      <c r="K95" s="16" t="n">
        <v>98.03</v>
      </c>
    </row>
    <row r="96" customFormat="false" ht="15" hidden="false" customHeight="true" outlineLevel="0" collapsed="false">
      <c r="A96" s="13" t="n">
        <v>2026</v>
      </c>
      <c r="B96" s="13" t="s">
        <v>579</v>
      </c>
      <c r="C96" s="14" t="n">
        <v>6</v>
      </c>
      <c r="D96" s="14" t="n">
        <v>6</v>
      </c>
      <c r="E96" s="16" t="n">
        <v>100</v>
      </c>
      <c r="F96" s="14" t="n">
        <v>0</v>
      </c>
      <c r="G96" s="14" t="n">
        <v>0</v>
      </c>
      <c r="H96" s="16" t="n">
        <v>0</v>
      </c>
      <c r="I96" s="14" t="n">
        <v>6</v>
      </c>
      <c r="J96" s="14" t="n">
        <v>6</v>
      </c>
      <c r="K96" s="16" t="n">
        <v>100</v>
      </c>
    </row>
    <row r="97" customFormat="false" ht="15" hidden="false" customHeight="true" outlineLevel="0" collapsed="false">
      <c r="A97" s="13" t="n">
        <v>2026</v>
      </c>
      <c r="B97" s="13" t="s">
        <v>154</v>
      </c>
      <c r="C97" s="14" t="n">
        <v>2931</v>
      </c>
      <c r="D97" s="14" t="n">
        <v>2858</v>
      </c>
      <c r="E97" s="16" t="n">
        <v>97.51</v>
      </c>
      <c r="F97" s="14" t="n">
        <v>2088</v>
      </c>
      <c r="G97" s="14" t="n">
        <v>1862</v>
      </c>
      <c r="H97" s="16" t="n">
        <v>89.18</v>
      </c>
      <c r="I97" s="14" t="n">
        <v>5019</v>
      </c>
      <c r="J97" s="14" t="n">
        <v>4720</v>
      </c>
      <c r="K97" s="16" t="n">
        <v>94.04</v>
      </c>
    </row>
    <row r="98" customFormat="false" ht="15" hidden="false" customHeight="true" outlineLevel="0" collapsed="false">
      <c r="A98" s="13" t="n">
        <v>2026</v>
      </c>
      <c r="B98" s="13" t="s">
        <v>170</v>
      </c>
      <c r="C98" s="14" t="n">
        <v>19395</v>
      </c>
      <c r="D98" s="14" t="n">
        <v>15663</v>
      </c>
      <c r="E98" s="16" t="n">
        <v>80.76</v>
      </c>
      <c r="F98" s="14" t="n">
        <v>1297</v>
      </c>
      <c r="G98" s="14" t="n">
        <v>452</v>
      </c>
      <c r="H98" s="16" t="n">
        <v>34.85</v>
      </c>
      <c r="I98" s="14" t="n">
        <v>20692</v>
      </c>
      <c r="J98" s="14" t="n">
        <v>16115</v>
      </c>
      <c r="K98" s="16" t="n">
        <v>77.88</v>
      </c>
    </row>
    <row r="99" customFormat="false" ht="15" hidden="false" customHeight="true" outlineLevel="0" collapsed="false">
      <c r="A99" s="13" t="n">
        <v>2026</v>
      </c>
      <c r="B99" s="13" t="s">
        <v>671</v>
      </c>
      <c r="C99" s="14" t="n">
        <v>19642</v>
      </c>
      <c r="D99" s="14" t="n">
        <v>19129</v>
      </c>
      <c r="E99" s="16" t="n">
        <v>97.39</v>
      </c>
      <c r="F99" s="14" t="n">
        <v>153</v>
      </c>
      <c r="G99" s="14" t="n">
        <v>97</v>
      </c>
      <c r="H99" s="16" t="n">
        <v>63.4</v>
      </c>
      <c r="I99" s="14" t="n">
        <v>19795</v>
      </c>
      <c r="J99" s="14" t="n">
        <v>19226</v>
      </c>
      <c r="K99" s="16" t="n">
        <v>97.13</v>
      </c>
    </row>
    <row r="100" customFormat="false" ht="15" hidden="false" customHeight="true" outlineLevel="0" collapsed="false">
      <c r="A100" s="13" t="n">
        <v>2026</v>
      </c>
      <c r="B100" s="13" t="s">
        <v>152</v>
      </c>
      <c r="C100" s="14" t="n">
        <v>5836</v>
      </c>
      <c r="D100" s="14" t="n">
        <v>5332</v>
      </c>
      <c r="E100" s="16" t="n">
        <v>91.36</v>
      </c>
      <c r="F100" s="14" t="n">
        <v>799</v>
      </c>
      <c r="G100" s="14" t="n">
        <v>518</v>
      </c>
      <c r="H100" s="16" t="n">
        <v>64.83</v>
      </c>
      <c r="I100" s="14" t="n">
        <v>6635</v>
      </c>
      <c r="J100" s="14" t="n">
        <v>5850</v>
      </c>
      <c r="K100" s="16" t="n">
        <v>88.17</v>
      </c>
    </row>
    <row r="101" customFormat="false" ht="15" hidden="false" customHeight="true" outlineLevel="0" collapsed="false">
      <c r="A101" s="13" t="n">
        <v>2026</v>
      </c>
      <c r="B101" s="13" t="s">
        <v>150</v>
      </c>
      <c r="C101" s="14" t="n">
        <v>4256</v>
      </c>
      <c r="D101" s="14" t="n">
        <v>4147</v>
      </c>
      <c r="E101" s="16" t="n">
        <v>97.44</v>
      </c>
      <c r="F101" s="14" t="n">
        <v>3458</v>
      </c>
      <c r="G101" s="14" t="n">
        <v>2999</v>
      </c>
      <c r="H101" s="16" t="n">
        <v>86.73</v>
      </c>
      <c r="I101" s="14" t="n">
        <v>7714</v>
      </c>
      <c r="J101" s="14" t="n">
        <v>7146</v>
      </c>
      <c r="K101" s="16" t="n">
        <v>92.64</v>
      </c>
    </row>
    <row r="102" customFormat="false" ht="15" hidden="false" customHeight="true" outlineLevel="0" collapsed="false">
      <c r="A102" s="13" t="n">
        <v>2026</v>
      </c>
      <c r="B102" s="13" t="s">
        <v>142</v>
      </c>
      <c r="C102" s="14" t="n">
        <v>35532</v>
      </c>
      <c r="D102" s="14" t="n">
        <v>29583</v>
      </c>
      <c r="E102" s="16" t="n">
        <v>83.26</v>
      </c>
      <c r="F102" s="14" t="n">
        <v>7617</v>
      </c>
      <c r="G102" s="14" t="n">
        <v>3879</v>
      </c>
      <c r="H102" s="16" t="n">
        <v>50.93</v>
      </c>
      <c r="I102" s="14" t="n">
        <v>43149</v>
      </c>
      <c r="J102" s="14" t="n">
        <v>33462</v>
      </c>
      <c r="K102" s="16" t="n">
        <v>77.55</v>
      </c>
    </row>
    <row r="103" customFormat="false" ht="15" hidden="false" customHeight="true" outlineLevel="0" collapsed="false">
      <c r="A103" s="13" t="n">
        <v>2026</v>
      </c>
      <c r="B103" s="13" t="s">
        <v>505</v>
      </c>
      <c r="C103" s="14" t="n">
        <v>7</v>
      </c>
      <c r="D103" s="14" t="n">
        <v>7</v>
      </c>
      <c r="E103" s="16" t="n">
        <v>100</v>
      </c>
      <c r="F103" s="14" t="n">
        <v>6</v>
      </c>
      <c r="G103" s="14" t="n">
        <v>6</v>
      </c>
      <c r="H103" s="16" t="n">
        <v>100</v>
      </c>
      <c r="I103" s="14" t="n">
        <v>13</v>
      </c>
      <c r="J103" s="14" t="n">
        <v>13</v>
      </c>
      <c r="K103" s="16" t="n">
        <v>100</v>
      </c>
    </row>
    <row r="104" customFormat="false" ht="15" hidden="false" customHeight="true" outlineLevel="0" collapsed="false">
      <c r="A104" s="13" t="n">
        <v>2026</v>
      </c>
      <c r="B104" s="13" t="s">
        <v>143</v>
      </c>
      <c r="C104" s="14" t="n">
        <v>352</v>
      </c>
      <c r="D104" s="14" t="n">
        <v>351</v>
      </c>
      <c r="E104" s="16" t="n">
        <v>99.72</v>
      </c>
      <c r="F104" s="14" t="n">
        <v>31</v>
      </c>
      <c r="G104" s="14" t="n">
        <v>29</v>
      </c>
      <c r="H104" s="16" t="n">
        <v>93.55</v>
      </c>
      <c r="I104" s="14" t="n">
        <v>383</v>
      </c>
      <c r="J104" s="14" t="n">
        <v>380</v>
      </c>
      <c r="K104" s="16" t="n">
        <v>99.22</v>
      </c>
    </row>
    <row r="105" customFormat="false" ht="15" hidden="false" customHeight="true" outlineLevel="0" collapsed="false">
      <c r="A105" s="13" t="n">
        <v>2026</v>
      </c>
      <c r="B105" s="13" t="s">
        <v>507</v>
      </c>
      <c r="C105" s="14" t="n">
        <v>18</v>
      </c>
      <c r="D105" s="14" t="n">
        <v>18</v>
      </c>
      <c r="E105" s="16" t="n">
        <v>100</v>
      </c>
      <c r="F105" s="14" t="n">
        <v>0</v>
      </c>
      <c r="G105" s="14" t="n">
        <v>0</v>
      </c>
      <c r="H105" s="16" t="n">
        <v>0</v>
      </c>
      <c r="I105" s="14" t="n">
        <v>18</v>
      </c>
      <c r="J105" s="14" t="n">
        <v>18</v>
      </c>
      <c r="K105" s="16" t="n">
        <v>100</v>
      </c>
    </row>
    <row r="106" customFormat="false" ht="15" hidden="false" customHeight="true" outlineLevel="0" collapsed="false">
      <c r="A106" s="13" t="n">
        <v>2026</v>
      </c>
      <c r="B106" s="13" t="s">
        <v>934</v>
      </c>
      <c r="C106" s="14" t="n">
        <v>18</v>
      </c>
      <c r="D106" s="14" t="n">
        <v>17</v>
      </c>
      <c r="E106" s="16" t="n">
        <v>94.44</v>
      </c>
      <c r="F106" s="14" t="n">
        <v>0</v>
      </c>
      <c r="G106" s="14" t="n">
        <v>0</v>
      </c>
      <c r="H106" s="16" t="n">
        <v>0</v>
      </c>
      <c r="I106" s="14" t="n">
        <v>18</v>
      </c>
      <c r="J106" s="14" t="n">
        <v>17</v>
      </c>
      <c r="K106" s="16" t="n">
        <v>94.44</v>
      </c>
    </row>
    <row r="107" customFormat="false" ht="15" hidden="false" customHeight="true" outlineLevel="0" collapsed="false">
      <c r="A107" s="13" t="n">
        <v>2026</v>
      </c>
      <c r="B107" s="13" t="s">
        <v>148</v>
      </c>
      <c r="C107" s="14" t="n">
        <v>6</v>
      </c>
      <c r="D107" s="14" t="n">
        <v>6</v>
      </c>
      <c r="E107" s="16" t="n">
        <v>100</v>
      </c>
      <c r="F107" s="14" t="n">
        <v>0</v>
      </c>
      <c r="G107" s="14" t="n">
        <v>0</v>
      </c>
      <c r="H107" s="16" t="n">
        <v>0</v>
      </c>
      <c r="I107" s="14" t="n">
        <v>6</v>
      </c>
      <c r="J107" s="14" t="n">
        <v>6</v>
      </c>
      <c r="K107" s="16" t="n">
        <v>100</v>
      </c>
    </row>
    <row r="108" customFormat="false" ht="15" hidden="false" customHeight="true" outlineLevel="0" collapsed="false">
      <c r="A108" s="13" t="n">
        <v>2026</v>
      </c>
      <c r="B108" s="13" t="s">
        <v>161</v>
      </c>
      <c r="C108" s="14" t="n">
        <v>667</v>
      </c>
      <c r="D108" s="14" t="n">
        <v>665</v>
      </c>
      <c r="E108" s="16" t="n">
        <v>99.7</v>
      </c>
      <c r="F108" s="14" t="n">
        <v>4</v>
      </c>
      <c r="G108" s="14" t="n">
        <v>5</v>
      </c>
      <c r="H108" s="16" t="n">
        <v>125</v>
      </c>
      <c r="I108" s="14" t="n">
        <v>671</v>
      </c>
      <c r="J108" s="14" t="n">
        <v>670</v>
      </c>
      <c r="K108" s="16" t="n">
        <v>99.85</v>
      </c>
    </row>
    <row r="109" customFormat="false" ht="15" hidden="false" customHeight="true" outlineLevel="0" collapsed="false">
      <c r="A109" s="13" t="n">
        <v>2026</v>
      </c>
      <c r="B109" s="13" t="s">
        <v>688</v>
      </c>
      <c r="C109" s="14" t="n">
        <v>674</v>
      </c>
      <c r="D109" s="14" t="n">
        <v>650</v>
      </c>
      <c r="E109" s="16" t="n">
        <v>96.44</v>
      </c>
      <c r="F109" s="14" t="n">
        <v>6</v>
      </c>
      <c r="G109" s="14" t="n">
        <v>4</v>
      </c>
      <c r="H109" s="16" t="n">
        <v>66.67</v>
      </c>
      <c r="I109" s="14" t="n">
        <v>680</v>
      </c>
      <c r="J109" s="14" t="n">
        <v>654</v>
      </c>
      <c r="K109" s="16" t="n">
        <v>96.18</v>
      </c>
    </row>
    <row r="110" customFormat="false" ht="15" hidden="false" customHeight="true" outlineLevel="0" collapsed="false">
      <c r="A110" s="13" t="n">
        <v>2026</v>
      </c>
      <c r="B110" s="13" t="s">
        <v>158</v>
      </c>
      <c r="C110" s="14" t="n">
        <v>5473</v>
      </c>
      <c r="D110" s="14" t="n">
        <v>5419</v>
      </c>
      <c r="E110" s="16" t="n">
        <v>99.01</v>
      </c>
      <c r="F110" s="14" t="n">
        <v>37</v>
      </c>
      <c r="G110" s="14" t="n">
        <v>31</v>
      </c>
      <c r="H110" s="16" t="n">
        <v>83.78</v>
      </c>
      <c r="I110" s="14" t="n">
        <v>5510</v>
      </c>
      <c r="J110" s="14" t="n">
        <v>5450</v>
      </c>
      <c r="K110" s="16" t="n">
        <v>98.91</v>
      </c>
    </row>
    <row r="111" customFormat="false" ht="15" hidden="false" customHeight="true" outlineLevel="0" collapsed="false">
      <c r="A111" s="13" t="n">
        <v>2026</v>
      </c>
      <c r="B111" s="13" t="s">
        <v>701</v>
      </c>
      <c r="C111" s="14" t="n">
        <v>5578</v>
      </c>
      <c r="D111" s="14" t="n">
        <v>5374</v>
      </c>
      <c r="E111" s="16" t="n">
        <v>96.34</v>
      </c>
      <c r="F111" s="14" t="n">
        <v>33</v>
      </c>
      <c r="G111" s="14" t="n">
        <v>21</v>
      </c>
      <c r="H111" s="16" t="n">
        <v>63.64</v>
      </c>
      <c r="I111" s="14" t="n">
        <v>5611</v>
      </c>
      <c r="J111" s="14" t="n">
        <v>5395</v>
      </c>
      <c r="K111" s="16" t="n">
        <v>96.15</v>
      </c>
    </row>
    <row r="112" customFormat="false" ht="15" hidden="false" customHeight="true" outlineLevel="0" collapsed="false">
      <c r="A112" s="13" t="n">
        <v>2026</v>
      </c>
      <c r="B112" s="13" t="s">
        <v>581</v>
      </c>
      <c r="C112" s="14" t="n">
        <v>34</v>
      </c>
      <c r="D112" s="14" t="n">
        <v>32</v>
      </c>
      <c r="E112" s="16" t="n">
        <v>94.12</v>
      </c>
      <c r="F112" s="14" t="n">
        <v>6</v>
      </c>
      <c r="G112" s="14" t="n">
        <v>4</v>
      </c>
      <c r="H112" s="16" t="n">
        <v>66.67</v>
      </c>
      <c r="I112" s="14" t="n">
        <v>40</v>
      </c>
      <c r="J112" s="14" t="n">
        <v>36</v>
      </c>
      <c r="K112" s="16" t="n">
        <v>90</v>
      </c>
    </row>
    <row r="113" customFormat="false" ht="15" hidden="false" customHeight="true" outlineLevel="0" collapsed="false">
      <c r="A113" s="13" t="n">
        <v>2026</v>
      </c>
      <c r="B113" s="13" t="s">
        <v>415</v>
      </c>
      <c r="C113" s="14" t="n">
        <v>382</v>
      </c>
      <c r="D113" s="14" t="n">
        <v>335</v>
      </c>
      <c r="E113" s="16" t="n">
        <v>87.7</v>
      </c>
      <c r="F113" s="14" t="n">
        <v>490</v>
      </c>
      <c r="G113" s="14" t="n">
        <v>385</v>
      </c>
      <c r="H113" s="16" t="n">
        <v>78.57</v>
      </c>
      <c r="I113" s="14" t="n">
        <v>872</v>
      </c>
      <c r="J113" s="14" t="n">
        <v>720</v>
      </c>
      <c r="K113" s="16" t="n">
        <v>82.57</v>
      </c>
    </row>
    <row r="114" customFormat="false" ht="15" hidden="false" customHeight="true" outlineLevel="0" collapsed="false">
      <c r="A114" s="13" t="n">
        <v>2026</v>
      </c>
      <c r="B114" s="13" t="s">
        <v>418</v>
      </c>
      <c r="C114" s="14" t="n">
        <v>72</v>
      </c>
      <c r="D114" s="14" t="n">
        <v>61</v>
      </c>
      <c r="E114" s="16" t="n">
        <v>84.72</v>
      </c>
      <c r="F114" s="14" t="n">
        <v>86</v>
      </c>
      <c r="G114" s="14" t="n">
        <v>40</v>
      </c>
      <c r="H114" s="16" t="n">
        <v>46.51</v>
      </c>
      <c r="I114" s="14" t="n">
        <v>158</v>
      </c>
      <c r="J114" s="14" t="n">
        <v>101</v>
      </c>
      <c r="K114" s="16" t="n">
        <v>63.92</v>
      </c>
    </row>
    <row r="115" customFormat="false" ht="15" hidden="false" customHeight="true" outlineLevel="0" collapsed="false">
      <c r="A115" s="13" t="n">
        <v>2026</v>
      </c>
      <c r="B115" s="13" t="s">
        <v>265</v>
      </c>
      <c r="C115" s="14" t="n">
        <v>89</v>
      </c>
      <c r="D115" s="14" t="n">
        <v>87</v>
      </c>
      <c r="E115" s="16" t="n">
        <v>97.75</v>
      </c>
      <c r="F115" s="14" t="n">
        <v>1820</v>
      </c>
      <c r="G115" s="14" t="n">
        <v>1762</v>
      </c>
      <c r="H115" s="16" t="n">
        <v>96.81</v>
      </c>
      <c r="I115" s="14" t="n">
        <v>1909</v>
      </c>
      <c r="J115" s="14" t="n">
        <v>1849</v>
      </c>
      <c r="K115" s="16" t="n">
        <v>96.86</v>
      </c>
    </row>
    <row r="116" customFormat="false" ht="15" hidden="false" customHeight="true" outlineLevel="0" collapsed="false">
      <c r="A116" s="13" t="n">
        <v>2026</v>
      </c>
      <c r="B116" s="13" t="s">
        <v>419</v>
      </c>
      <c r="C116" s="14" t="n">
        <v>5105</v>
      </c>
      <c r="D116" s="14" t="n">
        <v>5038</v>
      </c>
      <c r="E116" s="16" t="n">
        <v>98.69</v>
      </c>
      <c r="F116" s="14" t="n">
        <v>3712</v>
      </c>
      <c r="G116" s="14" t="n">
        <v>3326</v>
      </c>
      <c r="H116" s="16" t="n">
        <v>89.6</v>
      </c>
      <c r="I116" s="14" t="n">
        <v>8817</v>
      </c>
      <c r="J116" s="14" t="n">
        <v>8364</v>
      </c>
      <c r="K116" s="16" t="n">
        <v>94.86</v>
      </c>
    </row>
    <row r="117" customFormat="false" ht="15" hidden="false" customHeight="true" outlineLevel="0" collapsed="false">
      <c r="A117" s="13" t="n">
        <v>2026</v>
      </c>
      <c r="B117" s="13" t="s">
        <v>159</v>
      </c>
      <c r="C117" s="14" t="n">
        <v>507</v>
      </c>
      <c r="D117" s="14" t="n">
        <v>506</v>
      </c>
      <c r="E117" s="16" t="n">
        <v>99.8</v>
      </c>
      <c r="F117" s="14" t="n">
        <v>1</v>
      </c>
      <c r="G117" s="14" t="n">
        <v>3</v>
      </c>
      <c r="H117" s="16" t="n">
        <v>300</v>
      </c>
      <c r="I117" s="14" t="n">
        <v>508</v>
      </c>
      <c r="J117" s="14" t="n">
        <v>509</v>
      </c>
      <c r="K117" s="16" t="n">
        <v>100.2</v>
      </c>
    </row>
    <row r="118" customFormat="false" ht="15" hidden="false" customHeight="true" outlineLevel="0" collapsed="false">
      <c r="A118" s="13" t="n">
        <v>2026</v>
      </c>
      <c r="B118" s="13" t="s">
        <v>686</v>
      </c>
      <c r="C118" s="14" t="n">
        <v>514</v>
      </c>
      <c r="D118" s="14" t="n">
        <v>499</v>
      </c>
      <c r="E118" s="16" t="n">
        <v>97.08</v>
      </c>
      <c r="F118" s="14" t="n">
        <v>3</v>
      </c>
      <c r="G118" s="14" t="n">
        <v>2</v>
      </c>
      <c r="H118" s="16" t="n">
        <v>66.67</v>
      </c>
      <c r="I118" s="14" t="n">
        <v>517</v>
      </c>
      <c r="J118" s="14" t="n">
        <v>501</v>
      </c>
      <c r="K118" s="16" t="n">
        <v>96.91</v>
      </c>
    </row>
    <row r="119" customFormat="false" ht="15" hidden="false" customHeight="true" outlineLevel="0" collapsed="false">
      <c r="A119" s="13" t="n">
        <v>2026</v>
      </c>
      <c r="B119" s="13" t="s">
        <v>156</v>
      </c>
      <c r="C119" s="14" t="n">
        <v>14156</v>
      </c>
      <c r="D119" s="14" t="n">
        <v>10672</v>
      </c>
      <c r="E119" s="16" t="n">
        <v>75.39</v>
      </c>
      <c r="F119" s="14" t="n">
        <v>1892</v>
      </c>
      <c r="G119" s="14" t="n">
        <v>861</v>
      </c>
      <c r="H119" s="16" t="n">
        <v>45.51</v>
      </c>
      <c r="I119" s="14" t="n">
        <v>16048</v>
      </c>
      <c r="J119" s="14" t="n">
        <v>11533</v>
      </c>
      <c r="K119" s="16" t="n">
        <v>71.87</v>
      </c>
    </row>
    <row r="120" customFormat="false" ht="15" hidden="false" customHeight="true" outlineLevel="0" collapsed="false">
      <c r="A120" s="13" t="n">
        <v>2026</v>
      </c>
      <c r="B120" s="13" t="s">
        <v>414</v>
      </c>
      <c r="C120" s="14" t="n">
        <v>168</v>
      </c>
      <c r="D120" s="14" t="n">
        <v>168</v>
      </c>
      <c r="E120" s="16" t="n">
        <v>100</v>
      </c>
      <c r="F120" s="14" t="n">
        <v>0</v>
      </c>
      <c r="G120" s="14" t="n">
        <v>0</v>
      </c>
      <c r="H120" s="16" t="n">
        <v>0</v>
      </c>
      <c r="I120" s="14" t="n">
        <v>168</v>
      </c>
      <c r="J120" s="14" t="n">
        <v>168</v>
      </c>
      <c r="K120" s="16" t="n">
        <v>100</v>
      </c>
    </row>
    <row r="121" customFormat="false" ht="15" hidden="false" customHeight="true" outlineLevel="0" collapsed="false">
      <c r="A121" s="13" t="n">
        <v>2026</v>
      </c>
      <c r="B121" s="13" t="s">
        <v>935</v>
      </c>
      <c r="C121" s="14" t="n">
        <v>170</v>
      </c>
      <c r="D121" s="14" t="n">
        <v>165</v>
      </c>
      <c r="E121" s="16" t="n">
        <v>97.06</v>
      </c>
      <c r="F121" s="14" t="n">
        <v>0</v>
      </c>
      <c r="G121" s="14" t="n">
        <v>0</v>
      </c>
      <c r="H121" s="16" t="n">
        <v>0</v>
      </c>
      <c r="I121" s="14" t="n">
        <v>170</v>
      </c>
      <c r="J121" s="14" t="n">
        <v>165</v>
      </c>
      <c r="K121" s="16" t="n">
        <v>97.06</v>
      </c>
    </row>
    <row r="122" customFormat="false" ht="15" hidden="false" customHeight="true" outlineLevel="0" collapsed="false">
      <c r="A122" s="13" t="n">
        <v>2026</v>
      </c>
      <c r="B122" s="13" t="s">
        <v>149</v>
      </c>
      <c r="C122" s="14" t="n">
        <v>35496</v>
      </c>
      <c r="D122" s="14" t="n">
        <v>35356</v>
      </c>
      <c r="E122" s="16" t="n">
        <v>99.61</v>
      </c>
      <c r="F122" s="14" t="n">
        <v>4441</v>
      </c>
      <c r="G122" s="14" t="n">
        <v>4330</v>
      </c>
      <c r="H122" s="16" t="n">
        <v>97.5</v>
      </c>
      <c r="I122" s="14" t="n">
        <v>39937</v>
      </c>
      <c r="J122" s="14" t="n">
        <v>39686</v>
      </c>
      <c r="K122" s="16" t="n">
        <v>99.37</v>
      </c>
    </row>
    <row r="123" customFormat="false" ht="15" hidden="false" customHeight="true" outlineLevel="0" collapsed="false">
      <c r="A123" s="13" t="n">
        <v>2026</v>
      </c>
      <c r="B123" s="13" t="s">
        <v>424</v>
      </c>
      <c r="C123" s="14" t="n">
        <v>95</v>
      </c>
      <c r="D123" s="14" t="n">
        <v>94</v>
      </c>
      <c r="E123" s="16" t="n">
        <v>98.95</v>
      </c>
      <c r="F123" s="14" t="n">
        <v>79</v>
      </c>
      <c r="G123" s="14" t="n">
        <v>78</v>
      </c>
      <c r="H123" s="16" t="n">
        <v>98.73</v>
      </c>
      <c r="I123" s="14" t="n">
        <v>174</v>
      </c>
      <c r="J123" s="14" t="n">
        <v>172</v>
      </c>
      <c r="K123" s="16" t="n">
        <v>98.85</v>
      </c>
    </row>
    <row r="124" customFormat="false" ht="15" hidden="false" customHeight="true" outlineLevel="0" collapsed="false">
      <c r="A124" s="13" t="n">
        <v>2026</v>
      </c>
      <c r="B124" s="13" t="s">
        <v>425</v>
      </c>
      <c r="C124" s="14" t="n">
        <v>9</v>
      </c>
      <c r="D124" s="14" t="n">
        <v>9</v>
      </c>
      <c r="E124" s="16" t="n">
        <v>100</v>
      </c>
      <c r="F124" s="14" t="n">
        <v>21</v>
      </c>
      <c r="G124" s="14" t="n">
        <v>19</v>
      </c>
      <c r="H124" s="16" t="n">
        <v>90.48</v>
      </c>
      <c r="I124" s="14" t="n">
        <v>30</v>
      </c>
      <c r="J124" s="14" t="n">
        <v>28</v>
      </c>
      <c r="K124" s="16" t="n">
        <v>93.33</v>
      </c>
    </row>
    <row r="125" customFormat="false" ht="15" hidden="false" customHeight="true" outlineLevel="0" collapsed="false">
      <c r="A125" s="13" t="n">
        <v>2026</v>
      </c>
      <c r="B125" s="13" t="s">
        <v>165</v>
      </c>
      <c r="C125" s="14" t="n">
        <v>20657</v>
      </c>
      <c r="D125" s="14" t="n">
        <v>17495</v>
      </c>
      <c r="E125" s="16" t="n">
        <v>84.69</v>
      </c>
      <c r="F125" s="14" t="n">
        <v>1410</v>
      </c>
      <c r="G125" s="14" t="n">
        <v>763</v>
      </c>
      <c r="H125" s="16" t="n">
        <v>54.11</v>
      </c>
      <c r="I125" s="14" t="n">
        <v>22067</v>
      </c>
      <c r="J125" s="14" t="n">
        <v>18258</v>
      </c>
      <c r="K125" s="16" t="n">
        <v>82.74</v>
      </c>
    </row>
    <row r="126" customFormat="false" ht="15" hidden="false" customHeight="true" outlineLevel="0" collapsed="false">
      <c r="A126" s="13" t="n">
        <v>2026</v>
      </c>
      <c r="B126" s="13" t="s">
        <v>664</v>
      </c>
      <c r="C126" s="14" t="n">
        <v>20858</v>
      </c>
      <c r="D126" s="14" t="n">
        <v>20495</v>
      </c>
      <c r="E126" s="16" t="n">
        <v>98.26</v>
      </c>
      <c r="F126" s="14" t="n">
        <v>304</v>
      </c>
      <c r="G126" s="14" t="n">
        <v>212</v>
      </c>
      <c r="H126" s="16" t="n">
        <v>69.74</v>
      </c>
      <c r="I126" s="14" t="n">
        <v>21162</v>
      </c>
      <c r="J126" s="14" t="n">
        <v>20707</v>
      </c>
      <c r="K126" s="16" t="n">
        <v>97.85</v>
      </c>
    </row>
    <row r="127" customFormat="false" ht="15" hidden="false" customHeight="true" outlineLevel="0" collapsed="false">
      <c r="A127" s="13" t="n">
        <v>2026</v>
      </c>
      <c r="B127" s="13" t="s">
        <v>477</v>
      </c>
      <c r="C127" s="14" t="n">
        <v>329</v>
      </c>
      <c r="D127" s="14" t="n">
        <v>323</v>
      </c>
      <c r="E127" s="16" t="n">
        <v>98.18</v>
      </c>
      <c r="F127" s="14" t="n">
        <v>75</v>
      </c>
      <c r="G127" s="14" t="n">
        <v>62</v>
      </c>
      <c r="H127" s="16" t="n">
        <v>82.67</v>
      </c>
      <c r="I127" s="14" t="n">
        <v>404</v>
      </c>
      <c r="J127" s="14" t="n">
        <v>385</v>
      </c>
      <c r="K127" s="16" t="n">
        <v>95.3</v>
      </c>
    </row>
    <row r="128" customFormat="false" ht="15" hidden="false" customHeight="true" outlineLevel="0" collapsed="false">
      <c r="A128" s="13" t="n">
        <v>2026</v>
      </c>
      <c r="B128" s="13" t="s">
        <v>284</v>
      </c>
      <c r="C128" s="14" t="n">
        <v>326</v>
      </c>
      <c r="D128" s="14" t="n">
        <v>326</v>
      </c>
      <c r="E128" s="16" t="n">
        <v>100</v>
      </c>
      <c r="F128" s="14" t="n">
        <v>71</v>
      </c>
      <c r="G128" s="14" t="n">
        <v>67</v>
      </c>
      <c r="H128" s="16" t="n">
        <v>94.37</v>
      </c>
      <c r="I128" s="14" t="n">
        <v>397</v>
      </c>
      <c r="J128" s="14" t="n">
        <v>393</v>
      </c>
      <c r="K128" s="16" t="n">
        <v>98.99</v>
      </c>
    </row>
    <row r="129" customFormat="false" ht="15" hidden="false" customHeight="true" outlineLevel="0" collapsed="false">
      <c r="A129" s="13" t="n">
        <v>2026</v>
      </c>
      <c r="B129" s="13" t="s">
        <v>936</v>
      </c>
      <c r="C129" s="14" t="n">
        <v>5</v>
      </c>
      <c r="D129" s="14" t="n">
        <v>5</v>
      </c>
      <c r="E129" s="16" t="n">
        <v>100</v>
      </c>
      <c r="F129" s="14" t="n">
        <v>0</v>
      </c>
      <c r="G129" s="14" t="n">
        <v>0</v>
      </c>
      <c r="H129" s="16" t="n">
        <v>0</v>
      </c>
      <c r="I129" s="14" t="n">
        <v>5</v>
      </c>
      <c r="J129" s="14" t="n">
        <v>5</v>
      </c>
      <c r="K129" s="16" t="n">
        <v>100</v>
      </c>
    </row>
    <row r="130" customFormat="false" ht="15" hidden="false" customHeight="true" outlineLevel="0" collapsed="false">
      <c r="A130" s="13" t="n">
        <v>2026</v>
      </c>
      <c r="B130" s="13" t="s">
        <v>285</v>
      </c>
      <c r="C130" s="14" t="n">
        <v>329</v>
      </c>
      <c r="D130" s="14" t="n">
        <v>329</v>
      </c>
      <c r="E130" s="16" t="n">
        <v>100</v>
      </c>
      <c r="F130" s="14" t="n">
        <v>71</v>
      </c>
      <c r="G130" s="14" t="n">
        <v>65</v>
      </c>
      <c r="H130" s="16" t="n">
        <v>91.55</v>
      </c>
      <c r="I130" s="14" t="n">
        <v>400</v>
      </c>
      <c r="J130" s="14" t="n">
        <v>394</v>
      </c>
      <c r="K130" s="16" t="n">
        <v>98.5</v>
      </c>
    </row>
    <row r="131" customFormat="false" ht="15" hidden="false" customHeight="true" outlineLevel="0" collapsed="false">
      <c r="A131" s="13" t="n">
        <v>2026</v>
      </c>
      <c r="B131" s="13" t="s">
        <v>153</v>
      </c>
      <c r="C131" s="14" t="n">
        <v>600</v>
      </c>
      <c r="D131" s="14" t="n">
        <v>596</v>
      </c>
      <c r="E131" s="16" t="n">
        <v>99.33</v>
      </c>
      <c r="F131" s="14" t="n">
        <v>3</v>
      </c>
      <c r="G131" s="14" t="n">
        <v>3</v>
      </c>
      <c r="H131" s="16" t="n">
        <v>100</v>
      </c>
      <c r="I131" s="14" t="n">
        <v>603</v>
      </c>
      <c r="J131" s="14" t="n">
        <v>599</v>
      </c>
      <c r="K131" s="16" t="n">
        <v>99.34</v>
      </c>
    </row>
    <row r="132" customFormat="false" ht="15" hidden="false" customHeight="true" outlineLevel="0" collapsed="false">
      <c r="A132" s="13" t="n">
        <v>2026</v>
      </c>
      <c r="B132" s="13" t="s">
        <v>693</v>
      </c>
      <c r="C132" s="14" t="n">
        <v>614</v>
      </c>
      <c r="D132" s="14" t="n">
        <v>598</v>
      </c>
      <c r="E132" s="16" t="n">
        <v>97.39</v>
      </c>
      <c r="F132" s="14" t="n">
        <v>3</v>
      </c>
      <c r="G132" s="14" t="n">
        <v>2</v>
      </c>
      <c r="H132" s="16" t="n">
        <v>66.67</v>
      </c>
      <c r="I132" s="14" t="n">
        <v>617</v>
      </c>
      <c r="J132" s="14" t="n">
        <v>600</v>
      </c>
      <c r="K132" s="16" t="n">
        <v>97.24</v>
      </c>
    </row>
    <row r="133" customFormat="false" ht="15" hidden="false" customHeight="true" outlineLevel="0" collapsed="false">
      <c r="A133" s="13" t="n">
        <v>2026</v>
      </c>
      <c r="B133" s="13" t="s">
        <v>426</v>
      </c>
      <c r="C133" s="14" t="n">
        <v>617</v>
      </c>
      <c r="D133" s="14" t="n">
        <v>616</v>
      </c>
      <c r="E133" s="16" t="n">
        <v>99.84</v>
      </c>
      <c r="F133" s="14" t="n">
        <v>708</v>
      </c>
      <c r="G133" s="14" t="n">
        <v>653</v>
      </c>
      <c r="H133" s="16" t="n">
        <v>92.23</v>
      </c>
      <c r="I133" s="14" t="n">
        <v>1325</v>
      </c>
      <c r="J133" s="14" t="n">
        <v>1269</v>
      </c>
      <c r="K133" s="16" t="n">
        <v>95.77</v>
      </c>
    </row>
    <row r="134" customFormat="false" ht="15" hidden="false" customHeight="true" outlineLevel="0" collapsed="false">
      <c r="A134" s="13" t="n">
        <v>2026</v>
      </c>
      <c r="B134" s="13" t="s">
        <v>531</v>
      </c>
      <c r="C134" s="14" t="n">
        <v>0</v>
      </c>
      <c r="D134" s="14" t="n">
        <v>0</v>
      </c>
      <c r="E134" s="16" t="n">
        <v>0</v>
      </c>
      <c r="F134" s="14" t="n">
        <v>12</v>
      </c>
      <c r="G134" s="14" t="n">
        <v>14</v>
      </c>
      <c r="H134" s="16" t="n">
        <v>116.67</v>
      </c>
      <c r="I134" s="14" t="n">
        <v>12</v>
      </c>
      <c r="J134" s="14" t="n">
        <v>14</v>
      </c>
      <c r="K134" s="16" t="n">
        <v>116.67</v>
      </c>
    </row>
    <row r="135" customFormat="false" ht="15" hidden="false" customHeight="true" outlineLevel="0" collapsed="false">
      <c r="A135" s="13" t="n">
        <v>2026</v>
      </c>
      <c r="B135" s="13" t="s">
        <v>427</v>
      </c>
      <c r="C135" s="14" t="n">
        <v>1517</v>
      </c>
      <c r="D135" s="14" t="n">
        <v>1506</v>
      </c>
      <c r="E135" s="16" t="n">
        <v>99.27</v>
      </c>
      <c r="F135" s="14" t="n">
        <v>1380</v>
      </c>
      <c r="G135" s="14" t="n">
        <v>1286</v>
      </c>
      <c r="H135" s="16" t="n">
        <v>93.19</v>
      </c>
      <c r="I135" s="14" t="n">
        <v>2897</v>
      </c>
      <c r="J135" s="14" t="n">
        <v>2792</v>
      </c>
      <c r="K135" s="16" t="n">
        <v>96.38</v>
      </c>
    </row>
    <row r="136" customFormat="false" ht="15" hidden="false" customHeight="true" outlineLevel="0" collapsed="false">
      <c r="A136" s="13" t="n">
        <v>2026</v>
      </c>
      <c r="B136" s="13" t="s">
        <v>155</v>
      </c>
      <c r="C136" s="14" t="n">
        <v>633</v>
      </c>
      <c r="D136" s="14" t="n">
        <v>517</v>
      </c>
      <c r="E136" s="16" t="n">
        <v>81.67</v>
      </c>
      <c r="F136" s="14" t="n">
        <v>21</v>
      </c>
      <c r="G136" s="14" t="n">
        <v>14</v>
      </c>
      <c r="H136" s="16" t="n">
        <v>66.67</v>
      </c>
      <c r="I136" s="14" t="n">
        <v>654</v>
      </c>
      <c r="J136" s="14" t="n">
        <v>531</v>
      </c>
      <c r="K136" s="16" t="n">
        <v>81.19</v>
      </c>
    </row>
    <row r="137" customFormat="false" ht="15" hidden="false" customHeight="true" outlineLevel="0" collapsed="false">
      <c r="A137" s="13" t="n">
        <v>2026</v>
      </c>
      <c r="B137" s="13" t="s">
        <v>673</v>
      </c>
      <c r="C137" s="14" t="n">
        <v>640</v>
      </c>
      <c r="D137" s="14" t="n">
        <v>621</v>
      </c>
      <c r="E137" s="16" t="n">
        <v>97.03</v>
      </c>
      <c r="F137" s="14" t="n">
        <v>12</v>
      </c>
      <c r="G137" s="14" t="n">
        <v>7</v>
      </c>
      <c r="H137" s="16" t="n">
        <v>58.33</v>
      </c>
      <c r="I137" s="14" t="n">
        <v>652</v>
      </c>
      <c r="J137" s="14" t="n">
        <v>628</v>
      </c>
      <c r="K137" s="16" t="n">
        <v>96.32</v>
      </c>
    </row>
    <row r="138" customFormat="false" ht="15" hidden="false" customHeight="true" outlineLevel="0" collapsed="false">
      <c r="A138" s="13" t="n">
        <v>2026</v>
      </c>
      <c r="B138" s="13" t="s">
        <v>523</v>
      </c>
      <c r="C138" s="14" t="n">
        <v>35185</v>
      </c>
      <c r="D138" s="14" t="n">
        <v>35144</v>
      </c>
      <c r="E138" s="16" t="n">
        <v>99.88</v>
      </c>
      <c r="F138" s="14" t="n">
        <v>4744</v>
      </c>
      <c r="G138" s="14" t="n">
        <v>4395</v>
      </c>
      <c r="H138" s="16" t="n">
        <v>92.64</v>
      </c>
      <c r="I138" s="14" t="n">
        <v>39929</v>
      </c>
      <c r="J138" s="14" t="n">
        <v>39539</v>
      </c>
      <c r="K138" s="16" t="n">
        <v>99.02</v>
      </c>
    </row>
    <row r="139" customFormat="false" ht="15" hidden="false" customHeight="true" outlineLevel="0" collapsed="false">
      <c r="A139" s="13" t="n">
        <v>2026</v>
      </c>
      <c r="B139" s="13" t="s">
        <v>410</v>
      </c>
      <c r="C139" s="14" t="n">
        <v>35505</v>
      </c>
      <c r="D139" s="14" t="n">
        <v>34856</v>
      </c>
      <c r="E139" s="16" t="n">
        <v>98.17</v>
      </c>
      <c r="F139" s="14" t="n">
        <v>5413</v>
      </c>
      <c r="G139" s="14" t="n">
        <v>4717</v>
      </c>
      <c r="H139" s="16" t="n">
        <v>87.14</v>
      </c>
      <c r="I139" s="14" t="n">
        <v>40918</v>
      </c>
      <c r="J139" s="14" t="n">
        <v>39573</v>
      </c>
      <c r="K139" s="16" t="n">
        <v>96.71</v>
      </c>
    </row>
    <row r="140" customFormat="false" ht="15" hidden="false" customHeight="true" outlineLevel="0" collapsed="false">
      <c r="A140" s="13" t="n">
        <v>2026</v>
      </c>
      <c r="B140" s="13" t="s">
        <v>171</v>
      </c>
      <c r="C140" s="14" t="n">
        <v>84</v>
      </c>
      <c r="D140" s="14" t="n">
        <v>73</v>
      </c>
      <c r="E140" s="16" t="n">
        <v>86.9</v>
      </c>
      <c r="F140" s="14" t="n">
        <v>37</v>
      </c>
      <c r="G140" s="14" t="n">
        <v>18</v>
      </c>
      <c r="H140" s="16" t="n">
        <v>48.65</v>
      </c>
      <c r="I140" s="14" t="n">
        <v>121</v>
      </c>
      <c r="J140" s="14" t="n">
        <v>91</v>
      </c>
      <c r="K140" s="16" t="n">
        <v>75.21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3" width="12"/>
    <col collapsed="false" customWidth="true" hidden="false" outlineLevel="0" max="3" min="3" style="13" width="20"/>
    <col collapsed="false" customWidth="true" hidden="false" outlineLevel="0" max="10" min="4" style="13" width="12"/>
  </cols>
  <sheetData>
    <row r="1" customFormat="false" ht="15" hidden="false" customHeight="true" outlineLevel="0" collapsed="false">
      <c r="A1" s="13" t="s">
        <v>940</v>
      </c>
    </row>
    <row r="2" customFormat="false" ht="15" hidden="false" customHeight="true" outlineLevel="0" collapsed="false">
      <c r="A2" s="13" t="s">
        <v>941</v>
      </c>
    </row>
    <row r="4" customFormat="false" ht="15" hidden="false" customHeight="true" outlineLevel="0" collapsed="false">
      <c r="A4" s="13" t="s">
        <v>3</v>
      </c>
      <c r="B4" s="13" t="s">
        <v>210</v>
      </c>
      <c r="C4" s="13" t="s">
        <v>942</v>
      </c>
      <c r="D4" s="13" t="s">
        <v>943</v>
      </c>
      <c r="E4" s="13" t="s">
        <v>944</v>
      </c>
      <c r="F4" s="13" t="s">
        <v>945</v>
      </c>
      <c r="G4" s="13" t="s">
        <v>946</v>
      </c>
      <c r="H4" s="13" t="s">
        <v>181</v>
      </c>
      <c r="I4" s="13" t="s">
        <v>570</v>
      </c>
      <c r="J4" s="13" t="s">
        <v>6</v>
      </c>
    </row>
    <row r="5" customFormat="false" ht="15" hidden="false" customHeight="true" outlineLevel="0" collapsed="false">
      <c r="A5" s="13" t="n">
        <v>2024</v>
      </c>
      <c r="B5" s="13" t="s">
        <v>947</v>
      </c>
      <c r="C5" s="13" t="s">
        <v>393</v>
      </c>
      <c r="D5" s="14" t="n">
        <v>1679</v>
      </c>
      <c r="E5" s="14" t="n">
        <v>621</v>
      </c>
      <c r="F5" s="14" t="n">
        <v>2425</v>
      </c>
      <c r="G5" s="14" t="n">
        <v>1379</v>
      </c>
      <c r="H5" s="14" t="n">
        <v>4104</v>
      </c>
      <c r="I5" s="14" t="n">
        <v>2000</v>
      </c>
      <c r="J5" s="16" t="n">
        <v>48.73</v>
      </c>
    </row>
    <row r="6" customFormat="false" ht="15" hidden="false" customHeight="true" outlineLevel="0" collapsed="false">
      <c r="A6" s="13" t="n">
        <v>2024</v>
      </c>
      <c r="B6" s="13" t="s">
        <v>947</v>
      </c>
      <c r="C6" s="13" t="s">
        <v>948</v>
      </c>
      <c r="D6" s="14" t="n">
        <v>4688</v>
      </c>
      <c r="E6" s="14" t="n">
        <v>3183</v>
      </c>
      <c r="F6" s="14" t="n">
        <v>5455</v>
      </c>
      <c r="G6" s="14" t="n">
        <v>4100</v>
      </c>
      <c r="H6" s="14" t="n">
        <v>10143</v>
      </c>
      <c r="I6" s="14" t="n">
        <v>7283</v>
      </c>
      <c r="J6" s="16" t="n">
        <v>71.8</v>
      </c>
    </row>
    <row r="7" customFormat="false" ht="15" hidden="false" customHeight="true" outlineLevel="0" collapsed="false">
      <c r="A7" s="13" t="n">
        <v>2024</v>
      </c>
      <c r="B7" s="13" t="s">
        <v>947</v>
      </c>
      <c r="C7" s="13" t="s">
        <v>825</v>
      </c>
      <c r="D7" s="14" t="n">
        <v>2730</v>
      </c>
      <c r="E7" s="14" t="n">
        <v>742</v>
      </c>
      <c r="F7" s="14" t="n">
        <v>2653</v>
      </c>
      <c r="G7" s="14" t="n">
        <v>1181</v>
      </c>
      <c r="H7" s="14" t="n">
        <v>5383</v>
      </c>
      <c r="I7" s="14" t="n">
        <v>1923</v>
      </c>
      <c r="J7" s="16" t="n">
        <v>35.72</v>
      </c>
    </row>
    <row r="8" customFormat="false" ht="15" hidden="false" customHeight="true" outlineLevel="0" collapsed="false">
      <c r="A8" s="13" t="n">
        <v>2024</v>
      </c>
      <c r="B8" s="13" t="s">
        <v>949</v>
      </c>
      <c r="C8" s="13" t="s">
        <v>393</v>
      </c>
      <c r="D8" s="14" t="n">
        <v>2347</v>
      </c>
      <c r="E8" s="14" t="n">
        <v>979</v>
      </c>
      <c r="F8" s="14" t="n">
        <v>3159</v>
      </c>
      <c r="G8" s="14" t="n">
        <v>1685</v>
      </c>
      <c r="H8" s="14" t="n">
        <v>5506</v>
      </c>
      <c r="I8" s="14" t="n">
        <v>2664</v>
      </c>
      <c r="J8" s="16" t="n">
        <v>48.38</v>
      </c>
    </row>
    <row r="9" customFormat="false" ht="15" hidden="false" customHeight="true" outlineLevel="0" collapsed="false">
      <c r="A9" s="13" t="n">
        <v>2024</v>
      </c>
      <c r="B9" s="13" t="s">
        <v>949</v>
      </c>
      <c r="C9" s="13" t="s">
        <v>948</v>
      </c>
      <c r="D9" s="14" t="n">
        <v>2519</v>
      </c>
      <c r="E9" s="14" t="n">
        <v>1598</v>
      </c>
      <c r="F9" s="14" t="n">
        <v>3807</v>
      </c>
      <c r="G9" s="14" t="n">
        <v>2826</v>
      </c>
      <c r="H9" s="14" t="n">
        <v>6326</v>
      </c>
      <c r="I9" s="14" t="n">
        <v>4424</v>
      </c>
      <c r="J9" s="16" t="n">
        <v>69.93</v>
      </c>
    </row>
    <row r="10" customFormat="false" ht="15" hidden="false" customHeight="true" outlineLevel="0" collapsed="false">
      <c r="A10" s="13" t="n">
        <v>2024</v>
      </c>
      <c r="B10" s="13" t="s">
        <v>949</v>
      </c>
      <c r="C10" s="13" t="s">
        <v>825</v>
      </c>
      <c r="D10" s="14" t="n">
        <v>2086</v>
      </c>
      <c r="E10" s="14" t="n">
        <v>652</v>
      </c>
      <c r="F10" s="14" t="n">
        <v>2155</v>
      </c>
      <c r="G10" s="14" t="n">
        <v>943</v>
      </c>
      <c r="H10" s="14" t="n">
        <v>4241</v>
      </c>
      <c r="I10" s="14" t="n">
        <v>1595</v>
      </c>
      <c r="J10" s="16" t="n">
        <v>37.61</v>
      </c>
    </row>
    <row r="11" customFormat="false" ht="15" hidden="false" customHeight="true" outlineLevel="0" collapsed="false">
      <c r="A11" s="13" t="n">
        <v>2024</v>
      </c>
      <c r="B11" s="13" t="s">
        <v>950</v>
      </c>
      <c r="C11" s="13" t="s">
        <v>393</v>
      </c>
      <c r="D11" s="14" t="n">
        <v>957</v>
      </c>
      <c r="E11" s="14" t="n">
        <v>316</v>
      </c>
      <c r="F11" s="14" t="n">
        <v>1222</v>
      </c>
      <c r="G11" s="14" t="n">
        <v>635</v>
      </c>
      <c r="H11" s="14" t="n">
        <v>2179</v>
      </c>
      <c r="I11" s="14" t="n">
        <v>951</v>
      </c>
      <c r="J11" s="16" t="n">
        <v>43.64</v>
      </c>
    </row>
    <row r="12" customFormat="false" ht="15" hidden="false" customHeight="true" outlineLevel="0" collapsed="false">
      <c r="A12" s="13" t="n">
        <v>2024</v>
      </c>
      <c r="B12" s="13" t="s">
        <v>950</v>
      </c>
      <c r="C12" s="13" t="s">
        <v>948</v>
      </c>
      <c r="D12" s="14" t="n">
        <v>2391</v>
      </c>
      <c r="E12" s="14" t="n">
        <v>1485</v>
      </c>
      <c r="F12" s="14" t="n">
        <v>2412</v>
      </c>
      <c r="G12" s="14" t="n">
        <v>1802</v>
      </c>
      <c r="H12" s="14" t="n">
        <v>4803</v>
      </c>
      <c r="I12" s="14" t="n">
        <v>3287</v>
      </c>
      <c r="J12" s="16" t="n">
        <v>68.44</v>
      </c>
    </row>
    <row r="13" customFormat="false" ht="15" hidden="false" customHeight="true" outlineLevel="0" collapsed="false">
      <c r="A13" s="13" t="n">
        <v>2024</v>
      </c>
      <c r="B13" s="13" t="s">
        <v>950</v>
      </c>
      <c r="C13" s="13" t="s">
        <v>825</v>
      </c>
      <c r="D13" s="14" t="n">
        <v>1405</v>
      </c>
      <c r="E13" s="14" t="n">
        <v>401</v>
      </c>
      <c r="F13" s="14" t="n">
        <v>1429</v>
      </c>
      <c r="G13" s="14" t="n">
        <v>649</v>
      </c>
      <c r="H13" s="14" t="n">
        <v>2834</v>
      </c>
      <c r="I13" s="14" t="n">
        <v>1050</v>
      </c>
      <c r="J13" s="16" t="n">
        <v>37.05</v>
      </c>
    </row>
    <row r="14" customFormat="false" ht="15" hidden="false" customHeight="true" outlineLevel="0" collapsed="false">
      <c r="A14" s="13" t="n">
        <v>2025</v>
      </c>
      <c r="B14" s="13" t="s">
        <v>947</v>
      </c>
      <c r="C14" s="13" t="s">
        <v>393</v>
      </c>
      <c r="D14" s="14" t="n">
        <v>1526</v>
      </c>
      <c r="E14" s="14" t="n">
        <v>606</v>
      </c>
      <c r="F14" s="14" t="n">
        <v>2655</v>
      </c>
      <c r="G14" s="14" t="n">
        <v>1608</v>
      </c>
      <c r="H14" s="14" t="n">
        <v>4181</v>
      </c>
      <c r="I14" s="14" t="n">
        <v>2214</v>
      </c>
      <c r="J14" s="16" t="n">
        <v>52.95</v>
      </c>
    </row>
    <row r="15" customFormat="false" ht="15" hidden="false" customHeight="true" outlineLevel="0" collapsed="false">
      <c r="A15" s="13" t="n">
        <v>2025</v>
      </c>
      <c r="B15" s="13" t="s">
        <v>947</v>
      </c>
      <c r="C15" s="13" t="s">
        <v>948</v>
      </c>
      <c r="D15" s="14" t="n">
        <v>3898</v>
      </c>
      <c r="E15" s="14" t="n">
        <v>2766</v>
      </c>
      <c r="F15" s="14" t="n">
        <v>5018</v>
      </c>
      <c r="G15" s="14" t="n">
        <v>3940</v>
      </c>
      <c r="H15" s="14" t="n">
        <v>8916</v>
      </c>
      <c r="I15" s="14" t="n">
        <v>6706</v>
      </c>
      <c r="J15" s="16" t="n">
        <v>75.21</v>
      </c>
    </row>
    <row r="16" customFormat="false" ht="15" hidden="false" customHeight="true" outlineLevel="0" collapsed="false">
      <c r="A16" s="13" t="n">
        <v>2025</v>
      </c>
      <c r="B16" s="13" t="s">
        <v>947</v>
      </c>
      <c r="C16" s="13" t="s">
        <v>825</v>
      </c>
      <c r="D16" s="14" t="n">
        <v>2298</v>
      </c>
      <c r="E16" s="14" t="n">
        <v>663</v>
      </c>
      <c r="F16" s="14" t="n">
        <v>2288</v>
      </c>
      <c r="G16" s="14" t="n">
        <v>992</v>
      </c>
      <c r="H16" s="14" t="n">
        <v>4586</v>
      </c>
      <c r="I16" s="14" t="n">
        <v>1655</v>
      </c>
      <c r="J16" s="16" t="n">
        <v>36.09</v>
      </c>
    </row>
    <row r="17" customFormat="false" ht="15" hidden="false" customHeight="true" outlineLevel="0" collapsed="false">
      <c r="A17" s="13" t="n">
        <v>2025</v>
      </c>
      <c r="B17" s="13" t="s">
        <v>949</v>
      </c>
      <c r="C17" s="13" t="s">
        <v>393</v>
      </c>
      <c r="D17" s="14" t="n">
        <v>2289</v>
      </c>
      <c r="E17" s="14" t="n">
        <v>898</v>
      </c>
      <c r="F17" s="14" t="n">
        <v>3320</v>
      </c>
      <c r="G17" s="14" t="n">
        <v>2109</v>
      </c>
      <c r="H17" s="14" t="n">
        <v>5609</v>
      </c>
      <c r="I17" s="14" t="n">
        <v>3007</v>
      </c>
      <c r="J17" s="16" t="n">
        <v>53.61</v>
      </c>
    </row>
    <row r="18" customFormat="false" ht="15" hidden="false" customHeight="true" outlineLevel="0" collapsed="false">
      <c r="A18" s="13" t="n">
        <v>2025</v>
      </c>
      <c r="B18" s="13" t="s">
        <v>949</v>
      </c>
      <c r="C18" s="13" t="s">
        <v>948</v>
      </c>
      <c r="D18" s="14" t="n">
        <v>2467</v>
      </c>
      <c r="E18" s="14" t="n">
        <v>1538</v>
      </c>
      <c r="F18" s="14" t="n">
        <v>4083</v>
      </c>
      <c r="G18" s="14" t="n">
        <v>3212</v>
      </c>
      <c r="H18" s="14" t="n">
        <v>6550</v>
      </c>
      <c r="I18" s="14" t="n">
        <v>4750</v>
      </c>
      <c r="J18" s="16" t="n">
        <v>72.52</v>
      </c>
    </row>
    <row r="19" customFormat="false" ht="15" hidden="false" customHeight="true" outlineLevel="0" collapsed="false">
      <c r="A19" s="13" t="n">
        <v>2025</v>
      </c>
      <c r="B19" s="13" t="s">
        <v>949</v>
      </c>
      <c r="C19" s="13" t="s">
        <v>825</v>
      </c>
      <c r="D19" s="14" t="n">
        <v>1860</v>
      </c>
      <c r="E19" s="14" t="n">
        <v>528</v>
      </c>
      <c r="F19" s="14" t="n">
        <v>2037</v>
      </c>
      <c r="G19" s="14" t="n">
        <v>943</v>
      </c>
      <c r="H19" s="14" t="n">
        <v>3897</v>
      </c>
      <c r="I19" s="14" t="n">
        <v>1471</v>
      </c>
      <c r="J19" s="16" t="n">
        <v>37.75</v>
      </c>
    </row>
    <row r="20" customFormat="false" ht="15" hidden="false" customHeight="true" outlineLevel="0" collapsed="false">
      <c r="A20" s="13" t="n">
        <v>2025</v>
      </c>
      <c r="B20" s="13" t="s">
        <v>950</v>
      </c>
      <c r="C20" s="13" t="s">
        <v>393</v>
      </c>
      <c r="D20" s="14" t="n">
        <v>878</v>
      </c>
      <c r="E20" s="14" t="n">
        <v>341</v>
      </c>
      <c r="F20" s="14" t="n">
        <v>1219</v>
      </c>
      <c r="G20" s="14" t="n">
        <v>794</v>
      </c>
      <c r="H20" s="14" t="n">
        <v>2097</v>
      </c>
      <c r="I20" s="14" t="n">
        <v>1135</v>
      </c>
      <c r="J20" s="16" t="n">
        <v>54.12</v>
      </c>
    </row>
    <row r="21" customFormat="false" ht="15" hidden="false" customHeight="true" outlineLevel="0" collapsed="false">
      <c r="A21" s="13" t="n">
        <v>2025</v>
      </c>
      <c r="B21" s="13" t="s">
        <v>950</v>
      </c>
      <c r="C21" s="13" t="s">
        <v>948</v>
      </c>
      <c r="D21" s="14" t="n">
        <v>2147</v>
      </c>
      <c r="E21" s="14" t="n">
        <v>1455</v>
      </c>
      <c r="F21" s="14" t="n">
        <v>2546</v>
      </c>
      <c r="G21" s="14" t="n">
        <v>2080</v>
      </c>
      <c r="H21" s="14" t="n">
        <v>4693</v>
      </c>
      <c r="I21" s="14" t="n">
        <v>3535</v>
      </c>
      <c r="J21" s="16" t="n">
        <v>75.32</v>
      </c>
    </row>
    <row r="22" customFormat="false" ht="15" hidden="false" customHeight="true" outlineLevel="0" collapsed="false">
      <c r="A22" s="13" t="n">
        <v>2025</v>
      </c>
      <c r="B22" s="13" t="s">
        <v>950</v>
      </c>
      <c r="C22" s="13" t="s">
        <v>825</v>
      </c>
      <c r="D22" s="14" t="n">
        <v>1351</v>
      </c>
      <c r="E22" s="14" t="n">
        <v>372</v>
      </c>
      <c r="F22" s="14" t="n">
        <v>1361</v>
      </c>
      <c r="G22" s="14" t="n">
        <v>633</v>
      </c>
      <c r="H22" s="14" t="n">
        <v>2712</v>
      </c>
      <c r="I22" s="14" t="n">
        <v>1005</v>
      </c>
      <c r="J22" s="16" t="n">
        <v>37.06</v>
      </c>
    </row>
    <row r="23" customFormat="false" ht="15" hidden="false" customHeight="true" outlineLevel="0" collapsed="false">
      <c r="A23" s="13" t="n">
        <v>2026</v>
      </c>
      <c r="B23" s="13" t="s">
        <v>947</v>
      </c>
      <c r="C23" s="13" t="s">
        <v>393</v>
      </c>
      <c r="D23" s="14" t="n">
        <v>1932</v>
      </c>
      <c r="E23" s="14" t="n">
        <v>865</v>
      </c>
      <c r="F23" s="14" t="n">
        <v>3047</v>
      </c>
      <c r="G23" s="14" t="n">
        <v>1981</v>
      </c>
      <c r="H23" s="14" t="n">
        <v>4979</v>
      </c>
      <c r="I23" s="14" t="n">
        <v>2846</v>
      </c>
      <c r="J23" s="16" t="n">
        <v>57.16</v>
      </c>
    </row>
    <row r="24" customFormat="false" ht="15" hidden="false" customHeight="true" outlineLevel="0" collapsed="false">
      <c r="A24" s="13" t="n">
        <v>2026</v>
      </c>
      <c r="B24" s="13" t="s">
        <v>947</v>
      </c>
      <c r="C24" s="13" t="s">
        <v>948</v>
      </c>
      <c r="D24" s="14" t="n">
        <v>4300</v>
      </c>
      <c r="E24" s="14" t="n">
        <v>3156</v>
      </c>
      <c r="F24" s="14" t="n">
        <v>5498</v>
      </c>
      <c r="G24" s="14" t="n">
        <v>4472</v>
      </c>
      <c r="H24" s="14" t="n">
        <v>9798</v>
      </c>
      <c r="I24" s="14" t="n">
        <v>7628</v>
      </c>
      <c r="J24" s="16" t="n">
        <v>77.85</v>
      </c>
    </row>
    <row r="25" customFormat="false" ht="15" hidden="false" customHeight="true" outlineLevel="0" collapsed="false">
      <c r="A25" s="13" t="n">
        <v>2026</v>
      </c>
      <c r="B25" s="13" t="s">
        <v>947</v>
      </c>
      <c r="C25" s="13" t="s">
        <v>825</v>
      </c>
      <c r="D25" s="14" t="n">
        <v>2037</v>
      </c>
      <c r="E25" s="14" t="n">
        <v>714</v>
      </c>
      <c r="F25" s="14" t="n">
        <v>2224</v>
      </c>
      <c r="G25" s="14" t="n">
        <v>1214</v>
      </c>
      <c r="H25" s="14" t="n">
        <v>4261</v>
      </c>
      <c r="I25" s="14" t="n">
        <v>1928</v>
      </c>
      <c r="J25" s="16" t="n">
        <v>45.25</v>
      </c>
    </row>
    <row r="26" customFormat="false" ht="15" hidden="false" customHeight="true" outlineLevel="0" collapsed="false">
      <c r="A26" s="13" t="n">
        <v>2026</v>
      </c>
      <c r="B26" s="13" t="s">
        <v>949</v>
      </c>
      <c r="C26" s="13" t="s">
        <v>393</v>
      </c>
      <c r="D26" s="14" t="n">
        <v>2543</v>
      </c>
      <c r="E26" s="14" t="n">
        <v>1195</v>
      </c>
      <c r="F26" s="14" t="n">
        <v>3527</v>
      </c>
      <c r="G26" s="14" t="n">
        <v>2052</v>
      </c>
      <c r="H26" s="14" t="n">
        <v>6070</v>
      </c>
      <c r="I26" s="14" t="n">
        <v>3247</v>
      </c>
      <c r="J26" s="16" t="n">
        <v>53.49</v>
      </c>
    </row>
    <row r="27" customFormat="false" ht="15" hidden="false" customHeight="true" outlineLevel="0" collapsed="false">
      <c r="A27" s="13" t="n">
        <v>2026</v>
      </c>
      <c r="B27" s="13" t="s">
        <v>949</v>
      </c>
      <c r="C27" s="13" t="s">
        <v>948</v>
      </c>
      <c r="D27" s="14" t="n">
        <v>2617</v>
      </c>
      <c r="E27" s="14" t="n">
        <v>1716</v>
      </c>
      <c r="F27" s="14" t="n">
        <v>4520</v>
      </c>
      <c r="G27" s="14" t="n">
        <v>3455</v>
      </c>
      <c r="H27" s="14" t="n">
        <v>7137</v>
      </c>
      <c r="I27" s="14" t="n">
        <v>5171</v>
      </c>
      <c r="J27" s="16" t="n">
        <v>72.45</v>
      </c>
    </row>
    <row r="28" customFormat="false" ht="15" hidden="false" customHeight="true" outlineLevel="0" collapsed="false">
      <c r="A28" s="13" t="n">
        <v>2026</v>
      </c>
      <c r="B28" s="13" t="s">
        <v>949</v>
      </c>
      <c r="C28" s="13" t="s">
        <v>825</v>
      </c>
      <c r="D28" s="14" t="n">
        <v>1976</v>
      </c>
      <c r="E28" s="14" t="n">
        <v>619</v>
      </c>
      <c r="F28" s="14" t="n">
        <v>1926</v>
      </c>
      <c r="G28" s="14" t="n">
        <v>1037</v>
      </c>
      <c r="H28" s="14" t="n">
        <v>3902</v>
      </c>
      <c r="I28" s="14" t="n">
        <v>1656</v>
      </c>
      <c r="J28" s="16" t="n">
        <v>42.44</v>
      </c>
    </row>
    <row r="29" customFormat="false" ht="15" hidden="false" customHeight="true" outlineLevel="0" collapsed="false">
      <c r="A29" s="13" t="n">
        <v>2026</v>
      </c>
      <c r="B29" s="13" t="s">
        <v>950</v>
      </c>
      <c r="C29" s="13" t="s">
        <v>393</v>
      </c>
      <c r="D29" s="14" t="n">
        <v>1174</v>
      </c>
      <c r="E29" s="14" t="n">
        <v>536</v>
      </c>
      <c r="F29" s="14" t="n">
        <v>1351</v>
      </c>
      <c r="G29" s="14" t="n">
        <v>783</v>
      </c>
      <c r="H29" s="14" t="n">
        <v>2525</v>
      </c>
      <c r="I29" s="14" t="n">
        <v>1319</v>
      </c>
      <c r="J29" s="16" t="n">
        <v>52.24</v>
      </c>
    </row>
    <row r="30" customFormat="false" ht="15" hidden="false" customHeight="true" outlineLevel="0" collapsed="false">
      <c r="A30" s="13" t="n">
        <v>2026</v>
      </c>
      <c r="B30" s="13" t="s">
        <v>950</v>
      </c>
      <c r="C30" s="13" t="s">
        <v>948</v>
      </c>
      <c r="D30" s="14" t="n">
        <v>2185</v>
      </c>
      <c r="E30" s="14" t="n">
        <v>1537</v>
      </c>
      <c r="F30" s="14" t="n">
        <v>2880</v>
      </c>
      <c r="G30" s="14" t="n">
        <v>2333</v>
      </c>
      <c r="H30" s="14" t="n">
        <v>5065</v>
      </c>
      <c r="I30" s="14" t="n">
        <v>3870</v>
      </c>
      <c r="J30" s="16" t="n">
        <v>76.41</v>
      </c>
    </row>
    <row r="31" customFormat="false" ht="15" hidden="false" customHeight="true" outlineLevel="0" collapsed="false">
      <c r="A31" s="13" t="n">
        <v>2026</v>
      </c>
      <c r="B31" s="13" t="s">
        <v>950</v>
      </c>
      <c r="C31" s="13" t="s">
        <v>825</v>
      </c>
      <c r="D31" s="14" t="n">
        <v>1274</v>
      </c>
      <c r="E31" s="14" t="n">
        <v>463</v>
      </c>
      <c r="F31" s="14" t="n">
        <v>1237</v>
      </c>
      <c r="G31" s="14" t="n">
        <v>740</v>
      </c>
      <c r="H31" s="14" t="n">
        <v>2511</v>
      </c>
      <c r="I31" s="14" t="n">
        <v>1203</v>
      </c>
      <c r="J31" s="16" t="n">
        <v>47.91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3" width="12"/>
  </cols>
  <sheetData>
    <row r="1" customFormat="false" ht="15" hidden="false" customHeight="true" outlineLevel="0" collapsed="false">
      <c r="A1" s="13" t="s">
        <v>951</v>
      </c>
    </row>
    <row r="2" customFormat="false" ht="15" hidden="false" customHeight="true" outlineLevel="0" collapsed="false">
      <c r="A2" s="13" t="s">
        <v>952</v>
      </c>
    </row>
    <row r="4" customFormat="false" ht="15" hidden="false" customHeight="true" outlineLevel="0" collapsed="false">
      <c r="A4" s="13" t="s">
        <v>3</v>
      </c>
      <c r="B4" s="13" t="s">
        <v>373</v>
      </c>
      <c r="C4" s="13" t="s">
        <v>4</v>
      </c>
      <c r="D4" s="13" t="s">
        <v>5</v>
      </c>
      <c r="E4" s="13" t="s">
        <v>6</v>
      </c>
    </row>
    <row r="5" customFormat="false" ht="15" hidden="false" customHeight="true" outlineLevel="0" collapsed="false">
      <c r="A5" s="13" t="n">
        <v>2024</v>
      </c>
      <c r="B5" s="14" t="n">
        <v>53507</v>
      </c>
      <c r="C5" s="14" t="n">
        <v>52457</v>
      </c>
      <c r="D5" s="14" t="n">
        <v>35656</v>
      </c>
      <c r="E5" s="15" t="n">
        <f aca="false">D5/C5</f>
        <v>0.679718626684713</v>
      </c>
    </row>
    <row r="6" customFormat="false" ht="15" hidden="false" customHeight="true" outlineLevel="0" collapsed="false">
      <c r="A6" s="13" t="n">
        <v>2025</v>
      </c>
      <c r="B6" s="14" t="n">
        <v>50982</v>
      </c>
      <c r="C6" s="14" t="n">
        <v>50017</v>
      </c>
      <c r="D6" s="14" t="n">
        <v>34428</v>
      </c>
      <c r="E6" s="15" t="n">
        <f aca="false">D6/C6</f>
        <v>0.688325969170482</v>
      </c>
    </row>
    <row r="7" customFormat="false" ht="15" hidden="false" customHeight="true" outlineLevel="0" collapsed="false">
      <c r="A7" s="13" t="n">
        <v>2026</v>
      </c>
      <c r="B7" s="14" t="n">
        <v>55749</v>
      </c>
      <c r="C7" s="14" t="n">
        <v>55034</v>
      </c>
      <c r="D7" s="14" t="n">
        <v>38076</v>
      </c>
      <c r="E7" s="15" t="n">
        <f aca="false">D7/C7</f>
        <v>0.691863211832685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3" width="12"/>
  </cols>
  <sheetData>
    <row r="1" customFormat="false" ht="15" hidden="false" customHeight="true" outlineLevel="0" collapsed="false">
      <c r="A1" s="13" t="s">
        <v>953</v>
      </c>
    </row>
    <row r="2" customFormat="false" ht="15" hidden="false" customHeight="true" outlineLevel="0" collapsed="false">
      <c r="A2" s="13" t="s">
        <v>954</v>
      </c>
    </row>
    <row r="4" customFormat="false" ht="15" hidden="false" customHeight="true" outlineLevel="0" collapsed="false">
      <c r="A4" s="13" t="s">
        <v>3</v>
      </c>
      <c r="B4" s="13" t="s">
        <v>210</v>
      </c>
      <c r="C4" s="13" t="s">
        <v>187</v>
      </c>
      <c r="D4" s="13" t="s">
        <v>4</v>
      </c>
      <c r="E4" s="13" t="s">
        <v>5</v>
      </c>
      <c r="F4" s="13" t="s">
        <v>374</v>
      </c>
      <c r="G4" s="13" t="s">
        <v>6</v>
      </c>
    </row>
    <row r="5" customFormat="false" ht="15" hidden="false" customHeight="true" outlineLevel="0" collapsed="false">
      <c r="A5" s="13" t="n">
        <v>2024</v>
      </c>
      <c r="B5" s="13" t="s">
        <v>955</v>
      </c>
      <c r="C5" s="13" t="s">
        <v>956</v>
      </c>
      <c r="D5" s="14" t="n">
        <v>4951</v>
      </c>
      <c r="E5" s="14" t="n">
        <v>3241</v>
      </c>
      <c r="F5" s="14" t="n">
        <f aca="false">D5-E5</f>
        <v>1710</v>
      </c>
      <c r="G5" s="15" t="n">
        <f aca="false">E5/D5</f>
        <v>0.654615229246617</v>
      </c>
    </row>
    <row r="6" customFormat="false" ht="15" hidden="false" customHeight="true" outlineLevel="0" collapsed="false">
      <c r="A6" s="13" t="n">
        <v>2024</v>
      </c>
      <c r="B6" s="13" t="s">
        <v>955</v>
      </c>
      <c r="C6" s="13" t="s">
        <v>957</v>
      </c>
      <c r="D6" s="14" t="n">
        <v>2001</v>
      </c>
      <c r="E6" s="14" t="n">
        <v>1687</v>
      </c>
      <c r="F6" s="14" t="n">
        <f aca="false">D6-E6</f>
        <v>314</v>
      </c>
      <c r="G6" s="15" t="n">
        <f aca="false">E6/D6</f>
        <v>0.843078460769615</v>
      </c>
    </row>
    <row r="7" customFormat="false" ht="15" hidden="false" customHeight="true" outlineLevel="0" collapsed="false">
      <c r="A7" s="13" t="n">
        <v>2024</v>
      </c>
      <c r="B7" s="13" t="s">
        <v>955</v>
      </c>
      <c r="C7" s="13" t="s">
        <v>125</v>
      </c>
      <c r="D7" s="14" t="n">
        <v>2230</v>
      </c>
      <c r="E7" s="14" t="n">
        <v>997</v>
      </c>
      <c r="F7" s="14" t="n">
        <f aca="false">D7-E7</f>
        <v>1233</v>
      </c>
      <c r="G7" s="15" t="n">
        <f aca="false">E7/D7</f>
        <v>0.447085201793722</v>
      </c>
    </row>
    <row r="8" customFormat="false" ht="15" hidden="false" customHeight="true" outlineLevel="0" collapsed="false">
      <c r="A8" s="13" t="n">
        <v>2024</v>
      </c>
      <c r="B8" s="13" t="s">
        <v>955</v>
      </c>
      <c r="C8" s="13" t="s">
        <v>192</v>
      </c>
      <c r="D8" s="14" t="n">
        <v>9182</v>
      </c>
      <c r="E8" s="14" t="n">
        <v>5925</v>
      </c>
      <c r="F8" s="14" t="n">
        <f aca="false">D8-E8</f>
        <v>3257</v>
      </c>
      <c r="G8" s="15" t="n">
        <f aca="false">E8/D8</f>
        <v>0.645284251796994</v>
      </c>
    </row>
    <row r="9" customFormat="false" ht="15" hidden="false" customHeight="true" outlineLevel="0" collapsed="false">
      <c r="A9" s="13" t="n">
        <v>2024</v>
      </c>
      <c r="B9" s="13" t="s">
        <v>958</v>
      </c>
      <c r="C9" s="13" t="s">
        <v>956</v>
      </c>
      <c r="D9" s="14" t="n">
        <v>2603</v>
      </c>
      <c r="E9" s="14" t="n">
        <v>1738</v>
      </c>
      <c r="F9" s="14" t="n">
        <f aca="false">D9-E9</f>
        <v>865</v>
      </c>
      <c r="G9" s="15" t="n">
        <f aca="false">E9/D9</f>
        <v>0.66769112562428</v>
      </c>
    </row>
    <row r="10" customFormat="false" ht="15" hidden="false" customHeight="true" outlineLevel="0" collapsed="false">
      <c r="A10" s="13" t="n">
        <v>2024</v>
      </c>
      <c r="B10" s="13" t="s">
        <v>958</v>
      </c>
      <c r="C10" s="13" t="s">
        <v>957</v>
      </c>
      <c r="D10" s="14" t="n">
        <v>3539</v>
      </c>
      <c r="E10" s="14" t="n">
        <v>2788</v>
      </c>
      <c r="F10" s="14" t="n">
        <f aca="false">D10-E10</f>
        <v>751</v>
      </c>
      <c r="G10" s="15" t="n">
        <f aca="false">E10/D10</f>
        <v>0.787793161910144</v>
      </c>
    </row>
    <row r="11" customFormat="false" ht="15" hidden="false" customHeight="true" outlineLevel="0" collapsed="false">
      <c r="A11" s="13" t="n">
        <v>2024</v>
      </c>
      <c r="B11" s="13" t="s">
        <v>958</v>
      </c>
      <c r="C11" s="13" t="s">
        <v>125</v>
      </c>
      <c r="D11" s="14" t="n">
        <v>1982</v>
      </c>
      <c r="E11" s="14" t="n">
        <v>973</v>
      </c>
      <c r="F11" s="14" t="n">
        <f aca="false">D11-E11</f>
        <v>1009</v>
      </c>
      <c r="G11" s="15" t="n">
        <f aca="false">E11/D11</f>
        <v>0.490918264379415</v>
      </c>
    </row>
    <row r="12" customFormat="false" ht="15" hidden="false" customHeight="true" outlineLevel="0" collapsed="false">
      <c r="A12" s="13" t="n">
        <v>2024</v>
      </c>
      <c r="B12" s="13" t="s">
        <v>958</v>
      </c>
      <c r="C12" s="13" t="s">
        <v>192</v>
      </c>
      <c r="D12" s="14" t="n">
        <v>8124</v>
      </c>
      <c r="E12" s="14" t="n">
        <v>5499</v>
      </c>
      <c r="F12" s="14" t="n">
        <f aca="false">D12-E12</f>
        <v>2625</v>
      </c>
      <c r="G12" s="15" t="n">
        <f aca="false">E12/D12</f>
        <v>0.676883308714919</v>
      </c>
    </row>
    <row r="13" customFormat="false" ht="15" hidden="false" customHeight="true" outlineLevel="0" collapsed="false">
      <c r="A13" s="13" t="n">
        <v>2024</v>
      </c>
      <c r="B13" s="13" t="s">
        <v>959</v>
      </c>
      <c r="C13" s="13" t="s">
        <v>956</v>
      </c>
      <c r="D13" s="14" t="n">
        <v>3087</v>
      </c>
      <c r="E13" s="14" t="n">
        <v>1926</v>
      </c>
      <c r="F13" s="14" t="n">
        <f aca="false">D13-E13</f>
        <v>1161</v>
      </c>
      <c r="G13" s="15" t="n">
        <f aca="false">E13/D13</f>
        <v>0.623906705539359</v>
      </c>
    </row>
    <row r="14" customFormat="false" ht="15" hidden="false" customHeight="true" outlineLevel="0" collapsed="false">
      <c r="A14" s="13" t="n">
        <v>2024</v>
      </c>
      <c r="B14" s="13" t="s">
        <v>959</v>
      </c>
      <c r="C14" s="13" t="s">
        <v>957</v>
      </c>
      <c r="D14" s="14" t="n">
        <v>3783</v>
      </c>
      <c r="E14" s="14" t="n">
        <v>2998</v>
      </c>
      <c r="F14" s="14" t="n">
        <f aca="false">D14-E14</f>
        <v>785</v>
      </c>
      <c r="G14" s="15" t="n">
        <f aca="false">E14/D14</f>
        <v>0.792492730637061</v>
      </c>
    </row>
    <row r="15" customFormat="false" ht="15" hidden="false" customHeight="true" outlineLevel="0" collapsed="false">
      <c r="A15" s="13" t="n">
        <v>2024</v>
      </c>
      <c r="B15" s="13" t="s">
        <v>959</v>
      </c>
      <c r="C15" s="13" t="s">
        <v>125</v>
      </c>
      <c r="D15" s="14" t="n">
        <v>1975</v>
      </c>
      <c r="E15" s="14" t="n">
        <v>784</v>
      </c>
      <c r="F15" s="14" t="n">
        <f aca="false">D15-E15</f>
        <v>1191</v>
      </c>
      <c r="G15" s="15" t="n">
        <f aca="false">E15/D15</f>
        <v>0.396962025316456</v>
      </c>
    </row>
    <row r="16" customFormat="false" ht="15" hidden="false" customHeight="true" outlineLevel="0" collapsed="false">
      <c r="A16" s="13" t="n">
        <v>2024</v>
      </c>
      <c r="B16" s="13" t="s">
        <v>959</v>
      </c>
      <c r="C16" s="13" t="s">
        <v>192</v>
      </c>
      <c r="D16" s="14" t="n">
        <v>8845</v>
      </c>
      <c r="E16" s="14" t="n">
        <v>5708</v>
      </c>
      <c r="F16" s="14" t="n">
        <f aca="false">D16-E16</f>
        <v>3137</v>
      </c>
      <c r="G16" s="15" t="n">
        <f aca="false">E16/D16</f>
        <v>0.645336348219333</v>
      </c>
    </row>
    <row r="17" customFormat="false" ht="15" hidden="false" customHeight="true" outlineLevel="0" collapsed="false">
      <c r="A17" s="13" t="n">
        <v>2024</v>
      </c>
      <c r="B17" s="13" t="s">
        <v>55</v>
      </c>
      <c r="C17" s="13" t="s">
        <v>956</v>
      </c>
      <c r="D17" s="14" t="n">
        <v>8176</v>
      </c>
      <c r="E17" s="14" t="n">
        <v>5512</v>
      </c>
      <c r="F17" s="14" t="n">
        <f aca="false">D17-E17</f>
        <v>2664</v>
      </c>
      <c r="G17" s="15" t="n">
        <f aca="false">E17/D17</f>
        <v>0.674168297455969</v>
      </c>
    </row>
    <row r="18" customFormat="false" ht="15" hidden="false" customHeight="true" outlineLevel="0" collapsed="false">
      <c r="A18" s="13" t="n">
        <v>2024</v>
      </c>
      <c r="B18" s="13" t="s">
        <v>55</v>
      </c>
      <c r="C18" s="13" t="s">
        <v>957</v>
      </c>
      <c r="D18" s="14" t="n">
        <v>12896</v>
      </c>
      <c r="E18" s="14" t="n">
        <v>10507</v>
      </c>
      <c r="F18" s="14" t="n">
        <f aca="false">D18-E18</f>
        <v>2389</v>
      </c>
      <c r="G18" s="15" t="n">
        <f aca="false">E18/D18</f>
        <v>0.814748759305211</v>
      </c>
    </row>
    <row r="19" customFormat="false" ht="15" hidden="false" customHeight="true" outlineLevel="0" collapsed="false">
      <c r="A19" s="13" t="n">
        <v>2024</v>
      </c>
      <c r="B19" s="13" t="s">
        <v>55</v>
      </c>
      <c r="C19" s="13" t="s">
        <v>125</v>
      </c>
      <c r="D19" s="14" t="n">
        <v>5234</v>
      </c>
      <c r="E19" s="14" t="n">
        <v>2505</v>
      </c>
      <c r="F19" s="14" t="n">
        <f aca="false">D19-E19</f>
        <v>2729</v>
      </c>
      <c r="G19" s="15" t="n">
        <f aca="false">E19/D19</f>
        <v>0.478601452044326</v>
      </c>
    </row>
    <row r="20" customFormat="false" ht="15" hidden="false" customHeight="true" outlineLevel="0" collapsed="false">
      <c r="A20" s="13" t="n">
        <v>2024</v>
      </c>
      <c r="B20" s="13" t="s">
        <v>55</v>
      </c>
      <c r="C20" s="13" t="s">
        <v>192</v>
      </c>
      <c r="D20" s="14" t="n">
        <v>26306</v>
      </c>
      <c r="E20" s="14" t="n">
        <v>18524</v>
      </c>
      <c r="F20" s="14" t="n">
        <f aca="false">D20-E20</f>
        <v>7782</v>
      </c>
      <c r="G20" s="15" t="n">
        <f aca="false">E20/D20</f>
        <v>0.704173952710408</v>
      </c>
    </row>
    <row r="21" customFormat="false" ht="15" hidden="false" customHeight="true" outlineLevel="0" collapsed="false">
      <c r="A21" s="13" t="n">
        <v>2024</v>
      </c>
      <c r="B21" s="13" t="s">
        <v>195</v>
      </c>
      <c r="C21" s="13" t="s">
        <v>956</v>
      </c>
      <c r="D21" s="14" t="n">
        <v>18817</v>
      </c>
      <c r="E21" s="14" t="n">
        <v>12417</v>
      </c>
      <c r="F21" s="14" t="n">
        <f aca="false">D21-E21</f>
        <v>6400</v>
      </c>
      <c r="G21" s="15" t="n">
        <f aca="false">E21/D21</f>
        <v>0.659882021576234</v>
      </c>
    </row>
    <row r="22" customFormat="false" ht="15" hidden="false" customHeight="true" outlineLevel="0" collapsed="false">
      <c r="A22" s="13" t="n">
        <v>2024</v>
      </c>
      <c r="B22" s="13" t="s">
        <v>195</v>
      </c>
      <c r="C22" s="13" t="s">
        <v>957</v>
      </c>
      <c r="D22" s="14" t="n">
        <v>22219</v>
      </c>
      <c r="E22" s="14" t="n">
        <v>17980</v>
      </c>
      <c r="F22" s="14" t="n">
        <f aca="false">D22-E22</f>
        <v>4239</v>
      </c>
      <c r="G22" s="15" t="n">
        <f aca="false">E22/D22</f>
        <v>0.809217336513795</v>
      </c>
    </row>
    <row r="23" customFormat="false" ht="15" hidden="false" customHeight="true" outlineLevel="0" collapsed="false">
      <c r="A23" s="13" t="n">
        <v>2024</v>
      </c>
      <c r="B23" s="13" t="s">
        <v>195</v>
      </c>
      <c r="C23" s="13" t="s">
        <v>125</v>
      </c>
      <c r="D23" s="14" t="n">
        <v>11421</v>
      </c>
      <c r="E23" s="14" t="n">
        <v>5259</v>
      </c>
      <c r="F23" s="14" t="n">
        <f aca="false">D23-E23</f>
        <v>6162</v>
      </c>
      <c r="G23" s="15" t="n">
        <f aca="false">E23/D23</f>
        <v>0.46046755975834</v>
      </c>
    </row>
    <row r="24" customFormat="false" ht="15" hidden="false" customHeight="true" outlineLevel="0" collapsed="false">
      <c r="A24" s="13" t="n">
        <v>2024</v>
      </c>
      <c r="B24" s="13" t="s">
        <v>195</v>
      </c>
      <c r="C24" s="13" t="s">
        <v>192</v>
      </c>
      <c r="D24" s="14" t="n">
        <v>52457</v>
      </c>
      <c r="E24" s="14" t="n">
        <v>35656</v>
      </c>
      <c r="F24" s="14" t="n">
        <f aca="false">D24-E24</f>
        <v>16801</v>
      </c>
      <c r="G24" s="15" t="n">
        <f aca="false">E24/D24</f>
        <v>0.679718626684713</v>
      </c>
    </row>
    <row r="25" customFormat="false" ht="15" hidden="false" customHeight="true" outlineLevel="0" collapsed="false">
      <c r="A25" s="13" t="n">
        <v>2025</v>
      </c>
      <c r="B25" s="13" t="s">
        <v>955</v>
      </c>
      <c r="C25" s="13" t="s">
        <v>956</v>
      </c>
      <c r="D25" s="14" t="n">
        <v>4611</v>
      </c>
      <c r="E25" s="14" t="n">
        <v>3154</v>
      </c>
      <c r="F25" s="14" t="n">
        <f aca="false">D25-E25</f>
        <v>1457</v>
      </c>
      <c r="G25" s="15" t="n">
        <f aca="false">E25/D25</f>
        <v>0.684016482324875</v>
      </c>
    </row>
    <row r="26" customFormat="false" ht="15" hidden="false" customHeight="true" outlineLevel="0" collapsed="false">
      <c r="A26" s="13" t="n">
        <v>2025</v>
      </c>
      <c r="B26" s="13" t="s">
        <v>955</v>
      </c>
      <c r="C26" s="13" t="s">
        <v>957</v>
      </c>
      <c r="D26" s="14" t="n">
        <v>2151</v>
      </c>
      <c r="E26" s="14" t="n">
        <v>1737</v>
      </c>
      <c r="F26" s="14" t="n">
        <f aca="false">D26-E26</f>
        <v>414</v>
      </c>
      <c r="G26" s="15" t="n">
        <f aca="false">E26/D26</f>
        <v>0.807531380753138</v>
      </c>
    </row>
    <row r="27" customFormat="false" ht="15" hidden="false" customHeight="true" outlineLevel="0" collapsed="false">
      <c r="A27" s="13" t="n">
        <v>2025</v>
      </c>
      <c r="B27" s="13" t="s">
        <v>955</v>
      </c>
      <c r="C27" s="13" t="s">
        <v>125</v>
      </c>
      <c r="D27" s="14" t="n">
        <v>2023</v>
      </c>
      <c r="E27" s="14" t="n">
        <v>1004</v>
      </c>
      <c r="F27" s="14" t="n">
        <f aca="false">D27-E27</f>
        <v>1019</v>
      </c>
      <c r="G27" s="15" t="n">
        <f aca="false">E27/D27</f>
        <v>0.496292634700939</v>
      </c>
    </row>
    <row r="28" customFormat="false" ht="15" hidden="false" customHeight="true" outlineLevel="0" collapsed="false">
      <c r="A28" s="13" t="n">
        <v>2025</v>
      </c>
      <c r="B28" s="13" t="s">
        <v>955</v>
      </c>
      <c r="C28" s="13" t="s">
        <v>192</v>
      </c>
      <c r="D28" s="14" t="n">
        <v>8785</v>
      </c>
      <c r="E28" s="14" t="n">
        <v>5895</v>
      </c>
      <c r="F28" s="14" t="n">
        <f aca="false">D28-E28</f>
        <v>2890</v>
      </c>
      <c r="G28" s="15" t="n">
        <f aca="false">E28/D28</f>
        <v>0.671030165054069</v>
      </c>
    </row>
    <row r="29" customFormat="false" ht="15" hidden="false" customHeight="true" outlineLevel="0" collapsed="false">
      <c r="A29" s="13" t="n">
        <v>2025</v>
      </c>
      <c r="B29" s="13" t="s">
        <v>958</v>
      </c>
      <c r="C29" s="13" t="s">
        <v>956</v>
      </c>
      <c r="D29" s="14" t="n">
        <v>2478</v>
      </c>
      <c r="E29" s="14" t="n">
        <v>1673</v>
      </c>
      <c r="F29" s="14" t="n">
        <f aca="false">D29-E29</f>
        <v>805</v>
      </c>
      <c r="G29" s="15" t="n">
        <f aca="false">E29/D29</f>
        <v>0.675141242937853</v>
      </c>
    </row>
    <row r="30" customFormat="false" ht="15" hidden="false" customHeight="true" outlineLevel="0" collapsed="false">
      <c r="A30" s="13" t="n">
        <v>2025</v>
      </c>
      <c r="B30" s="13" t="s">
        <v>958</v>
      </c>
      <c r="C30" s="13" t="s">
        <v>957</v>
      </c>
      <c r="D30" s="14" t="n">
        <v>3262</v>
      </c>
      <c r="E30" s="14" t="n">
        <v>2649</v>
      </c>
      <c r="F30" s="14" t="n">
        <f aca="false">D30-E30</f>
        <v>613</v>
      </c>
      <c r="G30" s="15" t="n">
        <f aca="false">E30/D30</f>
        <v>0.812078479460454</v>
      </c>
    </row>
    <row r="31" customFormat="false" ht="15" hidden="false" customHeight="true" outlineLevel="0" collapsed="false">
      <c r="A31" s="13" t="n">
        <v>2025</v>
      </c>
      <c r="B31" s="13" t="s">
        <v>958</v>
      </c>
      <c r="C31" s="13" t="s">
        <v>125</v>
      </c>
      <c r="D31" s="14" t="n">
        <v>1627</v>
      </c>
      <c r="E31" s="14" t="n">
        <v>831</v>
      </c>
      <c r="F31" s="14" t="n">
        <f aca="false">D31-E31</f>
        <v>796</v>
      </c>
      <c r="G31" s="15" t="n">
        <f aca="false">E31/D31</f>
        <v>0.510755992624462</v>
      </c>
    </row>
    <row r="32" customFormat="false" ht="15" hidden="false" customHeight="true" outlineLevel="0" collapsed="false">
      <c r="A32" s="13" t="n">
        <v>2025</v>
      </c>
      <c r="B32" s="13" t="s">
        <v>958</v>
      </c>
      <c r="C32" s="13" t="s">
        <v>192</v>
      </c>
      <c r="D32" s="14" t="n">
        <v>7367</v>
      </c>
      <c r="E32" s="14" t="n">
        <v>5153</v>
      </c>
      <c r="F32" s="14" t="n">
        <f aca="false">D32-E32</f>
        <v>2214</v>
      </c>
      <c r="G32" s="15" t="n">
        <f aca="false">E32/D32</f>
        <v>0.699470612189494</v>
      </c>
    </row>
    <row r="33" customFormat="false" ht="15" hidden="false" customHeight="true" outlineLevel="0" collapsed="false">
      <c r="A33" s="13" t="n">
        <v>2025</v>
      </c>
      <c r="B33" s="13" t="s">
        <v>959</v>
      </c>
      <c r="C33" s="13" t="s">
        <v>956</v>
      </c>
      <c r="D33" s="14" t="n">
        <v>3020</v>
      </c>
      <c r="E33" s="14" t="n">
        <v>1797</v>
      </c>
      <c r="F33" s="14" t="n">
        <f aca="false">D33-E33</f>
        <v>1223</v>
      </c>
      <c r="G33" s="15" t="n">
        <f aca="false">E33/D33</f>
        <v>0.595033112582782</v>
      </c>
    </row>
    <row r="34" customFormat="false" ht="15" hidden="false" customHeight="true" outlineLevel="0" collapsed="false">
      <c r="A34" s="13" t="n">
        <v>2025</v>
      </c>
      <c r="B34" s="13" t="s">
        <v>959</v>
      </c>
      <c r="C34" s="13" t="s">
        <v>957</v>
      </c>
      <c r="D34" s="14" t="n">
        <v>3904</v>
      </c>
      <c r="E34" s="14" t="n">
        <v>3085</v>
      </c>
      <c r="F34" s="14" t="n">
        <f aca="false">D34-E34</f>
        <v>819</v>
      </c>
      <c r="G34" s="15" t="n">
        <f aca="false">E34/D34</f>
        <v>0.790215163934426</v>
      </c>
    </row>
    <row r="35" customFormat="false" ht="15" hidden="false" customHeight="true" outlineLevel="0" collapsed="false">
      <c r="A35" s="13" t="n">
        <v>2025</v>
      </c>
      <c r="B35" s="13" t="s">
        <v>959</v>
      </c>
      <c r="C35" s="13" t="s">
        <v>125</v>
      </c>
      <c r="D35" s="14" t="n">
        <v>1719</v>
      </c>
      <c r="E35" s="14" t="n">
        <v>760</v>
      </c>
      <c r="F35" s="14" t="n">
        <f aca="false">D35-E35</f>
        <v>959</v>
      </c>
      <c r="G35" s="15" t="n">
        <f aca="false">E35/D35</f>
        <v>0.442117510180337</v>
      </c>
    </row>
    <row r="36" customFormat="false" ht="15" hidden="false" customHeight="true" outlineLevel="0" collapsed="false">
      <c r="A36" s="13" t="n">
        <v>2025</v>
      </c>
      <c r="B36" s="13" t="s">
        <v>959</v>
      </c>
      <c r="C36" s="13" t="s">
        <v>192</v>
      </c>
      <c r="D36" s="14" t="n">
        <v>8643</v>
      </c>
      <c r="E36" s="14" t="n">
        <v>5642</v>
      </c>
      <c r="F36" s="14" t="n">
        <f aca="false">D36-E36</f>
        <v>3001</v>
      </c>
      <c r="G36" s="15" t="n">
        <f aca="false">E36/D36</f>
        <v>0.652782598634733</v>
      </c>
    </row>
    <row r="37" customFormat="false" ht="15" hidden="false" customHeight="true" outlineLevel="0" collapsed="false">
      <c r="A37" s="13" t="n">
        <v>2025</v>
      </c>
      <c r="B37" s="13" t="s">
        <v>55</v>
      </c>
      <c r="C37" s="13" t="s">
        <v>956</v>
      </c>
      <c r="D37" s="14" t="n">
        <v>7829</v>
      </c>
      <c r="E37" s="14" t="n">
        <v>5389</v>
      </c>
      <c r="F37" s="14" t="n">
        <f aca="false">D37-E37</f>
        <v>2440</v>
      </c>
      <c r="G37" s="15" t="n">
        <f aca="false">E37/D37</f>
        <v>0.68833822965896</v>
      </c>
    </row>
    <row r="38" customFormat="false" ht="15" hidden="false" customHeight="true" outlineLevel="0" collapsed="false">
      <c r="A38" s="13" t="n">
        <v>2025</v>
      </c>
      <c r="B38" s="13" t="s">
        <v>55</v>
      </c>
      <c r="C38" s="13" t="s">
        <v>957</v>
      </c>
      <c r="D38" s="14" t="n">
        <v>12704</v>
      </c>
      <c r="E38" s="14" t="n">
        <v>9973</v>
      </c>
      <c r="F38" s="14" t="n">
        <f aca="false">D38-E38</f>
        <v>2731</v>
      </c>
      <c r="G38" s="15" t="n">
        <f aca="false">E38/D38</f>
        <v>0.785028337531486</v>
      </c>
    </row>
    <row r="39" customFormat="false" ht="15" hidden="false" customHeight="true" outlineLevel="0" collapsed="false">
      <c r="A39" s="13" t="n">
        <v>2025</v>
      </c>
      <c r="B39" s="13" t="s">
        <v>55</v>
      </c>
      <c r="C39" s="13" t="s">
        <v>125</v>
      </c>
      <c r="D39" s="14" t="n">
        <v>4689</v>
      </c>
      <c r="E39" s="14" t="n">
        <v>2376</v>
      </c>
      <c r="F39" s="14" t="n">
        <f aca="false">D39-E39</f>
        <v>2313</v>
      </c>
      <c r="G39" s="15" t="n">
        <f aca="false">E39/D39</f>
        <v>0.506717850287908</v>
      </c>
    </row>
    <row r="40" customFormat="false" ht="15" hidden="false" customHeight="true" outlineLevel="0" collapsed="false">
      <c r="A40" s="13" t="n">
        <v>2025</v>
      </c>
      <c r="B40" s="13" t="s">
        <v>55</v>
      </c>
      <c r="C40" s="13" t="s">
        <v>192</v>
      </c>
      <c r="D40" s="14" t="n">
        <v>25222</v>
      </c>
      <c r="E40" s="14" t="n">
        <v>17738</v>
      </c>
      <c r="F40" s="14" t="n">
        <f aca="false">D40-E40</f>
        <v>7484</v>
      </c>
      <c r="G40" s="15" t="n">
        <f aca="false">E40/D40</f>
        <v>0.703274918721751</v>
      </c>
    </row>
    <row r="41" customFormat="false" ht="15" hidden="false" customHeight="true" outlineLevel="0" collapsed="false">
      <c r="A41" s="13" t="n">
        <v>2025</v>
      </c>
      <c r="B41" s="13" t="s">
        <v>195</v>
      </c>
      <c r="C41" s="13" t="s">
        <v>956</v>
      </c>
      <c r="D41" s="14" t="n">
        <v>17938</v>
      </c>
      <c r="E41" s="14" t="n">
        <v>12013</v>
      </c>
      <c r="F41" s="14" t="n">
        <f aca="false">D41-E41</f>
        <v>5925</v>
      </c>
      <c r="G41" s="15" t="n">
        <f aca="false">E41/D41</f>
        <v>0.669695618240607</v>
      </c>
    </row>
    <row r="42" customFormat="false" ht="15" hidden="false" customHeight="true" outlineLevel="0" collapsed="false">
      <c r="A42" s="13" t="n">
        <v>2025</v>
      </c>
      <c r="B42" s="13" t="s">
        <v>195</v>
      </c>
      <c r="C42" s="13" t="s">
        <v>957</v>
      </c>
      <c r="D42" s="14" t="n">
        <v>22021</v>
      </c>
      <c r="E42" s="14" t="n">
        <v>17444</v>
      </c>
      <c r="F42" s="14" t="n">
        <f aca="false">D42-E42</f>
        <v>4577</v>
      </c>
      <c r="G42" s="15" t="n">
        <f aca="false">E42/D42</f>
        <v>0.792152944916216</v>
      </c>
    </row>
    <row r="43" customFormat="false" ht="15" hidden="false" customHeight="true" outlineLevel="0" collapsed="false">
      <c r="A43" s="13" t="n">
        <v>2025</v>
      </c>
      <c r="B43" s="13" t="s">
        <v>195</v>
      </c>
      <c r="C43" s="13" t="s">
        <v>125</v>
      </c>
      <c r="D43" s="14" t="n">
        <v>10058</v>
      </c>
      <c r="E43" s="14" t="n">
        <v>4971</v>
      </c>
      <c r="F43" s="14" t="n">
        <f aca="false">D43-E43</f>
        <v>5087</v>
      </c>
      <c r="G43" s="15" t="n">
        <f aca="false">E43/D43</f>
        <v>0.494233446013124</v>
      </c>
    </row>
    <row r="44" customFormat="false" ht="15" hidden="false" customHeight="true" outlineLevel="0" collapsed="false">
      <c r="A44" s="13" t="n">
        <v>2025</v>
      </c>
      <c r="B44" s="13" t="s">
        <v>195</v>
      </c>
      <c r="C44" s="13" t="s">
        <v>192</v>
      </c>
      <c r="D44" s="14" t="n">
        <v>50017</v>
      </c>
      <c r="E44" s="14" t="n">
        <v>34428</v>
      </c>
      <c r="F44" s="14" t="n">
        <f aca="false">D44-E44</f>
        <v>15589</v>
      </c>
      <c r="G44" s="15" t="n">
        <f aca="false">E44/D44</f>
        <v>0.688325969170482</v>
      </c>
    </row>
    <row r="45" customFormat="false" ht="15" hidden="false" customHeight="true" outlineLevel="0" collapsed="false">
      <c r="A45" s="13" t="n">
        <v>2026</v>
      </c>
      <c r="B45" s="13" t="s">
        <v>955</v>
      </c>
      <c r="C45" s="13" t="s">
        <v>956</v>
      </c>
      <c r="D45" s="14" t="n">
        <v>5038</v>
      </c>
      <c r="E45" s="14" t="n">
        <v>3374</v>
      </c>
      <c r="F45" s="14" t="n">
        <f aca="false">D45-E45</f>
        <v>1664</v>
      </c>
      <c r="G45" s="15" t="n">
        <f aca="false">E45/D45</f>
        <v>0.669710202461294</v>
      </c>
    </row>
    <row r="46" customFormat="false" ht="15" hidden="false" customHeight="true" outlineLevel="0" collapsed="false">
      <c r="A46" s="13" t="n">
        <v>2026</v>
      </c>
      <c r="B46" s="13" t="s">
        <v>955</v>
      </c>
      <c r="C46" s="13" t="s">
        <v>957</v>
      </c>
      <c r="D46" s="14" t="n">
        <v>2413</v>
      </c>
      <c r="E46" s="14" t="n">
        <v>1911</v>
      </c>
      <c r="F46" s="14" t="n">
        <f aca="false">D46-E46</f>
        <v>502</v>
      </c>
      <c r="G46" s="15" t="n">
        <f aca="false">E46/D46</f>
        <v>0.791960215499378</v>
      </c>
    </row>
    <row r="47" customFormat="false" ht="15" hidden="false" customHeight="true" outlineLevel="0" collapsed="false">
      <c r="A47" s="13" t="n">
        <v>2026</v>
      </c>
      <c r="B47" s="13" t="s">
        <v>955</v>
      </c>
      <c r="C47" s="13" t="s">
        <v>125</v>
      </c>
      <c r="D47" s="14" t="n">
        <v>2080</v>
      </c>
      <c r="E47" s="14" t="n">
        <v>903</v>
      </c>
      <c r="F47" s="14" t="n">
        <f aca="false">D47-E47</f>
        <v>1177</v>
      </c>
      <c r="G47" s="15" t="n">
        <f aca="false">E47/D47</f>
        <v>0.434134615384615</v>
      </c>
    </row>
    <row r="48" customFormat="false" ht="15" hidden="false" customHeight="true" outlineLevel="0" collapsed="false">
      <c r="A48" s="13" t="n">
        <v>2026</v>
      </c>
      <c r="B48" s="13" t="s">
        <v>955</v>
      </c>
      <c r="C48" s="13" t="s">
        <v>192</v>
      </c>
      <c r="D48" s="14" t="n">
        <v>9531</v>
      </c>
      <c r="E48" s="14" t="n">
        <v>6188</v>
      </c>
      <c r="F48" s="14" t="n">
        <f aca="false">D48-E48</f>
        <v>3343</v>
      </c>
      <c r="G48" s="15" t="n">
        <f aca="false">E48/D48</f>
        <v>0.649249816388627</v>
      </c>
    </row>
    <row r="49" customFormat="false" ht="15" hidden="false" customHeight="true" outlineLevel="0" collapsed="false">
      <c r="A49" s="13" t="n">
        <v>2026</v>
      </c>
      <c r="B49" s="13" t="s">
        <v>958</v>
      </c>
      <c r="C49" s="13" t="s">
        <v>956</v>
      </c>
      <c r="D49" s="14" t="n">
        <v>3085</v>
      </c>
      <c r="E49" s="14" t="n">
        <v>2090</v>
      </c>
      <c r="F49" s="14" t="n">
        <f aca="false">D49-E49</f>
        <v>995</v>
      </c>
      <c r="G49" s="15" t="n">
        <f aca="false">E49/D49</f>
        <v>0.677471636952998</v>
      </c>
    </row>
    <row r="50" customFormat="false" ht="15" hidden="false" customHeight="true" outlineLevel="0" collapsed="false">
      <c r="A50" s="13" t="n">
        <v>2026</v>
      </c>
      <c r="B50" s="13" t="s">
        <v>958</v>
      </c>
      <c r="C50" s="13" t="s">
        <v>957</v>
      </c>
      <c r="D50" s="14" t="n">
        <v>3801</v>
      </c>
      <c r="E50" s="14" t="n">
        <v>3060</v>
      </c>
      <c r="F50" s="14" t="n">
        <f aca="false">D50-E50</f>
        <v>741</v>
      </c>
      <c r="G50" s="15" t="n">
        <f aca="false">E50/D50</f>
        <v>0.805051302288871</v>
      </c>
    </row>
    <row r="51" customFormat="false" ht="15" hidden="false" customHeight="true" outlineLevel="0" collapsed="false">
      <c r="A51" s="13" t="n">
        <v>2026</v>
      </c>
      <c r="B51" s="13" t="s">
        <v>958</v>
      </c>
      <c r="C51" s="13" t="s">
        <v>125</v>
      </c>
      <c r="D51" s="14" t="n">
        <v>1799</v>
      </c>
      <c r="E51" s="14" t="n">
        <v>786</v>
      </c>
      <c r="F51" s="14" t="n">
        <f aca="false">D51-E51</f>
        <v>1013</v>
      </c>
      <c r="G51" s="15" t="n">
        <f aca="false">E51/D51</f>
        <v>0.436909394107838</v>
      </c>
    </row>
    <row r="52" customFormat="false" ht="15" hidden="false" customHeight="true" outlineLevel="0" collapsed="false">
      <c r="A52" s="13" t="n">
        <v>2026</v>
      </c>
      <c r="B52" s="13" t="s">
        <v>958</v>
      </c>
      <c r="C52" s="13" t="s">
        <v>192</v>
      </c>
      <c r="D52" s="14" t="n">
        <v>8685</v>
      </c>
      <c r="E52" s="14" t="n">
        <v>5936</v>
      </c>
      <c r="F52" s="14" t="n">
        <f aca="false">D52-E52</f>
        <v>2749</v>
      </c>
      <c r="G52" s="15" t="n">
        <f aca="false">E52/D52</f>
        <v>0.683477259643063</v>
      </c>
    </row>
    <row r="53" customFormat="false" ht="15" hidden="false" customHeight="true" outlineLevel="0" collapsed="false">
      <c r="A53" s="13" t="n">
        <v>2026</v>
      </c>
      <c r="B53" s="13" t="s">
        <v>959</v>
      </c>
      <c r="C53" s="13" t="s">
        <v>956</v>
      </c>
      <c r="D53" s="14" t="n">
        <v>2999</v>
      </c>
      <c r="E53" s="14" t="n">
        <v>1963</v>
      </c>
      <c r="F53" s="14" t="n">
        <f aca="false">D53-E53</f>
        <v>1036</v>
      </c>
      <c r="G53" s="15" t="n">
        <f aca="false">E53/D53</f>
        <v>0.654551517172391</v>
      </c>
    </row>
    <row r="54" customFormat="false" ht="15" hidden="false" customHeight="true" outlineLevel="0" collapsed="false">
      <c r="A54" s="13" t="n">
        <v>2026</v>
      </c>
      <c r="B54" s="13" t="s">
        <v>959</v>
      </c>
      <c r="C54" s="13" t="s">
        <v>957</v>
      </c>
      <c r="D54" s="14" t="n">
        <v>4576</v>
      </c>
      <c r="E54" s="14" t="n">
        <v>3443</v>
      </c>
      <c r="F54" s="14" t="n">
        <f aca="false">D54-E54</f>
        <v>1133</v>
      </c>
      <c r="G54" s="15" t="n">
        <f aca="false">E54/D54</f>
        <v>0.752403846153846</v>
      </c>
    </row>
    <row r="55" customFormat="false" ht="15" hidden="false" customHeight="true" outlineLevel="0" collapsed="false">
      <c r="A55" s="13" t="n">
        <v>2026</v>
      </c>
      <c r="B55" s="13" t="s">
        <v>959</v>
      </c>
      <c r="C55" s="13" t="s">
        <v>125</v>
      </c>
      <c r="D55" s="14" t="n">
        <v>1880</v>
      </c>
      <c r="E55" s="14" t="n">
        <v>805</v>
      </c>
      <c r="F55" s="14" t="n">
        <f aca="false">D55-E55</f>
        <v>1075</v>
      </c>
      <c r="G55" s="15" t="n">
        <f aca="false">E55/D55</f>
        <v>0.428191489361702</v>
      </c>
    </row>
    <row r="56" customFormat="false" ht="15" hidden="false" customHeight="true" outlineLevel="0" collapsed="false">
      <c r="A56" s="13" t="n">
        <v>2026</v>
      </c>
      <c r="B56" s="13" t="s">
        <v>959</v>
      </c>
      <c r="C56" s="13" t="s">
        <v>192</v>
      </c>
      <c r="D56" s="14" t="n">
        <v>9455</v>
      </c>
      <c r="E56" s="14" t="n">
        <v>6211</v>
      </c>
      <c r="F56" s="14" t="n">
        <f aca="false">D56-E56</f>
        <v>3244</v>
      </c>
      <c r="G56" s="15" t="n">
        <f aca="false">E56/D56</f>
        <v>0.656901110523533</v>
      </c>
    </row>
    <row r="57" customFormat="false" ht="15" hidden="false" customHeight="true" outlineLevel="0" collapsed="false">
      <c r="A57" s="13" t="n">
        <v>2026</v>
      </c>
      <c r="B57" s="13" t="s">
        <v>55</v>
      </c>
      <c r="C57" s="13" t="s">
        <v>956</v>
      </c>
      <c r="D57" s="14" t="n">
        <v>8136</v>
      </c>
      <c r="E57" s="14" t="n">
        <v>5950</v>
      </c>
      <c r="F57" s="14" t="n">
        <f aca="false">D57-E57</f>
        <v>2186</v>
      </c>
      <c r="G57" s="15" t="n">
        <f aca="false">E57/D57</f>
        <v>0.731317600786627</v>
      </c>
    </row>
    <row r="58" customFormat="false" ht="15" hidden="false" customHeight="true" outlineLevel="0" collapsed="false">
      <c r="A58" s="13" t="n">
        <v>2026</v>
      </c>
      <c r="B58" s="13" t="s">
        <v>55</v>
      </c>
      <c r="C58" s="13" t="s">
        <v>957</v>
      </c>
      <c r="D58" s="14" t="n">
        <v>14316</v>
      </c>
      <c r="E58" s="14" t="n">
        <v>11396</v>
      </c>
      <c r="F58" s="14" t="n">
        <f aca="false">D58-E58</f>
        <v>2920</v>
      </c>
      <c r="G58" s="15" t="n">
        <f aca="false">E58/D58</f>
        <v>0.796032411288069</v>
      </c>
    </row>
    <row r="59" customFormat="false" ht="15" hidden="false" customHeight="true" outlineLevel="0" collapsed="false">
      <c r="A59" s="13" t="n">
        <v>2026</v>
      </c>
      <c r="B59" s="13" t="s">
        <v>55</v>
      </c>
      <c r="C59" s="13" t="s">
        <v>125</v>
      </c>
      <c r="D59" s="14" t="n">
        <v>4911</v>
      </c>
      <c r="E59" s="14" t="n">
        <v>2395</v>
      </c>
      <c r="F59" s="14" t="n">
        <f aca="false">D59-E59</f>
        <v>2516</v>
      </c>
      <c r="G59" s="15" t="n">
        <f aca="false">E59/D59</f>
        <v>0.487680716758298</v>
      </c>
    </row>
    <row r="60" customFormat="false" ht="15" hidden="false" customHeight="true" outlineLevel="0" collapsed="false">
      <c r="A60" s="13" t="n">
        <v>2026</v>
      </c>
      <c r="B60" s="13" t="s">
        <v>55</v>
      </c>
      <c r="C60" s="13" t="s">
        <v>192</v>
      </c>
      <c r="D60" s="14" t="n">
        <v>27363</v>
      </c>
      <c r="E60" s="14" t="n">
        <v>19741</v>
      </c>
      <c r="F60" s="14" t="n">
        <f aca="false">D60-E60</f>
        <v>7622</v>
      </c>
      <c r="G60" s="15" t="n">
        <f aca="false">E60/D60</f>
        <v>0.721448671563791</v>
      </c>
    </row>
    <row r="61" customFormat="false" ht="15" hidden="false" customHeight="true" outlineLevel="0" collapsed="false">
      <c r="A61" s="13" t="n">
        <v>2026</v>
      </c>
      <c r="B61" s="13" t="s">
        <v>195</v>
      </c>
      <c r="C61" s="13" t="s">
        <v>956</v>
      </c>
      <c r="D61" s="14" t="n">
        <v>19258</v>
      </c>
      <c r="E61" s="14" t="n">
        <v>13377</v>
      </c>
      <c r="F61" s="14" t="n">
        <f aca="false">D61-E61</f>
        <v>5881</v>
      </c>
      <c r="G61" s="15" t="n">
        <f aca="false">E61/D61</f>
        <v>0.694620417488836</v>
      </c>
    </row>
    <row r="62" customFormat="false" ht="15" hidden="false" customHeight="true" outlineLevel="0" collapsed="false">
      <c r="A62" s="13" t="n">
        <v>2026</v>
      </c>
      <c r="B62" s="13" t="s">
        <v>195</v>
      </c>
      <c r="C62" s="13" t="s">
        <v>957</v>
      </c>
      <c r="D62" s="14" t="n">
        <v>25106</v>
      </c>
      <c r="E62" s="14" t="n">
        <v>19810</v>
      </c>
      <c r="F62" s="14" t="n">
        <f aca="false">D62-E62</f>
        <v>5296</v>
      </c>
      <c r="G62" s="15" t="n">
        <f aca="false">E62/D62</f>
        <v>0.789054409304549</v>
      </c>
    </row>
    <row r="63" customFormat="false" ht="15" hidden="false" customHeight="true" outlineLevel="0" collapsed="false">
      <c r="A63" s="13" t="n">
        <v>2026</v>
      </c>
      <c r="B63" s="13" t="s">
        <v>195</v>
      </c>
      <c r="C63" s="13" t="s">
        <v>125</v>
      </c>
      <c r="D63" s="14" t="n">
        <v>10670</v>
      </c>
      <c r="E63" s="14" t="n">
        <v>4889</v>
      </c>
      <c r="F63" s="14" t="n">
        <f aca="false">D63-E63</f>
        <v>5781</v>
      </c>
      <c r="G63" s="15" t="n">
        <f aca="false">E63/D63</f>
        <v>0.458200562324274</v>
      </c>
    </row>
    <row r="64" customFormat="false" ht="15" hidden="false" customHeight="true" outlineLevel="0" collapsed="false">
      <c r="A64" s="13" t="n">
        <v>2026</v>
      </c>
      <c r="B64" s="13" t="s">
        <v>195</v>
      </c>
      <c r="C64" s="13" t="s">
        <v>192</v>
      </c>
      <c r="D64" s="14" t="n">
        <v>55034</v>
      </c>
      <c r="E64" s="14" t="n">
        <v>38076</v>
      </c>
      <c r="F64" s="14" t="n">
        <f aca="false">D64-E64</f>
        <v>16958</v>
      </c>
      <c r="G64" s="15" t="n">
        <f aca="false">E64/D64</f>
        <v>0.691863211832685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3" width="12"/>
  </cols>
  <sheetData>
    <row r="1" customFormat="false" ht="15" hidden="false" customHeight="true" outlineLevel="0" collapsed="false">
      <c r="A1" s="13" t="s">
        <v>960</v>
      </c>
    </row>
    <row r="2" customFormat="false" ht="15" hidden="false" customHeight="true" outlineLevel="0" collapsed="false">
      <c r="A2" s="13" t="s">
        <v>961</v>
      </c>
    </row>
    <row r="4" customFormat="false" ht="15" hidden="false" customHeight="true" outlineLevel="0" collapsed="false">
      <c r="A4" s="13" t="s">
        <v>3</v>
      </c>
      <c r="B4" s="13" t="s">
        <v>210</v>
      </c>
      <c r="C4" s="13" t="s">
        <v>187</v>
      </c>
      <c r="D4" s="13" t="s">
        <v>4</v>
      </c>
      <c r="E4" s="13" t="s">
        <v>5</v>
      </c>
      <c r="F4" s="13" t="s">
        <v>6</v>
      </c>
      <c r="G4" s="13" t="s">
        <v>199</v>
      </c>
      <c r="H4" s="13" t="s">
        <v>116</v>
      </c>
      <c r="I4" s="13" t="s">
        <v>117</v>
      </c>
      <c r="J4" s="13" t="s">
        <v>118</v>
      </c>
      <c r="K4" s="13" t="s">
        <v>119</v>
      </c>
      <c r="L4" s="13" t="s">
        <v>120</v>
      </c>
      <c r="M4" s="13" t="s">
        <v>962</v>
      </c>
    </row>
    <row r="5" customFormat="false" ht="15" hidden="false" customHeight="true" outlineLevel="0" collapsed="false">
      <c r="A5" s="13" t="n">
        <v>2024</v>
      </c>
      <c r="B5" s="13" t="s">
        <v>955</v>
      </c>
      <c r="C5" s="13" t="s">
        <v>956</v>
      </c>
      <c r="D5" s="14" t="n">
        <v>4951</v>
      </c>
      <c r="E5" s="14" t="n">
        <v>3241</v>
      </c>
      <c r="F5" s="15" t="n">
        <f aca="false">E5/D5</f>
        <v>0.654615229246617</v>
      </c>
      <c r="G5" s="14" t="n">
        <v>279</v>
      </c>
      <c r="H5" s="14" t="n">
        <v>728</v>
      </c>
      <c r="I5" s="14" t="n">
        <v>1249</v>
      </c>
      <c r="J5" s="14" t="n">
        <v>876</v>
      </c>
      <c r="K5" s="14" t="n">
        <v>107</v>
      </c>
      <c r="L5" s="14" t="n">
        <v>2</v>
      </c>
      <c r="M5" s="14" t="n">
        <v>1710</v>
      </c>
    </row>
    <row r="6" customFormat="false" ht="15" hidden="false" customHeight="true" outlineLevel="0" collapsed="false">
      <c r="A6" s="13" t="n">
        <v>2024</v>
      </c>
      <c r="B6" s="13" t="s">
        <v>955</v>
      </c>
      <c r="C6" s="13" t="s">
        <v>957</v>
      </c>
      <c r="D6" s="14" t="n">
        <v>2001</v>
      </c>
      <c r="E6" s="14" t="n">
        <v>1687</v>
      </c>
      <c r="F6" s="15" t="n">
        <f aca="false">E6/D6</f>
        <v>0.843078460769615</v>
      </c>
      <c r="G6" s="14" t="n">
        <v>407</v>
      </c>
      <c r="H6" s="14" t="n">
        <v>496</v>
      </c>
      <c r="I6" s="14" t="n">
        <v>507</v>
      </c>
      <c r="J6" s="14" t="n">
        <v>259</v>
      </c>
      <c r="K6" s="14" t="n">
        <v>18</v>
      </c>
      <c r="L6" s="14" t="n">
        <v>0</v>
      </c>
      <c r="M6" s="14" t="n">
        <v>314</v>
      </c>
    </row>
    <row r="7" customFormat="false" ht="15" hidden="false" customHeight="true" outlineLevel="0" collapsed="false">
      <c r="A7" s="13" t="n">
        <v>2024</v>
      </c>
      <c r="B7" s="13" t="s">
        <v>955</v>
      </c>
      <c r="C7" s="13" t="s">
        <v>125</v>
      </c>
      <c r="D7" s="14" t="n">
        <v>2212</v>
      </c>
      <c r="E7" s="14" t="n">
        <v>988</v>
      </c>
      <c r="F7" s="15" t="n">
        <f aca="false">E7/D7</f>
        <v>0.446654611211573</v>
      </c>
      <c r="G7" s="14" t="n">
        <v>152</v>
      </c>
      <c r="H7" s="14" t="n">
        <v>109</v>
      </c>
      <c r="I7" s="14" t="n">
        <v>235</v>
      </c>
      <c r="J7" s="14" t="n">
        <v>336</v>
      </c>
      <c r="K7" s="14" t="n">
        <v>150</v>
      </c>
      <c r="L7" s="14" t="n">
        <v>6</v>
      </c>
      <c r="M7" s="14" t="n">
        <v>1224</v>
      </c>
    </row>
    <row r="8" customFormat="false" ht="15" hidden="false" customHeight="true" outlineLevel="0" collapsed="false">
      <c r="A8" s="13" t="n">
        <v>2024</v>
      </c>
      <c r="B8" s="13" t="s">
        <v>955</v>
      </c>
      <c r="C8" s="13" t="s">
        <v>192</v>
      </c>
      <c r="D8" s="14" t="n">
        <v>9164</v>
      </c>
      <c r="E8" s="14" t="n">
        <v>5916</v>
      </c>
      <c r="F8" s="15" t="n">
        <f aca="false">E8/D8</f>
        <v>0.645569620253165</v>
      </c>
      <c r="G8" s="14" t="n">
        <v>838</v>
      </c>
      <c r="H8" s="14" t="n">
        <v>1333</v>
      </c>
      <c r="I8" s="14" t="n">
        <v>1991</v>
      </c>
      <c r="J8" s="14" t="n">
        <v>1471</v>
      </c>
      <c r="K8" s="14" t="n">
        <v>275</v>
      </c>
      <c r="L8" s="14" t="n">
        <v>8</v>
      </c>
      <c r="M8" s="14" t="n">
        <v>3248</v>
      </c>
    </row>
    <row r="9" customFormat="false" ht="15" hidden="false" customHeight="true" outlineLevel="0" collapsed="false">
      <c r="A9" s="13" t="n">
        <v>2024</v>
      </c>
      <c r="B9" s="13" t="s">
        <v>958</v>
      </c>
      <c r="C9" s="13" t="s">
        <v>956</v>
      </c>
      <c r="D9" s="14" t="n">
        <v>2603</v>
      </c>
      <c r="E9" s="14" t="n">
        <v>1738</v>
      </c>
      <c r="F9" s="15" t="n">
        <f aca="false">E9/D9</f>
        <v>0.66769112562428</v>
      </c>
      <c r="G9" s="14" t="n">
        <v>36</v>
      </c>
      <c r="H9" s="14" t="n">
        <v>312</v>
      </c>
      <c r="I9" s="14" t="n">
        <v>723</v>
      </c>
      <c r="J9" s="14" t="n">
        <v>581</v>
      </c>
      <c r="K9" s="14" t="n">
        <v>84</v>
      </c>
      <c r="L9" s="14" t="n">
        <v>2</v>
      </c>
      <c r="M9" s="14" t="n">
        <v>865</v>
      </c>
    </row>
    <row r="10" customFormat="false" ht="15" hidden="false" customHeight="true" outlineLevel="0" collapsed="false">
      <c r="A10" s="13" t="n">
        <v>2024</v>
      </c>
      <c r="B10" s="13" t="s">
        <v>958</v>
      </c>
      <c r="C10" s="13" t="s">
        <v>957</v>
      </c>
      <c r="D10" s="14" t="n">
        <v>3539</v>
      </c>
      <c r="E10" s="14" t="n">
        <v>2788</v>
      </c>
      <c r="F10" s="15" t="n">
        <f aca="false">E10/D10</f>
        <v>0.787793161910144</v>
      </c>
      <c r="G10" s="14" t="n">
        <v>527</v>
      </c>
      <c r="H10" s="14" t="n">
        <v>711</v>
      </c>
      <c r="I10" s="14" t="n">
        <v>867</v>
      </c>
      <c r="J10" s="14" t="n">
        <v>615</v>
      </c>
      <c r="K10" s="14" t="n">
        <v>68</v>
      </c>
      <c r="L10" s="14" t="n">
        <v>0</v>
      </c>
      <c r="M10" s="14" t="n">
        <v>751</v>
      </c>
    </row>
    <row r="11" customFormat="false" ht="15" hidden="false" customHeight="true" outlineLevel="0" collapsed="false">
      <c r="A11" s="13" t="n">
        <v>2024</v>
      </c>
      <c r="B11" s="13" t="s">
        <v>958</v>
      </c>
      <c r="C11" s="13" t="s">
        <v>125</v>
      </c>
      <c r="D11" s="14" t="n">
        <v>1959</v>
      </c>
      <c r="E11" s="14" t="n">
        <v>958</v>
      </c>
      <c r="F11" s="15" t="n">
        <f aca="false">E11/D11</f>
        <v>0.489025012761613</v>
      </c>
      <c r="G11" s="14" t="n">
        <v>80</v>
      </c>
      <c r="H11" s="14" t="n">
        <v>69</v>
      </c>
      <c r="I11" s="14" t="n">
        <v>202</v>
      </c>
      <c r="J11" s="14" t="n">
        <v>356</v>
      </c>
      <c r="K11" s="14" t="n">
        <v>227</v>
      </c>
      <c r="L11" s="14" t="n">
        <v>24</v>
      </c>
      <c r="M11" s="14" t="n">
        <v>1001</v>
      </c>
    </row>
    <row r="12" customFormat="false" ht="15" hidden="false" customHeight="true" outlineLevel="0" collapsed="false">
      <c r="A12" s="13" t="n">
        <v>2024</v>
      </c>
      <c r="B12" s="13" t="s">
        <v>958</v>
      </c>
      <c r="C12" s="13" t="s">
        <v>192</v>
      </c>
      <c r="D12" s="14" t="n">
        <v>8101</v>
      </c>
      <c r="E12" s="14" t="n">
        <v>5484</v>
      </c>
      <c r="F12" s="15" t="n">
        <f aca="false">E12/D12</f>
        <v>0.67695346253549</v>
      </c>
      <c r="G12" s="14" t="n">
        <v>643</v>
      </c>
      <c r="H12" s="14" t="n">
        <v>1092</v>
      </c>
      <c r="I12" s="14" t="n">
        <v>1792</v>
      </c>
      <c r="J12" s="14" t="n">
        <v>1552</v>
      </c>
      <c r="K12" s="14" t="n">
        <v>379</v>
      </c>
      <c r="L12" s="14" t="n">
        <v>26</v>
      </c>
      <c r="M12" s="14" t="n">
        <v>2617</v>
      </c>
    </row>
    <row r="13" customFormat="false" ht="15" hidden="false" customHeight="true" outlineLevel="0" collapsed="false">
      <c r="A13" s="13" t="n">
        <v>2024</v>
      </c>
      <c r="B13" s="13" t="s">
        <v>959</v>
      </c>
      <c r="C13" s="13" t="s">
        <v>956</v>
      </c>
      <c r="D13" s="14" t="n">
        <v>3087</v>
      </c>
      <c r="E13" s="14" t="n">
        <v>1926</v>
      </c>
      <c r="F13" s="15" t="n">
        <f aca="false">E13/D13</f>
        <v>0.623906705539359</v>
      </c>
      <c r="G13" s="14" t="n">
        <v>28</v>
      </c>
      <c r="H13" s="14" t="n">
        <v>283</v>
      </c>
      <c r="I13" s="14" t="n">
        <v>777</v>
      </c>
      <c r="J13" s="14" t="n">
        <v>716</v>
      </c>
      <c r="K13" s="14" t="n">
        <v>121</v>
      </c>
      <c r="L13" s="14" t="n">
        <v>1</v>
      </c>
      <c r="M13" s="14" t="n">
        <v>1161</v>
      </c>
    </row>
    <row r="14" customFormat="false" ht="15" hidden="false" customHeight="true" outlineLevel="0" collapsed="false">
      <c r="A14" s="13" t="n">
        <v>2024</v>
      </c>
      <c r="B14" s="13" t="s">
        <v>959</v>
      </c>
      <c r="C14" s="13" t="s">
        <v>957</v>
      </c>
      <c r="D14" s="14" t="n">
        <v>3783</v>
      </c>
      <c r="E14" s="14" t="n">
        <v>2998</v>
      </c>
      <c r="F14" s="15" t="n">
        <f aca="false">E14/D14</f>
        <v>0.792492730637061</v>
      </c>
      <c r="G14" s="14" t="n">
        <v>483</v>
      </c>
      <c r="H14" s="14" t="n">
        <v>757</v>
      </c>
      <c r="I14" s="14" t="n">
        <v>977</v>
      </c>
      <c r="J14" s="14" t="n">
        <v>688</v>
      </c>
      <c r="K14" s="14" t="n">
        <v>93</v>
      </c>
      <c r="L14" s="14" t="n">
        <v>0</v>
      </c>
      <c r="M14" s="14" t="n">
        <v>785</v>
      </c>
    </row>
    <row r="15" customFormat="false" ht="15" hidden="false" customHeight="true" outlineLevel="0" collapsed="false">
      <c r="A15" s="13" t="n">
        <v>2024</v>
      </c>
      <c r="B15" s="13" t="s">
        <v>959</v>
      </c>
      <c r="C15" s="13" t="s">
        <v>125</v>
      </c>
      <c r="D15" s="14" t="n">
        <v>1949</v>
      </c>
      <c r="E15" s="14" t="n">
        <v>767</v>
      </c>
      <c r="F15" s="15" t="n">
        <f aca="false">E15/D15</f>
        <v>0.393535146228835</v>
      </c>
      <c r="G15" s="14" t="n">
        <v>81</v>
      </c>
      <c r="H15" s="14" t="n">
        <v>48</v>
      </c>
      <c r="I15" s="14" t="n">
        <v>140</v>
      </c>
      <c r="J15" s="14" t="n">
        <v>296</v>
      </c>
      <c r="K15" s="14" t="n">
        <v>196</v>
      </c>
      <c r="L15" s="14" t="n">
        <v>6</v>
      </c>
      <c r="M15" s="14" t="n">
        <v>1182</v>
      </c>
    </row>
    <row r="16" customFormat="false" ht="15" hidden="false" customHeight="true" outlineLevel="0" collapsed="false">
      <c r="A16" s="13" t="n">
        <v>2024</v>
      </c>
      <c r="B16" s="13" t="s">
        <v>959</v>
      </c>
      <c r="C16" s="13" t="s">
        <v>192</v>
      </c>
      <c r="D16" s="14" t="n">
        <v>8819</v>
      </c>
      <c r="E16" s="14" t="n">
        <v>5691</v>
      </c>
      <c r="F16" s="15" t="n">
        <f aca="false">E16/D16</f>
        <v>0.645311259780021</v>
      </c>
      <c r="G16" s="14" t="n">
        <v>592</v>
      </c>
      <c r="H16" s="14" t="n">
        <v>1088</v>
      </c>
      <c r="I16" s="14" t="n">
        <v>1894</v>
      </c>
      <c r="J16" s="14" t="n">
        <v>1700</v>
      </c>
      <c r="K16" s="14" t="n">
        <v>410</v>
      </c>
      <c r="L16" s="14" t="n">
        <v>7</v>
      </c>
      <c r="M16" s="14" t="n">
        <v>3128</v>
      </c>
    </row>
    <row r="17" customFormat="false" ht="15" hidden="false" customHeight="true" outlineLevel="0" collapsed="false">
      <c r="A17" s="13" t="n">
        <v>2024</v>
      </c>
      <c r="B17" s="13" t="s">
        <v>55</v>
      </c>
      <c r="C17" s="13" t="s">
        <v>956</v>
      </c>
      <c r="D17" s="14" t="n">
        <v>8176</v>
      </c>
      <c r="E17" s="14" t="n">
        <v>5512</v>
      </c>
      <c r="F17" s="15" t="n">
        <f aca="false">E17/D17</f>
        <v>0.674168297455969</v>
      </c>
      <c r="G17" s="14" t="n">
        <v>193</v>
      </c>
      <c r="H17" s="14" t="n">
        <v>1055</v>
      </c>
      <c r="I17" s="14" t="n">
        <v>2136</v>
      </c>
      <c r="J17" s="14" t="n">
        <v>1834</v>
      </c>
      <c r="K17" s="14" t="n">
        <v>294</v>
      </c>
      <c r="L17" s="14" t="n">
        <v>0</v>
      </c>
      <c r="M17" s="14" t="n">
        <v>2664</v>
      </c>
    </row>
    <row r="18" customFormat="false" ht="15" hidden="false" customHeight="true" outlineLevel="0" collapsed="false">
      <c r="A18" s="13" t="n">
        <v>2024</v>
      </c>
      <c r="B18" s="13" t="s">
        <v>55</v>
      </c>
      <c r="C18" s="13" t="s">
        <v>957</v>
      </c>
      <c r="D18" s="14" t="n">
        <v>12896</v>
      </c>
      <c r="E18" s="14" t="n">
        <v>10507</v>
      </c>
      <c r="F18" s="15" t="n">
        <f aca="false">E18/D18</f>
        <v>0.814748759305211</v>
      </c>
      <c r="G18" s="14" t="n">
        <v>2058</v>
      </c>
      <c r="H18" s="14" t="n">
        <v>2826</v>
      </c>
      <c r="I18" s="14" t="n">
        <v>3202</v>
      </c>
      <c r="J18" s="14" t="n">
        <v>2106</v>
      </c>
      <c r="K18" s="14" t="n">
        <v>312</v>
      </c>
      <c r="L18" s="14" t="n">
        <v>3</v>
      </c>
      <c r="M18" s="14" t="n">
        <v>2389</v>
      </c>
    </row>
    <row r="19" customFormat="false" ht="15" hidden="false" customHeight="true" outlineLevel="0" collapsed="false">
      <c r="A19" s="13" t="n">
        <v>2024</v>
      </c>
      <c r="B19" s="13" t="s">
        <v>55</v>
      </c>
      <c r="C19" s="13" t="s">
        <v>125</v>
      </c>
      <c r="D19" s="14" t="n">
        <v>5183</v>
      </c>
      <c r="E19" s="14" t="n">
        <v>2464</v>
      </c>
      <c r="F19" s="15" t="n">
        <f aca="false">E19/D19</f>
        <v>0.475400347289215</v>
      </c>
      <c r="G19" s="14" t="n">
        <v>264</v>
      </c>
      <c r="H19" s="14" t="n">
        <v>274</v>
      </c>
      <c r="I19" s="14" t="n">
        <v>527</v>
      </c>
      <c r="J19" s="14" t="n">
        <v>782</v>
      </c>
      <c r="K19" s="14" t="n">
        <v>584</v>
      </c>
      <c r="L19" s="14" t="n">
        <v>33</v>
      </c>
      <c r="M19" s="14" t="n">
        <v>2719</v>
      </c>
    </row>
    <row r="20" customFormat="false" ht="15" hidden="false" customHeight="true" outlineLevel="0" collapsed="false">
      <c r="A20" s="13" t="n">
        <v>2024</v>
      </c>
      <c r="B20" s="13" t="s">
        <v>55</v>
      </c>
      <c r="C20" s="13" t="s">
        <v>192</v>
      </c>
      <c r="D20" s="14" t="n">
        <v>26255</v>
      </c>
      <c r="E20" s="14" t="n">
        <v>18483</v>
      </c>
      <c r="F20" s="15" t="n">
        <f aca="false">E20/D20</f>
        <v>0.703980194248715</v>
      </c>
      <c r="G20" s="14" t="n">
        <v>2515</v>
      </c>
      <c r="H20" s="14" t="n">
        <v>4155</v>
      </c>
      <c r="I20" s="14" t="n">
        <v>5865</v>
      </c>
      <c r="J20" s="14" t="n">
        <v>4722</v>
      </c>
      <c r="K20" s="14" t="n">
        <v>1190</v>
      </c>
      <c r="L20" s="14" t="n">
        <v>36</v>
      </c>
      <c r="M20" s="14" t="n">
        <v>7772</v>
      </c>
    </row>
    <row r="21" customFormat="false" ht="15" hidden="false" customHeight="true" outlineLevel="0" collapsed="false">
      <c r="A21" s="13" t="n">
        <v>2024</v>
      </c>
      <c r="B21" s="13" t="s">
        <v>195</v>
      </c>
      <c r="C21" s="13" t="s">
        <v>956</v>
      </c>
      <c r="D21" s="14" t="n">
        <v>18817</v>
      </c>
      <c r="E21" s="14" t="n">
        <v>12417</v>
      </c>
      <c r="F21" s="15" t="n">
        <f aca="false">E21/D21</f>
        <v>0.659882021576234</v>
      </c>
      <c r="G21" s="14" t="n">
        <v>536</v>
      </c>
      <c r="H21" s="14" t="n">
        <v>2378</v>
      </c>
      <c r="I21" s="14" t="n">
        <v>4885</v>
      </c>
      <c r="J21" s="14" t="n">
        <v>4007</v>
      </c>
      <c r="K21" s="14" t="n">
        <v>606</v>
      </c>
      <c r="L21" s="14" t="n">
        <v>5</v>
      </c>
      <c r="M21" s="14" t="n">
        <v>6400</v>
      </c>
    </row>
    <row r="22" customFormat="false" ht="15" hidden="false" customHeight="true" outlineLevel="0" collapsed="false">
      <c r="A22" s="13" t="n">
        <v>2024</v>
      </c>
      <c r="B22" s="13" t="s">
        <v>195</v>
      </c>
      <c r="C22" s="13" t="s">
        <v>957</v>
      </c>
      <c r="D22" s="14" t="n">
        <v>22219</v>
      </c>
      <c r="E22" s="14" t="n">
        <v>17980</v>
      </c>
      <c r="F22" s="15" t="n">
        <f aca="false">E22/D22</f>
        <v>0.809217336513795</v>
      </c>
      <c r="G22" s="14" t="n">
        <v>3475</v>
      </c>
      <c r="H22" s="14" t="n">
        <v>4790</v>
      </c>
      <c r="I22" s="14" t="n">
        <v>5553</v>
      </c>
      <c r="J22" s="14" t="n">
        <v>3668</v>
      </c>
      <c r="K22" s="14" t="n">
        <v>491</v>
      </c>
      <c r="L22" s="14" t="n">
        <v>3</v>
      </c>
      <c r="M22" s="14" t="n">
        <v>4239</v>
      </c>
    </row>
    <row r="23" customFormat="false" ht="15" hidden="false" customHeight="true" outlineLevel="0" collapsed="false">
      <c r="A23" s="13" t="n">
        <v>2024</v>
      </c>
      <c r="B23" s="13" t="s">
        <v>195</v>
      </c>
      <c r="C23" s="13" t="s">
        <v>125</v>
      </c>
      <c r="D23" s="14" t="n">
        <v>11303</v>
      </c>
      <c r="E23" s="14" t="n">
        <v>5177</v>
      </c>
      <c r="F23" s="15" t="n">
        <f aca="false">E23/D23</f>
        <v>0.458019994691675</v>
      </c>
      <c r="G23" s="14" t="n">
        <v>577</v>
      </c>
      <c r="H23" s="14" t="n">
        <v>500</v>
      </c>
      <c r="I23" s="14" t="n">
        <v>1104</v>
      </c>
      <c r="J23" s="14" t="n">
        <v>1770</v>
      </c>
      <c r="K23" s="14" t="n">
        <v>1157</v>
      </c>
      <c r="L23" s="14" t="n">
        <v>69</v>
      </c>
      <c r="M23" s="14" t="n">
        <v>6126</v>
      </c>
    </row>
    <row r="24" customFormat="false" ht="15" hidden="false" customHeight="true" outlineLevel="0" collapsed="false">
      <c r="A24" s="13" t="n">
        <v>2024</v>
      </c>
      <c r="B24" s="13" t="s">
        <v>195</v>
      </c>
      <c r="C24" s="13" t="s">
        <v>192</v>
      </c>
      <c r="D24" s="14" t="n">
        <v>52339</v>
      </c>
      <c r="E24" s="14" t="n">
        <v>35574</v>
      </c>
      <c r="F24" s="15" t="n">
        <f aca="false">E24/D24</f>
        <v>0.679684365387187</v>
      </c>
      <c r="G24" s="14" t="n">
        <v>4588</v>
      </c>
      <c r="H24" s="14" t="n">
        <v>7668</v>
      </c>
      <c r="I24" s="14" t="n">
        <v>11542</v>
      </c>
      <c r="J24" s="14" t="n">
        <v>9445</v>
      </c>
      <c r="K24" s="14" t="n">
        <v>2254</v>
      </c>
      <c r="L24" s="14" t="n">
        <v>77</v>
      </c>
      <c r="M24" s="14" t="n">
        <v>16765</v>
      </c>
    </row>
    <row r="25" customFormat="false" ht="15" hidden="false" customHeight="true" outlineLevel="0" collapsed="false">
      <c r="A25" s="13" t="n">
        <v>2025</v>
      </c>
      <c r="B25" s="13" t="s">
        <v>955</v>
      </c>
      <c r="C25" s="13" t="s">
        <v>956</v>
      </c>
      <c r="D25" s="14" t="n">
        <v>4611</v>
      </c>
      <c r="E25" s="14" t="n">
        <v>3154</v>
      </c>
      <c r="F25" s="15" t="n">
        <f aca="false">E25/D25</f>
        <v>0.684016482324875</v>
      </c>
      <c r="G25" s="14" t="n">
        <v>253</v>
      </c>
      <c r="H25" s="14" t="n">
        <v>750</v>
      </c>
      <c r="I25" s="14" t="n">
        <v>1184</v>
      </c>
      <c r="J25" s="14" t="n">
        <v>843</v>
      </c>
      <c r="K25" s="14" t="n">
        <v>123</v>
      </c>
      <c r="L25" s="14" t="n">
        <v>1</v>
      </c>
      <c r="M25" s="14" t="n">
        <v>1457</v>
      </c>
    </row>
    <row r="26" customFormat="false" ht="15" hidden="false" customHeight="true" outlineLevel="0" collapsed="false">
      <c r="A26" s="13" t="n">
        <v>2025</v>
      </c>
      <c r="B26" s="13" t="s">
        <v>955</v>
      </c>
      <c r="C26" s="13" t="s">
        <v>957</v>
      </c>
      <c r="D26" s="14" t="n">
        <v>2151</v>
      </c>
      <c r="E26" s="14" t="n">
        <v>1737</v>
      </c>
      <c r="F26" s="15" t="n">
        <f aca="false">E26/D26</f>
        <v>0.807531380753138</v>
      </c>
      <c r="G26" s="14" t="n">
        <v>385</v>
      </c>
      <c r="H26" s="14" t="n">
        <v>537</v>
      </c>
      <c r="I26" s="14" t="n">
        <v>510</v>
      </c>
      <c r="J26" s="14" t="n">
        <v>277</v>
      </c>
      <c r="K26" s="14" t="n">
        <v>28</v>
      </c>
      <c r="L26" s="14" t="n">
        <v>0</v>
      </c>
      <c r="M26" s="14" t="n">
        <v>414</v>
      </c>
    </row>
    <row r="27" customFormat="false" ht="15" hidden="false" customHeight="true" outlineLevel="0" collapsed="false">
      <c r="A27" s="13" t="n">
        <v>2025</v>
      </c>
      <c r="B27" s="13" t="s">
        <v>955</v>
      </c>
      <c r="C27" s="13" t="s">
        <v>125</v>
      </c>
      <c r="D27" s="14" t="n">
        <v>2009</v>
      </c>
      <c r="E27" s="14" t="n">
        <v>990</v>
      </c>
      <c r="F27" s="15" t="n">
        <f aca="false">E27/D27</f>
        <v>0.492782478845197</v>
      </c>
      <c r="G27" s="14" t="n">
        <v>192</v>
      </c>
      <c r="H27" s="14" t="n">
        <v>109</v>
      </c>
      <c r="I27" s="14" t="n">
        <v>216</v>
      </c>
      <c r="J27" s="14" t="n">
        <v>350</v>
      </c>
      <c r="K27" s="14" t="n">
        <v>117</v>
      </c>
      <c r="L27" s="14" t="n">
        <v>5</v>
      </c>
      <c r="M27" s="14" t="n">
        <v>1019</v>
      </c>
    </row>
    <row r="28" customFormat="false" ht="15" hidden="false" customHeight="true" outlineLevel="0" collapsed="false">
      <c r="A28" s="13" t="n">
        <v>2025</v>
      </c>
      <c r="B28" s="13" t="s">
        <v>955</v>
      </c>
      <c r="C28" s="13" t="s">
        <v>192</v>
      </c>
      <c r="D28" s="14" t="n">
        <v>8771</v>
      </c>
      <c r="E28" s="14" t="n">
        <v>5881</v>
      </c>
      <c r="F28" s="15" t="n">
        <f aca="false">E28/D28</f>
        <v>0.670505073537795</v>
      </c>
      <c r="G28" s="14" t="n">
        <v>830</v>
      </c>
      <c r="H28" s="14" t="n">
        <v>1396</v>
      </c>
      <c r="I28" s="14" t="n">
        <v>1910</v>
      </c>
      <c r="J28" s="14" t="n">
        <v>1470</v>
      </c>
      <c r="K28" s="14" t="n">
        <v>268</v>
      </c>
      <c r="L28" s="14" t="n">
        <v>6</v>
      </c>
      <c r="M28" s="14" t="n">
        <v>2890</v>
      </c>
    </row>
    <row r="29" customFormat="false" ht="15" hidden="false" customHeight="true" outlineLevel="0" collapsed="false">
      <c r="A29" s="13" t="n">
        <v>2025</v>
      </c>
      <c r="B29" s="13" t="s">
        <v>958</v>
      </c>
      <c r="C29" s="13" t="s">
        <v>956</v>
      </c>
      <c r="D29" s="14" t="n">
        <v>2478</v>
      </c>
      <c r="E29" s="14" t="n">
        <v>1673</v>
      </c>
      <c r="F29" s="15" t="n">
        <f aca="false">E29/D29</f>
        <v>0.675141242937853</v>
      </c>
      <c r="G29" s="14" t="n">
        <v>65</v>
      </c>
      <c r="H29" s="14" t="n">
        <v>354</v>
      </c>
      <c r="I29" s="14" t="n">
        <v>697</v>
      </c>
      <c r="J29" s="14" t="n">
        <v>459</v>
      </c>
      <c r="K29" s="14" t="n">
        <v>98</v>
      </c>
      <c r="L29" s="14" t="n">
        <v>0</v>
      </c>
      <c r="M29" s="14" t="n">
        <v>805</v>
      </c>
    </row>
    <row r="30" customFormat="false" ht="15" hidden="false" customHeight="true" outlineLevel="0" collapsed="false">
      <c r="A30" s="13" t="n">
        <v>2025</v>
      </c>
      <c r="B30" s="13" t="s">
        <v>958</v>
      </c>
      <c r="C30" s="13" t="s">
        <v>957</v>
      </c>
      <c r="D30" s="14" t="n">
        <v>3262</v>
      </c>
      <c r="E30" s="14" t="n">
        <v>2649</v>
      </c>
      <c r="F30" s="15" t="n">
        <f aca="false">E30/D30</f>
        <v>0.812078479460454</v>
      </c>
      <c r="G30" s="14" t="n">
        <v>455</v>
      </c>
      <c r="H30" s="14" t="n">
        <v>728</v>
      </c>
      <c r="I30" s="14" t="n">
        <v>870</v>
      </c>
      <c r="J30" s="14" t="n">
        <v>535</v>
      </c>
      <c r="K30" s="14" t="n">
        <v>61</v>
      </c>
      <c r="L30" s="14" t="n">
        <v>0</v>
      </c>
      <c r="M30" s="14" t="n">
        <v>613</v>
      </c>
    </row>
    <row r="31" customFormat="false" ht="15" hidden="false" customHeight="true" outlineLevel="0" collapsed="false">
      <c r="A31" s="13" t="n">
        <v>2025</v>
      </c>
      <c r="B31" s="13" t="s">
        <v>958</v>
      </c>
      <c r="C31" s="13" t="s">
        <v>125</v>
      </c>
      <c r="D31" s="14" t="n">
        <v>1612</v>
      </c>
      <c r="E31" s="14" t="n">
        <v>821</v>
      </c>
      <c r="F31" s="15" t="n">
        <f aca="false">E31/D31</f>
        <v>0.509305210918114</v>
      </c>
      <c r="G31" s="14" t="n">
        <v>104</v>
      </c>
      <c r="H31" s="14" t="n">
        <v>78</v>
      </c>
      <c r="I31" s="14" t="n">
        <v>203</v>
      </c>
      <c r="J31" s="14" t="n">
        <v>314</v>
      </c>
      <c r="K31" s="14" t="n">
        <v>118</v>
      </c>
      <c r="L31" s="14" t="n">
        <v>4</v>
      </c>
      <c r="M31" s="14" t="n">
        <v>791</v>
      </c>
    </row>
    <row r="32" customFormat="false" ht="15" hidden="false" customHeight="true" outlineLevel="0" collapsed="false">
      <c r="A32" s="13" t="n">
        <v>2025</v>
      </c>
      <c r="B32" s="13" t="s">
        <v>958</v>
      </c>
      <c r="C32" s="13" t="s">
        <v>192</v>
      </c>
      <c r="D32" s="14" t="n">
        <v>7352</v>
      </c>
      <c r="E32" s="14" t="n">
        <v>5143</v>
      </c>
      <c r="F32" s="15" t="n">
        <f aca="false">E32/D32</f>
        <v>0.699537540805223</v>
      </c>
      <c r="G32" s="14" t="n">
        <v>624</v>
      </c>
      <c r="H32" s="14" t="n">
        <v>1160</v>
      </c>
      <c r="I32" s="14" t="n">
        <v>1770</v>
      </c>
      <c r="J32" s="14" t="n">
        <v>1308</v>
      </c>
      <c r="K32" s="14" t="n">
        <v>277</v>
      </c>
      <c r="L32" s="14" t="n">
        <v>4</v>
      </c>
      <c r="M32" s="14" t="n">
        <v>2209</v>
      </c>
    </row>
    <row r="33" customFormat="false" ht="15" hidden="false" customHeight="true" outlineLevel="0" collapsed="false">
      <c r="A33" s="13" t="n">
        <v>2025</v>
      </c>
      <c r="B33" s="13" t="s">
        <v>959</v>
      </c>
      <c r="C33" s="13" t="s">
        <v>956</v>
      </c>
      <c r="D33" s="14" t="n">
        <v>3020</v>
      </c>
      <c r="E33" s="14" t="n">
        <v>1797</v>
      </c>
      <c r="F33" s="15" t="n">
        <f aca="false">E33/D33</f>
        <v>0.595033112582782</v>
      </c>
      <c r="G33" s="14" t="n">
        <v>36</v>
      </c>
      <c r="H33" s="14" t="n">
        <v>279</v>
      </c>
      <c r="I33" s="14" t="n">
        <v>679</v>
      </c>
      <c r="J33" s="14" t="n">
        <v>670</v>
      </c>
      <c r="K33" s="14" t="n">
        <v>132</v>
      </c>
      <c r="L33" s="14" t="n">
        <v>1</v>
      </c>
      <c r="M33" s="14" t="n">
        <v>1223</v>
      </c>
    </row>
    <row r="34" customFormat="false" ht="15" hidden="false" customHeight="true" outlineLevel="0" collapsed="false">
      <c r="A34" s="13" t="n">
        <v>2025</v>
      </c>
      <c r="B34" s="13" t="s">
        <v>959</v>
      </c>
      <c r="C34" s="13" t="s">
        <v>957</v>
      </c>
      <c r="D34" s="14" t="n">
        <v>3904</v>
      </c>
      <c r="E34" s="14" t="n">
        <v>3085</v>
      </c>
      <c r="F34" s="15" t="n">
        <f aca="false">E34/D34</f>
        <v>0.790215163934426</v>
      </c>
      <c r="G34" s="14" t="n">
        <v>514</v>
      </c>
      <c r="H34" s="14" t="n">
        <v>789</v>
      </c>
      <c r="I34" s="14" t="n">
        <v>956</v>
      </c>
      <c r="J34" s="14" t="n">
        <v>703</v>
      </c>
      <c r="K34" s="14" t="n">
        <v>123</v>
      </c>
      <c r="L34" s="14" t="n">
        <v>0</v>
      </c>
      <c r="M34" s="14" t="n">
        <v>819</v>
      </c>
    </row>
    <row r="35" customFormat="false" ht="15" hidden="false" customHeight="true" outlineLevel="0" collapsed="false">
      <c r="A35" s="13" t="n">
        <v>2025</v>
      </c>
      <c r="B35" s="13" t="s">
        <v>959</v>
      </c>
      <c r="C35" s="13" t="s">
        <v>125</v>
      </c>
      <c r="D35" s="14" t="n">
        <v>1703</v>
      </c>
      <c r="E35" s="14" t="n">
        <v>750</v>
      </c>
      <c r="F35" s="15" t="n">
        <f aca="false">E35/D35</f>
        <v>0.440399295361127</v>
      </c>
      <c r="G35" s="14" t="n">
        <v>101</v>
      </c>
      <c r="H35" s="14" t="n">
        <v>53</v>
      </c>
      <c r="I35" s="14" t="n">
        <v>164</v>
      </c>
      <c r="J35" s="14" t="n">
        <v>290</v>
      </c>
      <c r="K35" s="14" t="n">
        <v>140</v>
      </c>
      <c r="L35" s="14" t="n">
        <v>2</v>
      </c>
      <c r="M35" s="14" t="n">
        <v>953</v>
      </c>
    </row>
    <row r="36" customFormat="false" ht="15" hidden="false" customHeight="true" outlineLevel="0" collapsed="false">
      <c r="A36" s="13" t="n">
        <v>2025</v>
      </c>
      <c r="B36" s="13" t="s">
        <v>959</v>
      </c>
      <c r="C36" s="13" t="s">
        <v>192</v>
      </c>
      <c r="D36" s="14" t="n">
        <v>8627</v>
      </c>
      <c r="E36" s="14" t="n">
        <v>5632</v>
      </c>
      <c r="F36" s="15" t="n">
        <f aca="false">E36/D36</f>
        <v>0.652834125420192</v>
      </c>
      <c r="G36" s="14" t="n">
        <v>651</v>
      </c>
      <c r="H36" s="14" t="n">
        <v>1121</v>
      </c>
      <c r="I36" s="14" t="n">
        <v>1799</v>
      </c>
      <c r="J36" s="14" t="n">
        <v>1663</v>
      </c>
      <c r="K36" s="14" t="n">
        <v>395</v>
      </c>
      <c r="L36" s="14" t="n">
        <v>3</v>
      </c>
      <c r="M36" s="14" t="n">
        <v>2995</v>
      </c>
    </row>
    <row r="37" customFormat="false" ht="15" hidden="false" customHeight="true" outlineLevel="0" collapsed="false">
      <c r="A37" s="13" t="n">
        <v>2025</v>
      </c>
      <c r="B37" s="13" t="s">
        <v>55</v>
      </c>
      <c r="C37" s="13" t="s">
        <v>956</v>
      </c>
      <c r="D37" s="14" t="n">
        <v>7829</v>
      </c>
      <c r="E37" s="14" t="n">
        <v>5389</v>
      </c>
      <c r="F37" s="15" t="n">
        <f aca="false">E37/D37</f>
        <v>0.68833822965896</v>
      </c>
      <c r="G37" s="14" t="n">
        <v>178</v>
      </c>
      <c r="H37" s="14" t="n">
        <v>1145</v>
      </c>
      <c r="I37" s="14" t="n">
        <v>2204</v>
      </c>
      <c r="J37" s="14" t="n">
        <v>1585</v>
      </c>
      <c r="K37" s="14" t="n">
        <v>276</v>
      </c>
      <c r="L37" s="14" t="n">
        <v>1</v>
      </c>
      <c r="M37" s="14" t="n">
        <v>2440</v>
      </c>
    </row>
    <row r="38" customFormat="false" ht="15" hidden="false" customHeight="true" outlineLevel="0" collapsed="false">
      <c r="A38" s="13" t="n">
        <v>2025</v>
      </c>
      <c r="B38" s="13" t="s">
        <v>55</v>
      </c>
      <c r="C38" s="13" t="s">
        <v>957</v>
      </c>
      <c r="D38" s="14" t="n">
        <v>12704</v>
      </c>
      <c r="E38" s="14" t="n">
        <v>9973</v>
      </c>
      <c r="F38" s="15" t="n">
        <f aca="false">E38/D38</f>
        <v>0.785028337531486</v>
      </c>
      <c r="G38" s="14" t="n">
        <v>1817</v>
      </c>
      <c r="H38" s="14" t="n">
        <v>2732</v>
      </c>
      <c r="I38" s="14" t="n">
        <v>3097</v>
      </c>
      <c r="J38" s="14" t="n">
        <v>1937</v>
      </c>
      <c r="K38" s="14" t="n">
        <v>388</v>
      </c>
      <c r="L38" s="14" t="n">
        <v>2</v>
      </c>
      <c r="M38" s="14" t="n">
        <v>2731</v>
      </c>
    </row>
    <row r="39" customFormat="false" ht="15" hidden="false" customHeight="true" outlineLevel="0" collapsed="false">
      <c r="A39" s="13" t="n">
        <v>2025</v>
      </c>
      <c r="B39" s="13" t="s">
        <v>55</v>
      </c>
      <c r="C39" s="13" t="s">
        <v>125</v>
      </c>
      <c r="D39" s="14" t="n">
        <v>4653</v>
      </c>
      <c r="E39" s="14" t="n">
        <v>2348</v>
      </c>
      <c r="F39" s="15" t="n">
        <f aca="false">E39/D39</f>
        <v>0.504620674833441</v>
      </c>
      <c r="G39" s="14" t="n">
        <v>322</v>
      </c>
      <c r="H39" s="14" t="n">
        <v>251</v>
      </c>
      <c r="I39" s="14" t="n">
        <v>474</v>
      </c>
      <c r="J39" s="14" t="n">
        <v>791</v>
      </c>
      <c r="K39" s="14" t="n">
        <v>487</v>
      </c>
      <c r="L39" s="14" t="n">
        <v>23</v>
      </c>
      <c r="M39" s="14" t="n">
        <v>2305</v>
      </c>
    </row>
    <row r="40" customFormat="false" ht="15" hidden="false" customHeight="true" outlineLevel="0" collapsed="false">
      <c r="A40" s="13" t="n">
        <v>2025</v>
      </c>
      <c r="B40" s="13" t="s">
        <v>55</v>
      </c>
      <c r="C40" s="13" t="s">
        <v>192</v>
      </c>
      <c r="D40" s="14" t="n">
        <v>25186</v>
      </c>
      <c r="E40" s="14" t="n">
        <v>17710</v>
      </c>
      <c r="F40" s="15" t="n">
        <f aca="false">E40/D40</f>
        <v>0.703168426903836</v>
      </c>
      <c r="G40" s="14" t="n">
        <v>2317</v>
      </c>
      <c r="H40" s="14" t="n">
        <v>4128</v>
      </c>
      <c r="I40" s="14" t="n">
        <v>5775</v>
      </c>
      <c r="J40" s="14" t="n">
        <v>4313</v>
      </c>
      <c r="K40" s="14" t="n">
        <v>1151</v>
      </c>
      <c r="L40" s="14" t="n">
        <v>26</v>
      </c>
      <c r="M40" s="14" t="n">
        <v>7476</v>
      </c>
    </row>
    <row r="41" customFormat="false" ht="15" hidden="false" customHeight="true" outlineLevel="0" collapsed="false">
      <c r="A41" s="13" t="n">
        <v>2025</v>
      </c>
      <c r="B41" s="13" t="s">
        <v>195</v>
      </c>
      <c r="C41" s="13" t="s">
        <v>956</v>
      </c>
      <c r="D41" s="14" t="n">
        <v>17938</v>
      </c>
      <c r="E41" s="14" t="n">
        <v>12013</v>
      </c>
      <c r="F41" s="15" t="n">
        <f aca="false">E41/D41</f>
        <v>0.669695618240607</v>
      </c>
      <c r="G41" s="14" t="n">
        <v>532</v>
      </c>
      <c r="H41" s="14" t="n">
        <v>2528</v>
      </c>
      <c r="I41" s="14" t="n">
        <v>4764</v>
      </c>
      <c r="J41" s="14" t="n">
        <v>3557</v>
      </c>
      <c r="K41" s="14" t="n">
        <v>629</v>
      </c>
      <c r="L41" s="14" t="n">
        <v>3</v>
      </c>
      <c r="M41" s="14" t="n">
        <v>5925</v>
      </c>
    </row>
    <row r="42" customFormat="false" ht="15" hidden="false" customHeight="true" outlineLevel="0" collapsed="false">
      <c r="A42" s="13" t="n">
        <v>2025</v>
      </c>
      <c r="B42" s="13" t="s">
        <v>195</v>
      </c>
      <c r="C42" s="13" t="s">
        <v>957</v>
      </c>
      <c r="D42" s="14" t="n">
        <v>22021</v>
      </c>
      <c r="E42" s="14" t="n">
        <v>17444</v>
      </c>
      <c r="F42" s="15" t="n">
        <f aca="false">E42/D42</f>
        <v>0.792152944916216</v>
      </c>
      <c r="G42" s="14" t="n">
        <v>3171</v>
      </c>
      <c r="H42" s="14" t="n">
        <v>4786</v>
      </c>
      <c r="I42" s="14" t="n">
        <v>5433</v>
      </c>
      <c r="J42" s="14" t="n">
        <v>3452</v>
      </c>
      <c r="K42" s="14" t="n">
        <v>600</v>
      </c>
      <c r="L42" s="14" t="n">
        <v>2</v>
      </c>
      <c r="M42" s="14" t="n">
        <v>4577</v>
      </c>
    </row>
    <row r="43" customFormat="false" ht="15" hidden="false" customHeight="true" outlineLevel="0" collapsed="false">
      <c r="A43" s="13" t="n">
        <v>2025</v>
      </c>
      <c r="B43" s="13" t="s">
        <v>195</v>
      </c>
      <c r="C43" s="13" t="s">
        <v>125</v>
      </c>
      <c r="D43" s="14" t="n">
        <v>9977</v>
      </c>
      <c r="E43" s="14" t="n">
        <v>4909</v>
      </c>
      <c r="F43" s="15" t="n">
        <f aca="false">E43/D43</f>
        <v>0.492031672847549</v>
      </c>
      <c r="G43" s="14" t="n">
        <v>719</v>
      </c>
      <c r="H43" s="14" t="n">
        <v>491</v>
      </c>
      <c r="I43" s="14" t="n">
        <v>1057</v>
      </c>
      <c r="J43" s="14" t="n">
        <v>1745</v>
      </c>
      <c r="K43" s="14" t="n">
        <v>862</v>
      </c>
      <c r="L43" s="14" t="n">
        <v>34</v>
      </c>
      <c r="M43" s="14" t="n">
        <v>5068</v>
      </c>
    </row>
    <row r="44" customFormat="false" ht="15" hidden="false" customHeight="true" outlineLevel="0" collapsed="false">
      <c r="A44" s="13" t="n">
        <v>2025</v>
      </c>
      <c r="B44" s="13" t="s">
        <v>195</v>
      </c>
      <c r="C44" s="13" t="s">
        <v>192</v>
      </c>
      <c r="D44" s="14" t="n">
        <v>49936</v>
      </c>
      <c r="E44" s="14" t="n">
        <v>34366</v>
      </c>
      <c r="F44" s="15" t="n">
        <f aca="false">E44/D44</f>
        <v>0.68820089714835</v>
      </c>
      <c r="G44" s="14" t="n">
        <v>4422</v>
      </c>
      <c r="H44" s="14" t="n">
        <v>7805</v>
      </c>
      <c r="I44" s="14" t="n">
        <v>11254</v>
      </c>
      <c r="J44" s="14" t="n">
        <v>8754</v>
      </c>
      <c r="K44" s="14" t="n">
        <v>2091</v>
      </c>
      <c r="L44" s="14" t="n">
        <v>39</v>
      </c>
      <c r="M44" s="14" t="n">
        <v>15570</v>
      </c>
    </row>
    <row r="45" customFormat="false" ht="15" hidden="false" customHeight="true" outlineLevel="0" collapsed="false">
      <c r="A45" s="13" t="n">
        <v>2026</v>
      </c>
      <c r="B45" s="13" t="s">
        <v>955</v>
      </c>
      <c r="C45" s="13" t="s">
        <v>956</v>
      </c>
      <c r="D45" s="14" t="n">
        <v>5038</v>
      </c>
      <c r="E45" s="14" t="n">
        <v>3374</v>
      </c>
      <c r="F45" s="15" t="n">
        <f aca="false">E45/D45</f>
        <v>0.669710202461294</v>
      </c>
      <c r="G45" s="14" t="n">
        <v>427</v>
      </c>
      <c r="H45" s="14" t="n">
        <v>831</v>
      </c>
      <c r="I45" s="14" t="n">
        <v>1170</v>
      </c>
      <c r="J45" s="14" t="n">
        <v>778</v>
      </c>
      <c r="K45" s="14" t="n">
        <v>168</v>
      </c>
      <c r="L45" s="14" t="n">
        <v>0</v>
      </c>
      <c r="M45" s="14" t="n">
        <v>1664</v>
      </c>
    </row>
    <row r="46" customFormat="false" ht="15" hidden="false" customHeight="true" outlineLevel="0" collapsed="false">
      <c r="A46" s="13" t="n">
        <v>2026</v>
      </c>
      <c r="B46" s="13" t="s">
        <v>955</v>
      </c>
      <c r="C46" s="13" t="s">
        <v>957</v>
      </c>
      <c r="D46" s="14" t="n">
        <v>2413</v>
      </c>
      <c r="E46" s="14" t="n">
        <v>1911</v>
      </c>
      <c r="F46" s="15" t="n">
        <f aca="false">E46/D46</f>
        <v>0.791960215499378</v>
      </c>
      <c r="G46" s="14" t="n">
        <v>584</v>
      </c>
      <c r="H46" s="14" t="n">
        <v>568</v>
      </c>
      <c r="I46" s="14" t="n">
        <v>483</v>
      </c>
      <c r="J46" s="14" t="n">
        <v>257</v>
      </c>
      <c r="K46" s="14" t="n">
        <v>19</v>
      </c>
      <c r="L46" s="14" t="n">
        <v>0</v>
      </c>
      <c r="M46" s="14" t="n">
        <v>502</v>
      </c>
    </row>
    <row r="47" customFormat="false" ht="15" hidden="false" customHeight="true" outlineLevel="0" collapsed="false">
      <c r="A47" s="13" t="n">
        <v>2026</v>
      </c>
      <c r="B47" s="13" t="s">
        <v>955</v>
      </c>
      <c r="C47" s="13" t="s">
        <v>125</v>
      </c>
      <c r="D47" s="14" t="n">
        <v>2072</v>
      </c>
      <c r="E47" s="14" t="n">
        <v>898</v>
      </c>
      <c r="F47" s="15" t="n">
        <f aca="false">E47/D47</f>
        <v>0.433397683397683</v>
      </c>
      <c r="G47" s="14" t="n">
        <v>118</v>
      </c>
      <c r="H47" s="14" t="n">
        <v>83</v>
      </c>
      <c r="I47" s="14" t="n">
        <v>203</v>
      </c>
      <c r="J47" s="14" t="n">
        <v>339</v>
      </c>
      <c r="K47" s="14" t="n">
        <v>152</v>
      </c>
      <c r="L47" s="14" t="n">
        <v>3</v>
      </c>
      <c r="M47" s="14" t="n">
        <v>1174</v>
      </c>
    </row>
    <row r="48" customFormat="false" ht="15" hidden="false" customHeight="true" outlineLevel="0" collapsed="false">
      <c r="A48" s="13" t="n">
        <v>2026</v>
      </c>
      <c r="B48" s="13" t="s">
        <v>955</v>
      </c>
      <c r="C48" s="13" t="s">
        <v>192</v>
      </c>
      <c r="D48" s="14" t="n">
        <v>9523</v>
      </c>
      <c r="E48" s="14" t="n">
        <v>6183</v>
      </c>
      <c r="F48" s="15" t="n">
        <f aca="false">E48/D48</f>
        <v>0.649270187965977</v>
      </c>
      <c r="G48" s="14" t="n">
        <v>1129</v>
      </c>
      <c r="H48" s="14" t="n">
        <v>1482</v>
      </c>
      <c r="I48" s="14" t="n">
        <v>1856</v>
      </c>
      <c r="J48" s="14" t="n">
        <v>1374</v>
      </c>
      <c r="K48" s="14" t="n">
        <v>339</v>
      </c>
      <c r="L48" s="14" t="n">
        <v>3</v>
      </c>
      <c r="M48" s="14" t="n">
        <v>3340</v>
      </c>
    </row>
    <row r="49" customFormat="false" ht="15" hidden="false" customHeight="true" outlineLevel="0" collapsed="false">
      <c r="A49" s="13" t="n">
        <v>2026</v>
      </c>
      <c r="B49" s="13" t="s">
        <v>958</v>
      </c>
      <c r="C49" s="13" t="s">
        <v>956</v>
      </c>
      <c r="D49" s="14" t="n">
        <v>3085</v>
      </c>
      <c r="E49" s="14" t="n">
        <v>2090</v>
      </c>
      <c r="F49" s="15" t="n">
        <f aca="false">E49/D49</f>
        <v>0.677471636952998</v>
      </c>
      <c r="G49" s="14" t="n">
        <v>147</v>
      </c>
      <c r="H49" s="14" t="n">
        <v>493</v>
      </c>
      <c r="I49" s="14" t="n">
        <v>792</v>
      </c>
      <c r="J49" s="14" t="n">
        <v>556</v>
      </c>
      <c r="K49" s="14" t="n">
        <v>102</v>
      </c>
      <c r="L49" s="14" t="n">
        <v>0</v>
      </c>
      <c r="M49" s="14" t="n">
        <v>995</v>
      </c>
    </row>
    <row r="50" customFormat="false" ht="15" hidden="false" customHeight="true" outlineLevel="0" collapsed="false">
      <c r="A50" s="13" t="n">
        <v>2026</v>
      </c>
      <c r="B50" s="13" t="s">
        <v>958</v>
      </c>
      <c r="C50" s="13" t="s">
        <v>957</v>
      </c>
      <c r="D50" s="14" t="n">
        <v>3801</v>
      </c>
      <c r="E50" s="14" t="n">
        <v>3060</v>
      </c>
      <c r="F50" s="15" t="n">
        <f aca="false">E50/D50</f>
        <v>0.805051302288871</v>
      </c>
      <c r="G50" s="14" t="n">
        <v>614</v>
      </c>
      <c r="H50" s="14" t="n">
        <v>771</v>
      </c>
      <c r="I50" s="14" t="n">
        <v>994</v>
      </c>
      <c r="J50" s="14" t="n">
        <v>574</v>
      </c>
      <c r="K50" s="14" t="n">
        <v>107</v>
      </c>
      <c r="L50" s="14" t="n">
        <v>0</v>
      </c>
      <c r="M50" s="14" t="n">
        <v>741</v>
      </c>
    </row>
    <row r="51" customFormat="false" ht="15" hidden="false" customHeight="true" outlineLevel="0" collapsed="false">
      <c r="A51" s="13" t="n">
        <v>2026</v>
      </c>
      <c r="B51" s="13" t="s">
        <v>958</v>
      </c>
      <c r="C51" s="13" t="s">
        <v>125</v>
      </c>
      <c r="D51" s="14" t="n">
        <v>1784</v>
      </c>
      <c r="E51" s="14" t="n">
        <v>774</v>
      </c>
      <c r="F51" s="15" t="n">
        <f aca="false">E51/D51</f>
        <v>0.433856502242152</v>
      </c>
      <c r="G51" s="14" t="n">
        <v>69</v>
      </c>
      <c r="H51" s="14" t="n">
        <v>88</v>
      </c>
      <c r="I51" s="14" t="n">
        <v>179</v>
      </c>
      <c r="J51" s="14" t="n">
        <v>291</v>
      </c>
      <c r="K51" s="14" t="n">
        <v>141</v>
      </c>
      <c r="L51" s="14" t="n">
        <v>6</v>
      </c>
      <c r="M51" s="14" t="n">
        <v>1010</v>
      </c>
    </row>
    <row r="52" customFormat="false" ht="15" hidden="false" customHeight="true" outlineLevel="0" collapsed="false">
      <c r="A52" s="13" t="n">
        <v>2026</v>
      </c>
      <c r="B52" s="13" t="s">
        <v>958</v>
      </c>
      <c r="C52" s="13" t="s">
        <v>192</v>
      </c>
      <c r="D52" s="14" t="n">
        <v>8670</v>
      </c>
      <c r="E52" s="14" t="n">
        <v>5924</v>
      </c>
      <c r="F52" s="15" t="n">
        <f aca="false">E52/D52</f>
        <v>0.683275663206459</v>
      </c>
      <c r="G52" s="14" t="n">
        <v>830</v>
      </c>
      <c r="H52" s="14" t="n">
        <v>1352</v>
      </c>
      <c r="I52" s="14" t="n">
        <v>1965</v>
      </c>
      <c r="J52" s="14" t="n">
        <v>1421</v>
      </c>
      <c r="K52" s="14" t="n">
        <v>350</v>
      </c>
      <c r="L52" s="14" t="n">
        <v>6</v>
      </c>
      <c r="M52" s="14" t="n">
        <v>2746</v>
      </c>
    </row>
    <row r="53" customFormat="false" ht="15" hidden="false" customHeight="true" outlineLevel="0" collapsed="false">
      <c r="A53" s="13" t="n">
        <v>2026</v>
      </c>
      <c r="B53" s="13" t="s">
        <v>959</v>
      </c>
      <c r="C53" s="13" t="s">
        <v>956</v>
      </c>
      <c r="D53" s="14" t="n">
        <v>2999</v>
      </c>
      <c r="E53" s="14" t="n">
        <v>1963</v>
      </c>
      <c r="F53" s="15" t="n">
        <f aca="false">E53/D53</f>
        <v>0.654551517172391</v>
      </c>
      <c r="G53" s="14" t="n">
        <v>58</v>
      </c>
      <c r="H53" s="14" t="n">
        <v>309</v>
      </c>
      <c r="I53" s="14" t="n">
        <v>716</v>
      </c>
      <c r="J53" s="14" t="n">
        <v>697</v>
      </c>
      <c r="K53" s="14" t="n">
        <v>182</v>
      </c>
      <c r="L53" s="14" t="n">
        <v>1</v>
      </c>
      <c r="M53" s="14" t="n">
        <v>1036</v>
      </c>
    </row>
    <row r="54" customFormat="false" ht="15" hidden="false" customHeight="true" outlineLevel="0" collapsed="false">
      <c r="A54" s="13" t="n">
        <v>2026</v>
      </c>
      <c r="B54" s="13" t="s">
        <v>959</v>
      </c>
      <c r="C54" s="13" t="s">
        <v>957</v>
      </c>
      <c r="D54" s="14" t="n">
        <v>4576</v>
      </c>
      <c r="E54" s="14" t="n">
        <v>3443</v>
      </c>
      <c r="F54" s="15" t="n">
        <f aca="false">E54/D54</f>
        <v>0.752403846153846</v>
      </c>
      <c r="G54" s="14" t="n">
        <v>550</v>
      </c>
      <c r="H54" s="14" t="n">
        <v>835</v>
      </c>
      <c r="I54" s="14" t="n">
        <v>1108</v>
      </c>
      <c r="J54" s="14" t="n">
        <v>787</v>
      </c>
      <c r="K54" s="14" t="n">
        <v>162</v>
      </c>
      <c r="L54" s="14" t="n">
        <v>1</v>
      </c>
      <c r="M54" s="14" t="n">
        <v>1133</v>
      </c>
    </row>
    <row r="55" customFormat="false" ht="15" hidden="false" customHeight="true" outlineLevel="0" collapsed="false">
      <c r="A55" s="13" t="n">
        <v>2026</v>
      </c>
      <c r="B55" s="13" t="s">
        <v>959</v>
      </c>
      <c r="C55" s="13" t="s">
        <v>125</v>
      </c>
      <c r="D55" s="14" t="n">
        <v>1863</v>
      </c>
      <c r="E55" s="14" t="n">
        <v>794</v>
      </c>
      <c r="F55" s="15" t="n">
        <f aca="false">E55/D55</f>
        <v>0.426194310252281</v>
      </c>
      <c r="G55" s="14" t="n">
        <v>80</v>
      </c>
      <c r="H55" s="14" t="n">
        <v>52</v>
      </c>
      <c r="I55" s="14" t="n">
        <v>152</v>
      </c>
      <c r="J55" s="14" t="n">
        <v>315</v>
      </c>
      <c r="K55" s="14" t="n">
        <v>192</v>
      </c>
      <c r="L55" s="14" t="n">
        <v>4</v>
      </c>
      <c r="M55" s="14" t="n">
        <v>1068</v>
      </c>
    </row>
    <row r="56" customFormat="false" ht="15" hidden="false" customHeight="true" outlineLevel="0" collapsed="false">
      <c r="A56" s="13" t="n">
        <v>2026</v>
      </c>
      <c r="B56" s="13" t="s">
        <v>959</v>
      </c>
      <c r="C56" s="13" t="s">
        <v>192</v>
      </c>
      <c r="D56" s="14" t="n">
        <v>9438</v>
      </c>
      <c r="E56" s="14" t="n">
        <v>6200</v>
      </c>
      <c r="F56" s="15" t="n">
        <f aca="false">E56/D56</f>
        <v>0.656918838737021</v>
      </c>
      <c r="G56" s="14" t="n">
        <v>688</v>
      </c>
      <c r="H56" s="14" t="n">
        <v>1196</v>
      </c>
      <c r="I56" s="14" t="n">
        <v>1976</v>
      </c>
      <c r="J56" s="14" t="n">
        <v>1799</v>
      </c>
      <c r="K56" s="14" t="n">
        <v>536</v>
      </c>
      <c r="L56" s="14" t="n">
        <v>6</v>
      </c>
      <c r="M56" s="14" t="n">
        <v>3237</v>
      </c>
    </row>
    <row r="57" customFormat="false" ht="15" hidden="false" customHeight="true" outlineLevel="0" collapsed="false">
      <c r="A57" s="13" t="n">
        <v>2026</v>
      </c>
      <c r="B57" s="13" t="s">
        <v>55</v>
      </c>
      <c r="C57" s="13" t="s">
        <v>956</v>
      </c>
      <c r="D57" s="14" t="n">
        <v>8136</v>
      </c>
      <c r="E57" s="14" t="n">
        <v>5950</v>
      </c>
      <c r="F57" s="15" t="n">
        <f aca="false">E57/D57</f>
        <v>0.731317600786627</v>
      </c>
      <c r="G57" s="14" t="n">
        <v>364</v>
      </c>
      <c r="H57" s="14" t="n">
        <v>1374</v>
      </c>
      <c r="I57" s="14" t="n">
        <v>2207</v>
      </c>
      <c r="J57" s="14" t="n">
        <v>1656</v>
      </c>
      <c r="K57" s="14" t="n">
        <v>345</v>
      </c>
      <c r="L57" s="14" t="n">
        <v>4</v>
      </c>
      <c r="M57" s="14" t="n">
        <v>2186</v>
      </c>
    </row>
    <row r="58" customFormat="false" ht="15" hidden="false" customHeight="true" outlineLevel="0" collapsed="false">
      <c r="A58" s="13" t="n">
        <v>2026</v>
      </c>
      <c r="B58" s="13" t="s">
        <v>55</v>
      </c>
      <c r="C58" s="13" t="s">
        <v>957</v>
      </c>
      <c r="D58" s="14" t="n">
        <v>14316</v>
      </c>
      <c r="E58" s="14" t="n">
        <v>11396</v>
      </c>
      <c r="F58" s="15" t="n">
        <f aca="false">E58/D58</f>
        <v>0.796032411288069</v>
      </c>
      <c r="G58" s="14" t="n">
        <v>2212</v>
      </c>
      <c r="H58" s="14" t="n">
        <v>2994</v>
      </c>
      <c r="I58" s="14" t="n">
        <v>3367</v>
      </c>
      <c r="J58" s="14" t="n">
        <v>2335</v>
      </c>
      <c r="K58" s="14" t="n">
        <v>484</v>
      </c>
      <c r="L58" s="14" t="n">
        <v>4</v>
      </c>
      <c r="M58" s="14" t="n">
        <v>2920</v>
      </c>
    </row>
    <row r="59" customFormat="false" ht="15" hidden="false" customHeight="true" outlineLevel="0" collapsed="false">
      <c r="A59" s="13" t="n">
        <v>2026</v>
      </c>
      <c r="B59" s="13" t="s">
        <v>55</v>
      </c>
      <c r="C59" s="13" t="s">
        <v>125</v>
      </c>
      <c r="D59" s="14" t="n">
        <v>4880</v>
      </c>
      <c r="E59" s="14" t="n">
        <v>2374</v>
      </c>
      <c r="F59" s="15" t="n">
        <f aca="false">E59/D59</f>
        <v>0.486475409836066</v>
      </c>
      <c r="G59" s="14" t="n">
        <v>229</v>
      </c>
      <c r="H59" s="14" t="n">
        <v>242</v>
      </c>
      <c r="I59" s="14" t="n">
        <v>506</v>
      </c>
      <c r="J59" s="14" t="n">
        <v>849</v>
      </c>
      <c r="K59" s="14" t="n">
        <v>523</v>
      </c>
      <c r="L59" s="14" t="n">
        <v>25</v>
      </c>
      <c r="M59" s="14" t="n">
        <v>2506</v>
      </c>
    </row>
    <row r="60" customFormat="false" ht="15" hidden="false" customHeight="true" outlineLevel="0" collapsed="false">
      <c r="A60" s="13" t="n">
        <v>2026</v>
      </c>
      <c r="B60" s="13" t="s">
        <v>55</v>
      </c>
      <c r="C60" s="13" t="s">
        <v>192</v>
      </c>
      <c r="D60" s="14" t="n">
        <v>27332</v>
      </c>
      <c r="E60" s="14" t="n">
        <v>19720</v>
      </c>
      <c r="F60" s="15" t="n">
        <f aca="false">E60/D60</f>
        <v>0.721498609688278</v>
      </c>
      <c r="G60" s="14" t="n">
        <v>2805</v>
      </c>
      <c r="H60" s="14" t="n">
        <v>4610</v>
      </c>
      <c r="I60" s="14" t="n">
        <v>6080</v>
      </c>
      <c r="J60" s="14" t="n">
        <v>4840</v>
      </c>
      <c r="K60" s="14" t="n">
        <v>1352</v>
      </c>
      <c r="L60" s="14" t="n">
        <v>33</v>
      </c>
      <c r="M60" s="14" t="n">
        <v>7612</v>
      </c>
    </row>
    <row r="61" customFormat="false" ht="15" hidden="false" customHeight="true" outlineLevel="0" collapsed="false">
      <c r="A61" s="13" t="n">
        <v>2026</v>
      </c>
      <c r="B61" s="13" t="s">
        <v>195</v>
      </c>
      <c r="C61" s="13" t="s">
        <v>956</v>
      </c>
      <c r="D61" s="14" t="n">
        <v>19258</v>
      </c>
      <c r="E61" s="14" t="n">
        <v>13377</v>
      </c>
      <c r="F61" s="15" t="n">
        <f aca="false">E61/D61</f>
        <v>0.694620417488836</v>
      </c>
      <c r="G61" s="14" t="n">
        <v>996</v>
      </c>
      <c r="H61" s="14" t="n">
        <v>3007</v>
      </c>
      <c r="I61" s="14" t="n">
        <v>4885</v>
      </c>
      <c r="J61" s="14" t="n">
        <v>3687</v>
      </c>
      <c r="K61" s="14" t="n">
        <v>797</v>
      </c>
      <c r="L61" s="14" t="n">
        <v>5</v>
      </c>
      <c r="M61" s="14" t="n">
        <v>5881</v>
      </c>
    </row>
    <row r="62" customFormat="false" ht="15" hidden="false" customHeight="true" outlineLevel="0" collapsed="false">
      <c r="A62" s="13" t="n">
        <v>2026</v>
      </c>
      <c r="B62" s="13" t="s">
        <v>195</v>
      </c>
      <c r="C62" s="13" t="s">
        <v>957</v>
      </c>
      <c r="D62" s="14" t="n">
        <v>25106</v>
      </c>
      <c r="E62" s="14" t="n">
        <v>19810</v>
      </c>
      <c r="F62" s="15" t="n">
        <f aca="false">E62/D62</f>
        <v>0.789054409304549</v>
      </c>
      <c r="G62" s="14" t="n">
        <v>3960</v>
      </c>
      <c r="H62" s="14" t="n">
        <v>5168</v>
      </c>
      <c r="I62" s="14" t="n">
        <v>5952</v>
      </c>
      <c r="J62" s="14" t="n">
        <v>3953</v>
      </c>
      <c r="K62" s="14" t="n">
        <v>772</v>
      </c>
      <c r="L62" s="14" t="n">
        <v>5</v>
      </c>
      <c r="M62" s="14" t="n">
        <v>5296</v>
      </c>
    </row>
    <row r="63" customFormat="false" ht="15" hidden="false" customHeight="true" outlineLevel="0" collapsed="false">
      <c r="A63" s="13" t="n">
        <v>2026</v>
      </c>
      <c r="B63" s="13" t="s">
        <v>195</v>
      </c>
      <c r="C63" s="13" t="s">
        <v>125</v>
      </c>
      <c r="D63" s="14" t="n">
        <v>10599</v>
      </c>
      <c r="E63" s="14" t="n">
        <v>4840</v>
      </c>
      <c r="F63" s="15" t="n">
        <f aca="false">E63/D63</f>
        <v>0.456646853476743</v>
      </c>
      <c r="G63" s="14" t="n">
        <v>496</v>
      </c>
      <c r="H63" s="14" t="n">
        <v>465</v>
      </c>
      <c r="I63" s="14" t="n">
        <v>1040</v>
      </c>
      <c r="J63" s="14" t="n">
        <v>1794</v>
      </c>
      <c r="K63" s="14" t="n">
        <v>1008</v>
      </c>
      <c r="L63" s="14" t="n">
        <v>38</v>
      </c>
      <c r="M63" s="14" t="n">
        <v>5758</v>
      </c>
    </row>
    <row r="64" customFormat="false" ht="15" hidden="false" customHeight="true" outlineLevel="0" collapsed="false">
      <c r="A64" s="13" t="n">
        <v>2026</v>
      </c>
      <c r="B64" s="13" t="s">
        <v>195</v>
      </c>
      <c r="C64" s="13" t="s">
        <v>192</v>
      </c>
      <c r="D64" s="14" t="n">
        <v>54963</v>
      </c>
      <c r="E64" s="14" t="n">
        <v>38027</v>
      </c>
      <c r="F64" s="15" t="n">
        <f aca="false">E64/D64</f>
        <v>0.691865436748358</v>
      </c>
      <c r="G64" s="14" t="n">
        <v>5452</v>
      </c>
      <c r="H64" s="14" t="n">
        <v>8640</v>
      </c>
      <c r="I64" s="14" t="n">
        <v>11877</v>
      </c>
      <c r="J64" s="14" t="n">
        <v>9434</v>
      </c>
      <c r="K64" s="14" t="n">
        <v>2577</v>
      </c>
      <c r="L64" s="14" t="n">
        <v>48</v>
      </c>
      <c r="M64" s="14" t="n">
        <v>16935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4"/>
    <col collapsed="false" customWidth="true" hidden="false" outlineLevel="0" max="3" min="3" style="13" width="34"/>
    <col collapsed="false" customWidth="true" hidden="false" outlineLevel="0" max="8" min="4" style="13" width="12"/>
  </cols>
  <sheetData>
    <row r="1" customFormat="false" ht="15" hidden="false" customHeight="true" outlineLevel="0" collapsed="false">
      <c r="A1" s="13" t="s">
        <v>963</v>
      </c>
    </row>
    <row r="2" customFormat="false" ht="15" hidden="false" customHeight="true" outlineLevel="0" collapsed="false">
      <c r="A2" s="13" t="s">
        <v>964</v>
      </c>
    </row>
    <row r="4" customFormat="false" ht="15" hidden="false" customHeight="true" outlineLevel="0" collapsed="false">
      <c r="A4" s="13" t="s">
        <v>3</v>
      </c>
      <c r="B4" s="13" t="s">
        <v>965</v>
      </c>
      <c r="C4" s="13" t="s">
        <v>114</v>
      </c>
      <c r="D4" s="13" t="s">
        <v>113</v>
      </c>
      <c r="E4" s="13" t="s">
        <v>4</v>
      </c>
      <c r="F4" s="13" t="s">
        <v>5</v>
      </c>
      <c r="G4" s="13" t="s">
        <v>374</v>
      </c>
      <c r="H4" s="13" t="s">
        <v>6</v>
      </c>
    </row>
    <row r="5" customFormat="false" ht="15" hidden="false" customHeight="true" outlineLevel="0" collapsed="false">
      <c r="A5" s="13" t="n">
        <v>2024</v>
      </c>
      <c r="B5" s="13" t="s">
        <v>121</v>
      </c>
      <c r="C5" s="13" t="s">
        <v>203</v>
      </c>
      <c r="D5" s="13" t="s">
        <v>122</v>
      </c>
      <c r="E5" s="14" t="n">
        <v>166</v>
      </c>
      <c r="F5" s="14" t="n">
        <v>151</v>
      </c>
      <c r="G5" s="14" t="n">
        <f aca="false">E5-F5</f>
        <v>15</v>
      </c>
      <c r="H5" s="15" t="n">
        <f aca="false">F5/E5</f>
        <v>0.909638554216868</v>
      </c>
    </row>
    <row r="6" customFormat="false" ht="15" hidden="false" customHeight="true" outlineLevel="0" collapsed="false">
      <c r="A6" s="13" t="n">
        <v>2024</v>
      </c>
      <c r="B6" s="13" t="s">
        <v>121</v>
      </c>
      <c r="C6" s="13" t="s">
        <v>203</v>
      </c>
      <c r="D6" s="13" t="s">
        <v>124</v>
      </c>
      <c r="E6" s="14" t="n">
        <v>371</v>
      </c>
      <c r="F6" s="14" t="n">
        <v>259</v>
      </c>
      <c r="G6" s="14" t="n">
        <f aca="false">E6-F6</f>
        <v>112</v>
      </c>
      <c r="H6" s="15" t="n">
        <f aca="false">F6/E6</f>
        <v>0.69811320754717</v>
      </c>
    </row>
    <row r="7" customFormat="false" ht="15" hidden="false" customHeight="true" outlineLevel="0" collapsed="false">
      <c r="A7" s="13" t="n">
        <v>2024</v>
      </c>
      <c r="B7" s="13" t="s">
        <v>121</v>
      </c>
      <c r="C7" s="13" t="s">
        <v>203</v>
      </c>
      <c r="D7" s="13" t="s">
        <v>192</v>
      </c>
      <c r="E7" s="14" t="n">
        <v>537</v>
      </c>
      <c r="F7" s="14" t="n">
        <v>410</v>
      </c>
      <c r="G7" s="14" t="n">
        <f aca="false">E7-F7</f>
        <v>127</v>
      </c>
      <c r="H7" s="15" t="n">
        <f aca="false">F7/E7</f>
        <v>0.763500931098696</v>
      </c>
    </row>
    <row r="8" customFormat="false" ht="15" hidden="false" customHeight="true" outlineLevel="0" collapsed="false">
      <c r="A8" s="13" t="n">
        <v>2024</v>
      </c>
      <c r="B8" s="13" t="s">
        <v>121</v>
      </c>
      <c r="C8" s="13" t="s">
        <v>202</v>
      </c>
      <c r="D8" s="13" t="s">
        <v>122</v>
      </c>
      <c r="E8" s="14" t="n">
        <v>3711</v>
      </c>
      <c r="F8" s="14" t="n">
        <v>2758</v>
      </c>
      <c r="G8" s="14" t="n">
        <f aca="false">E8-F8</f>
        <v>953</v>
      </c>
      <c r="H8" s="15" t="n">
        <f aca="false">F8/E8</f>
        <v>0.743195904068984</v>
      </c>
    </row>
    <row r="9" customFormat="false" ht="15" hidden="false" customHeight="true" outlineLevel="0" collapsed="false">
      <c r="A9" s="13" t="n">
        <v>2024</v>
      </c>
      <c r="B9" s="13" t="s">
        <v>121</v>
      </c>
      <c r="C9" s="13" t="s">
        <v>202</v>
      </c>
      <c r="D9" s="13" t="s">
        <v>124</v>
      </c>
      <c r="E9" s="14" t="n">
        <v>4521</v>
      </c>
      <c r="F9" s="14" t="n">
        <v>3002</v>
      </c>
      <c r="G9" s="14" t="n">
        <f aca="false">E9-F9</f>
        <v>1519</v>
      </c>
      <c r="H9" s="15" t="n">
        <f aca="false">F9/E9</f>
        <v>0.664012386640124</v>
      </c>
    </row>
    <row r="10" customFormat="false" ht="15" hidden="false" customHeight="true" outlineLevel="0" collapsed="false">
      <c r="A10" s="13" t="n">
        <v>2024</v>
      </c>
      <c r="B10" s="13" t="s">
        <v>121</v>
      </c>
      <c r="C10" s="13" t="s">
        <v>202</v>
      </c>
      <c r="D10" s="13" t="s">
        <v>192</v>
      </c>
      <c r="E10" s="14" t="n">
        <v>8232</v>
      </c>
      <c r="F10" s="14" t="n">
        <v>5760</v>
      </c>
      <c r="G10" s="14" t="n">
        <f aca="false">E10-F10</f>
        <v>2472</v>
      </c>
      <c r="H10" s="15" t="n">
        <f aca="false">F10/E10</f>
        <v>0.699708454810496</v>
      </c>
    </row>
    <row r="11" customFormat="false" ht="15" hidden="false" customHeight="true" outlineLevel="0" collapsed="false">
      <c r="A11" s="13" t="n">
        <v>2024</v>
      </c>
      <c r="B11" s="13" t="s">
        <v>121</v>
      </c>
      <c r="C11" s="13" t="s">
        <v>128</v>
      </c>
      <c r="D11" s="13" t="s">
        <v>122</v>
      </c>
      <c r="E11" s="14" t="n">
        <v>10332</v>
      </c>
      <c r="F11" s="14" t="n">
        <v>7685</v>
      </c>
      <c r="G11" s="14" t="n">
        <f aca="false">E11-F11</f>
        <v>2647</v>
      </c>
      <c r="H11" s="15" t="n">
        <f aca="false">F11/E11</f>
        <v>0.743805652342238</v>
      </c>
    </row>
    <row r="12" customFormat="false" ht="15" hidden="false" customHeight="true" outlineLevel="0" collapsed="false">
      <c r="A12" s="13" t="n">
        <v>2024</v>
      </c>
      <c r="B12" s="13" t="s">
        <v>121</v>
      </c>
      <c r="C12" s="13" t="s">
        <v>128</v>
      </c>
      <c r="D12" s="13" t="s">
        <v>124</v>
      </c>
      <c r="E12" s="14" t="n">
        <v>7418</v>
      </c>
      <c r="F12" s="14" t="n">
        <v>4013</v>
      </c>
      <c r="G12" s="14" t="n">
        <f aca="false">E12-F12</f>
        <v>3405</v>
      </c>
      <c r="H12" s="15" t="n">
        <f aca="false">F12/E12</f>
        <v>0.540981396602858</v>
      </c>
    </row>
    <row r="13" customFormat="false" ht="15" hidden="false" customHeight="true" outlineLevel="0" collapsed="false">
      <c r="A13" s="13" t="n">
        <v>2024</v>
      </c>
      <c r="B13" s="13" t="s">
        <v>121</v>
      </c>
      <c r="C13" s="13" t="s">
        <v>128</v>
      </c>
      <c r="D13" s="13" t="s">
        <v>192</v>
      </c>
      <c r="E13" s="14" t="n">
        <v>17750</v>
      </c>
      <c r="F13" s="14" t="n">
        <v>11698</v>
      </c>
      <c r="G13" s="14" t="n">
        <f aca="false">E13-F13</f>
        <v>6052</v>
      </c>
      <c r="H13" s="15" t="n">
        <f aca="false">F13/E13</f>
        <v>0.659042253521127</v>
      </c>
    </row>
    <row r="14" customFormat="false" ht="15" hidden="false" customHeight="true" outlineLevel="0" collapsed="false">
      <c r="A14" s="13" t="n">
        <v>2024</v>
      </c>
      <c r="B14" s="13" t="s">
        <v>121</v>
      </c>
      <c r="C14" s="13" t="s">
        <v>126</v>
      </c>
      <c r="D14" s="13" t="s">
        <v>122</v>
      </c>
      <c r="E14" s="14" t="n">
        <v>1107</v>
      </c>
      <c r="F14" s="14" t="n">
        <v>981</v>
      </c>
      <c r="G14" s="14" t="n">
        <f aca="false">E14-F14</f>
        <v>126</v>
      </c>
      <c r="H14" s="15" t="n">
        <f aca="false">F14/E14</f>
        <v>0.886178861788618</v>
      </c>
    </row>
    <row r="15" customFormat="false" ht="15" hidden="false" customHeight="true" outlineLevel="0" collapsed="false">
      <c r="A15" s="13" t="n">
        <v>2024</v>
      </c>
      <c r="B15" s="13" t="s">
        <v>121</v>
      </c>
      <c r="C15" s="13" t="s">
        <v>126</v>
      </c>
      <c r="D15" s="13" t="s">
        <v>124</v>
      </c>
      <c r="E15" s="14" t="n">
        <v>1956</v>
      </c>
      <c r="F15" s="14" t="n">
        <v>1619</v>
      </c>
      <c r="G15" s="14" t="n">
        <f aca="false">E15-F15</f>
        <v>337</v>
      </c>
      <c r="H15" s="15" t="n">
        <f aca="false">F15/E15</f>
        <v>0.827709611451943</v>
      </c>
    </row>
    <row r="16" customFormat="false" ht="15" hidden="false" customHeight="true" outlineLevel="0" collapsed="false">
      <c r="A16" s="13" t="n">
        <v>2024</v>
      </c>
      <c r="B16" s="13" t="s">
        <v>121</v>
      </c>
      <c r="C16" s="13" t="s">
        <v>126</v>
      </c>
      <c r="D16" s="13" t="s">
        <v>192</v>
      </c>
      <c r="E16" s="14" t="n">
        <v>3063</v>
      </c>
      <c r="F16" s="14" t="n">
        <v>2600</v>
      </c>
      <c r="G16" s="14" t="n">
        <f aca="false">E16-F16</f>
        <v>463</v>
      </c>
      <c r="H16" s="15" t="n">
        <f aca="false">F16/E16</f>
        <v>0.848841005550114</v>
      </c>
    </row>
    <row r="17" customFormat="false" ht="15" hidden="false" customHeight="true" outlineLevel="0" collapsed="false">
      <c r="A17" s="13" t="n">
        <v>2024</v>
      </c>
      <c r="B17" s="13" t="s">
        <v>121</v>
      </c>
      <c r="C17" s="13" t="s">
        <v>123</v>
      </c>
      <c r="D17" s="13" t="s">
        <v>122</v>
      </c>
      <c r="E17" s="14" t="n">
        <v>7893</v>
      </c>
      <c r="F17" s="14" t="n">
        <v>6938</v>
      </c>
      <c r="G17" s="14" t="n">
        <f aca="false">E17-F17</f>
        <v>955</v>
      </c>
      <c r="H17" s="15" t="n">
        <f aca="false">F17/E17</f>
        <v>0.879006714810592</v>
      </c>
    </row>
    <row r="18" customFormat="false" ht="15" hidden="false" customHeight="true" outlineLevel="0" collapsed="false">
      <c r="A18" s="13" t="n">
        <v>2024</v>
      </c>
      <c r="B18" s="13" t="s">
        <v>121</v>
      </c>
      <c r="C18" s="13" t="s">
        <v>123</v>
      </c>
      <c r="D18" s="13" t="s">
        <v>124</v>
      </c>
      <c r="E18" s="14" t="n">
        <v>3561</v>
      </c>
      <c r="F18" s="14" t="n">
        <v>2991</v>
      </c>
      <c r="G18" s="14" t="n">
        <f aca="false">E18-F18</f>
        <v>570</v>
      </c>
      <c r="H18" s="15" t="n">
        <f aca="false">F18/E18</f>
        <v>0.839932603201348</v>
      </c>
    </row>
    <row r="19" customFormat="false" ht="15" hidden="false" customHeight="true" outlineLevel="0" collapsed="false">
      <c r="A19" s="13" t="n">
        <v>2024</v>
      </c>
      <c r="B19" s="13" t="s">
        <v>121</v>
      </c>
      <c r="C19" s="13" t="s">
        <v>123</v>
      </c>
      <c r="D19" s="13" t="s">
        <v>192</v>
      </c>
      <c r="E19" s="14" t="n">
        <v>11454</v>
      </c>
      <c r="F19" s="14" t="n">
        <v>9929</v>
      </c>
      <c r="G19" s="14" t="n">
        <f aca="false">E19-F19</f>
        <v>1525</v>
      </c>
      <c r="H19" s="15" t="n">
        <f aca="false">F19/E19</f>
        <v>0.866858739305046</v>
      </c>
    </row>
    <row r="20" customFormat="false" ht="15" hidden="false" customHeight="true" outlineLevel="0" collapsed="false">
      <c r="A20" s="13" t="n">
        <v>2024</v>
      </c>
      <c r="B20" s="13" t="s">
        <v>121</v>
      </c>
      <c r="C20" s="13" t="s">
        <v>753</v>
      </c>
      <c r="D20" s="13" t="s">
        <v>122</v>
      </c>
      <c r="E20" s="14" t="n">
        <v>23209</v>
      </c>
      <c r="F20" s="14" t="n">
        <v>18513</v>
      </c>
      <c r="G20" s="14" t="n">
        <f aca="false">E20-F20</f>
        <v>4696</v>
      </c>
      <c r="H20" s="15" t="n">
        <f aca="false">F20/E20</f>
        <v>0.797664699039166</v>
      </c>
    </row>
    <row r="21" customFormat="false" ht="15" hidden="false" customHeight="true" outlineLevel="0" collapsed="false">
      <c r="A21" s="13" t="n">
        <v>2024</v>
      </c>
      <c r="B21" s="13" t="s">
        <v>121</v>
      </c>
      <c r="C21" s="13" t="s">
        <v>753</v>
      </c>
      <c r="D21" s="13" t="s">
        <v>124</v>
      </c>
      <c r="E21" s="14" t="n">
        <v>17827</v>
      </c>
      <c r="F21" s="14" t="n">
        <v>11884</v>
      </c>
      <c r="G21" s="14" t="n">
        <f aca="false">E21-F21</f>
        <v>5943</v>
      </c>
      <c r="H21" s="15" t="n">
        <f aca="false">F21/E21</f>
        <v>0.666629270208111</v>
      </c>
    </row>
    <row r="22" customFormat="false" ht="15" hidden="false" customHeight="true" outlineLevel="0" collapsed="false">
      <c r="A22" s="13" t="n">
        <v>2024</v>
      </c>
      <c r="B22" s="13" t="s">
        <v>121</v>
      </c>
      <c r="C22" s="13" t="s">
        <v>753</v>
      </c>
      <c r="D22" s="13" t="s">
        <v>192</v>
      </c>
      <c r="E22" s="14" t="n">
        <v>41036</v>
      </c>
      <c r="F22" s="14" t="n">
        <v>30397</v>
      </c>
      <c r="G22" s="14" t="n">
        <f aca="false">E22-F22</f>
        <v>10639</v>
      </c>
      <c r="H22" s="15" t="n">
        <f aca="false">F22/E22</f>
        <v>0.740739838190857</v>
      </c>
    </row>
    <row r="23" customFormat="false" ht="15" hidden="false" customHeight="true" outlineLevel="0" collapsed="false">
      <c r="A23" s="13" t="n">
        <v>2024</v>
      </c>
      <c r="B23" s="13" t="s">
        <v>125</v>
      </c>
      <c r="C23" s="13" t="s">
        <v>203</v>
      </c>
      <c r="D23" s="13" t="s">
        <v>122</v>
      </c>
      <c r="E23" s="14" t="n">
        <v>13</v>
      </c>
      <c r="F23" s="14" t="n">
        <v>5</v>
      </c>
      <c r="G23" s="14" t="n">
        <f aca="false">E23-F23</f>
        <v>8</v>
      </c>
      <c r="H23" s="15" t="n">
        <f aca="false">F23/E23</f>
        <v>0.384615384615385</v>
      </c>
    </row>
    <row r="24" customFormat="false" ht="15" hidden="false" customHeight="true" outlineLevel="0" collapsed="false">
      <c r="A24" s="13" t="n">
        <v>2024</v>
      </c>
      <c r="B24" s="13" t="s">
        <v>125</v>
      </c>
      <c r="C24" s="13" t="s">
        <v>203</v>
      </c>
      <c r="D24" s="13" t="s">
        <v>124</v>
      </c>
      <c r="E24" s="14" t="n">
        <v>62</v>
      </c>
      <c r="F24" s="14" t="n">
        <v>20</v>
      </c>
      <c r="G24" s="14" t="n">
        <f aca="false">E24-F24</f>
        <v>42</v>
      </c>
      <c r="H24" s="15" t="n">
        <f aca="false">F24/E24</f>
        <v>0.32258064516129</v>
      </c>
    </row>
    <row r="25" customFormat="false" ht="15" hidden="false" customHeight="true" outlineLevel="0" collapsed="false">
      <c r="A25" s="13" t="n">
        <v>2024</v>
      </c>
      <c r="B25" s="13" t="s">
        <v>125</v>
      </c>
      <c r="C25" s="13" t="s">
        <v>203</v>
      </c>
      <c r="D25" s="13" t="s">
        <v>192</v>
      </c>
      <c r="E25" s="14" t="n">
        <v>75</v>
      </c>
      <c r="F25" s="14" t="n">
        <v>25</v>
      </c>
      <c r="G25" s="14" t="n">
        <f aca="false">E25-F25</f>
        <v>50</v>
      </c>
      <c r="H25" s="15" t="n">
        <f aca="false">F25/E25</f>
        <v>0.333333333333333</v>
      </c>
    </row>
    <row r="26" customFormat="false" ht="15" hidden="false" customHeight="true" outlineLevel="0" collapsed="false">
      <c r="A26" s="13" t="n">
        <v>2024</v>
      </c>
      <c r="B26" s="13" t="s">
        <v>125</v>
      </c>
      <c r="C26" s="13" t="s">
        <v>202</v>
      </c>
      <c r="D26" s="13" t="s">
        <v>122</v>
      </c>
      <c r="E26" s="14" t="n">
        <v>408</v>
      </c>
      <c r="F26" s="14" t="n">
        <v>155</v>
      </c>
      <c r="G26" s="14" t="n">
        <f aca="false">E26-F26</f>
        <v>253</v>
      </c>
      <c r="H26" s="15" t="n">
        <f aca="false">F26/E26</f>
        <v>0.379901960784314</v>
      </c>
    </row>
    <row r="27" customFormat="false" ht="15" hidden="false" customHeight="true" outlineLevel="0" collapsed="false">
      <c r="A27" s="13" t="n">
        <v>2024</v>
      </c>
      <c r="B27" s="13" t="s">
        <v>125</v>
      </c>
      <c r="C27" s="13" t="s">
        <v>202</v>
      </c>
      <c r="D27" s="13" t="s">
        <v>124</v>
      </c>
      <c r="E27" s="14" t="n">
        <v>665</v>
      </c>
      <c r="F27" s="14" t="n">
        <v>203</v>
      </c>
      <c r="G27" s="14" t="n">
        <f aca="false">E27-F27</f>
        <v>462</v>
      </c>
      <c r="H27" s="15" t="n">
        <f aca="false">F27/E27</f>
        <v>0.305263157894737</v>
      </c>
    </row>
    <row r="28" customFormat="false" ht="15" hidden="false" customHeight="true" outlineLevel="0" collapsed="false">
      <c r="A28" s="13" t="n">
        <v>2024</v>
      </c>
      <c r="B28" s="13" t="s">
        <v>125</v>
      </c>
      <c r="C28" s="13" t="s">
        <v>202</v>
      </c>
      <c r="D28" s="13" t="s">
        <v>192</v>
      </c>
      <c r="E28" s="14" t="n">
        <v>1073</v>
      </c>
      <c r="F28" s="14" t="n">
        <v>358</v>
      </c>
      <c r="G28" s="14" t="n">
        <f aca="false">E28-F28</f>
        <v>715</v>
      </c>
      <c r="H28" s="15" t="n">
        <f aca="false">F28/E28</f>
        <v>0.333643988816403</v>
      </c>
    </row>
    <row r="29" customFormat="false" ht="15" hidden="false" customHeight="true" outlineLevel="0" collapsed="false">
      <c r="A29" s="13" t="n">
        <v>2024</v>
      </c>
      <c r="B29" s="13" t="s">
        <v>125</v>
      </c>
      <c r="C29" s="13" t="s">
        <v>128</v>
      </c>
      <c r="D29" s="13" t="s">
        <v>122</v>
      </c>
      <c r="E29" s="14" t="n">
        <v>3931</v>
      </c>
      <c r="F29" s="14" t="n">
        <v>2249</v>
      </c>
      <c r="G29" s="14" t="n">
        <f aca="false">E29-F29</f>
        <v>1682</v>
      </c>
      <c r="H29" s="15" t="n">
        <f aca="false">F29/E29</f>
        <v>0.572119053675909</v>
      </c>
    </row>
    <row r="30" customFormat="false" ht="15" hidden="false" customHeight="true" outlineLevel="0" collapsed="false">
      <c r="A30" s="13" t="n">
        <v>2024</v>
      </c>
      <c r="B30" s="13" t="s">
        <v>125</v>
      </c>
      <c r="C30" s="13" t="s">
        <v>128</v>
      </c>
      <c r="D30" s="13" t="s">
        <v>124</v>
      </c>
      <c r="E30" s="14" t="n">
        <v>3989</v>
      </c>
      <c r="F30" s="14" t="n">
        <v>1279</v>
      </c>
      <c r="G30" s="14" t="n">
        <f aca="false">E30-F30</f>
        <v>2710</v>
      </c>
      <c r="H30" s="15" t="n">
        <f aca="false">F30/E30</f>
        <v>0.320631737277513</v>
      </c>
    </row>
    <row r="31" customFormat="false" ht="15" hidden="false" customHeight="true" outlineLevel="0" collapsed="false">
      <c r="A31" s="13" t="n">
        <v>2024</v>
      </c>
      <c r="B31" s="13" t="s">
        <v>125</v>
      </c>
      <c r="C31" s="13" t="s">
        <v>128</v>
      </c>
      <c r="D31" s="13" t="s">
        <v>192</v>
      </c>
      <c r="E31" s="14" t="n">
        <v>7920</v>
      </c>
      <c r="F31" s="14" t="n">
        <v>3528</v>
      </c>
      <c r="G31" s="14" t="n">
        <f aca="false">E31-F31</f>
        <v>4392</v>
      </c>
      <c r="H31" s="15" t="n">
        <f aca="false">F31/E31</f>
        <v>0.445454545454545</v>
      </c>
    </row>
    <row r="32" customFormat="false" ht="15" hidden="false" customHeight="true" outlineLevel="0" collapsed="false">
      <c r="A32" s="13" t="n">
        <v>2024</v>
      </c>
      <c r="B32" s="13" t="s">
        <v>125</v>
      </c>
      <c r="C32" s="13" t="s">
        <v>126</v>
      </c>
      <c r="D32" s="13" t="s">
        <v>122</v>
      </c>
      <c r="E32" s="14" t="n">
        <v>125</v>
      </c>
      <c r="F32" s="14" t="n">
        <v>59</v>
      </c>
      <c r="G32" s="14" t="n">
        <f aca="false">E32-F32</f>
        <v>66</v>
      </c>
      <c r="H32" s="15" t="n">
        <f aca="false">F32/E32</f>
        <v>0.472</v>
      </c>
    </row>
    <row r="33" customFormat="false" ht="15" hidden="false" customHeight="true" outlineLevel="0" collapsed="false">
      <c r="A33" s="13" t="n">
        <v>2024</v>
      </c>
      <c r="B33" s="13" t="s">
        <v>125</v>
      </c>
      <c r="C33" s="13" t="s">
        <v>126</v>
      </c>
      <c r="D33" s="13" t="s">
        <v>124</v>
      </c>
      <c r="E33" s="14" t="n">
        <v>315</v>
      </c>
      <c r="F33" s="14" t="n">
        <v>131</v>
      </c>
      <c r="G33" s="14" t="n">
        <f aca="false">E33-F33</f>
        <v>184</v>
      </c>
      <c r="H33" s="15" t="n">
        <f aca="false">F33/E33</f>
        <v>0.415873015873016</v>
      </c>
    </row>
    <row r="34" customFormat="false" ht="15" hidden="false" customHeight="true" outlineLevel="0" collapsed="false">
      <c r="A34" s="13" t="n">
        <v>2024</v>
      </c>
      <c r="B34" s="13" t="s">
        <v>125</v>
      </c>
      <c r="C34" s="13" t="s">
        <v>126</v>
      </c>
      <c r="D34" s="13" t="s">
        <v>192</v>
      </c>
      <c r="E34" s="14" t="n">
        <v>440</v>
      </c>
      <c r="F34" s="14" t="n">
        <v>190</v>
      </c>
      <c r="G34" s="14" t="n">
        <f aca="false">E34-F34</f>
        <v>250</v>
      </c>
      <c r="H34" s="15" t="n">
        <f aca="false">F34/E34</f>
        <v>0.431818181818182</v>
      </c>
    </row>
    <row r="35" customFormat="false" ht="15" hidden="false" customHeight="true" outlineLevel="0" collapsed="false">
      <c r="A35" s="13" t="n">
        <v>2024</v>
      </c>
      <c r="B35" s="13" t="s">
        <v>125</v>
      </c>
      <c r="C35" s="13" t="s">
        <v>123</v>
      </c>
      <c r="D35" s="13" t="s">
        <v>122</v>
      </c>
      <c r="E35" s="14" t="n">
        <v>1101</v>
      </c>
      <c r="F35" s="14" t="n">
        <v>678</v>
      </c>
      <c r="G35" s="14" t="n">
        <f aca="false">E35-F35</f>
        <v>423</v>
      </c>
      <c r="H35" s="15" t="n">
        <f aca="false">F35/E35</f>
        <v>0.615803814713896</v>
      </c>
    </row>
    <row r="36" customFormat="false" ht="15" hidden="false" customHeight="true" outlineLevel="0" collapsed="false">
      <c r="A36" s="13" t="n">
        <v>2024</v>
      </c>
      <c r="B36" s="13" t="s">
        <v>125</v>
      </c>
      <c r="C36" s="13" t="s">
        <v>123</v>
      </c>
      <c r="D36" s="13" t="s">
        <v>124</v>
      </c>
      <c r="E36" s="14" t="n">
        <v>682</v>
      </c>
      <c r="F36" s="14" t="n">
        <v>395</v>
      </c>
      <c r="G36" s="14" t="n">
        <f aca="false">E36-F36</f>
        <v>287</v>
      </c>
      <c r="H36" s="15" t="n">
        <f aca="false">F36/E36</f>
        <v>0.579178885630499</v>
      </c>
    </row>
    <row r="37" customFormat="false" ht="15" hidden="false" customHeight="true" outlineLevel="0" collapsed="false">
      <c r="A37" s="13" t="n">
        <v>2024</v>
      </c>
      <c r="B37" s="13" t="s">
        <v>125</v>
      </c>
      <c r="C37" s="13" t="s">
        <v>123</v>
      </c>
      <c r="D37" s="13" t="s">
        <v>192</v>
      </c>
      <c r="E37" s="14" t="n">
        <v>1783</v>
      </c>
      <c r="F37" s="14" t="n">
        <v>1073</v>
      </c>
      <c r="G37" s="14" t="n">
        <f aca="false">E37-F37</f>
        <v>710</v>
      </c>
      <c r="H37" s="15" t="n">
        <f aca="false">F37/E37</f>
        <v>0.60179472798654</v>
      </c>
    </row>
    <row r="38" customFormat="false" ht="15" hidden="false" customHeight="true" outlineLevel="0" collapsed="false">
      <c r="A38" s="13" t="n">
        <v>2024</v>
      </c>
      <c r="B38" s="13" t="s">
        <v>125</v>
      </c>
      <c r="C38" s="13" t="s">
        <v>966</v>
      </c>
      <c r="D38" s="13" t="s">
        <v>122</v>
      </c>
      <c r="E38" s="14" t="n">
        <v>1</v>
      </c>
      <c r="F38" s="14" t="n">
        <v>1</v>
      </c>
      <c r="G38" s="14" t="n">
        <f aca="false">E38-F38</f>
        <v>0</v>
      </c>
      <c r="H38" s="15" t="n">
        <f aca="false">F38/E38</f>
        <v>1</v>
      </c>
    </row>
    <row r="39" customFormat="false" ht="15" hidden="false" customHeight="true" outlineLevel="0" collapsed="false">
      <c r="A39" s="13" t="n">
        <v>2024</v>
      </c>
      <c r="B39" s="13" t="s">
        <v>125</v>
      </c>
      <c r="C39" s="13" t="s">
        <v>966</v>
      </c>
      <c r="D39" s="13" t="s">
        <v>124</v>
      </c>
      <c r="E39" s="14" t="n">
        <v>7</v>
      </c>
      <c r="F39" s="14" t="n">
        <v>1</v>
      </c>
      <c r="G39" s="14" t="n">
        <f aca="false">E39-F39</f>
        <v>6</v>
      </c>
      <c r="H39" s="15" t="n">
        <f aca="false">F39/E39</f>
        <v>0.142857142857143</v>
      </c>
    </row>
    <row r="40" customFormat="false" ht="15" hidden="false" customHeight="true" outlineLevel="0" collapsed="false">
      <c r="A40" s="13" t="n">
        <v>2024</v>
      </c>
      <c r="B40" s="13" t="s">
        <v>125</v>
      </c>
      <c r="C40" s="13" t="s">
        <v>966</v>
      </c>
      <c r="D40" s="13" t="s">
        <v>192</v>
      </c>
      <c r="E40" s="14" t="n">
        <v>8</v>
      </c>
      <c r="F40" s="14" t="n">
        <v>2</v>
      </c>
      <c r="G40" s="14" t="n">
        <f aca="false">E40-F40</f>
        <v>6</v>
      </c>
      <c r="H40" s="15" t="n">
        <f aca="false">F40/E40</f>
        <v>0.25</v>
      </c>
    </row>
    <row r="41" customFormat="false" ht="15" hidden="false" customHeight="true" outlineLevel="0" collapsed="false">
      <c r="A41" s="13" t="n">
        <v>2024</v>
      </c>
      <c r="B41" s="13" t="s">
        <v>125</v>
      </c>
      <c r="C41" s="13" t="s">
        <v>967</v>
      </c>
      <c r="D41" s="13" t="s">
        <v>122</v>
      </c>
      <c r="E41" s="14" t="n">
        <v>53</v>
      </c>
      <c r="F41" s="14" t="n">
        <v>38</v>
      </c>
      <c r="G41" s="14" t="n">
        <f aca="false">E41-F41</f>
        <v>15</v>
      </c>
      <c r="H41" s="15" t="n">
        <f aca="false">F41/E41</f>
        <v>0.716981132075472</v>
      </c>
    </row>
    <row r="42" customFormat="false" ht="15" hidden="false" customHeight="true" outlineLevel="0" collapsed="false">
      <c r="A42" s="13" t="n">
        <v>2024</v>
      </c>
      <c r="B42" s="13" t="s">
        <v>125</v>
      </c>
      <c r="C42" s="13" t="s">
        <v>967</v>
      </c>
      <c r="D42" s="13" t="s">
        <v>124</v>
      </c>
      <c r="E42" s="14" t="n">
        <v>65</v>
      </c>
      <c r="F42" s="14" t="n">
        <v>44</v>
      </c>
      <c r="G42" s="14" t="n">
        <f aca="false">E42-F42</f>
        <v>21</v>
      </c>
      <c r="H42" s="15" t="n">
        <f aca="false">F42/E42</f>
        <v>0.676923076923077</v>
      </c>
    </row>
    <row r="43" customFormat="false" ht="15" hidden="false" customHeight="true" outlineLevel="0" collapsed="false">
      <c r="A43" s="13" t="n">
        <v>2024</v>
      </c>
      <c r="B43" s="13" t="s">
        <v>125</v>
      </c>
      <c r="C43" s="13" t="s">
        <v>967</v>
      </c>
      <c r="D43" s="13" t="s">
        <v>192</v>
      </c>
      <c r="E43" s="14" t="n">
        <v>118</v>
      </c>
      <c r="F43" s="14" t="n">
        <v>82</v>
      </c>
      <c r="G43" s="14" t="n">
        <f aca="false">E43-F43</f>
        <v>36</v>
      </c>
      <c r="H43" s="15" t="n">
        <f aca="false">F43/E43</f>
        <v>0.694915254237288</v>
      </c>
    </row>
    <row r="44" customFormat="false" ht="15" hidden="false" customHeight="true" outlineLevel="0" collapsed="false">
      <c r="A44" s="13" t="n">
        <v>2024</v>
      </c>
      <c r="B44" s="13" t="s">
        <v>125</v>
      </c>
      <c r="C44" s="13" t="s">
        <v>419</v>
      </c>
      <c r="D44" s="13" t="s">
        <v>124</v>
      </c>
      <c r="E44" s="14" t="n">
        <v>1</v>
      </c>
      <c r="F44" s="14" t="n">
        <v>0</v>
      </c>
      <c r="G44" s="14" t="n">
        <f aca="false">E44-F44</f>
        <v>1</v>
      </c>
      <c r="H44" s="15" t="n">
        <f aca="false">F44/E44</f>
        <v>0</v>
      </c>
    </row>
    <row r="45" customFormat="false" ht="15" hidden="false" customHeight="true" outlineLevel="0" collapsed="false">
      <c r="A45" s="13" t="n">
        <v>2024</v>
      </c>
      <c r="B45" s="13" t="s">
        <v>125</v>
      </c>
      <c r="C45" s="13" t="s">
        <v>419</v>
      </c>
      <c r="D45" s="13" t="s">
        <v>192</v>
      </c>
      <c r="E45" s="14" t="n">
        <v>1</v>
      </c>
      <c r="F45" s="14" t="n">
        <v>0</v>
      </c>
      <c r="G45" s="14" t="n">
        <f aca="false">E45-F45</f>
        <v>1</v>
      </c>
      <c r="H45" s="15" t="n">
        <f aca="false">F45/E45</f>
        <v>0</v>
      </c>
    </row>
    <row r="46" customFormat="false" ht="15" hidden="false" customHeight="true" outlineLevel="0" collapsed="false">
      <c r="A46" s="13" t="n">
        <v>2024</v>
      </c>
      <c r="B46" s="13" t="s">
        <v>125</v>
      </c>
      <c r="C46" s="13" t="s">
        <v>968</v>
      </c>
      <c r="D46" s="13" t="s">
        <v>122</v>
      </c>
      <c r="E46" s="14" t="n">
        <v>2</v>
      </c>
      <c r="F46" s="14" t="n">
        <v>1</v>
      </c>
      <c r="G46" s="14" t="n">
        <f aca="false">E46-F46</f>
        <v>1</v>
      </c>
      <c r="H46" s="15" t="n">
        <f aca="false">F46/E46</f>
        <v>0.5</v>
      </c>
    </row>
    <row r="47" customFormat="false" ht="15" hidden="false" customHeight="true" outlineLevel="0" collapsed="false">
      <c r="A47" s="13" t="n">
        <v>2024</v>
      </c>
      <c r="B47" s="13" t="s">
        <v>125</v>
      </c>
      <c r="C47" s="13" t="s">
        <v>968</v>
      </c>
      <c r="D47" s="13" t="s">
        <v>124</v>
      </c>
      <c r="E47" s="14" t="n">
        <v>1</v>
      </c>
      <c r="F47" s="14" t="n">
        <v>0</v>
      </c>
      <c r="G47" s="14" t="n">
        <f aca="false">E47-F47</f>
        <v>1</v>
      </c>
      <c r="H47" s="15" t="n">
        <f aca="false">F47/E47</f>
        <v>0</v>
      </c>
    </row>
    <row r="48" customFormat="false" ht="15" hidden="false" customHeight="true" outlineLevel="0" collapsed="false">
      <c r="A48" s="13" t="n">
        <v>2024</v>
      </c>
      <c r="B48" s="13" t="s">
        <v>125</v>
      </c>
      <c r="C48" s="13" t="s">
        <v>968</v>
      </c>
      <c r="D48" s="13" t="s">
        <v>192</v>
      </c>
      <c r="E48" s="14" t="n">
        <v>3</v>
      </c>
      <c r="F48" s="14" t="n">
        <v>1</v>
      </c>
      <c r="G48" s="14" t="n">
        <f aca="false">E48-F48</f>
        <v>2</v>
      </c>
      <c r="H48" s="15" t="n">
        <f aca="false">F48/E48</f>
        <v>0.333333333333333</v>
      </c>
    </row>
    <row r="49" customFormat="false" ht="15" hidden="false" customHeight="true" outlineLevel="0" collapsed="false">
      <c r="A49" s="13" t="n">
        <v>2024</v>
      </c>
      <c r="B49" s="13" t="s">
        <v>125</v>
      </c>
      <c r="C49" s="13" t="s">
        <v>753</v>
      </c>
      <c r="D49" s="13" t="s">
        <v>122</v>
      </c>
      <c r="E49" s="14" t="n">
        <v>5634</v>
      </c>
      <c r="F49" s="14" t="n">
        <v>3186</v>
      </c>
      <c r="G49" s="14" t="n">
        <f aca="false">E49-F49</f>
        <v>2448</v>
      </c>
      <c r="H49" s="15" t="n">
        <f aca="false">F49/E49</f>
        <v>0.565495207667732</v>
      </c>
    </row>
    <row r="50" customFormat="false" ht="15" hidden="false" customHeight="true" outlineLevel="0" collapsed="false">
      <c r="A50" s="13" t="n">
        <v>2024</v>
      </c>
      <c r="B50" s="13" t="s">
        <v>125</v>
      </c>
      <c r="C50" s="13" t="s">
        <v>753</v>
      </c>
      <c r="D50" s="13" t="s">
        <v>124</v>
      </c>
      <c r="E50" s="14" t="n">
        <v>5787</v>
      </c>
      <c r="F50" s="14" t="n">
        <v>2073</v>
      </c>
      <c r="G50" s="14" t="n">
        <f aca="false">E50-F50</f>
        <v>3714</v>
      </c>
      <c r="H50" s="15" t="n">
        <f aca="false">F50/E50</f>
        <v>0.358216692586833</v>
      </c>
    </row>
    <row r="51" customFormat="false" ht="15" hidden="false" customHeight="true" outlineLevel="0" collapsed="false">
      <c r="A51" s="13" t="n">
        <v>2024</v>
      </c>
      <c r="B51" s="13" t="s">
        <v>125</v>
      </c>
      <c r="C51" s="13" t="s">
        <v>753</v>
      </c>
      <c r="D51" s="13" t="s">
        <v>192</v>
      </c>
      <c r="E51" s="14" t="n">
        <v>11421</v>
      </c>
      <c r="F51" s="14" t="n">
        <v>5259</v>
      </c>
      <c r="G51" s="14" t="n">
        <f aca="false">E51-F51</f>
        <v>6162</v>
      </c>
      <c r="H51" s="15" t="n">
        <f aca="false">F51/E51</f>
        <v>0.46046755975834</v>
      </c>
    </row>
    <row r="52" customFormat="false" ht="15" hidden="false" customHeight="true" outlineLevel="0" collapsed="false">
      <c r="A52" s="13" t="n">
        <v>2024</v>
      </c>
      <c r="B52" s="13" t="s">
        <v>195</v>
      </c>
      <c r="C52" s="13" t="s">
        <v>203</v>
      </c>
      <c r="D52" s="13" t="s">
        <v>122</v>
      </c>
      <c r="E52" s="14" t="n">
        <v>179</v>
      </c>
      <c r="F52" s="14" t="n">
        <v>156</v>
      </c>
      <c r="G52" s="14" t="n">
        <f aca="false">E52-F52</f>
        <v>23</v>
      </c>
      <c r="H52" s="15" t="n">
        <f aca="false">F52/E52</f>
        <v>0.871508379888268</v>
      </c>
    </row>
    <row r="53" customFormat="false" ht="15" hidden="false" customHeight="true" outlineLevel="0" collapsed="false">
      <c r="A53" s="13" t="n">
        <v>2024</v>
      </c>
      <c r="B53" s="13" t="s">
        <v>195</v>
      </c>
      <c r="C53" s="13" t="s">
        <v>203</v>
      </c>
      <c r="D53" s="13" t="s">
        <v>124</v>
      </c>
      <c r="E53" s="14" t="n">
        <v>433</v>
      </c>
      <c r="F53" s="14" t="n">
        <v>279</v>
      </c>
      <c r="G53" s="14" t="n">
        <f aca="false">E53-F53</f>
        <v>154</v>
      </c>
      <c r="H53" s="15" t="n">
        <f aca="false">F53/E53</f>
        <v>0.644341801385681</v>
      </c>
    </row>
    <row r="54" customFormat="false" ht="15" hidden="false" customHeight="true" outlineLevel="0" collapsed="false">
      <c r="A54" s="13" t="n">
        <v>2024</v>
      </c>
      <c r="B54" s="13" t="s">
        <v>195</v>
      </c>
      <c r="C54" s="13" t="s">
        <v>203</v>
      </c>
      <c r="D54" s="13" t="s">
        <v>192</v>
      </c>
      <c r="E54" s="14" t="n">
        <v>612</v>
      </c>
      <c r="F54" s="14" t="n">
        <v>435</v>
      </c>
      <c r="G54" s="14" t="n">
        <f aca="false">E54-F54</f>
        <v>177</v>
      </c>
      <c r="H54" s="15" t="n">
        <f aca="false">F54/E54</f>
        <v>0.71078431372549</v>
      </c>
    </row>
    <row r="55" customFormat="false" ht="15" hidden="false" customHeight="true" outlineLevel="0" collapsed="false">
      <c r="A55" s="13" t="n">
        <v>2024</v>
      </c>
      <c r="B55" s="13" t="s">
        <v>195</v>
      </c>
      <c r="C55" s="13" t="s">
        <v>202</v>
      </c>
      <c r="D55" s="13" t="s">
        <v>122</v>
      </c>
      <c r="E55" s="14" t="n">
        <v>4119</v>
      </c>
      <c r="F55" s="14" t="n">
        <v>2913</v>
      </c>
      <c r="G55" s="14" t="n">
        <f aca="false">E55-F55</f>
        <v>1206</v>
      </c>
      <c r="H55" s="15" t="n">
        <f aca="false">F55/E55</f>
        <v>0.70721048798252</v>
      </c>
    </row>
    <row r="56" customFormat="false" ht="15" hidden="false" customHeight="true" outlineLevel="0" collapsed="false">
      <c r="A56" s="13" t="n">
        <v>2024</v>
      </c>
      <c r="B56" s="13" t="s">
        <v>195</v>
      </c>
      <c r="C56" s="13" t="s">
        <v>202</v>
      </c>
      <c r="D56" s="13" t="s">
        <v>124</v>
      </c>
      <c r="E56" s="14" t="n">
        <v>5186</v>
      </c>
      <c r="F56" s="14" t="n">
        <v>3205</v>
      </c>
      <c r="G56" s="14" t="n">
        <f aca="false">E56-F56</f>
        <v>1981</v>
      </c>
      <c r="H56" s="15" t="n">
        <f aca="false">F56/E56</f>
        <v>0.618010026995758</v>
      </c>
    </row>
    <row r="57" customFormat="false" ht="15" hidden="false" customHeight="true" outlineLevel="0" collapsed="false">
      <c r="A57" s="13" t="n">
        <v>2024</v>
      </c>
      <c r="B57" s="13" t="s">
        <v>195</v>
      </c>
      <c r="C57" s="13" t="s">
        <v>202</v>
      </c>
      <c r="D57" s="13" t="s">
        <v>192</v>
      </c>
      <c r="E57" s="14" t="n">
        <v>9305</v>
      </c>
      <c r="F57" s="14" t="n">
        <v>6118</v>
      </c>
      <c r="G57" s="14" t="n">
        <f aca="false">E57-F57</f>
        <v>3187</v>
      </c>
      <c r="H57" s="15" t="n">
        <f aca="false">F57/E57</f>
        <v>0.657495969908651</v>
      </c>
    </row>
    <row r="58" customFormat="false" ht="15" hidden="false" customHeight="true" outlineLevel="0" collapsed="false">
      <c r="A58" s="13" t="n">
        <v>2024</v>
      </c>
      <c r="B58" s="13" t="s">
        <v>195</v>
      </c>
      <c r="C58" s="13" t="s">
        <v>128</v>
      </c>
      <c r="D58" s="13" t="s">
        <v>122</v>
      </c>
      <c r="E58" s="14" t="n">
        <v>14263</v>
      </c>
      <c r="F58" s="14" t="n">
        <v>9934</v>
      </c>
      <c r="G58" s="14" t="n">
        <f aca="false">E58-F58</f>
        <v>4329</v>
      </c>
      <c r="H58" s="15" t="n">
        <f aca="false">F58/E58</f>
        <v>0.696487414989834</v>
      </c>
    </row>
    <row r="59" customFormat="false" ht="15" hidden="false" customHeight="true" outlineLevel="0" collapsed="false">
      <c r="A59" s="13" t="n">
        <v>2024</v>
      </c>
      <c r="B59" s="13" t="s">
        <v>195</v>
      </c>
      <c r="C59" s="13" t="s">
        <v>128</v>
      </c>
      <c r="D59" s="13" t="s">
        <v>124</v>
      </c>
      <c r="E59" s="14" t="n">
        <v>11407</v>
      </c>
      <c r="F59" s="14" t="n">
        <v>5292</v>
      </c>
      <c r="G59" s="14" t="n">
        <f aca="false">E59-F59</f>
        <v>6115</v>
      </c>
      <c r="H59" s="15" t="n">
        <f aca="false">F59/E59</f>
        <v>0.463925659682651</v>
      </c>
    </row>
    <row r="60" customFormat="false" ht="15" hidden="false" customHeight="true" outlineLevel="0" collapsed="false">
      <c r="A60" s="13" t="n">
        <v>2024</v>
      </c>
      <c r="B60" s="13" t="s">
        <v>195</v>
      </c>
      <c r="C60" s="13" t="s">
        <v>128</v>
      </c>
      <c r="D60" s="13" t="s">
        <v>192</v>
      </c>
      <c r="E60" s="14" t="n">
        <v>25670</v>
      </c>
      <c r="F60" s="14" t="n">
        <v>15226</v>
      </c>
      <c r="G60" s="14" t="n">
        <f aca="false">E60-F60</f>
        <v>10444</v>
      </c>
      <c r="H60" s="15" t="n">
        <f aca="false">F60/E60</f>
        <v>0.593143747565251</v>
      </c>
    </row>
    <row r="61" customFormat="false" ht="15" hidden="false" customHeight="true" outlineLevel="0" collapsed="false">
      <c r="A61" s="13" t="n">
        <v>2024</v>
      </c>
      <c r="B61" s="13" t="s">
        <v>195</v>
      </c>
      <c r="C61" s="13" t="s">
        <v>126</v>
      </c>
      <c r="D61" s="13" t="s">
        <v>122</v>
      </c>
      <c r="E61" s="14" t="n">
        <v>1232</v>
      </c>
      <c r="F61" s="14" t="n">
        <v>1040</v>
      </c>
      <c r="G61" s="14" t="n">
        <f aca="false">E61-F61</f>
        <v>192</v>
      </c>
      <c r="H61" s="15" t="n">
        <f aca="false">F61/E61</f>
        <v>0.844155844155844</v>
      </c>
    </row>
    <row r="62" customFormat="false" ht="15" hidden="false" customHeight="true" outlineLevel="0" collapsed="false">
      <c r="A62" s="13" t="n">
        <v>2024</v>
      </c>
      <c r="B62" s="13" t="s">
        <v>195</v>
      </c>
      <c r="C62" s="13" t="s">
        <v>126</v>
      </c>
      <c r="D62" s="13" t="s">
        <v>124</v>
      </c>
      <c r="E62" s="14" t="n">
        <v>2271</v>
      </c>
      <c r="F62" s="14" t="n">
        <v>1750</v>
      </c>
      <c r="G62" s="14" t="n">
        <f aca="false">E62-F62</f>
        <v>521</v>
      </c>
      <c r="H62" s="15" t="n">
        <f aca="false">F62/E62</f>
        <v>0.770585645090269</v>
      </c>
    </row>
    <row r="63" customFormat="false" ht="15" hidden="false" customHeight="true" outlineLevel="0" collapsed="false">
      <c r="A63" s="13" t="n">
        <v>2024</v>
      </c>
      <c r="B63" s="13" t="s">
        <v>195</v>
      </c>
      <c r="C63" s="13" t="s">
        <v>126</v>
      </c>
      <c r="D63" s="13" t="s">
        <v>192</v>
      </c>
      <c r="E63" s="14" t="n">
        <v>3503</v>
      </c>
      <c r="F63" s="14" t="n">
        <v>2790</v>
      </c>
      <c r="G63" s="14" t="n">
        <f aca="false">E63-F63</f>
        <v>713</v>
      </c>
      <c r="H63" s="15" t="n">
        <f aca="false">F63/E63</f>
        <v>0.796460176991151</v>
      </c>
    </row>
    <row r="64" customFormat="false" ht="15" hidden="false" customHeight="true" outlineLevel="0" collapsed="false">
      <c r="A64" s="13" t="n">
        <v>2024</v>
      </c>
      <c r="B64" s="13" t="s">
        <v>195</v>
      </c>
      <c r="C64" s="13" t="s">
        <v>123</v>
      </c>
      <c r="D64" s="13" t="s">
        <v>122</v>
      </c>
      <c r="E64" s="14" t="n">
        <v>8994</v>
      </c>
      <c r="F64" s="14" t="n">
        <v>7616</v>
      </c>
      <c r="G64" s="14" t="n">
        <f aca="false">E64-F64</f>
        <v>1378</v>
      </c>
      <c r="H64" s="15" t="n">
        <f aca="false">F64/E64</f>
        <v>0.846786746720036</v>
      </c>
    </row>
    <row r="65" customFormat="false" ht="15" hidden="false" customHeight="true" outlineLevel="0" collapsed="false">
      <c r="A65" s="13" t="n">
        <v>2024</v>
      </c>
      <c r="B65" s="13" t="s">
        <v>195</v>
      </c>
      <c r="C65" s="13" t="s">
        <v>123</v>
      </c>
      <c r="D65" s="13" t="s">
        <v>124</v>
      </c>
      <c r="E65" s="14" t="n">
        <v>4243</v>
      </c>
      <c r="F65" s="14" t="n">
        <v>3386</v>
      </c>
      <c r="G65" s="14" t="n">
        <f aca="false">E65-F65</f>
        <v>857</v>
      </c>
      <c r="H65" s="15" t="n">
        <f aca="false">F65/E65</f>
        <v>0.798020268677822</v>
      </c>
    </row>
    <row r="66" customFormat="false" ht="15" hidden="false" customHeight="true" outlineLevel="0" collapsed="false">
      <c r="A66" s="13" t="n">
        <v>2024</v>
      </c>
      <c r="B66" s="13" t="s">
        <v>195</v>
      </c>
      <c r="C66" s="13" t="s">
        <v>123</v>
      </c>
      <c r="D66" s="13" t="s">
        <v>192</v>
      </c>
      <c r="E66" s="14" t="n">
        <v>13237</v>
      </c>
      <c r="F66" s="14" t="n">
        <v>11002</v>
      </c>
      <c r="G66" s="14" t="n">
        <f aca="false">E66-F66</f>
        <v>2235</v>
      </c>
      <c r="H66" s="15" t="n">
        <f aca="false">F66/E66</f>
        <v>0.83115509556546</v>
      </c>
    </row>
    <row r="67" customFormat="false" ht="15" hidden="false" customHeight="true" outlineLevel="0" collapsed="false">
      <c r="A67" s="13" t="n">
        <v>2024</v>
      </c>
      <c r="B67" s="13" t="s">
        <v>195</v>
      </c>
      <c r="C67" s="13" t="s">
        <v>966</v>
      </c>
      <c r="D67" s="13" t="s">
        <v>122</v>
      </c>
      <c r="E67" s="14" t="n">
        <v>1</v>
      </c>
      <c r="F67" s="14" t="n">
        <v>1</v>
      </c>
      <c r="G67" s="14" t="n">
        <f aca="false">E67-F67</f>
        <v>0</v>
      </c>
      <c r="H67" s="15" t="n">
        <f aca="false">F67/E67</f>
        <v>1</v>
      </c>
    </row>
    <row r="68" customFormat="false" ht="15" hidden="false" customHeight="true" outlineLevel="0" collapsed="false">
      <c r="A68" s="13" t="n">
        <v>2024</v>
      </c>
      <c r="B68" s="13" t="s">
        <v>195</v>
      </c>
      <c r="C68" s="13" t="s">
        <v>966</v>
      </c>
      <c r="D68" s="13" t="s">
        <v>124</v>
      </c>
      <c r="E68" s="14" t="n">
        <v>7</v>
      </c>
      <c r="F68" s="14" t="n">
        <v>1</v>
      </c>
      <c r="G68" s="14" t="n">
        <f aca="false">E68-F68</f>
        <v>6</v>
      </c>
      <c r="H68" s="15" t="n">
        <f aca="false">F68/E68</f>
        <v>0.142857142857143</v>
      </c>
    </row>
    <row r="69" customFormat="false" ht="15" hidden="false" customHeight="true" outlineLevel="0" collapsed="false">
      <c r="A69" s="13" t="n">
        <v>2024</v>
      </c>
      <c r="B69" s="13" t="s">
        <v>195</v>
      </c>
      <c r="C69" s="13" t="s">
        <v>966</v>
      </c>
      <c r="D69" s="13" t="s">
        <v>192</v>
      </c>
      <c r="E69" s="14" t="n">
        <v>8</v>
      </c>
      <c r="F69" s="14" t="n">
        <v>2</v>
      </c>
      <c r="G69" s="14" t="n">
        <f aca="false">E69-F69</f>
        <v>6</v>
      </c>
      <c r="H69" s="15" t="n">
        <f aca="false">F69/E69</f>
        <v>0.25</v>
      </c>
    </row>
    <row r="70" customFormat="false" ht="15" hidden="false" customHeight="true" outlineLevel="0" collapsed="false">
      <c r="A70" s="13" t="n">
        <v>2024</v>
      </c>
      <c r="B70" s="13" t="s">
        <v>195</v>
      </c>
      <c r="C70" s="13" t="s">
        <v>967</v>
      </c>
      <c r="D70" s="13" t="s">
        <v>122</v>
      </c>
      <c r="E70" s="14" t="n">
        <v>53</v>
      </c>
      <c r="F70" s="14" t="n">
        <v>38</v>
      </c>
      <c r="G70" s="14" t="n">
        <f aca="false">E70-F70</f>
        <v>15</v>
      </c>
      <c r="H70" s="15" t="n">
        <f aca="false">F70/E70</f>
        <v>0.716981132075472</v>
      </c>
    </row>
    <row r="71" customFormat="false" ht="15" hidden="false" customHeight="true" outlineLevel="0" collapsed="false">
      <c r="A71" s="13" t="n">
        <v>2024</v>
      </c>
      <c r="B71" s="13" t="s">
        <v>195</v>
      </c>
      <c r="C71" s="13" t="s">
        <v>967</v>
      </c>
      <c r="D71" s="13" t="s">
        <v>124</v>
      </c>
      <c r="E71" s="14" t="n">
        <v>65</v>
      </c>
      <c r="F71" s="14" t="n">
        <v>44</v>
      </c>
      <c r="G71" s="14" t="n">
        <f aca="false">E71-F71</f>
        <v>21</v>
      </c>
      <c r="H71" s="15" t="n">
        <f aca="false">F71/E71</f>
        <v>0.676923076923077</v>
      </c>
    </row>
    <row r="72" customFormat="false" ht="15" hidden="false" customHeight="true" outlineLevel="0" collapsed="false">
      <c r="A72" s="13" t="n">
        <v>2024</v>
      </c>
      <c r="B72" s="13" t="s">
        <v>195</v>
      </c>
      <c r="C72" s="13" t="s">
        <v>967</v>
      </c>
      <c r="D72" s="13" t="s">
        <v>192</v>
      </c>
      <c r="E72" s="14" t="n">
        <v>118</v>
      </c>
      <c r="F72" s="14" t="n">
        <v>82</v>
      </c>
      <c r="G72" s="14" t="n">
        <f aca="false">E72-F72</f>
        <v>36</v>
      </c>
      <c r="H72" s="15" t="n">
        <f aca="false">F72/E72</f>
        <v>0.694915254237288</v>
      </c>
    </row>
    <row r="73" customFormat="false" ht="15" hidden="false" customHeight="true" outlineLevel="0" collapsed="false">
      <c r="A73" s="13" t="n">
        <v>2024</v>
      </c>
      <c r="B73" s="13" t="s">
        <v>195</v>
      </c>
      <c r="C73" s="13" t="s">
        <v>419</v>
      </c>
      <c r="D73" s="13" t="s">
        <v>124</v>
      </c>
      <c r="E73" s="14" t="n">
        <v>1</v>
      </c>
      <c r="F73" s="14" t="n">
        <v>0</v>
      </c>
      <c r="G73" s="14" t="n">
        <f aca="false">E73-F73</f>
        <v>1</v>
      </c>
      <c r="H73" s="15" t="n">
        <f aca="false">F73/E73</f>
        <v>0</v>
      </c>
    </row>
    <row r="74" customFormat="false" ht="15" hidden="false" customHeight="true" outlineLevel="0" collapsed="false">
      <c r="A74" s="13" t="n">
        <v>2024</v>
      </c>
      <c r="B74" s="13" t="s">
        <v>195</v>
      </c>
      <c r="C74" s="13" t="s">
        <v>419</v>
      </c>
      <c r="D74" s="13" t="s">
        <v>192</v>
      </c>
      <c r="E74" s="14" t="n">
        <v>1</v>
      </c>
      <c r="F74" s="14" t="n">
        <v>0</v>
      </c>
      <c r="G74" s="14" t="n">
        <f aca="false">E74-F74</f>
        <v>1</v>
      </c>
      <c r="H74" s="15" t="n">
        <f aca="false">F74/E74</f>
        <v>0</v>
      </c>
    </row>
    <row r="75" customFormat="false" ht="15" hidden="false" customHeight="true" outlineLevel="0" collapsed="false">
      <c r="A75" s="13" t="n">
        <v>2024</v>
      </c>
      <c r="B75" s="13" t="s">
        <v>195</v>
      </c>
      <c r="C75" s="13" t="s">
        <v>968</v>
      </c>
      <c r="D75" s="13" t="s">
        <v>122</v>
      </c>
      <c r="E75" s="14" t="n">
        <v>2</v>
      </c>
      <c r="F75" s="14" t="n">
        <v>1</v>
      </c>
      <c r="G75" s="14" t="n">
        <f aca="false">E75-F75</f>
        <v>1</v>
      </c>
      <c r="H75" s="15" t="n">
        <f aca="false">F75/E75</f>
        <v>0.5</v>
      </c>
    </row>
    <row r="76" customFormat="false" ht="15" hidden="false" customHeight="true" outlineLevel="0" collapsed="false">
      <c r="A76" s="13" t="n">
        <v>2024</v>
      </c>
      <c r="B76" s="13" t="s">
        <v>195</v>
      </c>
      <c r="C76" s="13" t="s">
        <v>968</v>
      </c>
      <c r="D76" s="13" t="s">
        <v>124</v>
      </c>
      <c r="E76" s="14" t="n">
        <v>1</v>
      </c>
      <c r="F76" s="14" t="n">
        <v>0</v>
      </c>
      <c r="G76" s="14" t="n">
        <f aca="false">E76-F76</f>
        <v>1</v>
      </c>
      <c r="H76" s="15" t="n">
        <f aca="false">F76/E76</f>
        <v>0</v>
      </c>
    </row>
    <row r="77" customFormat="false" ht="15" hidden="false" customHeight="true" outlineLevel="0" collapsed="false">
      <c r="A77" s="13" t="n">
        <v>2024</v>
      </c>
      <c r="B77" s="13" t="s">
        <v>195</v>
      </c>
      <c r="C77" s="13" t="s">
        <v>968</v>
      </c>
      <c r="D77" s="13" t="s">
        <v>192</v>
      </c>
      <c r="E77" s="14" t="n">
        <v>3</v>
      </c>
      <c r="F77" s="14" t="n">
        <v>1</v>
      </c>
      <c r="G77" s="14" t="n">
        <f aca="false">E77-F77</f>
        <v>2</v>
      </c>
      <c r="H77" s="15" t="n">
        <f aca="false">F77/E77</f>
        <v>0.333333333333333</v>
      </c>
    </row>
    <row r="78" customFormat="false" ht="15" hidden="false" customHeight="true" outlineLevel="0" collapsed="false">
      <c r="A78" s="13" t="n">
        <v>2024</v>
      </c>
      <c r="B78" s="13" t="s">
        <v>195</v>
      </c>
      <c r="C78" s="13" t="s">
        <v>753</v>
      </c>
      <c r="D78" s="13" t="s">
        <v>122</v>
      </c>
      <c r="E78" s="14" t="n">
        <v>28843</v>
      </c>
      <c r="F78" s="14" t="n">
        <v>21699</v>
      </c>
      <c r="G78" s="14" t="n">
        <f aca="false">E78-F78</f>
        <v>7144</v>
      </c>
      <c r="H78" s="15" t="n">
        <f aca="false">F78/E78</f>
        <v>0.752314253024997</v>
      </c>
    </row>
    <row r="79" customFormat="false" ht="15" hidden="false" customHeight="true" outlineLevel="0" collapsed="false">
      <c r="A79" s="13" t="n">
        <v>2024</v>
      </c>
      <c r="B79" s="13" t="s">
        <v>195</v>
      </c>
      <c r="C79" s="13" t="s">
        <v>753</v>
      </c>
      <c r="D79" s="13" t="s">
        <v>124</v>
      </c>
      <c r="E79" s="14" t="n">
        <v>23614</v>
      </c>
      <c r="F79" s="14" t="n">
        <v>13957</v>
      </c>
      <c r="G79" s="14" t="n">
        <f aca="false">E79-F79</f>
        <v>9657</v>
      </c>
      <c r="H79" s="15" t="n">
        <f aca="false">F79/E79</f>
        <v>0.591047683577539</v>
      </c>
    </row>
    <row r="80" customFormat="false" ht="15" hidden="false" customHeight="true" outlineLevel="0" collapsed="false">
      <c r="A80" s="13" t="n">
        <v>2024</v>
      </c>
      <c r="B80" s="13" t="s">
        <v>195</v>
      </c>
      <c r="C80" s="13" t="s">
        <v>753</v>
      </c>
      <c r="D80" s="13" t="s">
        <v>192</v>
      </c>
      <c r="E80" s="14" t="n">
        <v>52457</v>
      </c>
      <c r="F80" s="14" t="n">
        <v>35656</v>
      </c>
      <c r="G80" s="14" t="n">
        <f aca="false">E80-F80</f>
        <v>16801</v>
      </c>
      <c r="H80" s="15" t="n">
        <f aca="false">F80/E80</f>
        <v>0.679718626684713</v>
      </c>
    </row>
    <row r="81" customFormat="false" ht="15" hidden="false" customHeight="true" outlineLevel="0" collapsed="false">
      <c r="A81" s="13" t="n">
        <v>2025</v>
      </c>
      <c r="B81" s="13" t="s">
        <v>121</v>
      </c>
      <c r="C81" s="13" t="s">
        <v>203</v>
      </c>
      <c r="D81" s="13" t="s">
        <v>122</v>
      </c>
      <c r="E81" s="14" t="n">
        <v>156</v>
      </c>
      <c r="F81" s="14" t="n">
        <v>143</v>
      </c>
      <c r="G81" s="14" t="n">
        <f aca="false">E81-F81</f>
        <v>13</v>
      </c>
      <c r="H81" s="15" t="n">
        <f aca="false">F81/E81</f>
        <v>0.916666666666667</v>
      </c>
    </row>
    <row r="82" customFormat="false" ht="15" hidden="false" customHeight="true" outlineLevel="0" collapsed="false">
      <c r="A82" s="13" t="n">
        <v>2025</v>
      </c>
      <c r="B82" s="13" t="s">
        <v>121</v>
      </c>
      <c r="C82" s="13" t="s">
        <v>203</v>
      </c>
      <c r="D82" s="13" t="s">
        <v>124</v>
      </c>
      <c r="E82" s="14" t="n">
        <v>263</v>
      </c>
      <c r="F82" s="14" t="n">
        <v>194</v>
      </c>
      <c r="G82" s="14" t="n">
        <f aca="false">E82-F82</f>
        <v>69</v>
      </c>
      <c r="H82" s="15" t="n">
        <f aca="false">F82/E82</f>
        <v>0.737642585551331</v>
      </c>
    </row>
    <row r="83" customFormat="false" ht="15" hidden="false" customHeight="true" outlineLevel="0" collapsed="false">
      <c r="A83" s="13" t="n">
        <v>2025</v>
      </c>
      <c r="B83" s="13" t="s">
        <v>121</v>
      </c>
      <c r="C83" s="13" t="s">
        <v>203</v>
      </c>
      <c r="D83" s="13" t="s">
        <v>192</v>
      </c>
      <c r="E83" s="14" t="n">
        <v>419</v>
      </c>
      <c r="F83" s="14" t="n">
        <v>337</v>
      </c>
      <c r="G83" s="14" t="n">
        <f aca="false">E83-F83</f>
        <v>82</v>
      </c>
      <c r="H83" s="15" t="n">
        <f aca="false">F83/E83</f>
        <v>0.804295942720764</v>
      </c>
    </row>
    <row r="84" customFormat="false" ht="15" hidden="false" customHeight="true" outlineLevel="0" collapsed="false">
      <c r="A84" s="13" t="n">
        <v>2025</v>
      </c>
      <c r="B84" s="13" t="s">
        <v>121</v>
      </c>
      <c r="C84" s="13" t="s">
        <v>202</v>
      </c>
      <c r="D84" s="13" t="s">
        <v>122</v>
      </c>
      <c r="E84" s="14" t="n">
        <v>4362</v>
      </c>
      <c r="F84" s="14" t="n">
        <v>3470</v>
      </c>
      <c r="G84" s="14" t="n">
        <f aca="false">E84-F84</f>
        <v>892</v>
      </c>
      <c r="H84" s="15" t="n">
        <f aca="false">F84/E84</f>
        <v>0.795506648326456</v>
      </c>
    </row>
    <row r="85" customFormat="false" ht="15" hidden="false" customHeight="true" outlineLevel="0" collapsed="false">
      <c r="A85" s="13" t="n">
        <v>2025</v>
      </c>
      <c r="B85" s="13" t="s">
        <v>121</v>
      </c>
      <c r="C85" s="13" t="s">
        <v>202</v>
      </c>
      <c r="D85" s="13" t="s">
        <v>124</v>
      </c>
      <c r="E85" s="14" t="n">
        <v>4966</v>
      </c>
      <c r="F85" s="14" t="n">
        <v>3326</v>
      </c>
      <c r="G85" s="14" t="n">
        <f aca="false">E85-F85</f>
        <v>1640</v>
      </c>
      <c r="H85" s="15" t="n">
        <f aca="false">F85/E85</f>
        <v>0.669754329440193</v>
      </c>
    </row>
    <row r="86" customFormat="false" ht="15" hidden="false" customHeight="true" outlineLevel="0" collapsed="false">
      <c r="A86" s="13" t="n">
        <v>2025</v>
      </c>
      <c r="B86" s="13" t="s">
        <v>121</v>
      </c>
      <c r="C86" s="13" t="s">
        <v>202</v>
      </c>
      <c r="D86" s="13" t="s">
        <v>192</v>
      </c>
      <c r="E86" s="14" t="n">
        <v>9328</v>
      </c>
      <c r="F86" s="14" t="n">
        <v>6796</v>
      </c>
      <c r="G86" s="14" t="n">
        <f aca="false">E86-F86</f>
        <v>2532</v>
      </c>
      <c r="H86" s="15" t="n">
        <f aca="false">F86/E86</f>
        <v>0.728559176672384</v>
      </c>
    </row>
    <row r="87" customFormat="false" ht="15" hidden="false" customHeight="true" outlineLevel="0" collapsed="false">
      <c r="A87" s="13" t="n">
        <v>2025</v>
      </c>
      <c r="B87" s="13" t="s">
        <v>121</v>
      </c>
      <c r="C87" s="13" t="s">
        <v>128</v>
      </c>
      <c r="D87" s="13" t="s">
        <v>122</v>
      </c>
      <c r="E87" s="14" t="n">
        <v>11709</v>
      </c>
      <c r="F87" s="14" t="n">
        <v>8748</v>
      </c>
      <c r="G87" s="14" t="n">
        <f aca="false">E87-F87</f>
        <v>2961</v>
      </c>
      <c r="H87" s="15" t="n">
        <f aca="false">F87/E87</f>
        <v>0.747117601844735</v>
      </c>
    </row>
    <row r="88" customFormat="false" ht="15" hidden="false" customHeight="true" outlineLevel="0" collapsed="false">
      <c r="A88" s="13" t="n">
        <v>2025</v>
      </c>
      <c r="B88" s="13" t="s">
        <v>121</v>
      </c>
      <c r="C88" s="13" t="s">
        <v>128</v>
      </c>
      <c r="D88" s="13" t="s">
        <v>124</v>
      </c>
      <c r="E88" s="14" t="n">
        <v>7330</v>
      </c>
      <c r="F88" s="14" t="n">
        <v>3806</v>
      </c>
      <c r="G88" s="14" t="n">
        <f aca="false">E88-F88</f>
        <v>3524</v>
      </c>
      <c r="H88" s="15" t="n">
        <f aca="false">F88/E88</f>
        <v>0.519236016371078</v>
      </c>
    </row>
    <row r="89" customFormat="false" ht="15" hidden="false" customHeight="true" outlineLevel="0" collapsed="false">
      <c r="A89" s="13" t="n">
        <v>2025</v>
      </c>
      <c r="B89" s="13" t="s">
        <v>121</v>
      </c>
      <c r="C89" s="13" t="s">
        <v>128</v>
      </c>
      <c r="D89" s="13" t="s">
        <v>192</v>
      </c>
      <c r="E89" s="14" t="n">
        <v>19039</v>
      </c>
      <c r="F89" s="14" t="n">
        <v>12554</v>
      </c>
      <c r="G89" s="14" t="n">
        <f aca="false">E89-F89</f>
        <v>6485</v>
      </c>
      <c r="H89" s="15" t="n">
        <f aca="false">F89/E89</f>
        <v>0.659383370975366</v>
      </c>
    </row>
    <row r="90" customFormat="false" ht="15" hidden="false" customHeight="true" outlineLevel="0" collapsed="false">
      <c r="A90" s="13" t="n">
        <v>2025</v>
      </c>
      <c r="B90" s="13" t="s">
        <v>121</v>
      </c>
      <c r="C90" s="13" t="s">
        <v>126</v>
      </c>
      <c r="D90" s="13" t="s">
        <v>122</v>
      </c>
      <c r="E90" s="14" t="n">
        <v>889</v>
      </c>
      <c r="F90" s="14" t="n">
        <v>812</v>
      </c>
      <c r="G90" s="14" t="n">
        <f aca="false">E90-F90</f>
        <v>77</v>
      </c>
      <c r="H90" s="15" t="n">
        <f aca="false">F90/E90</f>
        <v>0.913385826771654</v>
      </c>
    </row>
    <row r="91" customFormat="false" ht="15" hidden="false" customHeight="true" outlineLevel="0" collapsed="false">
      <c r="A91" s="13" t="n">
        <v>2025</v>
      </c>
      <c r="B91" s="13" t="s">
        <v>121</v>
      </c>
      <c r="C91" s="13" t="s">
        <v>126</v>
      </c>
      <c r="D91" s="13" t="s">
        <v>124</v>
      </c>
      <c r="E91" s="14" t="n">
        <v>1333</v>
      </c>
      <c r="F91" s="14" t="n">
        <v>1140</v>
      </c>
      <c r="G91" s="14" t="n">
        <f aca="false">E91-F91</f>
        <v>193</v>
      </c>
      <c r="H91" s="15" t="n">
        <f aca="false">F91/E91</f>
        <v>0.855213803450863</v>
      </c>
    </row>
    <row r="92" customFormat="false" ht="15" hidden="false" customHeight="true" outlineLevel="0" collapsed="false">
      <c r="A92" s="13" t="n">
        <v>2025</v>
      </c>
      <c r="B92" s="13" t="s">
        <v>121</v>
      </c>
      <c r="C92" s="13" t="s">
        <v>126</v>
      </c>
      <c r="D92" s="13" t="s">
        <v>192</v>
      </c>
      <c r="E92" s="14" t="n">
        <v>2222</v>
      </c>
      <c r="F92" s="14" t="n">
        <v>1952</v>
      </c>
      <c r="G92" s="14" t="n">
        <f aca="false">E92-F92</f>
        <v>270</v>
      </c>
      <c r="H92" s="15" t="n">
        <f aca="false">F92/E92</f>
        <v>0.878487848784879</v>
      </c>
    </row>
    <row r="93" customFormat="false" ht="15" hidden="false" customHeight="true" outlineLevel="0" collapsed="false">
      <c r="A93" s="13" t="n">
        <v>2025</v>
      </c>
      <c r="B93" s="13" t="s">
        <v>121</v>
      </c>
      <c r="C93" s="13" t="s">
        <v>123</v>
      </c>
      <c r="D93" s="13" t="s">
        <v>122</v>
      </c>
      <c r="E93" s="14" t="n">
        <v>6533</v>
      </c>
      <c r="F93" s="14" t="n">
        <v>5787</v>
      </c>
      <c r="G93" s="14" t="n">
        <f aca="false">E93-F93</f>
        <v>746</v>
      </c>
      <c r="H93" s="15" t="n">
        <f aca="false">F93/E93</f>
        <v>0.885810500535742</v>
      </c>
    </row>
    <row r="94" customFormat="false" ht="15" hidden="false" customHeight="true" outlineLevel="0" collapsed="false">
      <c r="A94" s="13" t="n">
        <v>2025</v>
      </c>
      <c r="B94" s="13" t="s">
        <v>121</v>
      </c>
      <c r="C94" s="13" t="s">
        <v>123</v>
      </c>
      <c r="D94" s="13" t="s">
        <v>124</v>
      </c>
      <c r="E94" s="14" t="n">
        <v>2418</v>
      </c>
      <c r="F94" s="14" t="n">
        <v>2031</v>
      </c>
      <c r="G94" s="14" t="n">
        <f aca="false">E94-F94</f>
        <v>387</v>
      </c>
      <c r="H94" s="15" t="n">
        <f aca="false">F94/E94</f>
        <v>0.839950372208437</v>
      </c>
    </row>
    <row r="95" customFormat="false" ht="15" hidden="false" customHeight="true" outlineLevel="0" collapsed="false">
      <c r="A95" s="13" t="n">
        <v>2025</v>
      </c>
      <c r="B95" s="13" t="s">
        <v>121</v>
      </c>
      <c r="C95" s="13" t="s">
        <v>123</v>
      </c>
      <c r="D95" s="13" t="s">
        <v>192</v>
      </c>
      <c r="E95" s="14" t="n">
        <v>8951</v>
      </c>
      <c r="F95" s="14" t="n">
        <v>7818</v>
      </c>
      <c r="G95" s="14" t="n">
        <f aca="false">E95-F95</f>
        <v>1133</v>
      </c>
      <c r="H95" s="15" t="n">
        <f aca="false">F95/E95</f>
        <v>0.873421964026366</v>
      </c>
    </row>
    <row r="96" customFormat="false" ht="15" hidden="false" customHeight="true" outlineLevel="0" collapsed="false">
      <c r="A96" s="13" t="n">
        <v>2025</v>
      </c>
      <c r="B96" s="13" t="s">
        <v>121</v>
      </c>
      <c r="C96" s="13" t="s">
        <v>753</v>
      </c>
      <c r="D96" s="13" t="s">
        <v>122</v>
      </c>
      <c r="E96" s="14" t="n">
        <v>23649</v>
      </c>
      <c r="F96" s="14" t="n">
        <v>18960</v>
      </c>
      <c r="G96" s="14" t="n">
        <f aca="false">E96-F96</f>
        <v>4689</v>
      </c>
      <c r="H96" s="15" t="n">
        <f aca="false">F96/E96</f>
        <v>0.801725231510846</v>
      </c>
    </row>
    <row r="97" customFormat="false" ht="15" hidden="false" customHeight="true" outlineLevel="0" collapsed="false">
      <c r="A97" s="13" t="n">
        <v>2025</v>
      </c>
      <c r="B97" s="13" t="s">
        <v>121</v>
      </c>
      <c r="C97" s="13" t="s">
        <v>753</v>
      </c>
      <c r="D97" s="13" t="s">
        <v>124</v>
      </c>
      <c r="E97" s="14" t="n">
        <v>16310</v>
      </c>
      <c r="F97" s="14" t="n">
        <v>10497</v>
      </c>
      <c r="G97" s="14" t="n">
        <f aca="false">E97-F97</f>
        <v>5813</v>
      </c>
      <c r="H97" s="15" t="n">
        <f aca="false">F97/E97</f>
        <v>0.643592887798896</v>
      </c>
    </row>
    <row r="98" customFormat="false" ht="15" hidden="false" customHeight="true" outlineLevel="0" collapsed="false">
      <c r="A98" s="13" t="n">
        <v>2025</v>
      </c>
      <c r="B98" s="13" t="s">
        <v>121</v>
      </c>
      <c r="C98" s="13" t="s">
        <v>753</v>
      </c>
      <c r="D98" s="13" t="s">
        <v>192</v>
      </c>
      <c r="E98" s="14" t="n">
        <v>39959</v>
      </c>
      <c r="F98" s="14" t="n">
        <v>29457</v>
      </c>
      <c r="G98" s="14" t="n">
        <f aca="false">E98-F98</f>
        <v>10502</v>
      </c>
      <c r="H98" s="15" t="n">
        <f aca="false">F98/E98</f>
        <v>0.737180610125379</v>
      </c>
    </row>
    <row r="99" customFormat="false" ht="15" hidden="false" customHeight="true" outlineLevel="0" collapsed="false">
      <c r="A99" s="13" t="n">
        <v>2025</v>
      </c>
      <c r="B99" s="13" t="s">
        <v>125</v>
      </c>
      <c r="C99" s="13" t="s">
        <v>203</v>
      </c>
      <c r="D99" s="13" t="s">
        <v>122</v>
      </c>
      <c r="E99" s="14" t="n">
        <v>10</v>
      </c>
      <c r="F99" s="14" t="n">
        <v>4</v>
      </c>
      <c r="G99" s="14" t="n">
        <f aca="false">E99-F99</f>
        <v>6</v>
      </c>
      <c r="H99" s="15" t="n">
        <f aca="false">F99/E99</f>
        <v>0.4</v>
      </c>
    </row>
    <row r="100" customFormat="false" ht="15" hidden="false" customHeight="true" outlineLevel="0" collapsed="false">
      <c r="A100" s="13" t="n">
        <v>2025</v>
      </c>
      <c r="B100" s="13" t="s">
        <v>125</v>
      </c>
      <c r="C100" s="13" t="s">
        <v>203</v>
      </c>
      <c r="D100" s="13" t="s">
        <v>124</v>
      </c>
      <c r="E100" s="14" t="n">
        <v>42</v>
      </c>
      <c r="F100" s="14" t="n">
        <v>17</v>
      </c>
      <c r="G100" s="14" t="n">
        <f aca="false">E100-F100</f>
        <v>25</v>
      </c>
      <c r="H100" s="15" t="n">
        <f aca="false">F100/E100</f>
        <v>0.404761904761905</v>
      </c>
    </row>
    <row r="101" customFormat="false" ht="15" hidden="false" customHeight="true" outlineLevel="0" collapsed="false">
      <c r="A101" s="13" t="n">
        <v>2025</v>
      </c>
      <c r="B101" s="13" t="s">
        <v>125</v>
      </c>
      <c r="C101" s="13" t="s">
        <v>203</v>
      </c>
      <c r="D101" s="13" t="s">
        <v>192</v>
      </c>
      <c r="E101" s="14" t="n">
        <v>52</v>
      </c>
      <c r="F101" s="14" t="n">
        <v>21</v>
      </c>
      <c r="G101" s="14" t="n">
        <f aca="false">E101-F101</f>
        <v>31</v>
      </c>
      <c r="H101" s="15" t="n">
        <f aca="false">F101/E101</f>
        <v>0.403846153846154</v>
      </c>
    </row>
    <row r="102" customFormat="false" ht="15" hidden="false" customHeight="true" outlineLevel="0" collapsed="false">
      <c r="A102" s="13" t="n">
        <v>2025</v>
      </c>
      <c r="B102" s="13" t="s">
        <v>125</v>
      </c>
      <c r="C102" s="13" t="s">
        <v>202</v>
      </c>
      <c r="D102" s="13" t="s">
        <v>122</v>
      </c>
      <c r="E102" s="14" t="n">
        <v>397</v>
      </c>
      <c r="F102" s="14" t="n">
        <v>155</v>
      </c>
      <c r="G102" s="14" t="n">
        <f aca="false">E102-F102</f>
        <v>242</v>
      </c>
      <c r="H102" s="15" t="n">
        <f aca="false">F102/E102</f>
        <v>0.390428211586902</v>
      </c>
    </row>
    <row r="103" customFormat="false" ht="15" hidden="false" customHeight="true" outlineLevel="0" collapsed="false">
      <c r="A103" s="13" t="n">
        <v>2025</v>
      </c>
      <c r="B103" s="13" t="s">
        <v>125</v>
      </c>
      <c r="C103" s="13" t="s">
        <v>202</v>
      </c>
      <c r="D103" s="13" t="s">
        <v>124</v>
      </c>
      <c r="E103" s="14" t="n">
        <v>587</v>
      </c>
      <c r="F103" s="14" t="n">
        <v>207</v>
      </c>
      <c r="G103" s="14" t="n">
        <f aca="false">E103-F103</f>
        <v>380</v>
      </c>
      <c r="H103" s="15" t="n">
        <f aca="false">F103/E103</f>
        <v>0.352640545144804</v>
      </c>
    </row>
    <row r="104" customFormat="false" ht="15" hidden="false" customHeight="true" outlineLevel="0" collapsed="false">
      <c r="A104" s="13" t="n">
        <v>2025</v>
      </c>
      <c r="B104" s="13" t="s">
        <v>125</v>
      </c>
      <c r="C104" s="13" t="s">
        <v>202</v>
      </c>
      <c r="D104" s="13" t="s">
        <v>192</v>
      </c>
      <c r="E104" s="14" t="n">
        <v>984</v>
      </c>
      <c r="F104" s="14" t="n">
        <v>362</v>
      </c>
      <c r="G104" s="14" t="n">
        <f aca="false">E104-F104</f>
        <v>622</v>
      </c>
      <c r="H104" s="15" t="n">
        <f aca="false">F104/E104</f>
        <v>0.367886178861789</v>
      </c>
    </row>
    <row r="105" customFormat="false" ht="15" hidden="false" customHeight="true" outlineLevel="0" collapsed="false">
      <c r="A105" s="13" t="n">
        <v>2025</v>
      </c>
      <c r="B105" s="13" t="s">
        <v>125</v>
      </c>
      <c r="C105" s="13" t="s">
        <v>128</v>
      </c>
      <c r="D105" s="13" t="s">
        <v>122</v>
      </c>
      <c r="E105" s="14" t="n">
        <v>3671</v>
      </c>
      <c r="F105" s="14" t="n">
        <v>2191</v>
      </c>
      <c r="G105" s="14" t="n">
        <f aca="false">E105-F105</f>
        <v>1480</v>
      </c>
      <c r="H105" s="15" t="n">
        <f aca="false">F105/E105</f>
        <v>0.596840098065922</v>
      </c>
    </row>
    <row r="106" customFormat="false" ht="15" hidden="false" customHeight="true" outlineLevel="0" collapsed="false">
      <c r="A106" s="13" t="n">
        <v>2025</v>
      </c>
      <c r="B106" s="13" t="s">
        <v>125</v>
      </c>
      <c r="C106" s="13" t="s">
        <v>128</v>
      </c>
      <c r="D106" s="13" t="s">
        <v>124</v>
      </c>
      <c r="E106" s="14" t="n">
        <v>3234</v>
      </c>
      <c r="F106" s="14" t="n">
        <v>1038</v>
      </c>
      <c r="G106" s="14" t="n">
        <f aca="false">E106-F106</f>
        <v>2196</v>
      </c>
      <c r="H106" s="15" t="n">
        <f aca="false">F106/E106</f>
        <v>0.320964749536178</v>
      </c>
    </row>
    <row r="107" customFormat="false" ht="15" hidden="false" customHeight="true" outlineLevel="0" collapsed="false">
      <c r="A107" s="13" t="n">
        <v>2025</v>
      </c>
      <c r="B107" s="13" t="s">
        <v>125</v>
      </c>
      <c r="C107" s="13" t="s">
        <v>128</v>
      </c>
      <c r="D107" s="13" t="s">
        <v>192</v>
      </c>
      <c r="E107" s="14" t="n">
        <v>6905</v>
      </c>
      <c r="F107" s="14" t="n">
        <v>3229</v>
      </c>
      <c r="G107" s="14" t="n">
        <f aca="false">E107-F107</f>
        <v>3676</v>
      </c>
      <c r="H107" s="15" t="n">
        <f aca="false">F107/E107</f>
        <v>0.467632150615496</v>
      </c>
    </row>
    <row r="108" customFormat="false" ht="15" hidden="false" customHeight="true" outlineLevel="0" collapsed="false">
      <c r="A108" s="13" t="n">
        <v>2025</v>
      </c>
      <c r="B108" s="13" t="s">
        <v>125</v>
      </c>
      <c r="C108" s="13" t="s">
        <v>126</v>
      </c>
      <c r="D108" s="13" t="s">
        <v>122</v>
      </c>
      <c r="E108" s="14" t="n">
        <v>69</v>
      </c>
      <c r="F108" s="14" t="n">
        <v>29</v>
      </c>
      <c r="G108" s="14" t="n">
        <f aca="false">E108-F108</f>
        <v>40</v>
      </c>
      <c r="H108" s="15" t="n">
        <f aca="false">F108/E108</f>
        <v>0.420289855072464</v>
      </c>
    </row>
    <row r="109" customFormat="false" ht="15" hidden="false" customHeight="true" outlineLevel="0" collapsed="false">
      <c r="A109" s="13" t="n">
        <v>2025</v>
      </c>
      <c r="B109" s="13" t="s">
        <v>125</v>
      </c>
      <c r="C109" s="13" t="s">
        <v>126</v>
      </c>
      <c r="D109" s="13" t="s">
        <v>124</v>
      </c>
      <c r="E109" s="14" t="n">
        <v>188</v>
      </c>
      <c r="F109" s="14" t="n">
        <v>80</v>
      </c>
      <c r="G109" s="14" t="n">
        <f aca="false">E109-F109</f>
        <v>108</v>
      </c>
      <c r="H109" s="15" t="n">
        <f aca="false">F109/E109</f>
        <v>0.425531914893617</v>
      </c>
    </row>
    <row r="110" customFormat="false" ht="15" hidden="false" customHeight="true" outlineLevel="0" collapsed="false">
      <c r="A110" s="13" t="n">
        <v>2025</v>
      </c>
      <c r="B110" s="13" t="s">
        <v>125</v>
      </c>
      <c r="C110" s="13" t="s">
        <v>126</v>
      </c>
      <c r="D110" s="13" t="s">
        <v>192</v>
      </c>
      <c r="E110" s="14" t="n">
        <v>257</v>
      </c>
      <c r="F110" s="14" t="n">
        <v>109</v>
      </c>
      <c r="G110" s="14" t="n">
        <f aca="false">E110-F110</f>
        <v>148</v>
      </c>
      <c r="H110" s="15" t="n">
        <f aca="false">F110/E110</f>
        <v>0.424124513618677</v>
      </c>
    </row>
    <row r="111" customFormat="false" ht="15" hidden="false" customHeight="true" outlineLevel="0" collapsed="false">
      <c r="A111" s="13" t="n">
        <v>2025</v>
      </c>
      <c r="B111" s="13" t="s">
        <v>125</v>
      </c>
      <c r="C111" s="13" t="s">
        <v>123</v>
      </c>
      <c r="D111" s="13" t="s">
        <v>122</v>
      </c>
      <c r="E111" s="14" t="n">
        <v>1154</v>
      </c>
      <c r="F111" s="14" t="n">
        <v>798</v>
      </c>
      <c r="G111" s="14" t="n">
        <f aca="false">E111-F111</f>
        <v>356</v>
      </c>
      <c r="H111" s="15" t="n">
        <f aca="false">F111/E111</f>
        <v>0.691507798960139</v>
      </c>
    </row>
    <row r="112" customFormat="false" ht="15" hidden="false" customHeight="true" outlineLevel="0" collapsed="false">
      <c r="A112" s="13" t="n">
        <v>2025</v>
      </c>
      <c r="B112" s="13" t="s">
        <v>125</v>
      </c>
      <c r="C112" s="13" t="s">
        <v>123</v>
      </c>
      <c r="D112" s="13" t="s">
        <v>124</v>
      </c>
      <c r="E112" s="14" t="n">
        <v>611</v>
      </c>
      <c r="F112" s="14" t="n">
        <v>384</v>
      </c>
      <c r="G112" s="14" t="n">
        <f aca="false">E112-F112</f>
        <v>227</v>
      </c>
      <c r="H112" s="15" t="n">
        <f aca="false">F112/E112</f>
        <v>0.62847790507365</v>
      </c>
    </row>
    <row r="113" customFormat="false" ht="15" hidden="false" customHeight="true" outlineLevel="0" collapsed="false">
      <c r="A113" s="13" t="n">
        <v>2025</v>
      </c>
      <c r="B113" s="13" t="s">
        <v>125</v>
      </c>
      <c r="C113" s="13" t="s">
        <v>123</v>
      </c>
      <c r="D113" s="13" t="s">
        <v>192</v>
      </c>
      <c r="E113" s="14" t="n">
        <v>1765</v>
      </c>
      <c r="F113" s="14" t="n">
        <v>1182</v>
      </c>
      <c r="G113" s="14" t="n">
        <f aca="false">E113-F113</f>
        <v>583</v>
      </c>
      <c r="H113" s="15" t="n">
        <f aca="false">F113/E113</f>
        <v>0.669688385269122</v>
      </c>
    </row>
    <row r="114" customFormat="false" ht="15" hidden="false" customHeight="true" outlineLevel="0" collapsed="false">
      <c r="A114" s="13" t="n">
        <v>2025</v>
      </c>
      <c r="B114" s="13" t="s">
        <v>125</v>
      </c>
      <c r="C114" s="13" t="s">
        <v>966</v>
      </c>
      <c r="D114" s="13" t="s">
        <v>124</v>
      </c>
      <c r="E114" s="14" t="n">
        <v>6</v>
      </c>
      <c r="F114" s="14" t="n">
        <v>1</v>
      </c>
      <c r="G114" s="14" t="n">
        <f aca="false">E114-F114</f>
        <v>5</v>
      </c>
      <c r="H114" s="15" t="n">
        <f aca="false">F114/E114</f>
        <v>0.166666666666667</v>
      </c>
    </row>
    <row r="115" customFormat="false" ht="15" hidden="false" customHeight="true" outlineLevel="0" collapsed="false">
      <c r="A115" s="13" t="n">
        <v>2025</v>
      </c>
      <c r="B115" s="13" t="s">
        <v>125</v>
      </c>
      <c r="C115" s="13" t="s">
        <v>966</v>
      </c>
      <c r="D115" s="13" t="s">
        <v>192</v>
      </c>
      <c r="E115" s="14" t="n">
        <v>6</v>
      </c>
      <c r="F115" s="14" t="n">
        <v>1</v>
      </c>
      <c r="G115" s="14" t="n">
        <f aca="false">E115-F115</f>
        <v>5</v>
      </c>
      <c r="H115" s="15" t="n">
        <f aca="false">F115/E115</f>
        <v>0.166666666666667</v>
      </c>
    </row>
    <row r="116" customFormat="false" ht="15" hidden="false" customHeight="true" outlineLevel="0" collapsed="false">
      <c r="A116" s="13" t="n">
        <v>2025</v>
      </c>
      <c r="B116" s="13" t="s">
        <v>125</v>
      </c>
      <c r="C116" s="13" t="s">
        <v>967</v>
      </c>
      <c r="D116" s="13" t="s">
        <v>122</v>
      </c>
      <c r="E116" s="14" t="n">
        <v>33</v>
      </c>
      <c r="F116" s="14" t="n">
        <v>26</v>
      </c>
      <c r="G116" s="14" t="n">
        <f aca="false">E116-F116</f>
        <v>7</v>
      </c>
      <c r="H116" s="15" t="n">
        <f aca="false">F116/E116</f>
        <v>0.787878787878788</v>
      </c>
    </row>
    <row r="117" customFormat="false" ht="15" hidden="false" customHeight="true" outlineLevel="0" collapsed="false">
      <c r="A117" s="13" t="n">
        <v>2025</v>
      </c>
      <c r="B117" s="13" t="s">
        <v>125</v>
      </c>
      <c r="C117" s="13" t="s">
        <v>967</v>
      </c>
      <c r="D117" s="13" t="s">
        <v>124</v>
      </c>
      <c r="E117" s="14" t="n">
        <v>48</v>
      </c>
      <c r="F117" s="14" t="n">
        <v>36</v>
      </c>
      <c r="G117" s="14" t="n">
        <f aca="false">E117-F117</f>
        <v>12</v>
      </c>
      <c r="H117" s="15" t="n">
        <f aca="false">F117/E117</f>
        <v>0.75</v>
      </c>
    </row>
    <row r="118" customFormat="false" ht="15" hidden="false" customHeight="true" outlineLevel="0" collapsed="false">
      <c r="A118" s="13" t="n">
        <v>2025</v>
      </c>
      <c r="B118" s="13" t="s">
        <v>125</v>
      </c>
      <c r="C118" s="13" t="s">
        <v>967</v>
      </c>
      <c r="D118" s="13" t="s">
        <v>192</v>
      </c>
      <c r="E118" s="14" t="n">
        <v>81</v>
      </c>
      <c r="F118" s="14" t="n">
        <v>62</v>
      </c>
      <c r="G118" s="14" t="n">
        <f aca="false">E118-F118</f>
        <v>19</v>
      </c>
      <c r="H118" s="15" t="n">
        <f aca="false">F118/E118</f>
        <v>0.765432098765432</v>
      </c>
    </row>
    <row r="119" customFormat="false" ht="15" hidden="false" customHeight="true" outlineLevel="0" collapsed="false">
      <c r="A119" s="13" t="n">
        <v>2025</v>
      </c>
      <c r="B119" s="13" t="s">
        <v>125</v>
      </c>
      <c r="C119" s="13" t="s">
        <v>968</v>
      </c>
      <c r="D119" s="13" t="s">
        <v>122</v>
      </c>
      <c r="E119" s="14" t="n">
        <v>7</v>
      </c>
      <c r="F119" s="14" t="n">
        <v>5</v>
      </c>
      <c r="G119" s="14" t="n">
        <f aca="false">E119-F119</f>
        <v>2</v>
      </c>
      <c r="H119" s="15" t="n">
        <f aca="false">F119/E119</f>
        <v>0.714285714285714</v>
      </c>
    </row>
    <row r="120" customFormat="false" ht="15" hidden="false" customHeight="true" outlineLevel="0" collapsed="false">
      <c r="A120" s="13" t="n">
        <v>2025</v>
      </c>
      <c r="B120" s="13" t="s">
        <v>125</v>
      </c>
      <c r="C120" s="13" t="s">
        <v>968</v>
      </c>
      <c r="D120" s="13" t="s">
        <v>124</v>
      </c>
      <c r="E120" s="14" t="n">
        <v>1</v>
      </c>
      <c r="F120" s="14" t="n">
        <v>0</v>
      </c>
      <c r="G120" s="14" t="n">
        <f aca="false">E120-F120</f>
        <v>1</v>
      </c>
      <c r="H120" s="15" t="n">
        <f aca="false">F120/E120</f>
        <v>0</v>
      </c>
    </row>
    <row r="121" customFormat="false" ht="15" hidden="false" customHeight="true" outlineLevel="0" collapsed="false">
      <c r="A121" s="13" t="n">
        <v>2025</v>
      </c>
      <c r="B121" s="13" t="s">
        <v>125</v>
      </c>
      <c r="C121" s="13" t="s">
        <v>968</v>
      </c>
      <c r="D121" s="13" t="s">
        <v>192</v>
      </c>
      <c r="E121" s="14" t="n">
        <v>8</v>
      </c>
      <c r="F121" s="14" t="n">
        <v>5</v>
      </c>
      <c r="G121" s="14" t="n">
        <f aca="false">E121-F121</f>
        <v>3</v>
      </c>
      <c r="H121" s="15" t="n">
        <f aca="false">F121/E121</f>
        <v>0.625</v>
      </c>
    </row>
    <row r="122" customFormat="false" ht="15" hidden="false" customHeight="true" outlineLevel="0" collapsed="false">
      <c r="A122" s="13" t="n">
        <v>2025</v>
      </c>
      <c r="B122" s="13" t="s">
        <v>125</v>
      </c>
      <c r="C122" s="13" t="s">
        <v>753</v>
      </c>
      <c r="D122" s="13" t="s">
        <v>122</v>
      </c>
      <c r="E122" s="14" t="n">
        <v>5341</v>
      </c>
      <c r="F122" s="14" t="n">
        <v>3208</v>
      </c>
      <c r="G122" s="14" t="n">
        <f aca="false">E122-F122</f>
        <v>2133</v>
      </c>
      <c r="H122" s="15" t="n">
        <f aca="false">F122/E122</f>
        <v>0.600636584909193</v>
      </c>
    </row>
    <row r="123" customFormat="false" ht="15" hidden="false" customHeight="true" outlineLevel="0" collapsed="false">
      <c r="A123" s="13" t="n">
        <v>2025</v>
      </c>
      <c r="B123" s="13" t="s">
        <v>125</v>
      </c>
      <c r="C123" s="13" t="s">
        <v>753</v>
      </c>
      <c r="D123" s="13" t="s">
        <v>124</v>
      </c>
      <c r="E123" s="14" t="n">
        <v>4717</v>
      </c>
      <c r="F123" s="14" t="n">
        <v>1763</v>
      </c>
      <c r="G123" s="14" t="n">
        <f aca="false">E123-F123</f>
        <v>2954</v>
      </c>
      <c r="H123" s="15" t="n">
        <f aca="false">F123/E123</f>
        <v>0.37375450498198</v>
      </c>
    </row>
    <row r="124" customFormat="false" ht="15" hidden="false" customHeight="true" outlineLevel="0" collapsed="false">
      <c r="A124" s="13" t="n">
        <v>2025</v>
      </c>
      <c r="B124" s="13" t="s">
        <v>125</v>
      </c>
      <c r="C124" s="13" t="s">
        <v>753</v>
      </c>
      <c r="D124" s="13" t="s">
        <v>192</v>
      </c>
      <c r="E124" s="14" t="n">
        <v>10058</v>
      </c>
      <c r="F124" s="14" t="n">
        <v>4971</v>
      </c>
      <c r="G124" s="14" t="n">
        <f aca="false">E124-F124</f>
        <v>5087</v>
      </c>
      <c r="H124" s="15" t="n">
        <f aca="false">F124/E124</f>
        <v>0.494233446013124</v>
      </c>
    </row>
    <row r="125" customFormat="false" ht="15" hidden="false" customHeight="true" outlineLevel="0" collapsed="false">
      <c r="A125" s="13" t="n">
        <v>2025</v>
      </c>
      <c r="B125" s="13" t="s">
        <v>195</v>
      </c>
      <c r="C125" s="13" t="s">
        <v>203</v>
      </c>
      <c r="D125" s="13" t="s">
        <v>122</v>
      </c>
      <c r="E125" s="14" t="n">
        <v>166</v>
      </c>
      <c r="F125" s="14" t="n">
        <v>147</v>
      </c>
      <c r="G125" s="14" t="n">
        <f aca="false">E125-F125</f>
        <v>19</v>
      </c>
      <c r="H125" s="15" t="n">
        <f aca="false">F125/E125</f>
        <v>0.885542168674699</v>
      </c>
    </row>
    <row r="126" customFormat="false" ht="15" hidden="false" customHeight="true" outlineLevel="0" collapsed="false">
      <c r="A126" s="13" t="n">
        <v>2025</v>
      </c>
      <c r="B126" s="13" t="s">
        <v>195</v>
      </c>
      <c r="C126" s="13" t="s">
        <v>203</v>
      </c>
      <c r="D126" s="13" t="s">
        <v>124</v>
      </c>
      <c r="E126" s="14" t="n">
        <v>305</v>
      </c>
      <c r="F126" s="14" t="n">
        <v>211</v>
      </c>
      <c r="G126" s="14" t="n">
        <f aca="false">E126-F126</f>
        <v>94</v>
      </c>
      <c r="H126" s="15" t="n">
        <f aca="false">F126/E126</f>
        <v>0.691803278688525</v>
      </c>
    </row>
    <row r="127" customFormat="false" ht="15" hidden="false" customHeight="true" outlineLevel="0" collapsed="false">
      <c r="A127" s="13" t="n">
        <v>2025</v>
      </c>
      <c r="B127" s="13" t="s">
        <v>195</v>
      </c>
      <c r="C127" s="13" t="s">
        <v>203</v>
      </c>
      <c r="D127" s="13" t="s">
        <v>192</v>
      </c>
      <c r="E127" s="14" t="n">
        <v>471</v>
      </c>
      <c r="F127" s="14" t="n">
        <v>358</v>
      </c>
      <c r="G127" s="14" t="n">
        <f aca="false">E127-F127</f>
        <v>113</v>
      </c>
      <c r="H127" s="15" t="n">
        <f aca="false">F127/E127</f>
        <v>0.760084925690021</v>
      </c>
    </row>
    <row r="128" customFormat="false" ht="15" hidden="false" customHeight="true" outlineLevel="0" collapsed="false">
      <c r="A128" s="13" t="n">
        <v>2025</v>
      </c>
      <c r="B128" s="13" t="s">
        <v>195</v>
      </c>
      <c r="C128" s="13" t="s">
        <v>202</v>
      </c>
      <c r="D128" s="13" t="s">
        <v>122</v>
      </c>
      <c r="E128" s="14" t="n">
        <v>4759</v>
      </c>
      <c r="F128" s="14" t="n">
        <v>3625</v>
      </c>
      <c r="G128" s="14" t="n">
        <f aca="false">E128-F128</f>
        <v>1134</v>
      </c>
      <c r="H128" s="15" t="n">
        <f aca="false">F128/E128</f>
        <v>0.76171464593402</v>
      </c>
    </row>
    <row r="129" customFormat="false" ht="15" hidden="false" customHeight="true" outlineLevel="0" collapsed="false">
      <c r="A129" s="13" t="n">
        <v>2025</v>
      </c>
      <c r="B129" s="13" t="s">
        <v>195</v>
      </c>
      <c r="C129" s="13" t="s">
        <v>202</v>
      </c>
      <c r="D129" s="13" t="s">
        <v>124</v>
      </c>
      <c r="E129" s="14" t="n">
        <v>5553</v>
      </c>
      <c r="F129" s="14" t="n">
        <v>3533</v>
      </c>
      <c r="G129" s="14" t="n">
        <f aca="false">E129-F129</f>
        <v>2020</v>
      </c>
      <c r="H129" s="15" t="n">
        <f aca="false">F129/E129</f>
        <v>0.636232667026832</v>
      </c>
    </row>
    <row r="130" customFormat="false" ht="15" hidden="false" customHeight="true" outlineLevel="0" collapsed="false">
      <c r="A130" s="13" t="n">
        <v>2025</v>
      </c>
      <c r="B130" s="13" t="s">
        <v>195</v>
      </c>
      <c r="C130" s="13" t="s">
        <v>202</v>
      </c>
      <c r="D130" s="13" t="s">
        <v>192</v>
      </c>
      <c r="E130" s="14" t="n">
        <v>10312</v>
      </c>
      <c r="F130" s="14" t="n">
        <v>7158</v>
      </c>
      <c r="G130" s="14" t="n">
        <f aca="false">E130-F130</f>
        <v>3154</v>
      </c>
      <c r="H130" s="15" t="n">
        <f aca="false">F130/E130</f>
        <v>0.694142746314973</v>
      </c>
    </row>
    <row r="131" customFormat="false" ht="15" hidden="false" customHeight="true" outlineLevel="0" collapsed="false">
      <c r="A131" s="13" t="n">
        <v>2025</v>
      </c>
      <c r="B131" s="13" t="s">
        <v>195</v>
      </c>
      <c r="C131" s="13" t="s">
        <v>128</v>
      </c>
      <c r="D131" s="13" t="s">
        <v>122</v>
      </c>
      <c r="E131" s="14" t="n">
        <v>15380</v>
      </c>
      <c r="F131" s="14" t="n">
        <v>10939</v>
      </c>
      <c r="G131" s="14" t="n">
        <f aca="false">E131-F131</f>
        <v>4441</v>
      </c>
      <c r="H131" s="15" t="n">
        <f aca="false">F131/E131</f>
        <v>0.711248374512354</v>
      </c>
    </row>
    <row r="132" customFormat="false" ht="15" hidden="false" customHeight="true" outlineLevel="0" collapsed="false">
      <c r="A132" s="13" t="n">
        <v>2025</v>
      </c>
      <c r="B132" s="13" t="s">
        <v>195</v>
      </c>
      <c r="C132" s="13" t="s">
        <v>128</v>
      </c>
      <c r="D132" s="13" t="s">
        <v>124</v>
      </c>
      <c r="E132" s="14" t="n">
        <v>10564</v>
      </c>
      <c r="F132" s="14" t="n">
        <v>4844</v>
      </c>
      <c r="G132" s="14" t="n">
        <f aca="false">E132-F132</f>
        <v>5720</v>
      </c>
      <c r="H132" s="15" t="n">
        <f aca="false">F132/E132</f>
        <v>0.458538432411965</v>
      </c>
    </row>
    <row r="133" customFormat="false" ht="15" hidden="false" customHeight="true" outlineLevel="0" collapsed="false">
      <c r="A133" s="13" t="n">
        <v>2025</v>
      </c>
      <c r="B133" s="13" t="s">
        <v>195</v>
      </c>
      <c r="C133" s="13" t="s">
        <v>128</v>
      </c>
      <c r="D133" s="13" t="s">
        <v>192</v>
      </c>
      <c r="E133" s="14" t="n">
        <v>25944</v>
      </c>
      <c r="F133" s="14" t="n">
        <v>15783</v>
      </c>
      <c r="G133" s="14" t="n">
        <f aca="false">E133-F133</f>
        <v>10161</v>
      </c>
      <c r="H133" s="15" t="n">
        <f aca="false">F133/E133</f>
        <v>0.608348751156337</v>
      </c>
    </row>
    <row r="134" customFormat="false" ht="15" hidden="false" customHeight="true" outlineLevel="0" collapsed="false">
      <c r="A134" s="13" t="n">
        <v>2025</v>
      </c>
      <c r="B134" s="13" t="s">
        <v>195</v>
      </c>
      <c r="C134" s="13" t="s">
        <v>126</v>
      </c>
      <c r="D134" s="13" t="s">
        <v>122</v>
      </c>
      <c r="E134" s="14" t="n">
        <v>958</v>
      </c>
      <c r="F134" s="14" t="n">
        <v>841</v>
      </c>
      <c r="G134" s="14" t="n">
        <f aca="false">E134-F134</f>
        <v>117</v>
      </c>
      <c r="H134" s="15" t="n">
        <f aca="false">F134/E134</f>
        <v>0.877870563674322</v>
      </c>
    </row>
    <row r="135" customFormat="false" ht="15" hidden="false" customHeight="true" outlineLevel="0" collapsed="false">
      <c r="A135" s="13" t="n">
        <v>2025</v>
      </c>
      <c r="B135" s="13" t="s">
        <v>195</v>
      </c>
      <c r="C135" s="13" t="s">
        <v>126</v>
      </c>
      <c r="D135" s="13" t="s">
        <v>124</v>
      </c>
      <c r="E135" s="14" t="n">
        <v>1521</v>
      </c>
      <c r="F135" s="14" t="n">
        <v>1220</v>
      </c>
      <c r="G135" s="14" t="n">
        <f aca="false">E135-F135</f>
        <v>301</v>
      </c>
      <c r="H135" s="15" t="n">
        <f aca="false">F135/E135</f>
        <v>0.802103879026956</v>
      </c>
    </row>
    <row r="136" customFormat="false" ht="15" hidden="false" customHeight="true" outlineLevel="0" collapsed="false">
      <c r="A136" s="13" t="n">
        <v>2025</v>
      </c>
      <c r="B136" s="13" t="s">
        <v>195</v>
      </c>
      <c r="C136" s="13" t="s">
        <v>126</v>
      </c>
      <c r="D136" s="13" t="s">
        <v>192</v>
      </c>
      <c r="E136" s="14" t="n">
        <v>2479</v>
      </c>
      <c r="F136" s="14" t="n">
        <v>2061</v>
      </c>
      <c r="G136" s="14" t="n">
        <f aca="false">E136-F136</f>
        <v>418</v>
      </c>
      <c r="H136" s="15" t="n">
        <f aca="false">F136/E136</f>
        <v>0.831383622428399</v>
      </c>
    </row>
    <row r="137" customFormat="false" ht="15" hidden="false" customHeight="true" outlineLevel="0" collapsed="false">
      <c r="A137" s="13" t="n">
        <v>2025</v>
      </c>
      <c r="B137" s="13" t="s">
        <v>195</v>
      </c>
      <c r="C137" s="13" t="s">
        <v>123</v>
      </c>
      <c r="D137" s="13" t="s">
        <v>122</v>
      </c>
      <c r="E137" s="14" t="n">
        <v>7687</v>
      </c>
      <c r="F137" s="14" t="n">
        <v>6585</v>
      </c>
      <c r="G137" s="14" t="n">
        <f aca="false">E137-F137</f>
        <v>1102</v>
      </c>
      <c r="H137" s="15" t="n">
        <f aca="false">F137/E137</f>
        <v>0.856641082346819</v>
      </c>
    </row>
    <row r="138" customFormat="false" ht="15" hidden="false" customHeight="true" outlineLevel="0" collapsed="false">
      <c r="A138" s="13" t="n">
        <v>2025</v>
      </c>
      <c r="B138" s="13" t="s">
        <v>195</v>
      </c>
      <c r="C138" s="13" t="s">
        <v>123</v>
      </c>
      <c r="D138" s="13" t="s">
        <v>124</v>
      </c>
      <c r="E138" s="14" t="n">
        <v>3029</v>
      </c>
      <c r="F138" s="14" t="n">
        <v>2415</v>
      </c>
      <c r="G138" s="14" t="n">
        <f aca="false">E138-F138</f>
        <v>614</v>
      </c>
      <c r="H138" s="15" t="n">
        <f aca="false">F138/E138</f>
        <v>0.797292835919445</v>
      </c>
    </row>
    <row r="139" customFormat="false" ht="15" hidden="false" customHeight="true" outlineLevel="0" collapsed="false">
      <c r="A139" s="13" t="n">
        <v>2025</v>
      </c>
      <c r="B139" s="13" t="s">
        <v>195</v>
      </c>
      <c r="C139" s="13" t="s">
        <v>123</v>
      </c>
      <c r="D139" s="13" t="s">
        <v>192</v>
      </c>
      <c r="E139" s="14" t="n">
        <v>10716</v>
      </c>
      <c r="F139" s="14" t="n">
        <v>9000</v>
      </c>
      <c r="G139" s="14" t="n">
        <f aca="false">E139-F139</f>
        <v>1716</v>
      </c>
      <c r="H139" s="15" t="n">
        <f aca="false">F139/E139</f>
        <v>0.83986562150056</v>
      </c>
    </row>
    <row r="140" customFormat="false" ht="15" hidden="false" customHeight="true" outlineLevel="0" collapsed="false">
      <c r="A140" s="13" t="n">
        <v>2025</v>
      </c>
      <c r="B140" s="13" t="s">
        <v>195</v>
      </c>
      <c r="C140" s="13" t="s">
        <v>966</v>
      </c>
      <c r="D140" s="13" t="s">
        <v>124</v>
      </c>
      <c r="E140" s="14" t="n">
        <v>6</v>
      </c>
      <c r="F140" s="14" t="n">
        <v>1</v>
      </c>
      <c r="G140" s="14" t="n">
        <f aca="false">E140-F140</f>
        <v>5</v>
      </c>
      <c r="H140" s="15" t="n">
        <f aca="false">F140/E140</f>
        <v>0.166666666666667</v>
      </c>
    </row>
    <row r="141" customFormat="false" ht="15" hidden="false" customHeight="true" outlineLevel="0" collapsed="false">
      <c r="A141" s="13" t="n">
        <v>2025</v>
      </c>
      <c r="B141" s="13" t="s">
        <v>195</v>
      </c>
      <c r="C141" s="13" t="s">
        <v>966</v>
      </c>
      <c r="D141" s="13" t="s">
        <v>192</v>
      </c>
      <c r="E141" s="14" t="n">
        <v>6</v>
      </c>
      <c r="F141" s="14" t="n">
        <v>1</v>
      </c>
      <c r="G141" s="14" t="n">
        <f aca="false">E141-F141</f>
        <v>5</v>
      </c>
      <c r="H141" s="15" t="n">
        <f aca="false">F141/E141</f>
        <v>0.166666666666667</v>
      </c>
    </row>
    <row r="142" customFormat="false" ht="15" hidden="false" customHeight="true" outlineLevel="0" collapsed="false">
      <c r="A142" s="13" t="n">
        <v>2025</v>
      </c>
      <c r="B142" s="13" t="s">
        <v>195</v>
      </c>
      <c r="C142" s="13" t="s">
        <v>967</v>
      </c>
      <c r="D142" s="13" t="s">
        <v>122</v>
      </c>
      <c r="E142" s="14" t="n">
        <v>33</v>
      </c>
      <c r="F142" s="14" t="n">
        <v>26</v>
      </c>
      <c r="G142" s="14" t="n">
        <f aca="false">E142-F142</f>
        <v>7</v>
      </c>
      <c r="H142" s="15" t="n">
        <f aca="false">F142/E142</f>
        <v>0.787878787878788</v>
      </c>
    </row>
    <row r="143" customFormat="false" ht="15" hidden="false" customHeight="true" outlineLevel="0" collapsed="false">
      <c r="A143" s="13" t="n">
        <v>2025</v>
      </c>
      <c r="B143" s="13" t="s">
        <v>195</v>
      </c>
      <c r="C143" s="13" t="s">
        <v>967</v>
      </c>
      <c r="D143" s="13" t="s">
        <v>124</v>
      </c>
      <c r="E143" s="14" t="n">
        <v>48</v>
      </c>
      <c r="F143" s="14" t="n">
        <v>36</v>
      </c>
      <c r="G143" s="14" t="n">
        <f aca="false">E143-F143</f>
        <v>12</v>
      </c>
      <c r="H143" s="15" t="n">
        <f aca="false">F143/E143</f>
        <v>0.75</v>
      </c>
    </row>
    <row r="144" customFormat="false" ht="15" hidden="false" customHeight="true" outlineLevel="0" collapsed="false">
      <c r="A144" s="13" t="n">
        <v>2025</v>
      </c>
      <c r="B144" s="13" t="s">
        <v>195</v>
      </c>
      <c r="C144" s="13" t="s">
        <v>967</v>
      </c>
      <c r="D144" s="13" t="s">
        <v>192</v>
      </c>
      <c r="E144" s="14" t="n">
        <v>81</v>
      </c>
      <c r="F144" s="14" t="n">
        <v>62</v>
      </c>
      <c r="G144" s="14" t="n">
        <f aca="false">E144-F144</f>
        <v>19</v>
      </c>
      <c r="H144" s="15" t="n">
        <f aca="false">F144/E144</f>
        <v>0.765432098765432</v>
      </c>
    </row>
    <row r="145" customFormat="false" ht="15" hidden="false" customHeight="true" outlineLevel="0" collapsed="false">
      <c r="A145" s="13" t="n">
        <v>2025</v>
      </c>
      <c r="B145" s="13" t="s">
        <v>195</v>
      </c>
      <c r="C145" s="13" t="s">
        <v>968</v>
      </c>
      <c r="D145" s="13" t="s">
        <v>122</v>
      </c>
      <c r="E145" s="14" t="n">
        <v>7</v>
      </c>
      <c r="F145" s="14" t="n">
        <v>5</v>
      </c>
      <c r="G145" s="14" t="n">
        <f aca="false">E145-F145</f>
        <v>2</v>
      </c>
      <c r="H145" s="15" t="n">
        <f aca="false">F145/E145</f>
        <v>0.714285714285714</v>
      </c>
    </row>
    <row r="146" customFormat="false" ht="15" hidden="false" customHeight="true" outlineLevel="0" collapsed="false">
      <c r="A146" s="13" t="n">
        <v>2025</v>
      </c>
      <c r="B146" s="13" t="s">
        <v>195</v>
      </c>
      <c r="C146" s="13" t="s">
        <v>968</v>
      </c>
      <c r="D146" s="13" t="s">
        <v>124</v>
      </c>
      <c r="E146" s="14" t="n">
        <v>1</v>
      </c>
      <c r="F146" s="14" t="n">
        <v>0</v>
      </c>
      <c r="G146" s="14" t="n">
        <f aca="false">E146-F146</f>
        <v>1</v>
      </c>
      <c r="H146" s="15" t="n">
        <f aca="false">F146/E146</f>
        <v>0</v>
      </c>
    </row>
    <row r="147" customFormat="false" ht="15" hidden="false" customHeight="true" outlineLevel="0" collapsed="false">
      <c r="A147" s="13" t="n">
        <v>2025</v>
      </c>
      <c r="B147" s="13" t="s">
        <v>195</v>
      </c>
      <c r="C147" s="13" t="s">
        <v>968</v>
      </c>
      <c r="D147" s="13" t="s">
        <v>192</v>
      </c>
      <c r="E147" s="14" t="n">
        <v>8</v>
      </c>
      <c r="F147" s="14" t="n">
        <v>5</v>
      </c>
      <c r="G147" s="14" t="n">
        <f aca="false">E147-F147</f>
        <v>3</v>
      </c>
      <c r="H147" s="15" t="n">
        <f aca="false">F147/E147</f>
        <v>0.625</v>
      </c>
    </row>
    <row r="148" customFormat="false" ht="15" hidden="false" customHeight="true" outlineLevel="0" collapsed="false">
      <c r="A148" s="13" t="n">
        <v>2025</v>
      </c>
      <c r="B148" s="13" t="s">
        <v>195</v>
      </c>
      <c r="C148" s="13" t="s">
        <v>753</v>
      </c>
      <c r="D148" s="13" t="s">
        <v>122</v>
      </c>
      <c r="E148" s="14" t="n">
        <v>28990</v>
      </c>
      <c r="F148" s="14" t="n">
        <v>22168</v>
      </c>
      <c r="G148" s="14" t="n">
        <f aca="false">E148-F148</f>
        <v>6822</v>
      </c>
      <c r="H148" s="15" t="n">
        <f aca="false">F148/E148</f>
        <v>0.764677474991376</v>
      </c>
    </row>
    <row r="149" customFormat="false" ht="15" hidden="false" customHeight="true" outlineLevel="0" collapsed="false">
      <c r="A149" s="13" t="n">
        <v>2025</v>
      </c>
      <c r="B149" s="13" t="s">
        <v>195</v>
      </c>
      <c r="C149" s="13" t="s">
        <v>753</v>
      </c>
      <c r="D149" s="13" t="s">
        <v>124</v>
      </c>
      <c r="E149" s="14" t="n">
        <v>21027</v>
      </c>
      <c r="F149" s="14" t="n">
        <v>12260</v>
      </c>
      <c r="G149" s="14" t="n">
        <f aca="false">E149-F149</f>
        <v>8767</v>
      </c>
      <c r="H149" s="15" t="n">
        <f aca="false">F149/E149</f>
        <v>0.583059875398297</v>
      </c>
    </row>
    <row r="150" customFormat="false" ht="15" hidden="false" customHeight="true" outlineLevel="0" collapsed="false">
      <c r="A150" s="13" t="n">
        <v>2025</v>
      </c>
      <c r="B150" s="13" t="s">
        <v>195</v>
      </c>
      <c r="C150" s="13" t="s">
        <v>753</v>
      </c>
      <c r="D150" s="13" t="s">
        <v>192</v>
      </c>
      <c r="E150" s="14" t="n">
        <v>50017</v>
      </c>
      <c r="F150" s="14" t="n">
        <v>34428</v>
      </c>
      <c r="G150" s="14" t="n">
        <f aca="false">E150-F150</f>
        <v>15589</v>
      </c>
      <c r="H150" s="15" t="n">
        <f aca="false">F150/E150</f>
        <v>0.688325969170482</v>
      </c>
    </row>
    <row r="151" customFormat="false" ht="15" hidden="false" customHeight="true" outlineLevel="0" collapsed="false">
      <c r="A151" s="13" t="n">
        <v>2026</v>
      </c>
      <c r="B151" s="13" t="s">
        <v>121</v>
      </c>
      <c r="C151" s="13" t="s">
        <v>203</v>
      </c>
      <c r="D151" s="13" t="s">
        <v>122</v>
      </c>
      <c r="E151" s="14" t="n">
        <v>110</v>
      </c>
      <c r="F151" s="14" t="n">
        <v>98</v>
      </c>
      <c r="G151" s="14" t="n">
        <f aca="false">E151-F151</f>
        <v>12</v>
      </c>
      <c r="H151" s="15" t="n">
        <f aca="false">F151/E151</f>
        <v>0.890909090909091</v>
      </c>
    </row>
    <row r="152" customFormat="false" ht="15" hidden="false" customHeight="true" outlineLevel="0" collapsed="false">
      <c r="A152" s="13" t="n">
        <v>2026</v>
      </c>
      <c r="B152" s="13" t="s">
        <v>121</v>
      </c>
      <c r="C152" s="13" t="s">
        <v>203</v>
      </c>
      <c r="D152" s="13" t="s">
        <v>124</v>
      </c>
      <c r="E152" s="14" t="n">
        <v>203</v>
      </c>
      <c r="F152" s="14" t="n">
        <v>151</v>
      </c>
      <c r="G152" s="14" t="n">
        <f aca="false">E152-F152</f>
        <v>52</v>
      </c>
      <c r="H152" s="15" t="n">
        <f aca="false">F152/E152</f>
        <v>0.74384236453202</v>
      </c>
    </row>
    <row r="153" customFormat="false" ht="15" hidden="false" customHeight="true" outlineLevel="0" collapsed="false">
      <c r="A153" s="13" t="n">
        <v>2026</v>
      </c>
      <c r="B153" s="13" t="s">
        <v>121</v>
      </c>
      <c r="C153" s="13" t="s">
        <v>203</v>
      </c>
      <c r="D153" s="13" t="s">
        <v>192</v>
      </c>
      <c r="E153" s="14" t="n">
        <v>313</v>
      </c>
      <c r="F153" s="14" t="n">
        <v>249</v>
      </c>
      <c r="G153" s="14" t="n">
        <f aca="false">E153-F153</f>
        <v>64</v>
      </c>
      <c r="H153" s="15" t="n">
        <f aca="false">F153/E153</f>
        <v>0.795527156549521</v>
      </c>
    </row>
    <row r="154" customFormat="false" ht="15" hidden="false" customHeight="true" outlineLevel="0" collapsed="false">
      <c r="A154" s="13" t="n">
        <v>2026</v>
      </c>
      <c r="B154" s="13" t="s">
        <v>121</v>
      </c>
      <c r="C154" s="13" t="s">
        <v>202</v>
      </c>
      <c r="D154" s="13" t="s">
        <v>122</v>
      </c>
      <c r="E154" s="14" t="n">
        <v>5785</v>
      </c>
      <c r="F154" s="14" t="n">
        <v>4811</v>
      </c>
      <c r="G154" s="14" t="n">
        <f aca="false">E154-F154</f>
        <v>974</v>
      </c>
      <c r="H154" s="15" t="n">
        <f aca="false">F154/E154</f>
        <v>0.831633535004322</v>
      </c>
    </row>
    <row r="155" customFormat="false" ht="15" hidden="false" customHeight="true" outlineLevel="0" collapsed="false">
      <c r="A155" s="13" t="n">
        <v>2026</v>
      </c>
      <c r="B155" s="13" t="s">
        <v>121</v>
      </c>
      <c r="C155" s="13" t="s">
        <v>202</v>
      </c>
      <c r="D155" s="13" t="s">
        <v>124</v>
      </c>
      <c r="E155" s="14" t="n">
        <v>6217</v>
      </c>
      <c r="F155" s="14" t="n">
        <v>4381</v>
      </c>
      <c r="G155" s="14" t="n">
        <f aca="false">E155-F155</f>
        <v>1836</v>
      </c>
      <c r="H155" s="15" t="n">
        <f aca="false">F155/E155</f>
        <v>0.704680714170822</v>
      </c>
    </row>
    <row r="156" customFormat="false" ht="15" hidden="false" customHeight="true" outlineLevel="0" collapsed="false">
      <c r="A156" s="13" t="n">
        <v>2026</v>
      </c>
      <c r="B156" s="13" t="s">
        <v>121</v>
      </c>
      <c r="C156" s="13" t="s">
        <v>202</v>
      </c>
      <c r="D156" s="13" t="s">
        <v>192</v>
      </c>
      <c r="E156" s="14" t="n">
        <v>12002</v>
      </c>
      <c r="F156" s="14" t="n">
        <v>9192</v>
      </c>
      <c r="G156" s="14" t="n">
        <f aca="false">E156-F156</f>
        <v>2810</v>
      </c>
      <c r="H156" s="15" t="n">
        <f aca="false">F156/E156</f>
        <v>0.765872354607565</v>
      </c>
    </row>
    <row r="157" customFormat="false" ht="15" hidden="false" customHeight="true" outlineLevel="0" collapsed="false">
      <c r="A157" s="13" t="n">
        <v>2026</v>
      </c>
      <c r="B157" s="13" t="s">
        <v>121</v>
      </c>
      <c r="C157" s="13" t="s">
        <v>128</v>
      </c>
      <c r="D157" s="13" t="s">
        <v>122</v>
      </c>
      <c r="E157" s="14" t="n">
        <v>12303</v>
      </c>
      <c r="F157" s="14" t="n">
        <v>9480</v>
      </c>
      <c r="G157" s="14" t="n">
        <f aca="false">E157-F157</f>
        <v>2823</v>
      </c>
      <c r="H157" s="15" t="n">
        <f aca="false">F157/E157</f>
        <v>0.770543769812241</v>
      </c>
    </row>
    <row r="158" customFormat="false" ht="15" hidden="false" customHeight="true" outlineLevel="0" collapsed="false">
      <c r="A158" s="13" t="n">
        <v>2026</v>
      </c>
      <c r="B158" s="13" t="s">
        <v>121</v>
      </c>
      <c r="C158" s="13" t="s">
        <v>128</v>
      </c>
      <c r="D158" s="13" t="s">
        <v>124</v>
      </c>
      <c r="E158" s="14" t="n">
        <v>7683</v>
      </c>
      <c r="F158" s="14" t="n">
        <v>3935</v>
      </c>
      <c r="G158" s="14" t="n">
        <f aca="false">E158-F158</f>
        <v>3748</v>
      </c>
      <c r="H158" s="15" t="n">
        <f aca="false">F158/E158</f>
        <v>0.512169725367695</v>
      </c>
    </row>
    <row r="159" customFormat="false" ht="15" hidden="false" customHeight="true" outlineLevel="0" collapsed="false">
      <c r="A159" s="13" t="n">
        <v>2026</v>
      </c>
      <c r="B159" s="13" t="s">
        <v>121</v>
      </c>
      <c r="C159" s="13" t="s">
        <v>128</v>
      </c>
      <c r="D159" s="13" t="s">
        <v>192</v>
      </c>
      <c r="E159" s="14" t="n">
        <v>19986</v>
      </c>
      <c r="F159" s="14" t="n">
        <v>13415</v>
      </c>
      <c r="G159" s="14" t="n">
        <f aca="false">E159-F159</f>
        <v>6571</v>
      </c>
      <c r="H159" s="15" t="n">
        <f aca="false">F159/E159</f>
        <v>0.671219853897728</v>
      </c>
    </row>
    <row r="160" customFormat="false" ht="15" hidden="false" customHeight="true" outlineLevel="0" collapsed="false">
      <c r="A160" s="13" t="n">
        <v>2026</v>
      </c>
      <c r="B160" s="13" t="s">
        <v>121</v>
      </c>
      <c r="C160" s="13" t="s">
        <v>126</v>
      </c>
      <c r="D160" s="13" t="s">
        <v>122</v>
      </c>
      <c r="E160" s="14" t="n">
        <v>750</v>
      </c>
      <c r="F160" s="14" t="n">
        <v>663</v>
      </c>
      <c r="G160" s="14" t="n">
        <f aca="false">E160-F160</f>
        <v>87</v>
      </c>
      <c r="H160" s="15" t="n">
        <f aca="false">F160/E160</f>
        <v>0.884</v>
      </c>
    </row>
    <row r="161" customFormat="false" ht="15" hidden="false" customHeight="true" outlineLevel="0" collapsed="false">
      <c r="A161" s="13" t="n">
        <v>2026</v>
      </c>
      <c r="B161" s="13" t="s">
        <v>121</v>
      </c>
      <c r="C161" s="13" t="s">
        <v>126</v>
      </c>
      <c r="D161" s="13" t="s">
        <v>124</v>
      </c>
      <c r="E161" s="14" t="n">
        <v>1153</v>
      </c>
      <c r="F161" s="14" t="n">
        <v>929</v>
      </c>
      <c r="G161" s="14" t="n">
        <f aca="false">E161-F161</f>
        <v>224</v>
      </c>
      <c r="H161" s="15" t="n">
        <f aca="false">F161/E161</f>
        <v>0.805724197745013</v>
      </c>
    </row>
    <row r="162" customFormat="false" ht="15" hidden="false" customHeight="true" outlineLevel="0" collapsed="false">
      <c r="A162" s="13" t="n">
        <v>2026</v>
      </c>
      <c r="B162" s="13" t="s">
        <v>121</v>
      </c>
      <c r="C162" s="13" t="s">
        <v>126</v>
      </c>
      <c r="D162" s="13" t="s">
        <v>192</v>
      </c>
      <c r="E162" s="14" t="n">
        <v>1903</v>
      </c>
      <c r="F162" s="14" t="n">
        <v>1592</v>
      </c>
      <c r="G162" s="14" t="n">
        <f aca="false">E162-F162</f>
        <v>311</v>
      </c>
      <c r="H162" s="15" t="n">
        <f aca="false">F162/E162</f>
        <v>0.836573830793484</v>
      </c>
    </row>
    <row r="163" customFormat="false" ht="15" hidden="false" customHeight="true" outlineLevel="0" collapsed="false">
      <c r="A163" s="13" t="n">
        <v>2026</v>
      </c>
      <c r="B163" s="13" t="s">
        <v>121</v>
      </c>
      <c r="C163" s="13" t="s">
        <v>123</v>
      </c>
      <c r="D163" s="13" t="s">
        <v>122</v>
      </c>
      <c r="E163" s="14" t="n">
        <v>7518</v>
      </c>
      <c r="F163" s="14" t="n">
        <v>6588</v>
      </c>
      <c r="G163" s="14" t="n">
        <f aca="false">E163-F163</f>
        <v>930</v>
      </c>
      <c r="H163" s="15" t="n">
        <f aca="false">F163/E163</f>
        <v>0.876296887470072</v>
      </c>
    </row>
    <row r="164" customFormat="false" ht="15" hidden="false" customHeight="true" outlineLevel="0" collapsed="false">
      <c r="A164" s="13" t="n">
        <v>2026</v>
      </c>
      <c r="B164" s="13" t="s">
        <v>121</v>
      </c>
      <c r="C164" s="13" t="s">
        <v>123</v>
      </c>
      <c r="D164" s="13" t="s">
        <v>124</v>
      </c>
      <c r="E164" s="14" t="n">
        <v>2642</v>
      </c>
      <c r="F164" s="14" t="n">
        <v>2151</v>
      </c>
      <c r="G164" s="14" t="n">
        <f aca="false">E164-F164</f>
        <v>491</v>
      </c>
      <c r="H164" s="15" t="n">
        <f aca="false">F164/E164</f>
        <v>0.814155942467827</v>
      </c>
    </row>
    <row r="165" customFormat="false" ht="15" hidden="false" customHeight="true" outlineLevel="0" collapsed="false">
      <c r="A165" s="13" t="n">
        <v>2026</v>
      </c>
      <c r="B165" s="13" t="s">
        <v>121</v>
      </c>
      <c r="C165" s="13" t="s">
        <v>123</v>
      </c>
      <c r="D165" s="13" t="s">
        <v>192</v>
      </c>
      <c r="E165" s="14" t="n">
        <v>10160</v>
      </c>
      <c r="F165" s="14" t="n">
        <v>8739</v>
      </c>
      <c r="G165" s="14" t="n">
        <f aca="false">E165-F165</f>
        <v>1421</v>
      </c>
      <c r="H165" s="15" t="n">
        <f aca="false">F165/E165</f>
        <v>0.860137795275591</v>
      </c>
    </row>
    <row r="166" customFormat="false" ht="15" hidden="false" customHeight="true" outlineLevel="0" collapsed="false">
      <c r="A166" s="13" t="n">
        <v>2026</v>
      </c>
      <c r="B166" s="13" t="s">
        <v>121</v>
      </c>
      <c r="C166" s="13" t="s">
        <v>753</v>
      </c>
      <c r="D166" s="13" t="s">
        <v>122</v>
      </c>
      <c r="E166" s="14" t="n">
        <v>26466</v>
      </c>
      <c r="F166" s="14" t="n">
        <v>21640</v>
      </c>
      <c r="G166" s="14" t="n">
        <f aca="false">E166-F166</f>
        <v>4826</v>
      </c>
      <c r="H166" s="15" t="n">
        <f aca="false">F166/E166</f>
        <v>0.817652837602962</v>
      </c>
    </row>
    <row r="167" customFormat="false" ht="15" hidden="false" customHeight="true" outlineLevel="0" collapsed="false">
      <c r="A167" s="13" t="n">
        <v>2026</v>
      </c>
      <c r="B167" s="13" t="s">
        <v>121</v>
      </c>
      <c r="C167" s="13" t="s">
        <v>753</v>
      </c>
      <c r="D167" s="13" t="s">
        <v>124</v>
      </c>
      <c r="E167" s="14" t="n">
        <v>17898</v>
      </c>
      <c r="F167" s="14" t="n">
        <v>11547</v>
      </c>
      <c r="G167" s="14" t="n">
        <f aca="false">E167-F167</f>
        <v>6351</v>
      </c>
      <c r="H167" s="15" t="n">
        <f aca="false">F167/E167</f>
        <v>0.645155883338921</v>
      </c>
    </row>
    <row r="168" customFormat="false" ht="15" hidden="false" customHeight="true" outlineLevel="0" collapsed="false">
      <c r="A168" s="13" t="n">
        <v>2026</v>
      </c>
      <c r="B168" s="13" t="s">
        <v>121</v>
      </c>
      <c r="C168" s="13" t="s">
        <v>753</v>
      </c>
      <c r="D168" s="13" t="s">
        <v>192</v>
      </c>
      <c r="E168" s="14" t="n">
        <v>44364</v>
      </c>
      <c r="F168" s="14" t="n">
        <v>33187</v>
      </c>
      <c r="G168" s="14" t="n">
        <f aca="false">E168-F168</f>
        <v>11177</v>
      </c>
      <c r="H168" s="15" t="n">
        <f aca="false">F168/E168</f>
        <v>0.748061491299252</v>
      </c>
    </row>
    <row r="169" customFormat="false" ht="15" hidden="false" customHeight="true" outlineLevel="0" collapsed="false">
      <c r="A169" s="13" t="n">
        <v>2026</v>
      </c>
      <c r="B169" s="13" t="s">
        <v>125</v>
      </c>
      <c r="C169" s="13" t="s">
        <v>203</v>
      </c>
      <c r="D169" s="13" t="s">
        <v>122</v>
      </c>
      <c r="E169" s="14" t="n">
        <v>9</v>
      </c>
      <c r="F169" s="14" t="n">
        <v>3</v>
      </c>
      <c r="G169" s="14" t="n">
        <f aca="false">E169-F169</f>
        <v>6</v>
      </c>
      <c r="H169" s="15" t="n">
        <f aca="false">F169/E169</f>
        <v>0.333333333333333</v>
      </c>
    </row>
    <row r="170" customFormat="false" ht="15" hidden="false" customHeight="true" outlineLevel="0" collapsed="false">
      <c r="A170" s="13" t="n">
        <v>2026</v>
      </c>
      <c r="B170" s="13" t="s">
        <v>125</v>
      </c>
      <c r="C170" s="13" t="s">
        <v>203</v>
      </c>
      <c r="D170" s="13" t="s">
        <v>124</v>
      </c>
      <c r="E170" s="14" t="n">
        <v>60</v>
      </c>
      <c r="F170" s="14" t="n">
        <v>16</v>
      </c>
      <c r="G170" s="14" t="n">
        <f aca="false">E170-F170</f>
        <v>44</v>
      </c>
      <c r="H170" s="15" t="n">
        <f aca="false">F170/E170</f>
        <v>0.266666666666667</v>
      </c>
    </row>
    <row r="171" customFormat="false" ht="15" hidden="false" customHeight="true" outlineLevel="0" collapsed="false">
      <c r="A171" s="13" t="n">
        <v>2026</v>
      </c>
      <c r="B171" s="13" t="s">
        <v>125</v>
      </c>
      <c r="C171" s="13" t="s">
        <v>203</v>
      </c>
      <c r="D171" s="13" t="s">
        <v>192</v>
      </c>
      <c r="E171" s="14" t="n">
        <v>69</v>
      </c>
      <c r="F171" s="14" t="n">
        <v>19</v>
      </c>
      <c r="G171" s="14" t="n">
        <f aca="false">E171-F171</f>
        <v>50</v>
      </c>
      <c r="H171" s="15" t="n">
        <f aca="false">F171/E171</f>
        <v>0.27536231884058</v>
      </c>
    </row>
    <row r="172" customFormat="false" ht="15" hidden="false" customHeight="true" outlineLevel="0" collapsed="false">
      <c r="A172" s="13" t="n">
        <v>2026</v>
      </c>
      <c r="B172" s="13" t="s">
        <v>125</v>
      </c>
      <c r="C172" s="13" t="s">
        <v>202</v>
      </c>
      <c r="D172" s="13" t="s">
        <v>122</v>
      </c>
      <c r="E172" s="14" t="n">
        <v>416</v>
      </c>
      <c r="F172" s="14" t="n">
        <v>212</v>
      </c>
      <c r="G172" s="14" t="n">
        <f aca="false">E172-F172</f>
        <v>204</v>
      </c>
      <c r="H172" s="15" t="n">
        <f aca="false">F172/E172</f>
        <v>0.509615384615385</v>
      </c>
    </row>
    <row r="173" customFormat="false" ht="15" hidden="false" customHeight="true" outlineLevel="0" collapsed="false">
      <c r="A173" s="13" t="n">
        <v>2026</v>
      </c>
      <c r="B173" s="13" t="s">
        <v>125</v>
      </c>
      <c r="C173" s="13" t="s">
        <v>202</v>
      </c>
      <c r="D173" s="13" t="s">
        <v>124</v>
      </c>
      <c r="E173" s="14" t="n">
        <v>801</v>
      </c>
      <c r="F173" s="14" t="n">
        <v>331</v>
      </c>
      <c r="G173" s="14" t="n">
        <f aca="false">E173-F173</f>
        <v>470</v>
      </c>
      <c r="H173" s="15" t="n">
        <f aca="false">F173/E173</f>
        <v>0.413233458177278</v>
      </c>
    </row>
    <row r="174" customFormat="false" ht="15" hidden="false" customHeight="true" outlineLevel="0" collapsed="false">
      <c r="A174" s="13" t="n">
        <v>2026</v>
      </c>
      <c r="B174" s="13" t="s">
        <v>125</v>
      </c>
      <c r="C174" s="13" t="s">
        <v>202</v>
      </c>
      <c r="D174" s="13" t="s">
        <v>192</v>
      </c>
      <c r="E174" s="14" t="n">
        <v>1217</v>
      </c>
      <c r="F174" s="14" t="n">
        <v>543</v>
      </c>
      <c r="G174" s="14" t="n">
        <f aca="false">E174-F174</f>
        <v>674</v>
      </c>
      <c r="H174" s="15" t="n">
        <f aca="false">F174/E174</f>
        <v>0.446179129005752</v>
      </c>
    </row>
    <row r="175" customFormat="false" ht="15" hidden="false" customHeight="true" outlineLevel="0" collapsed="false">
      <c r="A175" s="13" t="n">
        <v>2026</v>
      </c>
      <c r="B175" s="13" t="s">
        <v>125</v>
      </c>
      <c r="C175" s="13" t="s">
        <v>128</v>
      </c>
      <c r="D175" s="13" t="s">
        <v>122</v>
      </c>
      <c r="E175" s="14" t="n">
        <v>4001</v>
      </c>
      <c r="F175" s="14" t="n">
        <v>2278</v>
      </c>
      <c r="G175" s="14" t="n">
        <f aca="false">E175-F175</f>
        <v>1723</v>
      </c>
      <c r="H175" s="15" t="n">
        <f aca="false">F175/E175</f>
        <v>0.569357660584854</v>
      </c>
    </row>
    <row r="176" customFormat="false" ht="15" hidden="false" customHeight="true" outlineLevel="0" collapsed="false">
      <c r="A176" s="13" t="n">
        <v>2026</v>
      </c>
      <c r="B176" s="13" t="s">
        <v>125</v>
      </c>
      <c r="C176" s="13" t="s">
        <v>128</v>
      </c>
      <c r="D176" s="13" t="s">
        <v>124</v>
      </c>
      <c r="E176" s="14" t="n">
        <v>3871</v>
      </c>
      <c r="F176" s="14" t="n">
        <v>1118</v>
      </c>
      <c r="G176" s="14" t="n">
        <f aca="false">E176-F176</f>
        <v>2753</v>
      </c>
      <c r="H176" s="15" t="n">
        <f aca="false">F176/E176</f>
        <v>0.288814259881168</v>
      </c>
    </row>
    <row r="177" customFormat="false" ht="15" hidden="false" customHeight="true" outlineLevel="0" collapsed="false">
      <c r="A177" s="13" t="n">
        <v>2026</v>
      </c>
      <c r="B177" s="13" t="s">
        <v>125</v>
      </c>
      <c r="C177" s="13" t="s">
        <v>128</v>
      </c>
      <c r="D177" s="13" t="s">
        <v>192</v>
      </c>
      <c r="E177" s="14" t="n">
        <v>7872</v>
      </c>
      <c r="F177" s="14" t="n">
        <v>3396</v>
      </c>
      <c r="G177" s="14" t="n">
        <f aca="false">E177-F177</f>
        <v>4476</v>
      </c>
      <c r="H177" s="15" t="n">
        <f aca="false">F177/E177</f>
        <v>0.43140243902439</v>
      </c>
    </row>
    <row r="178" customFormat="false" ht="15" hidden="false" customHeight="true" outlineLevel="0" collapsed="false">
      <c r="A178" s="13" t="n">
        <v>2026</v>
      </c>
      <c r="B178" s="13" t="s">
        <v>125</v>
      </c>
      <c r="C178" s="13" t="s">
        <v>126</v>
      </c>
      <c r="D178" s="13" t="s">
        <v>122</v>
      </c>
      <c r="E178" s="14" t="n">
        <v>49</v>
      </c>
      <c r="F178" s="14" t="n">
        <v>25</v>
      </c>
      <c r="G178" s="14" t="n">
        <f aca="false">E178-F178</f>
        <v>24</v>
      </c>
      <c r="H178" s="15" t="n">
        <f aca="false">F178/E178</f>
        <v>0.510204081632653</v>
      </c>
    </row>
    <row r="179" customFormat="false" ht="15" hidden="false" customHeight="true" outlineLevel="0" collapsed="false">
      <c r="A179" s="13" t="n">
        <v>2026</v>
      </c>
      <c r="B179" s="13" t="s">
        <v>125</v>
      </c>
      <c r="C179" s="13" t="s">
        <v>126</v>
      </c>
      <c r="D179" s="13" t="s">
        <v>124</v>
      </c>
      <c r="E179" s="14" t="n">
        <v>157</v>
      </c>
      <c r="F179" s="14" t="n">
        <v>62</v>
      </c>
      <c r="G179" s="14" t="n">
        <f aca="false">E179-F179</f>
        <v>95</v>
      </c>
      <c r="H179" s="15" t="n">
        <f aca="false">F179/E179</f>
        <v>0.394904458598726</v>
      </c>
    </row>
    <row r="180" customFormat="false" ht="15" hidden="false" customHeight="true" outlineLevel="0" collapsed="false">
      <c r="A180" s="13" t="n">
        <v>2026</v>
      </c>
      <c r="B180" s="13" t="s">
        <v>125</v>
      </c>
      <c r="C180" s="13" t="s">
        <v>126</v>
      </c>
      <c r="D180" s="13" t="s">
        <v>192</v>
      </c>
      <c r="E180" s="14" t="n">
        <v>206</v>
      </c>
      <c r="F180" s="14" t="n">
        <v>87</v>
      </c>
      <c r="G180" s="14" t="n">
        <f aca="false">E180-F180</f>
        <v>119</v>
      </c>
      <c r="H180" s="15" t="n">
        <f aca="false">F180/E180</f>
        <v>0.422330097087379</v>
      </c>
    </row>
    <row r="181" customFormat="false" ht="15" hidden="false" customHeight="true" outlineLevel="0" collapsed="false">
      <c r="A181" s="13" t="n">
        <v>2026</v>
      </c>
      <c r="B181" s="13" t="s">
        <v>125</v>
      </c>
      <c r="C181" s="13" t="s">
        <v>123</v>
      </c>
      <c r="D181" s="13" t="s">
        <v>122</v>
      </c>
      <c r="E181" s="14" t="n">
        <v>803</v>
      </c>
      <c r="F181" s="14" t="n">
        <v>562</v>
      </c>
      <c r="G181" s="14" t="n">
        <f aca="false">E181-F181</f>
        <v>241</v>
      </c>
      <c r="H181" s="15" t="n">
        <f aca="false">F181/E181</f>
        <v>0.699875466998755</v>
      </c>
    </row>
    <row r="182" customFormat="false" ht="15" hidden="false" customHeight="true" outlineLevel="0" collapsed="false">
      <c r="A182" s="13" t="n">
        <v>2026</v>
      </c>
      <c r="B182" s="13" t="s">
        <v>125</v>
      </c>
      <c r="C182" s="13" t="s">
        <v>123</v>
      </c>
      <c r="D182" s="13" t="s">
        <v>124</v>
      </c>
      <c r="E182" s="14" t="n">
        <v>420</v>
      </c>
      <c r="F182" s="14" t="n">
        <v>230</v>
      </c>
      <c r="G182" s="14" t="n">
        <f aca="false">E182-F182</f>
        <v>190</v>
      </c>
      <c r="H182" s="15" t="n">
        <f aca="false">F182/E182</f>
        <v>0.547619047619048</v>
      </c>
    </row>
    <row r="183" customFormat="false" ht="15" hidden="false" customHeight="true" outlineLevel="0" collapsed="false">
      <c r="A183" s="13" t="n">
        <v>2026</v>
      </c>
      <c r="B183" s="13" t="s">
        <v>125</v>
      </c>
      <c r="C183" s="13" t="s">
        <v>123</v>
      </c>
      <c r="D183" s="13" t="s">
        <v>192</v>
      </c>
      <c r="E183" s="14" t="n">
        <v>1223</v>
      </c>
      <c r="F183" s="14" t="n">
        <v>792</v>
      </c>
      <c r="G183" s="14" t="n">
        <f aca="false">E183-F183</f>
        <v>431</v>
      </c>
      <c r="H183" s="15" t="n">
        <f aca="false">F183/E183</f>
        <v>0.647587898609976</v>
      </c>
    </row>
    <row r="184" customFormat="false" ht="15" hidden="false" customHeight="true" outlineLevel="0" collapsed="false">
      <c r="A184" s="13" t="n">
        <v>2026</v>
      </c>
      <c r="B184" s="13" t="s">
        <v>125</v>
      </c>
      <c r="C184" s="13" t="s">
        <v>966</v>
      </c>
      <c r="D184" s="13" t="s">
        <v>124</v>
      </c>
      <c r="E184" s="14" t="n">
        <v>4</v>
      </c>
      <c r="F184" s="14" t="n">
        <v>2</v>
      </c>
      <c r="G184" s="14" t="n">
        <f aca="false">E184-F184</f>
        <v>2</v>
      </c>
      <c r="H184" s="15" t="n">
        <f aca="false">F184/E184</f>
        <v>0.5</v>
      </c>
    </row>
    <row r="185" customFormat="false" ht="15" hidden="false" customHeight="true" outlineLevel="0" collapsed="false">
      <c r="A185" s="13" t="n">
        <v>2026</v>
      </c>
      <c r="B185" s="13" t="s">
        <v>125</v>
      </c>
      <c r="C185" s="13" t="s">
        <v>966</v>
      </c>
      <c r="D185" s="13" t="s">
        <v>192</v>
      </c>
      <c r="E185" s="14" t="n">
        <v>4</v>
      </c>
      <c r="F185" s="14" t="n">
        <v>2</v>
      </c>
      <c r="G185" s="14" t="n">
        <f aca="false">E185-F185</f>
        <v>2</v>
      </c>
      <c r="H185" s="15" t="n">
        <f aca="false">F185/E185</f>
        <v>0.5</v>
      </c>
    </row>
    <row r="186" customFormat="false" ht="15" hidden="false" customHeight="true" outlineLevel="0" collapsed="false">
      <c r="A186" s="13" t="n">
        <v>2026</v>
      </c>
      <c r="B186" s="13" t="s">
        <v>125</v>
      </c>
      <c r="C186" s="13" t="s">
        <v>967</v>
      </c>
      <c r="D186" s="13" t="s">
        <v>122</v>
      </c>
      <c r="E186" s="14" t="n">
        <v>19</v>
      </c>
      <c r="F186" s="14" t="n">
        <v>18</v>
      </c>
      <c r="G186" s="14" t="n">
        <f aca="false">E186-F186</f>
        <v>1</v>
      </c>
      <c r="H186" s="15" t="n">
        <f aca="false">F186/E186</f>
        <v>0.947368421052632</v>
      </c>
    </row>
    <row r="187" customFormat="false" ht="15" hidden="false" customHeight="true" outlineLevel="0" collapsed="false">
      <c r="A187" s="13" t="n">
        <v>2026</v>
      </c>
      <c r="B187" s="13" t="s">
        <v>125</v>
      </c>
      <c r="C187" s="13" t="s">
        <v>967</v>
      </c>
      <c r="D187" s="13" t="s">
        <v>124</v>
      </c>
      <c r="E187" s="14" t="n">
        <v>52</v>
      </c>
      <c r="F187" s="14" t="n">
        <v>31</v>
      </c>
      <c r="G187" s="14" t="n">
        <f aca="false">E187-F187</f>
        <v>21</v>
      </c>
      <c r="H187" s="15" t="n">
        <f aca="false">F187/E187</f>
        <v>0.596153846153846</v>
      </c>
    </row>
    <row r="188" customFormat="false" ht="15" hidden="false" customHeight="true" outlineLevel="0" collapsed="false">
      <c r="A188" s="13" t="n">
        <v>2026</v>
      </c>
      <c r="B188" s="13" t="s">
        <v>125</v>
      </c>
      <c r="C188" s="13" t="s">
        <v>967</v>
      </c>
      <c r="D188" s="13" t="s">
        <v>192</v>
      </c>
      <c r="E188" s="14" t="n">
        <v>71</v>
      </c>
      <c r="F188" s="14" t="n">
        <v>49</v>
      </c>
      <c r="G188" s="14" t="n">
        <f aca="false">E188-F188</f>
        <v>22</v>
      </c>
      <c r="H188" s="15" t="n">
        <f aca="false">F188/E188</f>
        <v>0.690140845070423</v>
      </c>
    </row>
    <row r="189" customFormat="false" ht="15" hidden="false" customHeight="true" outlineLevel="0" collapsed="false">
      <c r="A189" s="13" t="n">
        <v>2026</v>
      </c>
      <c r="B189" s="13" t="s">
        <v>125</v>
      </c>
      <c r="C189" s="13" t="s">
        <v>968</v>
      </c>
      <c r="D189" s="13" t="s">
        <v>122</v>
      </c>
      <c r="E189" s="14" t="n">
        <v>6</v>
      </c>
      <c r="F189" s="14" t="n">
        <v>1</v>
      </c>
      <c r="G189" s="14" t="n">
        <f aca="false">E189-F189</f>
        <v>5</v>
      </c>
      <c r="H189" s="15" t="n">
        <f aca="false">F189/E189</f>
        <v>0.166666666666667</v>
      </c>
    </row>
    <row r="190" customFormat="false" ht="15" hidden="false" customHeight="true" outlineLevel="0" collapsed="false">
      <c r="A190" s="13" t="n">
        <v>2026</v>
      </c>
      <c r="B190" s="13" t="s">
        <v>125</v>
      </c>
      <c r="C190" s="13" t="s">
        <v>968</v>
      </c>
      <c r="D190" s="13" t="s">
        <v>124</v>
      </c>
      <c r="E190" s="14" t="n">
        <v>2</v>
      </c>
      <c r="F190" s="14" t="n">
        <v>0</v>
      </c>
      <c r="G190" s="14" t="n">
        <f aca="false">E190-F190</f>
        <v>2</v>
      </c>
      <c r="H190" s="15" t="n">
        <f aca="false">F190/E190</f>
        <v>0</v>
      </c>
    </row>
    <row r="191" customFormat="false" ht="15" hidden="false" customHeight="true" outlineLevel="0" collapsed="false">
      <c r="A191" s="13" t="n">
        <v>2026</v>
      </c>
      <c r="B191" s="13" t="s">
        <v>125</v>
      </c>
      <c r="C191" s="13" t="s">
        <v>968</v>
      </c>
      <c r="D191" s="13" t="s">
        <v>192</v>
      </c>
      <c r="E191" s="14" t="n">
        <v>8</v>
      </c>
      <c r="F191" s="14" t="n">
        <v>1</v>
      </c>
      <c r="G191" s="14" t="n">
        <f aca="false">E191-F191</f>
        <v>7</v>
      </c>
      <c r="H191" s="15" t="n">
        <f aca="false">F191/E191</f>
        <v>0.125</v>
      </c>
    </row>
    <row r="192" customFormat="false" ht="15" hidden="false" customHeight="true" outlineLevel="0" collapsed="false">
      <c r="A192" s="13" t="n">
        <v>2026</v>
      </c>
      <c r="B192" s="13" t="s">
        <v>125</v>
      </c>
      <c r="C192" s="13" t="s">
        <v>753</v>
      </c>
      <c r="D192" s="13" t="s">
        <v>122</v>
      </c>
      <c r="E192" s="14" t="n">
        <v>5303</v>
      </c>
      <c r="F192" s="14" t="n">
        <v>3099</v>
      </c>
      <c r="G192" s="14" t="n">
        <f aca="false">E192-F192</f>
        <v>2204</v>
      </c>
      <c r="H192" s="15" t="n">
        <f aca="false">F192/E192</f>
        <v>0.584386196492551</v>
      </c>
    </row>
    <row r="193" customFormat="false" ht="15" hidden="false" customHeight="true" outlineLevel="0" collapsed="false">
      <c r="A193" s="13" t="n">
        <v>2026</v>
      </c>
      <c r="B193" s="13" t="s">
        <v>125</v>
      </c>
      <c r="C193" s="13" t="s">
        <v>753</v>
      </c>
      <c r="D193" s="13" t="s">
        <v>124</v>
      </c>
      <c r="E193" s="14" t="n">
        <v>5367</v>
      </c>
      <c r="F193" s="14" t="n">
        <v>1790</v>
      </c>
      <c r="G193" s="14" t="n">
        <f aca="false">E193-F193</f>
        <v>3577</v>
      </c>
      <c r="H193" s="15" t="n">
        <f aca="false">F193/E193</f>
        <v>0.333519657164151</v>
      </c>
    </row>
    <row r="194" customFormat="false" ht="15" hidden="false" customHeight="true" outlineLevel="0" collapsed="false">
      <c r="A194" s="13" t="n">
        <v>2026</v>
      </c>
      <c r="B194" s="13" t="s">
        <v>125</v>
      </c>
      <c r="C194" s="13" t="s">
        <v>753</v>
      </c>
      <c r="D194" s="13" t="s">
        <v>192</v>
      </c>
      <c r="E194" s="14" t="n">
        <v>10670</v>
      </c>
      <c r="F194" s="14" t="n">
        <v>4889</v>
      </c>
      <c r="G194" s="14" t="n">
        <f aca="false">E194-F194</f>
        <v>5781</v>
      </c>
      <c r="H194" s="15" t="n">
        <f aca="false">F194/E194</f>
        <v>0.458200562324274</v>
      </c>
    </row>
    <row r="195" customFormat="false" ht="15" hidden="false" customHeight="true" outlineLevel="0" collapsed="false">
      <c r="A195" s="13" t="n">
        <v>2026</v>
      </c>
      <c r="B195" s="13" t="s">
        <v>195</v>
      </c>
      <c r="C195" s="13" t="s">
        <v>203</v>
      </c>
      <c r="D195" s="13" t="s">
        <v>122</v>
      </c>
      <c r="E195" s="14" t="n">
        <v>119</v>
      </c>
      <c r="F195" s="14" t="n">
        <v>101</v>
      </c>
      <c r="G195" s="14" t="n">
        <f aca="false">E195-F195</f>
        <v>18</v>
      </c>
      <c r="H195" s="15" t="n">
        <f aca="false">F195/E195</f>
        <v>0.848739495798319</v>
      </c>
    </row>
    <row r="196" customFormat="false" ht="15" hidden="false" customHeight="true" outlineLevel="0" collapsed="false">
      <c r="A196" s="13" t="n">
        <v>2026</v>
      </c>
      <c r="B196" s="13" t="s">
        <v>195</v>
      </c>
      <c r="C196" s="13" t="s">
        <v>203</v>
      </c>
      <c r="D196" s="13" t="s">
        <v>124</v>
      </c>
      <c r="E196" s="14" t="n">
        <v>263</v>
      </c>
      <c r="F196" s="14" t="n">
        <v>167</v>
      </c>
      <c r="G196" s="14" t="n">
        <f aca="false">E196-F196</f>
        <v>96</v>
      </c>
      <c r="H196" s="15" t="n">
        <f aca="false">F196/E196</f>
        <v>0.634980988593156</v>
      </c>
    </row>
    <row r="197" customFormat="false" ht="15" hidden="false" customHeight="true" outlineLevel="0" collapsed="false">
      <c r="A197" s="13" t="n">
        <v>2026</v>
      </c>
      <c r="B197" s="13" t="s">
        <v>195</v>
      </c>
      <c r="C197" s="13" t="s">
        <v>203</v>
      </c>
      <c r="D197" s="13" t="s">
        <v>192</v>
      </c>
      <c r="E197" s="14" t="n">
        <v>382</v>
      </c>
      <c r="F197" s="14" t="n">
        <v>268</v>
      </c>
      <c r="G197" s="14" t="n">
        <f aca="false">E197-F197</f>
        <v>114</v>
      </c>
      <c r="H197" s="15" t="n">
        <f aca="false">F197/E197</f>
        <v>0.701570680628272</v>
      </c>
    </row>
    <row r="198" customFormat="false" ht="15" hidden="false" customHeight="true" outlineLevel="0" collapsed="false">
      <c r="A198" s="13" t="n">
        <v>2026</v>
      </c>
      <c r="B198" s="13" t="s">
        <v>195</v>
      </c>
      <c r="C198" s="13" t="s">
        <v>202</v>
      </c>
      <c r="D198" s="13" t="s">
        <v>122</v>
      </c>
      <c r="E198" s="14" t="n">
        <v>6201</v>
      </c>
      <c r="F198" s="14" t="n">
        <v>5023</v>
      </c>
      <c r="G198" s="14" t="n">
        <f aca="false">E198-F198</f>
        <v>1178</v>
      </c>
      <c r="H198" s="15" t="n">
        <f aca="false">F198/E198</f>
        <v>0.81003064021932</v>
      </c>
    </row>
    <row r="199" customFormat="false" ht="15" hidden="false" customHeight="true" outlineLevel="0" collapsed="false">
      <c r="A199" s="13" t="n">
        <v>2026</v>
      </c>
      <c r="B199" s="13" t="s">
        <v>195</v>
      </c>
      <c r="C199" s="13" t="s">
        <v>202</v>
      </c>
      <c r="D199" s="13" t="s">
        <v>124</v>
      </c>
      <c r="E199" s="14" t="n">
        <v>7018</v>
      </c>
      <c r="F199" s="14" t="n">
        <v>4712</v>
      </c>
      <c r="G199" s="14" t="n">
        <f aca="false">E199-F199</f>
        <v>2306</v>
      </c>
      <c r="H199" s="15" t="n">
        <f aca="false">F199/E199</f>
        <v>0.671416357936734</v>
      </c>
    </row>
    <row r="200" customFormat="false" ht="15" hidden="false" customHeight="true" outlineLevel="0" collapsed="false">
      <c r="A200" s="13" t="n">
        <v>2026</v>
      </c>
      <c r="B200" s="13" t="s">
        <v>195</v>
      </c>
      <c r="C200" s="13" t="s">
        <v>202</v>
      </c>
      <c r="D200" s="13" t="s">
        <v>192</v>
      </c>
      <c r="E200" s="14" t="n">
        <v>13219</v>
      </c>
      <c r="F200" s="14" t="n">
        <v>9735</v>
      </c>
      <c r="G200" s="14" t="n">
        <f aca="false">E200-F200</f>
        <v>3484</v>
      </c>
      <c r="H200" s="15" t="n">
        <f aca="false">F200/E200</f>
        <v>0.736439972766473</v>
      </c>
    </row>
    <row r="201" customFormat="false" ht="15" hidden="false" customHeight="true" outlineLevel="0" collapsed="false">
      <c r="A201" s="13" t="n">
        <v>2026</v>
      </c>
      <c r="B201" s="13" t="s">
        <v>195</v>
      </c>
      <c r="C201" s="13" t="s">
        <v>128</v>
      </c>
      <c r="D201" s="13" t="s">
        <v>122</v>
      </c>
      <c r="E201" s="14" t="n">
        <v>16304</v>
      </c>
      <c r="F201" s="14" t="n">
        <v>11758</v>
      </c>
      <c r="G201" s="14" t="n">
        <f aca="false">E201-F201</f>
        <v>4546</v>
      </c>
      <c r="H201" s="15" t="n">
        <f aca="false">F201/E201</f>
        <v>0.721172718351325</v>
      </c>
    </row>
    <row r="202" customFormat="false" ht="15" hidden="false" customHeight="true" outlineLevel="0" collapsed="false">
      <c r="A202" s="13" t="n">
        <v>2026</v>
      </c>
      <c r="B202" s="13" t="s">
        <v>195</v>
      </c>
      <c r="C202" s="13" t="s">
        <v>128</v>
      </c>
      <c r="D202" s="13" t="s">
        <v>124</v>
      </c>
      <c r="E202" s="14" t="n">
        <v>11554</v>
      </c>
      <c r="F202" s="14" t="n">
        <v>5053</v>
      </c>
      <c r="G202" s="14" t="n">
        <f aca="false">E202-F202</f>
        <v>6501</v>
      </c>
      <c r="H202" s="15" t="n">
        <f aca="false">F202/E202</f>
        <v>0.437337718539034</v>
      </c>
    </row>
    <row r="203" customFormat="false" ht="15" hidden="false" customHeight="true" outlineLevel="0" collapsed="false">
      <c r="A203" s="13" t="n">
        <v>2026</v>
      </c>
      <c r="B203" s="13" t="s">
        <v>195</v>
      </c>
      <c r="C203" s="13" t="s">
        <v>128</v>
      </c>
      <c r="D203" s="13" t="s">
        <v>192</v>
      </c>
      <c r="E203" s="14" t="n">
        <v>27858</v>
      </c>
      <c r="F203" s="14" t="n">
        <v>16811</v>
      </c>
      <c r="G203" s="14" t="n">
        <f aca="false">E203-F203</f>
        <v>11047</v>
      </c>
      <c r="H203" s="15" t="n">
        <f aca="false">F203/E203</f>
        <v>0.603453227080192</v>
      </c>
    </row>
    <row r="204" customFormat="false" ht="15" hidden="false" customHeight="true" outlineLevel="0" collapsed="false">
      <c r="A204" s="13" t="n">
        <v>2026</v>
      </c>
      <c r="B204" s="13" t="s">
        <v>195</v>
      </c>
      <c r="C204" s="13" t="s">
        <v>126</v>
      </c>
      <c r="D204" s="13" t="s">
        <v>122</v>
      </c>
      <c r="E204" s="14" t="n">
        <v>799</v>
      </c>
      <c r="F204" s="14" t="n">
        <v>688</v>
      </c>
      <c r="G204" s="14" t="n">
        <f aca="false">E204-F204</f>
        <v>111</v>
      </c>
      <c r="H204" s="15" t="n">
        <f aca="false">F204/E204</f>
        <v>0.86107634543179</v>
      </c>
    </row>
    <row r="205" customFormat="false" ht="15" hidden="false" customHeight="true" outlineLevel="0" collapsed="false">
      <c r="A205" s="13" t="n">
        <v>2026</v>
      </c>
      <c r="B205" s="13" t="s">
        <v>195</v>
      </c>
      <c r="C205" s="13" t="s">
        <v>126</v>
      </c>
      <c r="D205" s="13" t="s">
        <v>124</v>
      </c>
      <c r="E205" s="14" t="n">
        <v>1310</v>
      </c>
      <c r="F205" s="14" t="n">
        <v>991</v>
      </c>
      <c r="G205" s="14" t="n">
        <f aca="false">E205-F205</f>
        <v>319</v>
      </c>
      <c r="H205" s="15" t="n">
        <f aca="false">F205/E205</f>
        <v>0.756488549618321</v>
      </c>
    </row>
    <row r="206" customFormat="false" ht="15" hidden="false" customHeight="true" outlineLevel="0" collapsed="false">
      <c r="A206" s="13" t="n">
        <v>2026</v>
      </c>
      <c r="B206" s="13" t="s">
        <v>195</v>
      </c>
      <c r="C206" s="13" t="s">
        <v>126</v>
      </c>
      <c r="D206" s="13" t="s">
        <v>192</v>
      </c>
      <c r="E206" s="14" t="n">
        <v>2109</v>
      </c>
      <c r="F206" s="14" t="n">
        <v>1679</v>
      </c>
      <c r="G206" s="14" t="n">
        <f aca="false">E206-F206</f>
        <v>430</v>
      </c>
      <c r="H206" s="15" t="n">
        <f aca="false">F206/E206</f>
        <v>0.796111901375059</v>
      </c>
    </row>
    <row r="207" customFormat="false" ht="15" hidden="false" customHeight="true" outlineLevel="0" collapsed="false">
      <c r="A207" s="13" t="n">
        <v>2026</v>
      </c>
      <c r="B207" s="13" t="s">
        <v>195</v>
      </c>
      <c r="C207" s="13" t="s">
        <v>123</v>
      </c>
      <c r="D207" s="13" t="s">
        <v>122</v>
      </c>
      <c r="E207" s="14" t="n">
        <v>8321</v>
      </c>
      <c r="F207" s="14" t="n">
        <v>7150</v>
      </c>
      <c r="G207" s="14" t="n">
        <f aca="false">E207-F207</f>
        <v>1171</v>
      </c>
      <c r="H207" s="15" t="n">
        <f aca="false">F207/E207</f>
        <v>0.85927172214878</v>
      </c>
    </row>
    <row r="208" customFormat="false" ht="15" hidden="false" customHeight="true" outlineLevel="0" collapsed="false">
      <c r="A208" s="13" t="n">
        <v>2026</v>
      </c>
      <c r="B208" s="13" t="s">
        <v>195</v>
      </c>
      <c r="C208" s="13" t="s">
        <v>123</v>
      </c>
      <c r="D208" s="13" t="s">
        <v>124</v>
      </c>
      <c r="E208" s="14" t="n">
        <v>3062</v>
      </c>
      <c r="F208" s="14" t="n">
        <v>2381</v>
      </c>
      <c r="G208" s="14" t="n">
        <f aca="false">E208-F208</f>
        <v>681</v>
      </c>
      <c r="H208" s="15" t="n">
        <f aca="false">F208/E208</f>
        <v>0.777596342259961</v>
      </c>
    </row>
    <row r="209" customFormat="false" ht="15" hidden="false" customHeight="true" outlineLevel="0" collapsed="false">
      <c r="A209" s="13" t="n">
        <v>2026</v>
      </c>
      <c r="B209" s="13" t="s">
        <v>195</v>
      </c>
      <c r="C209" s="13" t="s">
        <v>123</v>
      </c>
      <c r="D209" s="13" t="s">
        <v>192</v>
      </c>
      <c r="E209" s="14" t="n">
        <v>11383</v>
      </c>
      <c r="F209" s="14" t="n">
        <v>9531</v>
      </c>
      <c r="G209" s="14" t="n">
        <f aca="false">E209-F209</f>
        <v>1852</v>
      </c>
      <c r="H209" s="15" t="n">
        <f aca="false">F209/E209</f>
        <v>0.837301238689274</v>
      </c>
    </row>
    <row r="210" customFormat="false" ht="15" hidden="false" customHeight="true" outlineLevel="0" collapsed="false">
      <c r="A210" s="13" t="n">
        <v>2026</v>
      </c>
      <c r="B210" s="13" t="s">
        <v>195</v>
      </c>
      <c r="C210" s="13" t="s">
        <v>966</v>
      </c>
      <c r="D210" s="13" t="s">
        <v>124</v>
      </c>
      <c r="E210" s="14" t="n">
        <v>4</v>
      </c>
      <c r="F210" s="14" t="n">
        <v>2</v>
      </c>
      <c r="G210" s="14" t="n">
        <f aca="false">E210-F210</f>
        <v>2</v>
      </c>
      <c r="H210" s="15" t="n">
        <f aca="false">F210/E210</f>
        <v>0.5</v>
      </c>
    </row>
    <row r="211" customFormat="false" ht="15" hidden="false" customHeight="true" outlineLevel="0" collapsed="false">
      <c r="A211" s="13" t="n">
        <v>2026</v>
      </c>
      <c r="B211" s="13" t="s">
        <v>195</v>
      </c>
      <c r="C211" s="13" t="s">
        <v>966</v>
      </c>
      <c r="D211" s="13" t="s">
        <v>192</v>
      </c>
      <c r="E211" s="14" t="n">
        <v>4</v>
      </c>
      <c r="F211" s="14" t="n">
        <v>2</v>
      </c>
      <c r="G211" s="14" t="n">
        <f aca="false">E211-F211</f>
        <v>2</v>
      </c>
      <c r="H211" s="15" t="n">
        <f aca="false">F211/E211</f>
        <v>0.5</v>
      </c>
    </row>
    <row r="212" customFormat="false" ht="15" hidden="false" customHeight="true" outlineLevel="0" collapsed="false">
      <c r="A212" s="13" t="n">
        <v>2026</v>
      </c>
      <c r="B212" s="13" t="s">
        <v>195</v>
      </c>
      <c r="C212" s="13" t="s">
        <v>967</v>
      </c>
      <c r="D212" s="13" t="s">
        <v>122</v>
      </c>
      <c r="E212" s="14" t="n">
        <v>19</v>
      </c>
      <c r="F212" s="14" t="n">
        <v>18</v>
      </c>
      <c r="G212" s="14" t="n">
        <f aca="false">E212-F212</f>
        <v>1</v>
      </c>
      <c r="H212" s="15" t="n">
        <f aca="false">F212/E212</f>
        <v>0.947368421052632</v>
      </c>
    </row>
    <row r="213" customFormat="false" ht="15" hidden="false" customHeight="true" outlineLevel="0" collapsed="false">
      <c r="A213" s="13" t="n">
        <v>2026</v>
      </c>
      <c r="B213" s="13" t="s">
        <v>195</v>
      </c>
      <c r="C213" s="13" t="s">
        <v>967</v>
      </c>
      <c r="D213" s="13" t="s">
        <v>124</v>
      </c>
      <c r="E213" s="14" t="n">
        <v>52</v>
      </c>
      <c r="F213" s="14" t="n">
        <v>31</v>
      </c>
      <c r="G213" s="14" t="n">
        <f aca="false">E213-F213</f>
        <v>21</v>
      </c>
      <c r="H213" s="15" t="n">
        <f aca="false">F213/E213</f>
        <v>0.596153846153846</v>
      </c>
    </row>
    <row r="214" customFormat="false" ht="15" hidden="false" customHeight="true" outlineLevel="0" collapsed="false">
      <c r="A214" s="13" t="n">
        <v>2026</v>
      </c>
      <c r="B214" s="13" t="s">
        <v>195</v>
      </c>
      <c r="C214" s="13" t="s">
        <v>967</v>
      </c>
      <c r="D214" s="13" t="s">
        <v>192</v>
      </c>
      <c r="E214" s="14" t="n">
        <v>71</v>
      </c>
      <c r="F214" s="14" t="n">
        <v>49</v>
      </c>
      <c r="G214" s="14" t="n">
        <f aca="false">E214-F214</f>
        <v>22</v>
      </c>
      <c r="H214" s="15" t="n">
        <f aca="false">F214/E214</f>
        <v>0.690140845070423</v>
      </c>
    </row>
    <row r="215" customFormat="false" ht="15" hidden="false" customHeight="true" outlineLevel="0" collapsed="false">
      <c r="A215" s="13" t="n">
        <v>2026</v>
      </c>
      <c r="B215" s="13" t="s">
        <v>195</v>
      </c>
      <c r="C215" s="13" t="s">
        <v>968</v>
      </c>
      <c r="D215" s="13" t="s">
        <v>122</v>
      </c>
      <c r="E215" s="14" t="n">
        <v>6</v>
      </c>
      <c r="F215" s="14" t="n">
        <v>1</v>
      </c>
      <c r="G215" s="14" t="n">
        <f aca="false">E215-F215</f>
        <v>5</v>
      </c>
      <c r="H215" s="15" t="n">
        <f aca="false">F215/E215</f>
        <v>0.166666666666667</v>
      </c>
    </row>
    <row r="216" customFormat="false" ht="15" hidden="false" customHeight="true" outlineLevel="0" collapsed="false">
      <c r="A216" s="13" t="n">
        <v>2026</v>
      </c>
      <c r="B216" s="13" t="s">
        <v>195</v>
      </c>
      <c r="C216" s="13" t="s">
        <v>968</v>
      </c>
      <c r="D216" s="13" t="s">
        <v>124</v>
      </c>
      <c r="E216" s="14" t="n">
        <v>2</v>
      </c>
      <c r="F216" s="14" t="n">
        <v>0</v>
      </c>
      <c r="G216" s="14" t="n">
        <f aca="false">E216-F216</f>
        <v>2</v>
      </c>
      <c r="H216" s="15" t="n">
        <f aca="false">F216/E216</f>
        <v>0</v>
      </c>
    </row>
    <row r="217" customFormat="false" ht="15" hidden="false" customHeight="true" outlineLevel="0" collapsed="false">
      <c r="A217" s="13" t="n">
        <v>2026</v>
      </c>
      <c r="B217" s="13" t="s">
        <v>195</v>
      </c>
      <c r="C217" s="13" t="s">
        <v>968</v>
      </c>
      <c r="D217" s="13" t="s">
        <v>192</v>
      </c>
      <c r="E217" s="14" t="n">
        <v>8</v>
      </c>
      <c r="F217" s="14" t="n">
        <v>1</v>
      </c>
      <c r="G217" s="14" t="n">
        <f aca="false">E217-F217</f>
        <v>7</v>
      </c>
      <c r="H217" s="15" t="n">
        <f aca="false">F217/E217</f>
        <v>0.125</v>
      </c>
    </row>
    <row r="218" customFormat="false" ht="15" hidden="false" customHeight="true" outlineLevel="0" collapsed="false">
      <c r="A218" s="13" t="n">
        <v>2026</v>
      </c>
      <c r="B218" s="13" t="s">
        <v>195</v>
      </c>
      <c r="C218" s="13" t="s">
        <v>753</v>
      </c>
      <c r="D218" s="13" t="s">
        <v>122</v>
      </c>
      <c r="E218" s="14" t="n">
        <v>31769</v>
      </c>
      <c r="F218" s="14" t="n">
        <v>24739</v>
      </c>
      <c r="G218" s="14" t="n">
        <f aca="false">E218-F218</f>
        <v>7030</v>
      </c>
      <c r="H218" s="15" t="n">
        <f aca="false">F218/E218</f>
        <v>0.778715099625421</v>
      </c>
    </row>
    <row r="219" customFormat="false" ht="15" hidden="false" customHeight="true" outlineLevel="0" collapsed="false">
      <c r="A219" s="13" t="n">
        <v>2026</v>
      </c>
      <c r="B219" s="13" t="s">
        <v>195</v>
      </c>
      <c r="C219" s="13" t="s">
        <v>753</v>
      </c>
      <c r="D219" s="13" t="s">
        <v>124</v>
      </c>
      <c r="E219" s="14" t="n">
        <v>23265</v>
      </c>
      <c r="F219" s="14" t="n">
        <v>13337</v>
      </c>
      <c r="G219" s="14" t="n">
        <f aca="false">E219-F219</f>
        <v>9928</v>
      </c>
      <c r="H219" s="15" t="n">
        <f aca="false">F219/E219</f>
        <v>0.573264560498603</v>
      </c>
    </row>
    <row r="220" customFormat="false" ht="15" hidden="false" customHeight="true" outlineLevel="0" collapsed="false">
      <c r="A220" s="13" t="n">
        <v>2026</v>
      </c>
      <c r="B220" s="13" t="s">
        <v>195</v>
      </c>
      <c r="C220" s="13" t="s">
        <v>753</v>
      </c>
      <c r="D220" s="13" t="s">
        <v>192</v>
      </c>
      <c r="E220" s="14" t="n">
        <v>55034</v>
      </c>
      <c r="F220" s="14" t="n">
        <v>38076</v>
      </c>
      <c r="G220" s="14" t="n">
        <f aca="false">E220-F220</f>
        <v>16958</v>
      </c>
      <c r="H220" s="15" t="n">
        <f aca="false">F220/E220</f>
        <v>0.691863211832685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3" width="12"/>
    <col collapsed="false" customWidth="true" hidden="false" outlineLevel="0" max="3" min="3" style="13" width="34"/>
    <col collapsed="false" customWidth="true" hidden="false" outlineLevel="0" max="9" min="4" style="13" width="12"/>
  </cols>
  <sheetData>
    <row r="1" customFormat="false" ht="15" hidden="false" customHeight="true" outlineLevel="0" collapsed="false">
      <c r="A1" s="13" t="s">
        <v>969</v>
      </c>
    </row>
    <row r="2" customFormat="false" ht="15" hidden="false" customHeight="true" outlineLevel="0" collapsed="false">
      <c r="A2" s="13" t="s">
        <v>970</v>
      </c>
    </row>
    <row r="4" customFormat="false" ht="15" hidden="false" customHeight="true" outlineLevel="0" collapsed="false">
      <c r="A4" s="13" t="s">
        <v>3</v>
      </c>
      <c r="B4" s="13" t="s">
        <v>210</v>
      </c>
      <c r="C4" s="13" t="s">
        <v>114</v>
      </c>
      <c r="D4" s="13" t="s">
        <v>965</v>
      </c>
      <c r="E4" s="13" t="s">
        <v>113</v>
      </c>
      <c r="F4" s="13" t="s">
        <v>4</v>
      </c>
      <c r="G4" s="13" t="s">
        <v>5</v>
      </c>
      <c r="H4" s="13" t="s">
        <v>374</v>
      </c>
      <c r="I4" s="13" t="s">
        <v>6</v>
      </c>
    </row>
    <row r="5" customFormat="false" ht="15" hidden="false" customHeight="true" outlineLevel="0" collapsed="false">
      <c r="A5" s="13" t="n">
        <v>2024</v>
      </c>
      <c r="B5" s="13" t="s">
        <v>955</v>
      </c>
      <c r="C5" s="13" t="s">
        <v>967</v>
      </c>
      <c r="D5" s="13" t="s">
        <v>125</v>
      </c>
      <c r="E5" s="13" t="s">
        <v>122</v>
      </c>
      <c r="F5" s="14" t="n">
        <v>6</v>
      </c>
      <c r="G5" s="14" t="n">
        <v>1</v>
      </c>
      <c r="H5" s="14" t="n">
        <f aca="false">F5-G5</f>
        <v>5</v>
      </c>
      <c r="I5" s="15" t="n">
        <f aca="false">IF(F5=0,0,G5/F5)</f>
        <v>0.166666666666667</v>
      </c>
    </row>
    <row r="6" customFormat="false" ht="15" hidden="false" customHeight="true" outlineLevel="0" collapsed="false">
      <c r="A6" s="13" t="n">
        <v>2024</v>
      </c>
      <c r="B6" s="13" t="s">
        <v>955</v>
      </c>
      <c r="C6" s="13" t="s">
        <v>967</v>
      </c>
      <c r="D6" s="13" t="s">
        <v>125</v>
      </c>
      <c r="E6" s="13" t="s">
        <v>124</v>
      </c>
      <c r="F6" s="14" t="n">
        <v>12</v>
      </c>
      <c r="G6" s="14" t="n">
        <v>8</v>
      </c>
      <c r="H6" s="14" t="n">
        <f aca="false">F6-G6</f>
        <v>4</v>
      </c>
      <c r="I6" s="15" t="n">
        <f aca="false">IF(F6=0,0,G6/F6)</f>
        <v>0.666666666666667</v>
      </c>
    </row>
    <row r="7" customFormat="false" ht="15" hidden="false" customHeight="true" outlineLevel="0" collapsed="false">
      <c r="A7" s="13" t="n">
        <v>2024</v>
      </c>
      <c r="B7" s="13" t="s">
        <v>955</v>
      </c>
      <c r="C7" s="13" t="s">
        <v>203</v>
      </c>
      <c r="D7" s="13" t="s">
        <v>125</v>
      </c>
      <c r="E7" s="13" t="s">
        <v>124</v>
      </c>
      <c r="F7" s="14" t="n">
        <v>3</v>
      </c>
      <c r="G7" s="14" t="n">
        <v>1</v>
      </c>
      <c r="H7" s="14" t="n">
        <f aca="false">F7-G7</f>
        <v>2</v>
      </c>
      <c r="I7" s="15" t="n">
        <f aca="false">IF(F7=0,0,G7/F7)</f>
        <v>0.333333333333333</v>
      </c>
    </row>
    <row r="8" customFormat="false" ht="15" hidden="false" customHeight="true" outlineLevel="0" collapsed="false">
      <c r="A8" s="13" t="n">
        <v>2024</v>
      </c>
      <c r="B8" s="13" t="s">
        <v>955</v>
      </c>
      <c r="C8" s="13" t="s">
        <v>203</v>
      </c>
      <c r="D8" s="13" t="s">
        <v>121</v>
      </c>
      <c r="E8" s="13" t="s">
        <v>124</v>
      </c>
      <c r="F8" s="14" t="n">
        <v>6</v>
      </c>
      <c r="G8" s="14" t="n">
        <v>5</v>
      </c>
      <c r="H8" s="14" t="n">
        <f aca="false">F8-G8</f>
        <v>1</v>
      </c>
      <c r="I8" s="15" t="n">
        <f aca="false">IF(F8=0,0,G8/F8)</f>
        <v>0.833333333333333</v>
      </c>
    </row>
    <row r="9" customFormat="false" ht="15" hidden="false" customHeight="true" outlineLevel="0" collapsed="false">
      <c r="A9" s="13" t="n">
        <v>2024</v>
      </c>
      <c r="B9" s="13" t="s">
        <v>955</v>
      </c>
      <c r="C9" s="13" t="s">
        <v>202</v>
      </c>
      <c r="D9" s="13" t="s">
        <v>125</v>
      </c>
      <c r="E9" s="13" t="s">
        <v>122</v>
      </c>
      <c r="F9" s="14" t="n">
        <v>50</v>
      </c>
      <c r="G9" s="14" t="n">
        <v>15</v>
      </c>
      <c r="H9" s="14" t="n">
        <f aca="false">F9-G9</f>
        <v>35</v>
      </c>
      <c r="I9" s="15" t="n">
        <f aca="false">IF(F9=0,0,G9/F9)</f>
        <v>0.3</v>
      </c>
    </row>
    <row r="10" customFormat="false" ht="15" hidden="false" customHeight="true" outlineLevel="0" collapsed="false">
      <c r="A10" s="13" t="n">
        <v>2024</v>
      </c>
      <c r="B10" s="13" t="s">
        <v>955</v>
      </c>
      <c r="C10" s="13" t="s">
        <v>202</v>
      </c>
      <c r="D10" s="13" t="s">
        <v>125</v>
      </c>
      <c r="E10" s="13" t="s">
        <v>124</v>
      </c>
      <c r="F10" s="14" t="n">
        <v>85</v>
      </c>
      <c r="G10" s="14" t="n">
        <v>21</v>
      </c>
      <c r="H10" s="14" t="n">
        <f aca="false">F10-G10</f>
        <v>64</v>
      </c>
      <c r="I10" s="15" t="n">
        <f aca="false">IF(F10=0,0,G10/F10)</f>
        <v>0.247058823529412</v>
      </c>
    </row>
    <row r="11" customFormat="false" ht="15" hidden="false" customHeight="true" outlineLevel="0" collapsed="false">
      <c r="A11" s="13" t="n">
        <v>2024</v>
      </c>
      <c r="B11" s="13" t="s">
        <v>955</v>
      </c>
      <c r="C11" s="13" t="s">
        <v>202</v>
      </c>
      <c r="D11" s="13" t="s">
        <v>121</v>
      </c>
      <c r="E11" s="13" t="s">
        <v>122</v>
      </c>
      <c r="F11" s="14" t="n">
        <v>344</v>
      </c>
      <c r="G11" s="14" t="n">
        <v>247</v>
      </c>
      <c r="H11" s="14" t="n">
        <f aca="false">F11-G11</f>
        <v>97</v>
      </c>
      <c r="I11" s="15" t="n">
        <f aca="false">IF(F11=0,0,G11/F11)</f>
        <v>0.718023255813954</v>
      </c>
    </row>
    <row r="12" customFormat="false" ht="15" hidden="false" customHeight="true" outlineLevel="0" collapsed="false">
      <c r="A12" s="13" t="n">
        <v>2024</v>
      </c>
      <c r="B12" s="13" t="s">
        <v>955</v>
      </c>
      <c r="C12" s="13" t="s">
        <v>202</v>
      </c>
      <c r="D12" s="13" t="s">
        <v>121</v>
      </c>
      <c r="E12" s="13" t="s">
        <v>124</v>
      </c>
      <c r="F12" s="14" t="n">
        <v>529</v>
      </c>
      <c r="G12" s="14" t="n">
        <v>345</v>
      </c>
      <c r="H12" s="14" t="n">
        <f aca="false">F12-G12</f>
        <v>184</v>
      </c>
      <c r="I12" s="15" t="n">
        <f aca="false">IF(F12=0,0,G12/F12)</f>
        <v>0.652173913043478</v>
      </c>
    </row>
    <row r="13" customFormat="false" ht="15" hidden="false" customHeight="true" outlineLevel="0" collapsed="false">
      <c r="A13" s="13" t="n">
        <v>2024</v>
      </c>
      <c r="B13" s="13" t="s">
        <v>955</v>
      </c>
      <c r="C13" s="13" t="s">
        <v>128</v>
      </c>
      <c r="D13" s="13" t="s">
        <v>125</v>
      </c>
      <c r="E13" s="13" t="s">
        <v>122</v>
      </c>
      <c r="F13" s="14" t="n">
        <v>705</v>
      </c>
      <c r="G13" s="14" t="n">
        <v>413</v>
      </c>
      <c r="H13" s="14" t="n">
        <f aca="false">F13-G13</f>
        <v>292</v>
      </c>
      <c r="I13" s="15" t="n">
        <f aca="false">IF(F13=0,0,G13/F13)</f>
        <v>0.585815602836879</v>
      </c>
    </row>
    <row r="14" customFormat="false" ht="15" hidden="false" customHeight="true" outlineLevel="0" collapsed="false">
      <c r="A14" s="13" t="n">
        <v>2024</v>
      </c>
      <c r="B14" s="13" t="s">
        <v>955</v>
      </c>
      <c r="C14" s="13" t="s">
        <v>128</v>
      </c>
      <c r="D14" s="13" t="s">
        <v>125</v>
      </c>
      <c r="E14" s="13" t="s">
        <v>124</v>
      </c>
      <c r="F14" s="14" t="n">
        <v>908</v>
      </c>
      <c r="G14" s="14" t="n">
        <v>253</v>
      </c>
      <c r="H14" s="14" t="n">
        <f aca="false">F14-G14</f>
        <v>655</v>
      </c>
      <c r="I14" s="15" t="n">
        <f aca="false">IF(F14=0,0,G14/F14)</f>
        <v>0.27863436123348</v>
      </c>
    </row>
    <row r="15" customFormat="false" ht="15" hidden="false" customHeight="true" outlineLevel="0" collapsed="false">
      <c r="A15" s="13" t="n">
        <v>2024</v>
      </c>
      <c r="B15" s="13" t="s">
        <v>955</v>
      </c>
      <c r="C15" s="13" t="s">
        <v>128</v>
      </c>
      <c r="D15" s="13" t="s">
        <v>121</v>
      </c>
      <c r="E15" s="13" t="s">
        <v>122</v>
      </c>
      <c r="F15" s="14" t="n">
        <v>1801</v>
      </c>
      <c r="G15" s="14" t="n">
        <v>1318</v>
      </c>
      <c r="H15" s="14" t="n">
        <f aca="false">F15-G15</f>
        <v>483</v>
      </c>
      <c r="I15" s="15" t="n">
        <f aca="false">IF(F15=0,0,G15/F15)</f>
        <v>0.731815657967796</v>
      </c>
    </row>
    <row r="16" customFormat="false" ht="15" hidden="false" customHeight="true" outlineLevel="0" collapsed="false">
      <c r="A16" s="13" t="n">
        <v>2024</v>
      </c>
      <c r="B16" s="13" t="s">
        <v>955</v>
      </c>
      <c r="C16" s="13" t="s">
        <v>128</v>
      </c>
      <c r="D16" s="13" t="s">
        <v>121</v>
      </c>
      <c r="E16" s="13" t="s">
        <v>124</v>
      </c>
      <c r="F16" s="14" t="n">
        <v>1839</v>
      </c>
      <c r="G16" s="14" t="n">
        <v>876</v>
      </c>
      <c r="H16" s="14" t="n">
        <f aca="false">F16-G16</f>
        <v>963</v>
      </c>
      <c r="I16" s="15" t="n">
        <f aca="false">IF(F16=0,0,G16/F16)</f>
        <v>0.476345840130506</v>
      </c>
    </row>
    <row r="17" customFormat="false" ht="15" hidden="false" customHeight="true" outlineLevel="0" collapsed="false">
      <c r="A17" s="13" t="n">
        <v>2024</v>
      </c>
      <c r="B17" s="13" t="s">
        <v>955</v>
      </c>
      <c r="C17" s="13" t="s">
        <v>126</v>
      </c>
      <c r="D17" s="13" t="s">
        <v>125</v>
      </c>
      <c r="E17" s="13" t="s">
        <v>122</v>
      </c>
      <c r="F17" s="14" t="n">
        <v>9</v>
      </c>
      <c r="G17" s="14" t="n">
        <v>7</v>
      </c>
      <c r="H17" s="14" t="n">
        <f aca="false">F17-G17</f>
        <v>2</v>
      </c>
      <c r="I17" s="15" t="n">
        <f aca="false">IF(F17=0,0,G17/F17)</f>
        <v>0.777777777777778</v>
      </c>
    </row>
    <row r="18" customFormat="false" ht="15" hidden="false" customHeight="true" outlineLevel="0" collapsed="false">
      <c r="A18" s="13" t="n">
        <v>2024</v>
      </c>
      <c r="B18" s="13" t="s">
        <v>955</v>
      </c>
      <c r="C18" s="13" t="s">
        <v>126</v>
      </c>
      <c r="D18" s="13" t="s">
        <v>125</v>
      </c>
      <c r="E18" s="13" t="s">
        <v>124</v>
      </c>
      <c r="F18" s="14" t="n">
        <v>26</v>
      </c>
      <c r="G18" s="14" t="n">
        <v>12</v>
      </c>
      <c r="H18" s="14" t="n">
        <f aca="false">F18-G18</f>
        <v>14</v>
      </c>
      <c r="I18" s="15" t="n">
        <f aca="false">IF(F18=0,0,G18/F18)</f>
        <v>0.461538461538462</v>
      </c>
    </row>
    <row r="19" customFormat="false" ht="15" hidden="false" customHeight="true" outlineLevel="0" collapsed="false">
      <c r="A19" s="13" t="n">
        <v>2024</v>
      </c>
      <c r="B19" s="13" t="s">
        <v>955</v>
      </c>
      <c r="C19" s="13" t="s">
        <v>126</v>
      </c>
      <c r="D19" s="13" t="s">
        <v>121</v>
      </c>
      <c r="E19" s="13" t="s">
        <v>122</v>
      </c>
      <c r="F19" s="14" t="n">
        <v>106</v>
      </c>
      <c r="G19" s="14" t="n">
        <v>94</v>
      </c>
      <c r="H19" s="14" t="n">
        <f aca="false">F19-G19</f>
        <v>12</v>
      </c>
      <c r="I19" s="15" t="n">
        <f aca="false">IF(F19=0,0,G19/F19)</f>
        <v>0.886792452830189</v>
      </c>
    </row>
    <row r="20" customFormat="false" ht="15" hidden="false" customHeight="true" outlineLevel="0" collapsed="false">
      <c r="A20" s="13" t="n">
        <v>2024</v>
      </c>
      <c r="B20" s="13" t="s">
        <v>955</v>
      </c>
      <c r="C20" s="13" t="s">
        <v>126</v>
      </c>
      <c r="D20" s="13" t="s">
        <v>121</v>
      </c>
      <c r="E20" s="13" t="s">
        <v>124</v>
      </c>
      <c r="F20" s="14" t="n">
        <v>163</v>
      </c>
      <c r="G20" s="14" t="n">
        <v>139</v>
      </c>
      <c r="H20" s="14" t="n">
        <f aca="false">F20-G20</f>
        <v>24</v>
      </c>
      <c r="I20" s="15" t="n">
        <f aca="false">IF(F20=0,0,G20/F20)</f>
        <v>0.852760736196319</v>
      </c>
    </row>
    <row r="21" customFormat="false" ht="15" hidden="false" customHeight="true" outlineLevel="0" collapsed="false">
      <c r="A21" s="13" t="n">
        <v>2024</v>
      </c>
      <c r="B21" s="13" t="s">
        <v>955</v>
      </c>
      <c r="C21" s="13" t="s">
        <v>123</v>
      </c>
      <c r="D21" s="13" t="s">
        <v>125</v>
      </c>
      <c r="E21" s="13" t="s">
        <v>122</v>
      </c>
      <c r="F21" s="14" t="n">
        <v>238</v>
      </c>
      <c r="G21" s="14" t="n">
        <v>146</v>
      </c>
      <c r="H21" s="14" t="n">
        <f aca="false">F21-G21</f>
        <v>92</v>
      </c>
      <c r="I21" s="15" t="n">
        <f aca="false">IF(F21=0,0,G21/F21)</f>
        <v>0.613445378151261</v>
      </c>
    </row>
    <row r="22" customFormat="false" ht="15" hidden="false" customHeight="true" outlineLevel="0" collapsed="false">
      <c r="A22" s="13" t="n">
        <v>2024</v>
      </c>
      <c r="B22" s="13" t="s">
        <v>955</v>
      </c>
      <c r="C22" s="13" t="s">
        <v>123</v>
      </c>
      <c r="D22" s="13" t="s">
        <v>125</v>
      </c>
      <c r="E22" s="13" t="s">
        <v>124</v>
      </c>
      <c r="F22" s="14" t="n">
        <v>187</v>
      </c>
      <c r="G22" s="14" t="n">
        <v>120</v>
      </c>
      <c r="H22" s="14" t="n">
        <f aca="false">F22-G22</f>
        <v>67</v>
      </c>
      <c r="I22" s="15" t="n">
        <f aca="false">IF(F22=0,0,G22/F22)</f>
        <v>0.641711229946524</v>
      </c>
    </row>
    <row r="23" customFormat="false" ht="15" hidden="false" customHeight="true" outlineLevel="0" collapsed="false">
      <c r="A23" s="13" t="n">
        <v>2024</v>
      </c>
      <c r="B23" s="13" t="s">
        <v>955</v>
      </c>
      <c r="C23" s="13" t="s">
        <v>123</v>
      </c>
      <c r="D23" s="13" t="s">
        <v>121</v>
      </c>
      <c r="E23" s="13" t="s">
        <v>122</v>
      </c>
      <c r="F23" s="14" t="n">
        <v>1318</v>
      </c>
      <c r="G23" s="14" t="n">
        <v>1179</v>
      </c>
      <c r="H23" s="14" t="n">
        <f aca="false">F23-G23</f>
        <v>139</v>
      </c>
      <c r="I23" s="15" t="n">
        <f aca="false">IF(F23=0,0,G23/F23)</f>
        <v>0.89453717754173</v>
      </c>
    </row>
    <row r="24" customFormat="false" ht="15" hidden="false" customHeight="true" outlineLevel="0" collapsed="false">
      <c r="A24" s="13" t="n">
        <v>2024</v>
      </c>
      <c r="B24" s="13" t="s">
        <v>955</v>
      </c>
      <c r="C24" s="13" t="s">
        <v>123</v>
      </c>
      <c r="D24" s="13" t="s">
        <v>121</v>
      </c>
      <c r="E24" s="13" t="s">
        <v>124</v>
      </c>
      <c r="F24" s="14" t="n">
        <v>846</v>
      </c>
      <c r="G24" s="14" t="n">
        <v>725</v>
      </c>
      <c r="H24" s="14" t="n">
        <f aca="false">F24-G24</f>
        <v>121</v>
      </c>
      <c r="I24" s="15" t="n">
        <f aca="false">IF(F24=0,0,G24/F24)</f>
        <v>0.856973995271868</v>
      </c>
    </row>
    <row r="25" customFormat="false" ht="15" hidden="false" customHeight="true" outlineLevel="0" collapsed="false">
      <c r="A25" s="13" t="n">
        <v>2024</v>
      </c>
      <c r="B25" s="13" t="s">
        <v>955</v>
      </c>
      <c r="C25" s="13" t="s">
        <v>968</v>
      </c>
      <c r="D25" s="13" t="s">
        <v>125</v>
      </c>
      <c r="E25" s="13" t="s">
        <v>122</v>
      </c>
      <c r="F25" s="14" t="n">
        <v>1</v>
      </c>
      <c r="G25" s="14" t="n">
        <v>0</v>
      </c>
      <c r="H25" s="14" t="n">
        <f aca="false">F25-G25</f>
        <v>1</v>
      </c>
      <c r="I25" s="15" t="n">
        <f aca="false">IF(F25=0,0,G25/F25)</f>
        <v>0</v>
      </c>
    </row>
    <row r="26" customFormat="false" ht="15" hidden="false" customHeight="true" outlineLevel="0" collapsed="false">
      <c r="A26" s="13" t="n">
        <v>2024</v>
      </c>
      <c r="B26" s="13" t="s">
        <v>958</v>
      </c>
      <c r="C26" s="13" t="s">
        <v>966</v>
      </c>
      <c r="D26" s="13" t="s">
        <v>125</v>
      </c>
      <c r="E26" s="13" t="s">
        <v>124</v>
      </c>
      <c r="F26" s="14" t="n">
        <v>3</v>
      </c>
      <c r="G26" s="14" t="n">
        <v>1</v>
      </c>
      <c r="H26" s="14" t="n">
        <f aca="false">F26-G26</f>
        <v>2</v>
      </c>
      <c r="I26" s="15" t="n">
        <f aca="false">IF(F26=0,0,G26/F26)</f>
        <v>0.333333333333333</v>
      </c>
    </row>
    <row r="27" customFormat="false" ht="15" hidden="false" customHeight="true" outlineLevel="0" collapsed="false">
      <c r="A27" s="13" t="n">
        <v>2024</v>
      </c>
      <c r="B27" s="13" t="s">
        <v>958</v>
      </c>
      <c r="C27" s="13" t="s">
        <v>967</v>
      </c>
      <c r="D27" s="13" t="s">
        <v>125</v>
      </c>
      <c r="E27" s="13" t="s">
        <v>122</v>
      </c>
      <c r="F27" s="14" t="n">
        <v>8</v>
      </c>
      <c r="G27" s="14" t="n">
        <v>7</v>
      </c>
      <c r="H27" s="14" t="n">
        <f aca="false">F27-G27</f>
        <v>1</v>
      </c>
      <c r="I27" s="15" t="n">
        <f aca="false">IF(F27=0,0,G27/F27)</f>
        <v>0.875</v>
      </c>
    </row>
    <row r="28" customFormat="false" ht="15" hidden="false" customHeight="true" outlineLevel="0" collapsed="false">
      <c r="A28" s="13" t="n">
        <v>2024</v>
      </c>
      <c r="B28" s="13" t="s">
        <v>958</v>
      </c>
      <c r="C28" s="13" t="s">
        <v>967</v>
      </c>
      <c r="D28" s="13" t="s">
        <v>125</v>
      </c>
      <c r="E28" s="13" t="s">
        <v>124</v>
      </c>
      <c r="F28" s="14" t="n">
        <v>15</v>
      </c>
      <c r="G28" s="14" t="n">
        <v>8</v>
      </c>
      <c r="H28" s="14" t="n">
        <f aca="false">F28-G28</f>
        <v>7</v>
      </c>
      <c r="I28" s="15" t="n">
        <f aca="false">IF(F28=0,0,G28/F28)</f>
        <v>0.533333333333333</v>
      </c>
    </row>
    <row r="29" customFormat="false" ht="15" hidden="false" customHeight="true" outlineLevel="0" collapsed="false">
      <c r="A29" s="13" t="n">
        <v>2024</v>
      </c>
      <c r="B29" s="13" t="s">
        <v>958</v>
      </c>
      <c r="C29" s="13" t="s">
        <v>203</v>
      </c>
      <c r="D29" s="13" t="s">
        <v>125</v>
      </c>
      <c r="E29" s="13" t="s">
        <v>122</v>
      </c>
      <c r="F29" s="14" t="n">
        <v>1</v>
      </c>
      <c r="G29" s="14" t="n">
        <v>0</v>
      </c>
      <c r="H29" s="14" t="n">
        <f aca="false">F29-G29</f>
        <v>1</v>
      </c>
      <c r="I29" s="15" t="n">
        <f aca="false">IF(F29=0,0,G29/F29)</f>
        <v>0</v>
      </c>
    </row>
    <row r="30" customFormat="false" ht="15" hidden="false" customHeight="true" outlineLevel="0" collapsed="false">
      <c r="A30" s="13" t="n">
        <v>2024</v>
      </c>
      <c r="B30" s="13" t="s">
        <v>958</v>
      </c>
      <c r="C30" s="13" t="s">
        <v>203</v>
      </c>
      <c r="D30" s="13" t="s">
        <v>125</v>
      </c>
      <c r="E30" s="13" t="s">
        <v>124</v>
      </c>
      <c r="F30" s="14" t="n">
        <v>6</v>
      </c>
      <c r="G30" s="14" t="n">
        <v>2</v>
      </c>
      <c r="H30" s="14" t="n">
        <f aca="false">F30-G30</f>
        <v>4</v>
      </c>
      <c r="I30" s="15" t="n">
        <f aca="false">IF(F30=0,0,G30/F30)</f>
        <v>0.333333333333333</v>
      </c>
    </row>
    <row r="31" customFormat="false" ht="15" hidden="false" customHeight="true" outlineLevel="0" collapsed="false">
      <c r="A31" s="13" t="n">
        <v>2024</v>
      </c>
      <c r="B31" s="13" t="s">
        <v>958</v>
      </c>
      <c r="C31" s="13" t="s">
        <v>203</v>
      </c>
      <c r="D31" s="13" t="s">
        <v>121</v>
      </c>
      <c r="E31" s="13" t="s">
        <v>124</v>
      </c>
      <c r="F31" s="14" t="n">
        <v>4</v>
      </c>
      <c r="G31" s="14" t="n">
        <v>1</v>
      </c>
      <c r="H31" s="14" t="n">
        <f aca="false">F31-G31</f>
        <v>3</v>
      </c>
      <c r="I31" s="15" t="n">
        <f aca="false">IF(F31=0,0,G31/F31)</f>
        <v>0.25</v>
      </c>
    </row>
    <row r="32" customFormat="false" ht="15" hidden="false" customHeight="true" outlineLevel="0" collapsed="false">
      <c r="A32" s="13" t="n">
        <v>2024</v>
      </c>
      <c r="B32" s="13" t="s">
        <v>958</v>
      </c>
      <c r="C32" s="13" t="s">
        <v>202</v>
      </c>
      <c r="D32" s="13" t="s">
        <v>125</v>
      </c>
      <c r="E32" s="13" t="s">
        <v>122</v>
      </c>
      <c r="F32" s="14" t="n">
        <v>76</v>
      </c>
      <c r="G32" s="14" t="n">
        <v>26</v>
      </c>
      <c r="H32" s="14" t="n">
        <f aca="false">F32-G32</f>
        <v>50</v>
      </c>
      <c r="I32" s="15" t="n">
        <f aca="false">IF(F32=0,0,G32/F32)</f>
        <v>0.342105263157895</v>
      </c>
    </row>
    <row r="33" customFormat="false" ht="15" hidden="false" customHeight="true" outlineLevel="0" collapsed="false">
      <c r="A33" s="13" t="n">
        <v>2024</v>
      </c>
      <c r="B33" s="13" t="s">
        <v>958</v>
      </c>
      <c r="C33" s="13" t="s">
        <v>202</v>
      </c>
      <c r="D33" s="13" t="s">
        <v>125</v>
      </c>
      <c r="E33" s="13" t="s">
        <v>124</v>
      </c>
      <c r="F33" s="14" t="n">
        <v>114</v>
      </c>
      <c r="G33" s="14" t="n">
        <v>40</v>
      </c>
      <c r="H33" s="14" t="n">
        <f aca="false">F33-G33</f>
        <v>74</v>
      </c>
      <c r="I33" s="15" t="n">
        <f aca="false">IF(F33=0,0,G33/F33)</f>
        <v>0.350877192982456</v>
      </c>
    </row>
    <row r="34" customFormat="false" ht="15" hidden="false" customHeight="true" outlineLevel="0" collapsed="false">
      <c r="A34" s="13" t="n">
        <v>2024</v>
      </c>
      <c r="B34" s="13" t="s">
        <v>958</v>
      </c>
      <c r="C34" s="13" t="s">
        <v>202</v>
      </c>
      <c r="D34" s="13" t="s">
        <v>121</v>
      </c>
      <c r="E34" s="13" t="s">
        <v>122</v>
      </c>
      <c r="F34" s="14" t="n">
        <v>740</v>
      </c>
      <c r="G34" s="14" t="n">
        <v>513</v>
      </c>
      <c r="H34" s="14" t="n">
        <f aca="false">F34-G34</f>
        <v>227</v>
      </c>
      <c r="I34" s="15" t="n">
        <f aca="false">IF(F34=0,0,G34/F34)</f>
        <v>0.693243243243243</v>
      </c>
    </row>
    <row r="35" customFormat="false" ht="15" hidden="false" customHeight="true" outlineLevel="0" collapsed="false">
      <c r="A35" s="13" t="n">
        <v>2024</v>
      </c>
      <c r="B35" s="13" t="s">
        <v>958</v>
      </c>
      <c r="C35" s="13" t="s">
        <v>202</v>
      </c>
      <c r="D35" s="13" t="s">
        <v>121</v>
      </c>
      <c r="E35" s="13" t="s">
        <v>124</v>
      </c>
      <c r="F35" s="14" t="n">
        <v>782</v>
      </c>
      <c r="G35" s="14" t="n">
        <v>476</v>
      </c>
      <c r="H35" s="14" t="n">
        <f aca="false">F35-G35</f>
        <v>306</v>
      </c>
      <c r="I35" s="15" t="n">
        <f aca="false">IF(F35=0,0,G35/F35)</f>
        <v>0.608695652173913</v>
      </c>
    </row>
    <row r="36" customFormat="false" ht="15" hidden="false" customHeight="true" outlineLevel="0" collapsed="false">
      <c r="A36" s="13" t="n">
        <v>2024</v>
      </c>
      <c r="B36" s="13" t="s">
        <v>958</v>
      </c>
      <c r="C36" s="13" t="s">
        <v>128</v>
      </c>
      <c r="D36" s="13" t="s">
        <v>125</v>
      </c>
      <c r="E36" s="13" t="s">
        <v>122</v>
      </c>
      <c r="F36" s="14" t="n">
        <v>750</v>
      </c>
      <c r="G36" s="14" t="n">
        <v>442</v>
      </c>
      <c r="H36" s="14" t="n">
        <f aca="false">F36-G36</f>
        <v>308</v>
      </c>
      <c r="I36" s="15" t="n">
        <f aca="false">IF(F36=0,0,G36/F36)</f>
        <v>0.589333333333333</v>
      </c>
    </row>
    <row r="37" customFormat="false" ht="15" hidden="false" customHeight="true" outlineLevel="0" collapsed="false">
      <c r="A37" s="13" t="n">
        <v>2024</v>
      </c>
      <c r="B37" s="13" t="s">
        <v>958</v>
      </c>
      <c r="C37" s="13" t="s">
        <v>128</v>
      </c>
      <c r="D37" s="13" t="s">
        <v>125</v>
      </c>
      <c r="E37" s="13" t="s">
        <v>124</v>
      </c>
      <c r="F37" s="14" t="n">
        <v>668</v>
      </c>
      <c r="G37" s="14" t="n">
        <v>239</v>
      </c>
      <c r="H37" s="14" t="n">
        <f aca="false">F37-G37</f>
        <v>429</v>
      </c>
      <c r="I37" s="15" t="n">
        <f aca="false">IF(F37=0,0,G37/F37)</f>
        <v>0.357784431137725</v>
      </c>
    </row>
    <row r="38" customFormat="false" ht="15" hidden="false" customHeight="true" outlineLevel="0" collapsed="false">
      <c r="A38" s="13" t="n">
        <v>2024</v>
      </c>
      <c r="B38" s="13" t="s">
        <v>958</v>
      </c>
      <c r="C38" s="13" t="s">
        <v>128</v>
      </c>
      <c r="D38" s="13" t="s">
        <v>121</v>
      </c>
      <c r="E38" s="13" t="s">
        <v>122</v>
      </c>
      <c r="F38" s="14" t="n">
        <v>1347</v>
      </c>
      <c r="G38" s="14" t="n">
        <v>1006</v>
      </c>
      <c r="H38" s="14" t="n">
        <f aca="false">F38-G38</f>
        <v>341</v>
      </c>
      <c r="I38" s="15" t="n">
        <f aca="false">IF(F38=0,0,G38/F38)</f>
        <v>0.746844840386043</v>
      </c>
    </row>
    <row r="39" customFormat="false" ht="15" hidden="false" customHeight="true" outlineLevel="0" collapsed="false">
      <c r="A39" s="13" t="n">
        <v>2024</v>
      </c>
      <c r="B39" s="13" t="s">
        <v>958</v>
      </c>
      <c r="C39" s="13" t="s">
        <v>128</v>
      </c>
      <c r="D39" s="13" t="s">
        <v>121</v>
      </c>
      <c r="E39" s="13" t="s">
        <v>124</v>
      </c>
      <c r="F39" s="14" t="n">
        <v>1090</v>
      </c>
      <c r="G39" s="14" t="n">
        <v>640</v>
      </c>
      <c r="H39" s="14" t="n">
        <f aca="false">F39-G39</f>
        <v>450</v>
      </c>
      <c r="I39" s="15" t="n">
        <f aca="false">IF(F39=0,0,G39/F39)</f>
        <v>0.587155963302752</v>
      </c>
    </row>
    <row r="40" customFormat="false" ht="15" hidden="false" customHeight="true" outlineLevel="0" collapsed="false">
      <c r="A40" s="13" t="n">
        <v>2024</v>
      </c>
      <c r="B40" s="13" t="s">
        <v>958</v>
      </c>
      <c r="C40" s="13" t="s">
        <v>126</v>
      </c>
      <c r="D40" s="13" t="s">
        <v>125</v>
      </c>
      <c r="E40" s="13" t="s">
        <v>122</v>
      </c>
      <c r="F40" s="14" t="n">
        <v>20</v>
      </c>
      <c r="G40" s="14" t="n">
        <v>9</v>
      </c>
      <c r="H40" s="14" t="n">
        <f aca="false">F40-G40</f>
        <v>11</v>
      </c>
      <c r="I40" s="15" t="n">
        <f aca="false">IF(F40=0,0,G40/F40)</f>
        <v>0.45</v>
      </c>
    </row>
    <row r="41" customFormat="false" ht="15" hidden="false" customHeight="true" outlineLevel="0" collapsed="false">
      <c r="A41" s="13" t="n">
        <v>2024</v>
      </c>
      <c r="B41" s="13" t="s">
        <v>958</v>
      </c>
      <c r="C41" s="13" t="s">
        <v>126</v>
      </c>
      <c r="D41" s="13" t="s">
        <v>125</v>
      </c>
      <c r="E41" s="13" t="s">
        <v>124</v>
      </c>
      <c r="F41" s="14" t="n">
        <v>56</v>
      </c>
      <c r="G41" s="14" t="n">
        <v>24</v>
      </c>
      <c r="H41" s="14" t="n">
        <f aca="false">F41-G41</f>
        <v>32</v>
      </c>
      <c r="I41" s="15" t="n">
        <f aca="false">IF(F41=0,0,G41/F41)</f>
        <v>0.428571428571429</v>
      </c>
    </row>
    <row r="42" customFormat="false" ht="15" hidden="false" customHeight="true" outlineLevel="0" collapsed="false">
      <c r="A42" s="13" t="n">
        <v>2024</v>
      </c>
      <c r="B42" s="13" t="s">
        <v>958</v>
      </c>
      <c r="C42" s="13" t="s">
        <v>126</v>
      </c>
      <c r="D42" s="13" t="s">
        <v>121</v>
      </c>
      <c r="E42" s="13" t="s">
        <v>122</v>
      </c>
      <c r="F42" s="14" t="n">
        <v>186</v>
      </c>
      <c r="G42" s="14" t="n">
        <v>175</v>
      </c>
      <c r="H42" s="14" t="n">
        <f aca="false">F42-G42</f>
        <v>11</v>
      </c>
      <c r="I42" s="15" t="n">
        <f aca="false">IF(F42=0,0,G42/F42)</f>
        <v>0.940860215053764</v>
      </c>
    </row>
    <row r="43" customFormat="false" ht="15" hidden="false" customHeight="true" outlineLevel="0" collapsed="false">
      <c r="A43" s="13" t="n">
        <v>2024</v>
      </c>
      <c r="B43" s="13" t="s">
        <v>958</v>
      </c>
      <c r="C43" s="13" t="s">
        <v>126</v>
      </c>
      <c r="D43" s="13" t="s">
        <v>121</v>
      </c>
      <c r="E43" s="13" t="s">
        <v>124</v>
      </c>
      <c r="F43" s="14" t="n">
        <v>363</v>
      </c>
      <c r="G43" s="14" t="n">
        <v>294</v>
      </c>
      <c r="H43" s="14" t="n">
        <f aca="false">F43-G43</f>
        <v>69</v>
      </c>
      <c r="I43" s="15" t="n">
        <f aca="false">IF(F43=0,0,G43/F43)</f>
        <v>0.809917355371901</v>
      </c>
    </row>
    <row r="44" customFormat="false" ht="15" hidden="false" customHeight="true" outlineLevel="0" collapsed="false">
      <c r="A44" s="13" t="n">
        <v>2024</v>
      </c>
      <c r="B44" s="13" t="s">
        <v>958</v>
      </c>
      <c r="C44" s="13" t="s">
        <v>123</v>
      </c>
      <c r="D44" s="13" t="s">
        <v>125</v>
      </c>
      <c r="E44" s="13" t="s">
        <v>122</v>
      </c>
      <c r="F44" s="14" t="n">
        <v>180</v>
      </c>
      <c r="G44" s="14" t="n">
        <v>118</v>
      </c>
      <c r="H44" s="14" t="n">
        <f aca="false">F44-G44</f>
        <v>62</v>
      </c>
      <c r="I44" s="15" t="n">
        <f aca="false">IF(F44=0,0,G44/F44)</f>
        <v>0.655555555555556</v>
      </c>
    </row>
    <row r="45" customFormat="false" ht="15" hidden="false" customHeight="true" outlineLevel="0" collapsed="false">
      <c r="A45" s="13" t="n">
        <v>2024</v>
      </c>
      <c r="B45" s="13" t="s">
        <v>958</v>
      </c>
      <c r="C45" s="13" t="s">
        <v>123</v>
      </c>
      <c r="D45" s="13" t="s">
        <v>125</v>
      </c>
      <c r="E45" s="13" t="s">
        <v>124</v>
      </c>
      <c r="F45" s="14" t="n">
        <v>85</v>
      </c>
      <c r="G45" s="14" t="n">
        <v>57</v>
      </c>
      <c r="H45" s="14" t="n">
        <f aca="false">F45-G45</f>
        <v>28</v>
      </c>
      <c r="I45" s="15" t="n">
        <f aca="false">IF(F45=0,0,G45/F45)</f>
        <v>0.670588235294118</v>
      </c>
    </row>
    <row r="46" customFormat="false" ht="15" hidden="false" customHeight="true" outlineLevel="0" collapsed="false">
      <c r="A46" s="13" t="n">
        <v>2024</v>
      </c>
      <c r="B46" s="13" t="s">
        <v>958</v>
      </c>
      <c r="C46" s="13" t="s">
        <v>123</v>
      </c>
      <c r="D46" s="13" t="s">
        <v>121</v>
      </c>
      <c r="E46" s="13" t="s">
        <v>122</v>
      </c>
      <c r="F46" s="14" t="n">
        <v>1139</v>
      </c>
      <c r="G46" s="14" t="n">
        <v>1016</v>
      </c>
      <c r="H46" s="14" t="n">
        <f aca="false">F46-G46</f>
        <v>123</v>
      </c>
      <c r="I46" s="15" t="n">
        <f aca="false">IF(F46=0,0,G46/F46)</f>
        <v>0.892010535557507</v>
      </c>
    </row>
    <row r="47" customFormat="false" ht="15" hidden="false" customHeight="true" outlineLevel="0" collapsed="false">
      <c r="A47" s="13" t="n">
        <v>2024</v>
      </c>
      <c r="B47" s="13" t="s">
        <v>958</v>
      </c>
      <c r="C47" s="13" t="s">
        <v>123</v>
      </c>
      <c r="D47" s="13" t="s">
        <v>121</v>
      </c>
      <c r="E47" s="13" t="s">
        <v>124</v>
      </c>
      <c r="F47" s="14" t="n">
        <v>491</v>
      </c>
      <c r="G47" s="14" t="n">
        <v>405</v>
      </c>
      <c r="H47" s="14" t="n">
        <f aca="false">F47-G47</f>
        <v>86</v>
      </c>
      <c r="I47" s="15" t="n">
        <f aca="false">IF(F47=0,0,G47/F47)</f>
        <v>0.824847250509165</v>
      </c>
    </row>
    <row r="48" customFormat="false" ht="15" hidden="false" customHeight="true" outlineLevel="0" collapsed="false">
      <c r="A48" s="13" t="n">
        <v>2024</v>
      </c>
      <c r="B48" s="13" t="s">
        <v>959</v>
      </c>
      <c r="C48" s="13" t="s">
        <v>966</v>
      </c>
      <c r="D48" s="13" t="s">
        <v>125</v>
      </c>
      <c r="E48" s="13" t="s">
        <v>124</v>
      </c>
      <c r="F48" s="14" t="n">
        <v>1</v>
      </c>
      <c r="G48" s="14" t="n">
        <v>0</v>
      </c>
      <c r="H48" s="14" t="n">
        <f aca="false">F48-G48</f>
        <v>1</v>
      </c>
      <c r="I48" s="15" t="n">
        <f aca="false">IF(F48=0,0,G48/F48)</f>
        <v>0</v>
      </c>
    </row>
    <row r="49" customFormat="false" ht="15" hidden="false" customHeight="true" outlineLevel="0" collapsed="false">
      <c r="A49" s="13" t="n">
        <v>2024</v>
      </c>
      <c r="B49" s="13" t="s">
        <v>959</v>
      </c>
      <c r="C49" s="13" t="s">
        <v>967</v>
      </c>
      <c r="D49" s="13" t="s">
        <v>125</v>
      </c>
      <c r="E49" s="13" t="s">
        <v>122</v>
      </c>
      <c r="F49" s="14" t="n">
        <v>14</v>
      </c>
      <c r="G49" s="14" t="n">
        <v>10</v>
      </c>
      <c r="H49" s="14" t="n">
        <f aca="false">F49-G49</f>
        <v>4</v>
      </c>
      <c r="I49" s="15" t="n">
        <f aca="false">IF(F49=0,0,G49/F49)</f>
        <v>0.714285714285714</v>
      </c>
    </row>
    <row r="50" customFormat="false" ht="15" hidden="false" customHeight="true" outlineLevel="0" collapsed="false">
      <c r="A50" s="13" t="n">
        <v>2024</v>
      </c>
      <c r="B50" s="13" t="s">
        <v>959</v>
      </c>
      <c r="C50" s="13" t="s">
        <v>967</v>
      </c>
      <c r="D50" s="13" t="s">
        <v>125</v>
      </c>
      <c r="E50" s="13" t="s">
        <v>124</v>
      </c>
      <c r="F50" s="14" t="n">
        <v>12</v>
      </c>
      <c r="G50" s="14" t="n">
        <v>7</v>
      </c>
      <c r="H50" s="14" t="n">
        <f aca="false">F50-G50</f>
        <v>5</v>
      </c>
      <c r="I50" s="15" t="n">
        <f aca="false">IF(F50=0,0,G50/F50)</f>
        <v>0.583333333333333</v>
      </c>
    </row>
    <row r="51" customFormat="false" ht="15" hidden="false" customHeight="true" outlineLevel="0" collapsed="false">
      <c r="A51" s="13" t="n">
        <v>2024</v>
      </c>
      <c r="B51" s="13" t="s">
        <v>959</v>
      </c>
      <c r="C51" s="13" t="s">
        <v>203</v>
      </c>
      <c r="D51" s="13" t="s">
        <v>125</v>
      </c>
      <c r="E51" s="13" t="s">
        <v>124</v>
      </c>
      <c r="F51" s="14" t="n">
        <v>10</v>
      </c>
      <c r="G51" s="14" t="n">
        <v>5</v>
      </c>
      <c r="H51" s="14" t="n">
        <f aca="false">F51-G51</f>
        <v>5</v>
      </c>
      <c r="I51" s="15" t="n">
        <f aca="false">IF(F51=0,0,G51/F51)</f>
        <v>0.5</v>
      </c>
    </row>
    <row r="52" customFormat="false" ht="15" hidden="false" customHeight="true" outlineLevel="0" collapsed="false">
      <c r="A52" s="13" t="n">
        <v>2024</v>
      </c>
      <c r="B52" s="13" t="s">
        <v>959</v>
      </c>
      <c r="C52" s="13" t="s">
        <v>203</v>
      </c>
      <c r="D52" s="13" t="s">
        <v>121</v>
      </c>
      <c r="E52" s="13" t="s">
        <v>122</v>
      </c>
      <c r="F52" s="14" t="n">
        <v>17</v>
      </c>
      <c r="G52" s="14" t="n">
        <v>13</v>
      </c>
      <c r="H52" s="14" t="n">
        <f aca="false">F52-G52</f>
        <v>4</v>
      </c>
      <c r="I52" s="15" t="n">
        <f aca="false">IF(F52=0,0,G52/F52)</f>
        <v>0.764705882352941</v>
      </c>
    </row>
    <row r="53" customFormat="false" ht="15" hidden="false" customHeight="true" outlineLevel="0" collapsed="false">
      <c r="A53" s="13" t="n">
        <v>2024</v>
      </c>
      <c r="B53" s="13" t="s">
        <v>959</v>
      </c>
      <c r="C53" s="13" t="s">
        <v>203</v>
      </c>
      <c r="D53" s="13" t="s">
        <v>121</v>
      </c>
      <c r="E53" s="13" t="s">
        <v>124</v>
      </c>
      <c r="F53" s="14" t="n">
        <v>26</v>
      </c>
      <c r="G53" s="14" t="n">
        <v>20</v>
      </c>
      <c r="H53" s="14" t="n">
        <f aca="false">F53-G53</f>
        <v>6</v>
      </c>
      <c r="I53" s="15" t="n">
        <f aca="false">IF(F53=0,0,G53/F53)</f>
        <v>0.769230769230769</v>
      </c>
    </row>
    <row r="54" customFormat="false" ht="15" hidden="false" customHeight="true" outlineLevel="0" collapsed="false">
      <c r="A54" s="13" t="n">
        <v>2024</v>
      </c>
      <c r="B54" s="13" t="s">
        <v>959</v>
      </c>
      <c r="C54" s="13" t="s">
        <v>202</v>
      </c>
      <c r="D54" s="13" t="s">
        <v>125</v>
      </c>
      <c r="E54" s="13" t="s">
        <v>122</v>
      </c>
      <c r="F54" s="14" t="n">
        <v>55</v>
      </c>
      <c r="G54" s="14" t="n">
        <v>17</v>
      </c>
      <c r="H54" s="14" t="n">
        <f aca="false">F54-G54</f>
        <v>38</v>
      </c>
      <c r="I54" s="15" t="n">
        <f aca="false">IF(F54=0,0,G54/F54)</f>
        <v>0.309090909090909</v>
      </c>
    </row>
    <row r="55" customFormat="false" ht="15" hidden="false" customHeight="true" outlineLevel="0" collapsed="false">
      <c r="A55" s="13" t="n">
        <v>2024</v>
      </c>
      <c r="B55" s="13" t="s">
        <v>959</v>
      </c>
      <c r="C55" s="13" t="s">
        <v>202</v>
      </c>
      <c r="D55" s="13" t="s">
        <v>125</v>
      </c>
      <c r="E55" s="13" t="s">
        <v>124</v>
      </c>
      <c r="F55" s="14" t="n">
        <v>181</v>
      </c>
      <c r="G55" s="14" t="n">
        <v>47</v>
      </c>
      <c r="H55" s="14" t="n">
        <f aca="false">F55-G55</f>
        <v>134</v>
      </c>
      <c r="I55" s="15" t="n">
        <f aca="false">IF(F55=0,0,G55/F55)</f>
        <v>0.259668508287293</v>
      </c>
    </row>
    <row r="56" customFormat="false" ht="15" hidden="false" customHeight="true" outlineLevel="0" collapsed="false">
      <c r="A56" s="13" t="n">
        <v>2024</v>
      </c>
      <c r="B56" s="13" t="s">
        <v>959</v>
      </c>
      <c r="C56" s="13" t="s">
        <v>202</v>
      </c>
      <c r="D56" s="13" t="s">
        <v>121</v>
      </c>
      <c r="E56" s="13" t="s">
        <v>122</v>
      </c>
      <c r="F56" s="14" t="n">
        <v>547</v>
      </c>
      <c r="G56" s="14" t="n">
        <v>376</v>
      </c>
      <c r="H56" s="14" t="n">
        <f aca="false">F56-G56</f>
        <v>171</v>
      </c>
      <c r="I56" s="15" t="n">
        <f aca="false">IF(F56=0,0,G56/F56)</f>
        <v>0.687385740402194</v>
      </c>
    </row>
    <row r="57" customFormat="false" ht="15" hidden="false" customHeight="true" outlineLevel="0" collapsed="false">
      <c r="A57" s="13" t="n">
        <v>2024</v>
      </c>
      <c r="B57" s="13" t="s">
        <v>959</v>
      </c>
      <c r="C57" s="13" t="s">
        <v>202</v>
      </c>
      <c r="D57" s="13" t="s">
        <v>121</v>
      </c>
      <c r="E57" s="13" t="s">
        <v>124</v>
      </c>
      <c r="F57" s="14" t="n">
        <v>799</v>
      </c>
      <c r="G57" s="14" t="n">
        <v>460</v>
      </c>
      <c r="H57" s="14" t="n">
        <f aca="false">F57-G57</f>
        <v>339</v>
      </c>
      <c r="I57" s="15" t="n">
        <f aca="false">IF(F57=0,0,G57/F57)</f>
        <v>0.575719649561952</v>
      </c>
    </row>
    <row r="58" customFormat="false" ht="15" hidden="false" customHeight="true" outlineLevel="0" collapsed="false">
      <c r="A58" s="13" t="n">
        <v>2024</v>
      </c>
      <c r="B58" s="13" t="s">
        <v>959</v>
      </c>
      <c r="C58" s="13" t="s">
        <v>128</v>
      </c>
      <c r="D58" s="13" t="s">
        <v>125</v>
      </c>
      <c r="E58" s="13" t="s">
        <v>122</v>
      </c>
      <c r="F58" s="14" t="n">
        <v>490</v>
      </c>
      <c r="G58" s="14" t="n">
        <v>246</v>
      </c>
      <c r="H58" s="14" t="n">
        <f aca="false">F58-G58</f>
        <v>244</v>
      </c>
      <c r="I58" s="15" t="n">
        <f aca="false">IF(F58=0,0,G58/F58)</f>
        <v>0.502040816326531</v>
      </c>
    </row>
    <row r="59" customFormat="false" ht="15" hidden="false" customHeight="true" outlineLevel="0" collapsed="false">
      <c r="A59" s="13" t="n">
        <v>2024</v>
      </c>
      <c r="B59" s="13" t="s">
        <v>959</v>
      </c>
      <c r="C59" s="13" t="s">
        <v>128</v>
      </c>
      <c r="D59" s="13" t="s">
        <v>125</v>
      </c>
      <c r="E59" s="13" t="s">
        <v>124</v>
      </c>
      <c r="F59" s="14" t="n">
        <v>731</v>
      </c>
      <c r="G59" s="14" t="n">
        <v>211</v>
      </c>
      <c r="H59" s="14" t="n">
        <f aca="false">F59-G59</f>
        <v>520</v>
      </c>
      <c r="I59" s="15" t="n">
        <f aca="false">IF(F59=0,0,G59/F59)</f>
        <v>0.288645690834473</v>
      </c>
    </row>
    <row r="60" customFormat="false" ht="15" hidden="false" customHeight="true" outlineLevel="0" collapsed="false">
      <c r="A60" s="13" t="n">
        <v>2024</v>
      </c>
      <c r="B60" s="13" t="s">
        <v>959</v>
      </c>
      <c r="C60" s="13" t="s">
        <v>128</v>
      </c>
      <c r="D60" s="13" t="s">
        <v>121</v>
      </c>
      <c r="E60" s="13" t="s">
        <v>122</v>
      </c>
      <c r="F60" s="14" t="n">
        <v>1610</v>
      </c>
      <c r="G60" s="14" t="n">
        <v>1189</v>
      </c>
      <c r="H60" s="14" t="n">
        <f aca="false">F60-G60</f>
        <v>421</v>
      </c>
      <c r="I60" s="15" t="n">
        <f aca="false">IF(F60=0,0,G60/F60)</f>
        <v>0.738509316770186</v>
      </c>
    </row>
    <row r="61" customFormat="false" ht="15" hidden="false" customHeight="true" outlineLevel="0" collapsed="false">
      <c r="A61" s="13" t="n">
        <v>2024</v>
      </c>
      <c r="B61" s="13" t="s">
        <v>959</v>
      </c>
      <c r="C61" s="13" t="s">
        <v>128</v>
      </c>
      <c r="D61" s="13" t="s">
        <v>121</v>
      </c>
      <c r="E61" s="13" t="s">
        <v>124</v>
      </c>
      <c r="F61" s="14" t="n">
        <v>1081</v>
      </c>
      <c r="G61" s="14" t="n">
        <v>559</v>
      </c>
      <c r="H61" s="14" t="n">
        <f aca="false">F61-G61</f>
        <v>522</v>
      </c>
      <c r="I61" s="15" t="n">
        <f aca="false">IF(F61=0,0,G61/F61)</f>
        <v>0.517113783533765</v>
      </c>
    </row>
    <row r="62" customFormat="false" ht="15" hidden="false" customHeight="true" outlineLevel="0" collapsed="false">
      <c r="A62" s="13" t="n">
        <v>2024</v>
      </c>
      <c r="B62" s="13" t="s">
        <v>959</v>
      </c>
      <c r="C62" s="13" t="s">
        <v>419</v>
      </c>
      <c r="D62" s="13" t="s">
        <v>125</v>
      </c>
      <c r="E62" s="13" t="s">
        <v>124</v>
      </c>
      <c r="F62" s="14" t="n">
        <v>1</v>
      </c>
      <c r="G62" s="14" t="n">
        <v>0</v>
      </c>
      <c r="H62" s="14" t="n">
        <f aca="false">F62-G62</f>
        <v>1</v>
      </c>
      <c r="I62" s="15" t="n">
        <f aca="false">IF(F62=0,0,G62/F62)</f>
        <v>0</v>
      </c>
    </row>
    <row r="63" customFormat="false" ht="15" hidden="false" customHeight="true" outlineLevel="0" collapsed="false">
      <c r="A63" s="13" t="n">
        <v>2024</v>
      </c>
      <c r="B63" s="13" t="s">
        <v>959</v>
      </c>
      <c r="C63" s="13" t="s">
        <v>126</v>
      </c>
      <c r="D63" s="13" t="s">
        <v>125</v>
      </c>
      <c r="E63" s="13" t="s">
        <v>122</v>
      </c>
      <c r="F63" s="14" t="n">
        <v>40</v>
      </c>
      <c r="G63" s="14" t="n">
        <v>15</v>
      </c>
      <c r="H63" s="14" t="n">
        <f aca="false">F63-G63</f>
        <v>25</v>
      </c>
      <c r="I63" s="15" t="n">
        <f aca="false">IF(F63=0,0,G63/F63)</f>
        <v>0.375</v>
      </c>
    </row>
    <row r="64" customFormat="false" ht="15" hidden="false" customHeight="true" outlineLevel="0" collapsed="false">
      <c r="A64" s="13" t="n">
        <v>2024</v>
      </c>
      <c r="B64" s="13" t="s">
        <v>959</v>
      </c>
      <c r="C64" s="13" t="s">
        <v>126</v>
      </c>
      <c r="D64" s="13" t="s">
        <v>125</v>
      </c>
      <c r="E64" s="13" t="s">
        <v>124</v>
      </c>
      <c r="F64" s="14" t="n">
        <v>106</v>
      </c>
      <c r="G64" s="14" t="n">
        <v>47</v>
      </c>
      <c r="H64" s="14" t="n">
        <f aca="false">F64-G64</f>
        <v>59</v>
      </c>
      <c r="I64" s="15" t="n">
        <f aca="false">IF(F64=0,0,G64/F64)</f>
        <v>0.443396226415094</v>
      </c>
    </row>
    <row r="65" customFormat="false" ht="15" hidden="false" customHeight="true" outlineLevel="0" collapsed="false">
      <c r="A65" s="13" t="n">
        <v>2024</v>
      </c>
      <c r="B65" s="13" t="s">
        <v>959</v>
      </c>
      <c r="C65" s="13" t="s">
        <v>126</v>
      </c>
      <c r="D65" s="13" t="s">
        <v>121</v>
      </c>
      <c r="E65" s="13" t="s">
        <v>122</v>
      </c>
      <c r="F65" s="14" t="n">
        <v>261</v>
      </c>
      <c r="G65" s="14" t="n">
        <v>227</v>
      </c>
      <c r="H65" s="14" t="n">
        <f aca="false">F65-G65</f>
        <v>34</v>
      </c>
      <c r="I65" s="15" t="n">
        <f aca="false">IF(F65=0,0,G65/F65)</f>
        <v>0.869731800766284</v>
      </c>
    </row>
    <row r="66" customFormat="false" ht="15" hidden="false" customHeight="true" outlineLevel="0" collapsed="false">
      <c r="A66" s="13" t="n">
        <v>2024</v>
      </c>
      <c r="B66" s="13" t="s">
        <v>959</v>
      </c>
      <c r="C66" s="13" t="s">
        <v>126</v>
      </c>
      <c r="D66" s="13" t="s">
        <v>121</v>
      </c>
      <c r="E66" s="13" t="s">
        <v>124</v>
      </c>
      <c r="F66" s="14" t="n">
        <v>499</v>
      </c>
      <c r="G66" s="14" t="n">
        <v>396</v>
      </c>
      <c r="H66" s="14" t="n">
        <f aca="false">F66-G66</f>
        <v>103</v>
      </c>
      <c r="I66" s="15" t="n">
        <f aca="false">IF(F66=0,0,G66/F66)</f>
        <v>0.793587174348697</v>
      </c>
    </row>
    <row r="67" customFormat="false" ht="15" hidden="false" customHeight="true" outlineLevel="0" collapsed="false">
      <c r="A67" s="13" t="n">
        <v>2024</v>
      </c>
      <c r="B67" s="13" t="s">
        <v>959</v>
      </c>
      <c r="C67" s="13" t="s">
        <v>123</v>
      </c>
      <c r="D67" s="13" t="s">
        <v>125</v>
      </c>
      <c r="E67" s="13" t="s">
        <v>122</v>
      </c>
      <c r="F67" s="14" t="n">
        <v>183</v>
      </c>
      <c r="G67" s="14" t="n">
        <v>108</v>
      </c>
      <c r="H67" s="14" t="n">
        <f aca="false">F67-G67</f>
        <v>75</v>
      </c>
      <c r="I67" s="15" t="n">
        <f aca="false">IF(F67=0,0,G67/F67)</f>
        <v>0.59016393442623</v>
      </c>
    </row>
    <row r="68" customFormat="false" ht="15" hidden="false" customHeight="true" outlineLevel="0" collapsed="false">
      <c r="A68" s="13" t="n">
        <v>2024</v>
      </c>
      <c r="B68" s="13" t="s">
        <v>959</v>
      </c>
      <c r="C68" s="13" t="s">
        <v>123</v>
      </c>
      <c r="D68" s="13" t="s">
        <v>125</v>
      </c>
      <c r="E68" s="13" t="s">
        <v>124</v>
      </c>
      <c r="F68" s="14" t="n">
        <v>151</v>
      </c>
      <c r="G68" s="14" t="n">
        <v>71</v>
      </c>
      <c r="H68" s="14" t="n">
        <f aca="false">F68-G68</f>
        <v>80</v>
      </c>
      <c r="I68" s="15" t="n">
        <f aca="false">IF(F68=0,0,G68/F68)</f>
        <v>0.470198675496689</v>
      </c>
    </row>
    <row r="69" customFormat="false" ht="15" hidden="false" customHeight="true" outlineLevel="0" collapsed="false">
      <c r="A69" s="13" t="n">
        <v>2024</v>
      </c>
      <c r="B69" s="13" t="s">
        <v>959</v>
      </c>
      <c r="C69" s="13" t="s">
        <v>123</v>
      </c>
      <c r="D69" s="13" t="s">
        <v>121</v>
      </c>
      <c r="E69" s="13" t="s">
        <v>122</v>
      </c>
      <c r="F69" s="14" t="n">
        <v>1390</v>
      </c>
      <c r="G69" s="14" t="n">
        <v>1168</v>
      </c>
      <c r="H69" s="14" t="n">
        <f aca="false">F69-G69</f>
        <v>222</v>
      </c>
      <c r="I69" s="15" t="n">
        <f aca="false">IF(F69=0,0,G69/F69)</f>
        <v>0.840287769784173</v>
      </c>
    </row>
    <row r="70" customFormat="false" ht="15" hidden="false" customHeight="true" outlineLevel="0" collapsed="false">
      <c r="A70" s="13" t="n">
        <v>2024</v>
      </c>
      <c r="B70" s="13" t="s">
        <v>959</v>
      </c>
      <c r="C70" s="13" t="s">
        <v>123</v>
      </c>
      <c r="D70" s="13" t="s">
        <v>121</v>
      </c>
      <c r="E70" s="13" t="s">
        <v>124</v>
      </c>
      <c r="F70" s="14" t="n">
        <v>640</v>
      </c>
      <c r="G70" s="14" t="n">
        <v>516</v>
      </c>
      <c r="H70" s="14" t="n">
        <f aca="false">F70-G70</f>
        <v>124</v>
      </c>
      <c r="I70" s="15" t="n">
        <f aca="false">IF(F70=0,0,G70/F70)</f>
        <v>0.80625</v>
      </c>
    </row>
    <row r="71" customFormat="false" ht="15" hidden="false" customHeight="true" outlineLevel="0" collapsed="false">
      <c r="A71" s="13" t="n">
        <v>2024</v>
      </c>
      <c r="B71" s="13" t="s">
        <v>55</v>
      </c>
      <c r="C71" s="13" t="s">
        <v>966</v>
      </c>
      <c r="D71" s="13" t="s">
        <v>125</v>
      </c>
      <c r="E71" s="13" t="s">
        <v>122</v>
      </c>
      <c r="F71" s="14" t="n">
        <v>1</v>
      </c>
      <c r="G71" s="14" t="n">
        <v>1</v>
      </c>
      <c r="H71" s="14" t="n">
        <f aca="false">F71-G71</f>
        <v>0</v>
      </c>
      <c r="I71" s="15" t="n">
        <f aca="false">IF(F71=0,0,G71/F71)</f>
        <v>1</v>
      </c>
    </row>
    <row r="72" customFormat="false" ht="15" hidden="false" customHeight="true" outlineLevel="0" collapsed="false">
      <c r="A72" s="13" t="n">
        <v>2024</v>
      </c>
      <c r="B72" s="13" t="s">
        <v>55</v>
      </c>
      <c r="C72" s="13" t="s">
        <v>966</v>
      </c>
      <c r="D72" s="13" t="s">
        <v>125</v>
      </c>
      <c r="E72" s="13" t="s">
        <v>124</v>
      </c>
      <c r="F72" s="14" t="n">
        <v>3</v>
      </c>
      <c r="G72" s="14" t="n">
        <v>0</v>
      </c>
      <c r="H72" s="14" t="n">
        <f aca="false">F72-G72</f>
        <v>3</v>
      </c>
      <c r="I72" s="15" t="n">
        <f aca="false">IF(F72=0,0,G72/F72)</f>
        <v>0</v>
      </c>
    </row>
    <row r="73" customFormat="false" ht="15" hidden="false" customHeight="true" outlineLevel="0" collapsed="false">
      <c r="A73" s="13" t="n">
        <v>2024</v>
      </c>
      <c r="B73" s="13" t="s">
        <v>55</v>
      </c>
      <c r="C73" s="13" t="s">
        <v>967</v>
      </c>
      <c r="D73" s="13" t="s">
        <v>125</v>
      </c>
      <c r="E73" s="13" t="s">
        <v>122</v>
      </c>
      <c r="F73" s="14" t="n">
        <v>25</v>
      </c>
      <c r="G73" s="14" t="n">
        <v>20</v>
      </c>
      <c r="H73" s="14" t="n">
        <f aca="false">F73-G73</f>
        <v>5</v>
      </c>
      <c r="I73" s="15" t="n">
        <f aca="false">IF(F73=0,0,G73/F73)</f>
        <v>0.8</v>
      </c>
    </row>
    <row r="74" customFormat="false" ht="15" hidden="false" customHeight="true" outlineLevel="0" collapsed="false">
      <c r="A74" s="13" t="n">
        <v>2024</v>
      </c>
      <c r="B74" s="13" t="s">
        <v>55</v>
      </c>
      <c r="C74" s="13" t="s">
        <v>967</v>
      </c>
      <c r="D74" s="13" t="s">
        <v>125</v>
      </c>
      <c r="E74" s="13" t="s">
        <v>124</v>
      </c>
      <c r="F74" s="14" t="n">
        <v>26</v>
      </c>
      <c r="G74" s="14" t="n">
        <v>21</v>
      </c>
      <c r="H74" s="14" t="n">
        <f aca="false">F74-G74</f>
        <v>5</v>
      </c>
      <c r="I74" s="15" t="n">
        <f aca="false">IF(F74=0,0,G74/F74)</f>
        <v>0.807692307692308</v>
      </c>
    </row>
    <row r="75" customFormat="false" ht="15" hidden="false" customHeight="true" outlineLevel="0" collapsed="false">
      <c r="A75" s="13" t="n">
        <v>2024</v>
      </c>
      <c r="B75" s="13" t="s">
        <v>55</v>
      </c>
      <c r="C75" s="13" t="s">
        <v>203</v>
      </c>
      <c r="D75" s="13" t="s">
        <v>125</v>
      </c>
      <c r="E75" s="13" t="s">
        <v>122</v>
      </c>
      <c r="F75" s="14" t="n">
        <v>12</v>
      </c>
      <c r="G75" s="14" t="n">
        <v>5</v>
      </c>
      <c r="H75" s="14" t="n">
        <f aca="false">F75-G75</f>
        <v>7</v>
      </c>
      <c r="I75" s="15" t="n">
        <f aca="false">IF(F75=0,0,G75/F75)</f>
        <v>0.416666666666667</v>
      </c>
    </row>
    <row r="76" customFormat="false" ht="15" hidden="false" customHeight="true" outlineLevel="0" collapsed="false">
      <c r="A76" s="13" t="n">
        <v>2024</v>
      </c>
      <c r="B76" s="13" t="s">
        <v>55</v>
      </c>
      <c r="C76" s="13" t="s">
        <v>203</v>
      </c>
      <c r="D76" s="13" t="s">
        <v>125</v>
      </c>
      <c r="E76" s="13" t="s">
        <v>124</v>
      </c>
      <c r="F76" s="14" t="n">
        <v>43</v>
      </c>
      <c r="G76" s="14" t="n">
        <v>12</v>
      </c>
      <c r="H76" s="14" t="n">
        <f aca="false">F76-G76</f>
        <v>31</v>
      </c>
      <c r="I76" s="15" t="n">
        <f aca="false">IF(F76=0,0,G76/F76)</f>
        <v>0.27906976744186</v>
      </c>
    </row>
    <row r="77" customFormat="false" ht="15" hidden="false" customHeight="true" outlineLevel="0" collapsed="false">
      <c r="A77" s="13" t="n">
        <v>2024</v>
      </c>
      <c r="B77" s="13" t="s">
        <v>55</v>
      </c>
      <c r="C77" s="13" t="s">
        <v>203</v>
      </c>
      <c r="D77" s="13" t="s">
        <v>121</v>
      </c>
      <c r="E77" s="13" t="s">
        <v>122</v>
      </c>
      <c r="F77" s="14" t="n">
        <v>149</v>
      </c>
      <c r="G77" s="14" t="n">
        <v>138</v>
      </c>
      <c r="H77" s="14" t="n">
        <f aca="false">F77-G77</f>
        <v>11</v>
      </c>
      <c r="I77" s="15" t="n">
        <f aca="false">IF(F77=0,0,G77/F77)</f>
        <v>0.926174496644295</v>
      </c>
    </row>
    <row r="78" customFormat="false" ht="15" hidden="false" customHeight="true" outlineLevel="0" collapsed="false">
      <c r="A78" s="13" t="n">
        <v>2024</v>
      </c>
      <c r="B78" s="13" t="s">
        <v>55</v>
      </c>
      <c r="C78" s="13" t="s">
        <v>203</v>
      </c>
      <c r="D78" s="13" t="s">
        <v>121</v>
      </c>
      <c r="E78" s="13" t="s">
        <v>124</v>
      </c>
      <c r="F78" s="14" t="n">
        <v>335</v>
      </c>
      <c r="G78" s="14" t="n">
        <v>233</v>
      </c>
      <c r="H78" s="14" t="n">
        <f aca="false">F78-G78</f>
        <v>102</v>
      </c>
      <c r="I78" s="15" t="n">
        <f aca="false">IF(F78=0,0,G78/F78)</f>
        <v>0.695522388059702</v>
      </c>
    </row>
    <row r="79" customFormat="false" ht="15" hidden="false" customHeight="true" outlineLevel="0" collapsed="false">
      <c r="A79" s="13" t="n">
        <v>2024</v>
      </c>
      <c r="B79" s="13" t="s">
        <v>55</v>
      </c>
      <c r="C79" s="13" t="s">
        <v>202</v>
      </c>
      <c r="D79" s="13" t="s">
        <v>125</v>
      </c>
      <c r="E79" s="13" t="s">
        <v>122</v>
      </c>
      <c r="F79" s="14" t="n">
        <v>227</v>
      </c>
      <c r="G79" s="14" t="n">
        <v>97</v>
      </c>
      <c r="H79" s="14" t="n">
        <f aca="false">F79-G79</f>
        <v>130</v>
      </c>
      <c r="I79" s="15" t="n">
        <f aca="false">IF(F79=0,0,G79/F79)</f>
        <v>0.427312775330396</v>
      </c>
    </row>
    <row r="80" customFormat="false" ht="15" hidden="false" customHeight="true" outlineLevel="0" collapsed="false">
      <c r="A80" s="13" t="n">
        <v>2024</v>
      </c>
      <c r="B80" s="13" t="s">
        <v>55</v>
      </c>
      <c r="C80" s="13" t="s">
        <v>202</v>
      </c>
      <c r="D80" s="13" t="s">
        <v>125</v>
      </c>
      <c r="E80" s="13" t="s">
        <v>124</v>
      </c>
      <c r="F80" s="14" t="n">
        <v>285</v>
      </c>
      <c r="G80" s="14" t="n">
        <v>95</v>
      </c>
      <c r="H80" s="14" t="n">
        <f aca="false">F80-G80</f>
        <v>190</v>
      </c>
      <c r="I80" s="15" t="n">
        <f aca="false">IF(F80=0,0,G80/F80)</f>
        <v>0.333333333333333</v>
      </c>
    </row>
    <row r="81" customFormat="false" ht="15" hidden="false" customHeight="true" outlineLevel="0" collapsed="false">
      <c r="A81" s="13" t="n">
        <v>2024</v>
      </c>
      <c r="B81" s="13" t="s">
        <v>55</v>
      </c>
      <c r="C81" s="13" t="s">
        <v>202</v>
      </c>
      <c r="D81" s="13" t="s">
        <v>121</v>
      </c>
      <c r="E81" s="13" t="s">
        <v>122</v>
      </c>
      <c r="F81" s="14" t="n">
        <v>2080</v>
      </c>
      <c r="G81" s="14" t="n">
        <v>1622</v>
      </c>
      <c r="H81" s="14" t="n">
        <f aca="false">F81-G81</f>
        <v>458</v>
      </c>
      <c r="I81" s="15" t="n">
        <f aca="false">IF(F81=0,0,G81/F81)</f>
        <v>0.779807692307692</v>
      </c>
    </row>
    <row r="82" customFormat="false" ht="15" hidden="false" customHeight="true" outlineLevel="0" collapsed="false">
      <c r="A82" s="13" t="n">
        <v>2024</v>
      </c>
      <c r="B82" s="13" t="s">
        <v>55</v>
      </c>
      <c r="C82" s="13" t="s">
        <v>202</v>
      </c>
      <c r="D82" s="13" t="s">
        <v>121</v>
      </c>
      <c r="E82" s="13" t="s">
        <v>124</v>
      </c>
      <c r="F82" s="14" t="n">
        <v>2411</v>
      </c>
      <c r="G82" s="14" t="n">
        <v>1721</v>
      </c>
      <c r="H82" s="14" t="n">
        <f aca="false">F82-G82</f>
        <v>690</v>
      </c>
      <c r="I82" s="15" t="n">
        <f aca="false">IF(F82=0,0,G82/F82)</f>
        <v>0.713811696391539</v>
      </c>
    </row>
    <row r="83" customFormat="false" ht="15" hidden="false" customHeight="true" outlineLevel="0" collapsed="false">
      <c r="A83" s="13" t="n">
        <v>2024</v>
      </c>
      <c r="B83" s="13" t="s">
        <v>55</v>
      </c>
      <c r="C83" s="13" t="s">
        <v>128</v>
      </c>
      <c r="D83" s="13" t="s">
        <v>125</v>
      </c>
      <c r="E83" s="13" t="s">
        <v>122</v>
      </c>
      <c r="F83" s="14" t="n">
        <v>1986</v>
      </c>
      <c r="G83" s="14" t="n">
        <v>1148</v>
      </c>
      <c r="H83" s="14" t="n">
        <f aca="false">F83-G83</f>
        <v>838</v>
      </c>
      <c r="I83" s="15" t="n">
        <f aca="false">IF(F83=0,0,G83/F83)</f>
        <v>0.578046324269889</v>
      </c>
    </row>
    <row r="84" customFormat="false" ht="15" hidden="false" customHeight="true" outlineLevel="0" collapsed="false">
      <c r="A84" s="13" t="n">
        <v>2024</v>
      </c>
      <c r="B84" s="13" t="s">
        <v>55</v>
      </c>
      <c r="C84" s="13" t="s">
        <v>128</v>
      </c>
      <c r="D84" s="13" t="s">
        <v>125</v>
      </c>
      <c r="E84" s="13" t="s">
        <v>124</v>
      </c>
      <c r="F84" s="14" t="n">
        <v>1682</v>
      </c>
      <c r="G84" s="14" t="n">
        <v>576</v>
      </c>
      <c r="H84" s="14" t="n">
        <f aca="false">F84-G84</f>
        <v>1106</v>
      </c>
      <c r="I84" s="15" t="n">
        <f aca="false">IF(F84=0,0,G84/F84)</f>
        <v>0.342449464922711</v>
      </c>
    </row>
    <row r="85" customFormat="false" ht="15" hidden="false" customHeight="true" outlineLevel="0" collapsed="false">
      <c r="A85" s="13" t="n">
        <v>2024</v>
      </c>
      <c r="B85" s="13" t="s">
        <v>55</v>
      </c>
      <c r="C85" s="13" t="s">
        <v>128</v>
      </c>
      <c r="D85" s="13" t="s">
        <v>121</v>
      </c>
      <c r="E85" s="13" t="s">
        <v>122</v>
      </c>
      <c r="F85" s="14" t="n">
        <v>5574</v>
      </c>
      <c r="G85" s="14" t="n">
        <v>4172</v>
      </c>
      <c r="H85" s="14" t="n">
        <f aca="false">F85-G85</f>
        <v>1402</v>
      </c>
      <c r="I85" s="15" t="n">
        <f aca="false">IF(F85=0,0,G85/F85)</f>
        <v>0.748475062791532</v>
      </c>
    </row>
    <row r="86" customFormat="false" ht="15" hidden="false" customHeight="true" outlineLevel="0" collapsed="false">
      <c r="A86" s="13" t="n">
        <v>2024</v>
      </c>
      <c r="B86" s="13" t="s">
        <v>55</v>
      </c>
      <c r="C86" s="13" t="s">
        <v>128</v>
      </c>
      <c r="D86" s="13" t="s">
        <v>121</v>
      </c>
      <c r="E86" s="13" t="s">
        <v>124</v>
      </c>
      <c r="F86" s="14" t="n">
        <v>3408</v>
      </c>
      <c r="G86" s="14" t="n">
        <v>1938</v>
      </c>
      <c r="H86" s="14" t="n">
        <f aca="false">F86-G86</f>
        <v>1470</v>
      </c>
      <c r="I86" s="15" t="n">
        <f aca="false">IF(F86=0,0,G86/F86)</f>
        <v>0.568661971830986</v>
      </c>
    </row>
    <row r="87" customFormat="false" ht="15" hidden="false" customHeight="true" outlineLevel="0" collapsed="false">
      <c r="A87" s="13" t="n">
        <v>2024</v>
      </c>
      <c r="B87" s="13" t="s">
        <v>55</v>
      </c>
      <c r="C87" s="13" t="s">
        <v>126</v>
      </c>
      <c r="D87" s="13" t="s">
        <v>125</v>
      </c>
      <c r="E87" s="13" t="s">
        <v>122</v>
      </c>
      <c r="F87" s="14" t="n">
        <v>56</v>
      </c>
      <c r="G87" s="14" t="n">
        <v>28</v>
      </c>
      <c r="H87" s="14" t="n">
        <f aca="false">F87-G87</f>
        <v>28</v>
      </c>
      <c r="I87" s="15" t="n">
        <f aca="false">IF(F87=0,0,G87/F87)</f>
        <v>0.5</v>
      </c>
    </row>
    <row r="88" customFormat="false" ht="15" hidden="false" customHeight="true" outlineLevel="0" collapsed="false">
      <c r="A88" s="13" t="n">
        <v>2024</v>
      </c>
      <c r="B88" s="13" t="s">
        <v>55</v>
      </c>
      <c r="C88" s="13" t="s">
        <v>126</v>
      </c>
      <c r="D88" s="13" t="s">
        <v>125</v>
      </c>
      <c r="E88" s="13" t="s">
        <v>124</v>
      </c>
      <c r="F88" s="14" t="n">
        <v>127</v>
      </c>
      <c r="G88" s="14" t="n">
        <v>48</v>
      </c>
      <c r="H88" s="14" t="n">
        <f aca="false">F88-G88</f>
        <v>79</v>
      </c>
      <c r="I88" s="15" t="n">
        <f aca="false">IF(F88=0,0,G88/F88)</f>
        <v>0.377952755905512</v>
      </c>
    </row>
    <row r="89" customFormat="false" ht="15" hidden="false" customHeight="true" outlineLevel="0" collapsed="false">
      <c r="A89" s="13" t="n">
        <v>2024</v>
      </c>
      <c r="B89" s="13" t="s">
        <v>55</v>
      </c>
      <c r="C89" s="13" t="s">
        <v>126</v>
      </c>
      <c r="D89" s="13" t="s">
        <v>121</v>
      </c>
      <c r="E89" s="13" t="s">
        <v>122</v>
      </c>
      <c r="F89" s="14" t="n">
        <v>554</v>
      </c>
      <c r="G89" s="14" t="n">
        <v>485</v>
      </c>
      <c r="H89" s="14" t="n">
        <f aca="false">F89-G89</f>
        <v>69</v>
      </c>
      <c r="I89" s="15" t="n">
        <f aca="false">IF(F89=0,0,G89/F89)</f>
        <v>0.875451263537906</v>
      </c>
    </row>
    <row r="90" customFormat="false" ht="15" hidden="false" customHeight="true" outlineLevel="0" collapsed="false">
      <c r="A90" s="13" t="n">
        <v>2024</v>
      </c>
      <c r="B90" s="13" t="s">
        <v>55</v>
      </c>
      <c r="C90" s="13" t="s">
        <v>126</v>
      </c>
      <c r="D90" s="13" t="s">
        <v>121</v>
      </c>
      <c r="E90" s="13" t="s">
        <v>124</v>
      </c>
      <c r="F90" s="14" t="n">
        <v>931</v>
      </c>
      <c r="G90" s="14" t="n">
        <v>790</v>
      </c>
      <c r="H90" s="14" t="n">
        <f aca="false">F90-G90</f>
        <v>141</v>
      </c>
      <c r="I90" s="15" t="n">
        <f aca="false">IF(F90=0,0,G90/F90)</f>
        <v>0.848549946294307</v>
      </c>
    </row>
    <row r="91" customFormat="false" ht="15" hidden="false" customHeight="true" outlineLevel="0" collapsed="false">
      <c r="A91" s="13" t="n">
        <v>2024</v>
      </c>
      <c r="B91" s="13" t="s">
        <v>55</v>
      </c>
      <c r="C91" s="13" t="s">
        <v>123</v>
      </c>
      <c r="D91" s="13" t="s">
        <v>125</v>
      </c>
      <c r="E91" s="13" t="s">
        <v>122</v>
      </c>
      <c r="F91" s="14" t="n">
        <v>500</v>
      </c>
      <c r="G91" s="14" t="n">
        <v>306</v>
      </c>
      <c r="H91" s="14" t="n">
        <f aca="false">F91-G91</f>
        <v>194</v>
      </c>
      <c r="I91" s="15" t="n">
        <f aca="false">IF(F91=0,0,G91/F91)</f>
        <v>0.612</v>
      </c>
    </row>
    <row r="92" customFormat="false" ht="15" hidden="false" customHeight="true" outlineLevel="0" collapsed="false">
      <c r="A92" s="13" t="n">
        <v>2024</v>
      </c>
      <c r="B92" s="13" t="s">
        <v>55</v>
      </c>
      <c r="C92" s="13" t="s">
        <v>123</v>
      </c>
      <c r="D92" s="13" t="s">
        <v>125</v>
      </c>
      <c r="E92" s="13" t="s">
        <v>124</v>
      </c>
      <c r="F92" s="14" t="n">
        <v>259</v>
      </c>
      <c r="G92" s="14" t="n">
        <v>147</v>
      </c>
      <c r="H92" s="14" t="n">
        <f aca="false">F92-G92</f>
        <v>112</v>
      </c>
      <c r="I92" s="15" t="n">
        <f aca="false">IF(F92=0,0,G92/F92)</f>
        <v>0.567567567567568</v>
      </c>
    </row>
    <row r="93" customFormat="false" ht="15" hidden="false" customHeight="true" outlineLevel="0" collapsed="false">
      <c r="A93" s="13" t="n">
        <v>2024</v>
      </c>
      <c r="B93" s="13" t="s">
        <v>55</v>
      </c>
      <c r="C93" s="13" t="s">
        <v>123</v>
      </c>
      <c r="D93" s="13" t="s">
        <v>121</v>
      </c>
      <c r="E93" s="13" t="s">
        <v>122</v>
      </c>
      <c r="F93" s="14" t="n">
        <v>4046</v>
      </c>
      <c r="G93" s="14" t="n">
        <v>3575</v>
      </c>
      <c r="H93" s="14" t="n">
        <f aca="false">F93-G93</f>
        <v>471</v>
      </c>
      <c r="I93" s="15" t="n">
        <f aca="false">IF(F93=0,0,G93/F93)</f>
        <v>0.883588729609491</v>
      </c>
    </row>
    <row r="94" customFormat="false" ht="15" hidden="false" customHeight="true" outlineLevel="0" collapsed="false">
      <c r="A94" s="13" t="n">
        <v>2024</v>
      </c>
      <c r="B94" s="13" t="s">
        <v>55</v>
      </c>
      <c r="C94" s="13" t="s">
        <v>123</v>
      </c>
      <c r="D94" s="13" t="s">
        <v>121</v>
      </c>
      <c r="E94" s="13" t="s">
        <v>124</v>
      </c>
      <c r="F94" s="14" t="n">
        <v>1584</v>
      </c>
      <c r="G94" s="14" t="n">
        <v>1345</v>
      </c>
      <c r="H94" s="14" t="n">
        <f aca="false">F94-G94</f>
        <v>239</v>
      </c>
      <c r="I94" s="15" t="n">
        <f aca="false">IF(F94=0,0,G94/F94)</f>
        <v>0.849116161616162</v>
      </c>
    </row>
    <row r="95" customFormat="false" ht="15" hidden="false" customHeight="true" outlineLevel="0" collapsed="false">
      <c r="A95" s="13" t="n">
        <v>2024</v>
      </c>
      <c r="B95" s="13" t="s">
        <v>55</v>
      </c>
      <c r="C95" s="13" t="s">
        <v>968</v>
      </c>
      <c r="D95" s="13" t="s">
        <v>125</v>
      </c>
      <c r="E95" s="13" t="s">
        <v>122</v>
      </c>
      <c r="F95" s="14" t="n">
        <v>1</v>
      </c>
      <c r="G95" s="14" t="n">
        <v>1</v>
      </c>
      <c r="H95" s="14" t="n">
        <f aca="false">F95-G95</f>
        <v>0</v>
      </c>
      <c r="I95" s="15" t="n">
        <f aca="false">IF(F95=0,0,G95/F95)</f>
        <v>1</v>
      </c>
    </row>
    <row r="96" customFormat="false" ht="15" hidden="false" customHeight="true" outlineLevel="0" collapsed="false">
      <c r="A96" s="13" t="n">
        <v>2024</v>
      </c>
      <c r="B96" s="13" t="s">
        <v>55</v>
      </c>
      <c r="C96" s="13" t="s">
        <v>968</v>
      </c>
      <c r="D96" s="13" t="s">
        <v>125</v>
      </c>
      <c r="E96" s="13" t="s">
        <v>124</v>
      </c>
      <c r="F96" s="14" t="n">
        <v>1</v>
      </c>
      <c r="G96" s="14" t="n">
        <v>0</v>
      </c>
      <c r="H96" s="14" t="n">
        <f aca="false">F96-G96</f>
        <v>1</v>
      </c>
      <c r="I96" s="15" t="n">
        <f aca="false">IF(F96=0,0,G96/F96)</f>
        <v>0</v>
      </c>
    </row>
    <row r="97" customFormat="false" ht="15" hidden="false" customHeight="true" outlineLevel="0" collapsed="false">
      <c r="A97" s="13" t="n">
        <v>2024</v>
      </c>
      <c r="B97" s="13" t="s">
        <v>195</v>
      </c>
      <c r="C97" s="13" t="s">
        <v>966</v>
      </c>
      <c r="D97" s="13" t="s">
        <v>125</v>
      </c>
      <c r="E97" s="13" t="s">
        <v>122</v>
      </c>
      <c r="F97" s="14" t="n">
        <v>1</v>
      </c>
      <c r="G97" s="14" t="n">
        <v>1</v>
      </c>
      <c r="H97" s="14" t="n">
        <f aca="false">F97-G97</f>
        <v>0</v>
      </c>
      <c r="I97" s="15" t="n">
        <f aca="false">IF(F97=0,0,G97/F97)</f>
        <v>1</v>
      </c>
    </row>
    <row r="98" customFormat="false" ht="15" hidden="false" customHeight="true" outlineLevel="0" collapsed="false">
      <c r="A98" s="13" t="n">
        <v>2024</v>
      </c>
      <c r="B98" s="13" t="s">
        <v>195</v>
      </c>
      <c r="C98" s="13" t="s">
        <v>966</v>
      </c>
      <c r="D98" s="13" t="s">
        <v>125</v>
      </c>
      <c r="E98" s="13" t="s">
        <v>124</v>
      </c>
      <c r="F98" s="14" t="n">
        <v>7</v>
      </c>
      <c r="G98" s="14" t="n">
        <v>1</v>
      </c>
      <c r="H98" s="14" t="n">
        <f aca="false">F98-G98</f>
        <v>6</v>
      </c>
      <c r="I98" s="15" t="n">
        <f aca="false">IF(F98=0,0,G98/F98)</f>
        <v>0.142857142857143</v>
      </c>
    </row>
    <row r="99" customFormat="false" ht="15" hidden="false" customHeight="true" outlineLevel="0" collapsed="false">
      <c r="A99" s="13" t="n">
        <v>2024</v>
      </c>
      <c r="B99" s="13" t="s">
        <v>195</v>
      </c>
      <c r="C99" s="13" t="s">
        <v>967</v>
      </c>
      <c r="D99" s="13" t="s">
        <v>125</v>
      </c>
      <c r="E99" s="13" t="s">
        <v>122</v>
      </c>
      <c r="F99" s="14" t="n">
        <v>53</v>
      </c>
      <c r="G99" s="14" t="n">
        <v>38</v>
      </c>
      <c r="H99" s="14" t="n">
        <f aca="false">F99-G99</f>
        <v>15</v>
      </c>
      <c r="I99" s="15" t="n">
        <f aca="false">IF(F99=0,0,G99/F99)</f>
        <v>0.716981132075472</v>
      </c>
    </row>
    <row r="100" customFormat="false" ht="15" hidden="false" customHeight="true" outlineLevel="0" collapsed="false">
      <c r="A100" s="13" t="n">
        <v>2024</v>
      </c>
      <c r="B100" s="13" t="s">
        <v>195</v>
      </c>
      <c r="C100" s="13" t="s">
        <v>967</v>
      </c>
      <c r="D100" s="13" t="s">
        <v>125</v>
      </c>
      <c r="E100" s="13" t="s">
        <v>124</v>
      </c>
      <c r="F100" s="14" t="n">
        <v>65</v>
      </c>
      <c r="G100" s="14" t="n">
        <v>44</v>
      </c>
      <c r="H100" s="14" t="n">
        <f aca="false">F100-G100</f>
        <v>21</v>
      </c>
      <c r="I100" s="15" t="n">
        <f aca="false">IF(F100=0,0,G100/F100)</f>
        <v>0.676923076923077</v>
      </c>
    </row>
    <row r="101" customFormat="false" ht="15" hidden="false" customHeight="true" outlineLevel="0" collapsed="false">
      <c r="A101" s="13" t="n">
        <v>2024</v>
      </c>
      <c r="B101" s="13" t="s">
        <v>195</v>
      </c>
      <c r="C101" s="13" t="s">
        <v>203</v>
      </c>
      <c r="D101" s="13" t="s">
        <v>125</v>
      </c>
      <c r="E101" s="13" t="s">
        <v>122</v>
      </c>
      <c r="F101" s="14" t="n">
        <v>13</v>
      </c>
      <c r="G101" s="14" t="n">
        <v>5</v>
      </c>
      <c r="H101" s="14" t="n">
        <f aca="false">F101-G101</f>
        <v>8</v>
      </c>
      <c r="I101" s="15" t="n">
        <f aca="false">IF(F101=0,0,G101/F101)</f>
        <v>0.384615384615385</v>
      </c>
    </row>
    <row r="102" customFormat="false" ht="15" hidden="false" customHeight="true" outlineLevel="0" collapsed="false">
      <c r="A102" s="13" t="n">
        <v>2024</v>
      </c>
      <c r="B102" s="13" t="s">
        <v>195</v>
      </c>
      <c r="C102" s="13" t="s">
        <v>203</v>
      </c>
      <c r="D102" s="13" t="s">
        <v>125</v>
      </c>
      <c r="E102" s="13" t="s">
        <v>124</v>
      </c>
      <c r="F102" s="14" t="n">
        <v>62</v>
      </c>
      <c r="G102" s="14" t="n">
        <v>20</v>
      </c>
      <c r="H102" s="14" t="n">
        <f aca="false">F102-G102</f>
        <v>42</v>
      </c>
      <c r="I102" s="15" t="n">
        <f aca="false">IF(F102=0,0,G102/F102)</f>
        <v>0.32258064516129</v>
      </c>
    </row>
    <row r="103" customFormat="false" ht="15" hidden="false" customHeight="true" outlineLevel="0" collapsed="false">
      <c r="A103" s="13" t="n">
        <v>2024</v>
      </c>
      <c r="B103" s="13" t="s">
        <v>195</v>
      </c>
      <c r="C103" s="13" t="s">
        <v>203</v>
      </c>
      <c r="D103" s="13" t="s">
        <v>121</v>
      </c>
      <c r="E103" s="13" t="s">
        <v>122</v>
      </c>
      <c r="F103" s="14" t="n">
        <v>166</v>
      </c>
      <c r="G103" s="14" t="n">
        <v>151</v>
      </c>
      <c r="H103" s="14" t="n">
        <f aca="false">F103-G103</f>
        <v>15</v>
      </c>
      <c r="I103" s="15" t="n">
        <f aca="false">IF(F103=0,0,G103/F103)</f>
        <v>0.909638554216868</v>
      </c>
    </row>
    <row r="104" customFormat="false" ht="15" hidden="false" customHeight="true" outlineLevel="0" collapsed="false">
      <c r="A104" s="13" t="n">
        <v>2024</v>
      </c>
      <c r="B104" s="13" t="s">
        <v>195</v>
      </c>
      <c r="C104" s="13" t="s">
        <v>203</v>
      </c>
      <c r="D104" s="13" t="s">
        <v>121</v>
      </c>
      <c r="E104" s="13" t="s">
        <v>124</v>
      </c>
      <c r="F104" s="14" t="n">
        <v>371</v>
      </c>
      <c r="G104" s="14" t="n">
        <v>259</v>
      </c>
      <c r="H104" s="14" t="n">
        <f aca="false">F104-G104</f>
        <v>112</v>
      </c>
      <c r="I104" s="15" t="n">
        <f aca="false">IF(F104=0,0,G104/F104)</f>
        <v>0.69811320754717</v>
      </c>
    </row>
    <row r="105" customFormat="false" ht="15" hidden="false" customHeight="true" outlineLevel="0" collapsed="false">
      <c r="A105" s="13" t="n">
        <v>2024</v>
      </c>
      <c r="B105" s="13" t="s">
        <v>195</v>
      </c>
      <c r="C105" s="13" t="s">
        <v>202</v>
      </c>
      <c r="D105" s="13" t="s">
        <v>125</v>
      </c>
      <c r="E105" s="13" t="s">
        <v>122</v>
      </c>
      <c r="F105" s="14" t="n">
        <v>408</v>
      </c>
      <c r="G105" s="14" t="n">
        <v>155</v>
      </c>
      <c r="H105" s="14" t="n">
        <f aca="false">F105-G105</f>
        <v>253</v>
      </c>
      <c r="I105" s="15" t="n">
        <f aca="false">IF(F105=0,0,G105/F105)</f>
        <v>0.379901960784314</v>
      </c>
    </row>
    <row r="106" customFormat="false" ht="15" hidden="false" customHeight="true" outlineLevel="0" collapsed="false">
      <c r="A106" s="13" t="n">
        <v>2024</v>
      </c>
      <c r="B106" s="13" t="s">
        <v>195</v>
      </c>
      <c r="C106" s="13" t="s">
        <v>202</v>
      </c>
      <c r="D106" s="13" t="s">
        <v>125</v>
      </c>
      <c r="E106" s="13" t="s">
        <v>124</v>
      </c>
      <c r="F106" s="14" t="n">
        <v>665</v>
      </c>
      <c r="G106" s="14" t="n">
        <v>203</v>
      </c>
      <c r="H106" s="14" t="n">
        <f aca="false">F106-G106</f>
        <v>462</v>
      </c>
      <c r="I106" s="15" t="n">
        <f aca="false">IF(F106=0,0,G106/F106)</f>
        <v>0.305263157894737</v>
      </c>
    </row>
    <row r="107" customFormat="false" ht="15" hidden="false" customHeight="true" outlineLevel="0" collapsed="false">
      <c r="A107" s="13" t="n">
        <v>2024</v>
      </c>
      <c r="B107" s="13" t="s">
        <v>195</v>
      </c>
      <c r="C107" s="13" t="s">
        <v>202</v>
      </c>
      <c r="D107" s="13" t="s">
        <v>121</v>
      </c>
      <c r="E107" s="13" t="s">
        <v>122</v>
      </c>
      <c r="F107" s="14" t="n">
        <v>3711</v>
      </c>
      <c r="G107" s="14" t="n">
        <v>2758</v>
      </c>
      <c r="H107" s="14" t="n">
        <f aca="false">F107-G107</f>
        <v>953</v>
      </c>
      <c r="I107" s="15" t="n">
        <f aca="false">IF(F107=0,0,G107/F107)</f>
        <v>0.743195904068984</v>
      </c>
    </row>
    <row r="108" customFormat="false" ht="15" hidden="false" customHeight="true" outlineLevel="0" collapsed="false">
      <c r="A108" s="13" t="n">
        <v>2024</v>
      </c>
      <c r="B108" s="13" t="s">
        <v>195</v>
      </c>
      <c r="C108" s="13" t="s">
        <v>202</v>
      </c>
      <c r="D108" s="13" t="s">
        <v>121</v>
      </c>
      <c r="E108" s="13" t="s">
        <v>124</v>
      </c>
      <c r="F108" s="14" t="n">
        <v>4521</v>
      </c>
      <c r="G108" s="14" t="n">
        <v>3002</v>
      </c>
      <c r="H108" s="14" t="n">
        <f aca="false">F108-G108</f>
        <v>1519</v>
      </c>
      <c r="I108" s="15" t="n">
        <f aca="false">IF(F108=0,0,G108/F108)</f>
        <v>0.664012386640124</v>
      </c>
    </row>
    <row r="109" customFormat="false" ht="15" hidden="false" customHeight="true" outlineLevel="0" collapsed="false">
      <c r="A109" s="13" t="n">
        <v>2024</v>
      </c>
      <c r="B109" s="13" t="s">
        <v>195</v>
      </c>
      <c r="C109" s="13" t="s">
        <v>128</v>
      </c>
      <c r="D109" s="13" t="s">
        <v>125</v>
      </c>
      <c r="E109" s="13" t="s">
        <v>122</v>
      </c>
      <c r="F109" s="14" t="n">
        <v>3931</v>
      </c>
      <c r="G109" s="14" t="n">
        <v>2249</v>
      </c>
      <c r="H109" s="14" t="n">
        <f aca="false">F109-G109</f>
        <v>1682</v>
      </c>
      <c r="I109" s="15" t="n">
        <f aca="false">IF(F109=0,0,G109/F109)</f>
        <v>0.572119053675909</v>
      </c>
    </row>
    <row r="110" customFormat="false" ht="15" hidden="false" customHeight="true" outlineLevel="0" collapsed="false">
      <c r="A110" s="13" t="n">
        <v>2024</v>
      </c>
      <c r="B110" s="13" t="s">
        <v>195</v>
      </c>
      <c r="C110" s="13" t="s">
        <v>128</v>
      </c>
      <c r="D110" s="13" t="s">
        <v>125</v>
      </c>
      <c r="E110" s="13" t="s">
        <v>124</v>
      </c>
      <c r="F110" s="14" t="n">
        <v>3989</v>
      </c>
      <c r="G110" s="14" t="n">
        <v>1279</v>
      </c>
      <c r="H110" s="14" t="n">
        <f aca="false">F110-G110</f>
        <v>2710</v>
      </c>
      <c r="I110" s="15" t="n">
        <f aca="false">IF(F110=0,0,G110/F110)</f>
        <v>0.320631737277513</v>
      </c>
    </row>
    <row r="111" customFormat="false" ht="15" hidden="false" customHeight="true" outlineLevel="0" collapsed="false">
      <c r="A111" s="13" t="n">
        <v>2024</v>
      </c>
      <c r="B111" s="13" t="s">
        <v>195</v>
      </c>
      <c r="C111" s="13" t="s">
        <v>128</v>
      </c>
      <c r="D111" s="13" t="s">
        <v>121</v>
      </c>
      <c r="E111" s="13" t="s">
        <v>122</v>
      </c>
      <c r="F111" s="14" t="n">
        <v>10332</v>
      </c>
      <c r="G111" s="14" t="n">
        <v>7685</v>
      </c>
      <c r="H111" s="14" t="n">
        <f aca="false">F111-G111</f>
        <v>2647</v>
      </c>
      <c r="I111" s="15" t="n">
        <f aca="false">IF(F111=0,0,G111/F111)</f>
        <v>0.743805652342238</v>
      </c>
    </row>
    <row r="112" customFormat="false" ht="15" hidden="false" customHeight="true" outlineLevel="0" collapsed="false">
      <c r="A112" s="13" t="n">
        <v>2024</v>
      </c>
      <c r="B112" s="13" t="s">
        <v>195</v>
      </c>
      <c r="C112" s="13" t="s">
        <v>128</v>
      </c>
      <c r="D112" s="13" t="s">
        <v>121</v>
      </c>
      <c r="E112" s="13" t="s">
        <v>124</v>
      </c>
      <c r="F112" s="14" t="n">
        <v>7418</v>
      </c>
      <c r="G112" s="14" t="n">
        <v>4013</v>
      </c>
      <c r="H112" s="14" t="n">
        <f aca="false">F112-G112</f>
        <v>3405</v>
      </c>
      <c r="I112" s="15" t="n">
        <f aca="false">IF(F112=0,0,G112/F112)</f>
        <v>0.540981396602858</v>
      </c>
    </row>
    <row r="113" customFormat="false" ht="15" hidden="false" customHeight="true" outlineLevel="0" collapsed="false">
      <c r="A113" s="13" t="n">
        <v>2024</v>
      </c>
      <c r="B113" s="13" t="s">
        <v>195</v>
      </c>
      <c r="C113" s="13" t="s">
        <v>419</v>
      </c>
      <c r="D113" s="13" t="s">
        <v>125</v>
      </c>
      <c r="E113" s="13" t="s">
        <v>124</v>
      </c>
      <c r="F113" s="14" t="n">
        <v>1</v>
      </c>
      <c r="G113" s="14" t="n">
        <v>0</v>
      </c>
      <c r="H113" s="14" t="n">
        <f aca="false">F113-G113</f>
        <v>1</v>
      </c>
      <c r="I113" s="15" t="n">
        <f aca="false">IF(F113=0,0,G113/F113)</f>
        <v>0</v>
      </c>
    </row>
    <row r="114" customFormat="false" ht="15" hidden="false" customHeight="true" outlineLevel="0" collapsed="false">
      <c r="A114" s="13" t="n">
        <v>2024</v>
      </c>
      <c r="B114" s="13" t="s">
        <v>195</v>
      </c>
      <c r="C114" s="13" t="s">
        <v>126</v>
      </c>
      <c r="D114" s="13" t="s">
        <v>125</v>
      </c>
      <c r="E114" s="13" t="s">
        <v>122</v>
      </c>
      <c r="F114" s="14" t="n">
        <v>125</v>
      </c>
      <c r="G114" s="14" t="n">
        <v>59</v>
      </c>
      <c r="H114" s="14" t="n">
        <f aca="false">F114-G114</f>
        <v>66</v>
      </c>
      <c r="I114" s="15" t="n">
        <f aca="false">IF(F114=0,0,G114/F114)</f>
        <v>0.472</v>
      </c>
    </row>
    <row r="115" customFormat="false" ht="15" hidden="false" customHeight="true" outlineLevel="0" collapsed="false">
      <c r="A115" s="13" t="n">
        <v>2024</v>
      </c>
      <c r="B115" s="13" t="s">
        <v>195</v>
      </c>
      <c r="C115" s="13" t="s">
        <v>126</v>
      </c>
      <c r="D115" s="13" t="s">
        <v>125</v>
      </c>
      <c r="E115" s="13" t="s">
        <v>124</v>
      </c>
      <c r="F115" s="14" t="n">
        <v>315</v>
      </c>
      <c r="G115" s="14" t="n">
        <v>131</v>
      </c>
      <c r="H115" s="14" t="n">
        <f aca="false">F115-G115</f>
        <v>184</v>
      </c>
      <c r="I115" s="15" t="n">
        <f aca="false">IF(F115=0,0,G115/F115)</f>
        <v>0.415873015873016</v>
      </c>
    </row>
    <row r="116" customFormat="false" ht="15" hidden="false" customHeight="true" outlineLevel="0" collapsed="false">
      <c r="A116" s="13" t="n">
        <v>2024</v>
      </c>
      <c r="B116" s="13" t="s">
        <v>195</v>
      </c>
      <c r="C116" s="13" t="s">
        <v>126</v>
      </c>
      <c r="D116" s="13" t="s">
        <v>121</v>
      </c>
      <c r="E116" s="13" t="s">
        <v>122</v>
      </c>
      <c r="F116" s="14" t="n">
        <v>1107</v>
      </c>
      <c r="G116" s="14" t="n">
        <v>981</v>
      </c>
      <c r="H116" s="14" t="n">
        <f aca="false">F116-G116</f>
        <v>126</v>
      </c>
      <c r="I116" s="15" t="n">
        <f aca="false">IF(F116=0,0,G116/F116)</f>
        <v>0.886178861788618</v>
      </c>
    </row>
    <row r="117" customFormat="false" ht="15" hidden="false" customHeight="true" outlineLevel="0" collapsed="false">
      <c r="A117" s="13" t="n">
        <v>2024</v>
      </c>
      <c r="B117" s="13" t="s">
        <v>195</v>
      </c>
      <c r="C117" s="13" t="s">
        <v>126</v>
      </c>
      <c r="D117" s="13" t="s">
        <v>121</v>
      </c>
      <c r="E117" s="13" t="s">
        <v>124</v>
      </c>
      <c r="F117" s="14" t="n">
        <v>1956</v>
      </c>
      <c r="G117" s="14" t="n">
        <v>1619</v>
      </c>
      <c r="H117" s="14" t="n">
        <f aca="false">F117-G117</f>
        <v>337</v>
      </c>
      <c r="I117" s="15" t="n">
        <f aca="false">IF(F117=0,0,G117/F117)</f>
        <v>0.827709611451943</v>
      </c>
    </row>
    <row r="118" customFormat="false" ht="15" hidden="false" customHeight="true" outlineLevel="0" collapsed="false">
      <c r="A118" s="13" t="n">
        <v>2024</v>
      </c>
      <c r="B118" s="13" t="s">
        <v>195</v>
      </c>
      <c r="C118" s="13" t="s">
        <v>123</v>
      </c>
      <c r="D118" s="13" t="s">
        <v>125</v>
      </c>
      <c r="E118" s="13" t="s">
        <v>122</v>
      </c>
      <c r="F118" s="14" t="n">
        <v>1101</v>
      </c>
      <c r="G118" s="14" t="n">
        <v>678</v>
      </c>
      <c r="H118" s="14" t="n">
        <f aca="false">F118-G118</f>
        <v>423</v>
      </c>
      <c r="I118" s="15" t="n">
        <f aca="false">IF(F118=0,0,G118/F118)</f>
        <v>0.615803814713896</v>
      </c>
    </row>
    <row r="119" customFormat="false" ht="15" hidden="false" customHeight="true" outlineLevel="0" collapsed="false">
      <c r="A119" s="13" t="n">
        <v>2024</v>
      </c>
      <c r="B119" s="13" t="s">
        <v>195</v>
      </c>
      <c r="C119" s="13" t="s">
        <v>123</v>
      </c>
      <c r="D119" s="13" t="s">
        <v>125</v>
      </c>
      <c r="E119" s="13" t="s">
        <v>124</v>
      </c>
      <c r="F119" s="14" t="n">
        <v>682</v>
      </c>
      <c r="G119" s="14" t="n">
        <v>395</v>
      </c>
      <c r="H119" s="14" t="n">
        <f aca="false">F119-G119</f>
        <v>287</v>
      </c>
      <c r="I119" s="15" t="n">
        <f aca="false">IF(F119=0,0,G119/F119)</f>
        <v>0.579178885630499</v>
      </c>
    </row>
    <row r="120" customFormat="false" ht="15" hidden="false" customHeight="true" outlineLevel="0" collapsed="false">
      <c r="A120" s="13" t="n">
        <v>2024</v>
      </c>
      <c r="B120" s="13" t="s">
        <v>195</v>
      </c>
      <c r="C120" s="13" t="s">
        <v>123</v>
      </c>
      <c r="D120" s="13" t="s">
        <v>121</v>
      </c>
      <c r="E120" s="13" t="s">
        <v>122</v>
      </c>
      <c r="F120" s="14" t="n">
        <v>7893</v>
      </c>
      <c r="G120" s="14" t="n">
        <v>6938</v>
      </c>
      <c r="H120" s="14" t="n">
        <f aca="false">F120-G120</f>
        <v>955</v>
      </c>
      <c r="I120" s="15" t="n">
        <f aca="false">IF(F120=0,0,G120/F120)</f>
        <v>0.879006714810592</v>
      </c>
    </row>
    <row r="121" customFormat="false" ht="15" hidden="false" customHeight="true" outlineLevel="0" collapsed="false">
      <c r="A121" s="13" t="n">
        <v>2024</v>
      </c>
      <c r="B121" s="13" t="s">
        <v>195</v>
      </c>
      <c r="C121" s="13" t="s">
        <v>123</v>
      </c>
      <c r="D121" s="13" t="s">
        <v>121</v>
      </c>
      <c r="E121" s="13" t="s">
        <v>124</v>
      </c>
      <c r="F121" s="14" t="n">
        <v>3561</v>
      </c>
      <c r="G121" s="14" t="n">
        <v>2991</v>
      </c>
      <c r="H121" s="14" t="n">
        <f aca="false">F121-G121</f>
        <v>570</v>
      </c>
      <c r="I121" s="15" t="n">
        <f aca="false">IF(F121=0,0,G121/F121)</f>
        <v>0.839932603201348</v>
      </c>
    </row>
    <row r="122" customFormat="false" ht="15" hidden="false" customHeight="true" outlineLevel="0" collapsed="false">
      <c r="A122" s="13" t="n">
        <v>2024</v>
      </c>
      <c r="B122" s="13" t="s">
        <v>195</v>
      </c>
      <c r="C122" s="13" t="s">
        <v>968</v>
      </c>
      <c r="D122" s="13" t="s">
        <v>125</v>
      </c>
      <c r="E122" s="13" t="s">
        <v>122</v>
      </c>
      <c r="F122" s="14" t="n">
        <v>2</v>
      </c>
      <c r="G122" s="14" t="n">
        <v>1</v>
      </c>
      <c r="H122" s="14" t="n">
        <f aca="false">F122-G122</f>
        <v>1</v>
      </c>
      <c r="I122" s="15" t="n">
        <f aca="false">IF(F122=0,0,G122/F122)</f>
        <v>0.5</v>
      </c>
    </row>
    <row r="123" customFormat="false" ht="15" hidden="false" customHeight="true" outlineLevel="0" collapsed="false">
      <c r="A123" s="13" t="n">
        <v>2024</v>
      </c>
      <c r="B123" s="13" t="s">
        <v>195</v>
      </c>
      <c r="C123" s="13" t="s">
        <v>968</v>
      </c>
      <c r="D123" s="13" t="s">
        <v>125</v>
      </c>
      <c r="E123" s="13" t="s">
        <v>124</v>
      </c>
      <c r="F123" s="14" t="n">
        <v>1</v>
      </c>
      <c r="G123" s="14" t="n">
        <v>0</v>
      </c>
      <c r="H123" s="14" t="n">
        <f aca="false">F123-G123</f>
        <v>1</v>
      </c>
      <c r="I123" s="15" t="n">
        <f aca="false">IF(F123=0,0,G123/F123)</f>
        <v>0</v>
      </c>
    </row>
    <row r="124" customFormat="false" ht="15" hidden="false" customHeight="true" outlineLevel="0" collapsed="false">
      <c r="A124" s="13" t="n">
        <v>2025</v>
      </c>
      <c r="B124" s="13" t="s">
        <v>955</v>
      </c>
      <c r="C124" s="13" t="s">
        <v>967</v>
      </c>
      <c r="D124" s="13" t="s">
        <v>125</v>
      </c>
      <c r="E124" s="13" t="s">
        <v>122</v>
      </c>
      <c r="F124" s="14" t="n">
        <v>5</v>
      </c>
      <c r="G124" s="14" t="n">
        <v>5</v>
      </c>
      <c r="H124" s="14" t="n">
        <f aca="false">F124-G124</f>
        <v>0</v>
      </c>
      <c r="I124" s="15" t="n">
        <f aca="false">IF(F124=0,0,G124/F124)</f>
        <v>1</v>
      </c>
    </row>
    <row r="125" customFormat="false" ht="15" hidden="false" customHeight="true" outlineLevel="0" collapsed="false">
      <c r="A125" s="13" t="n">
        <v>2025</v>
      </c>
      <c r="B125" s="13" t="s">
        <v>955</v>
      </c>
      <c r="C125" s="13" t="s">
        <v>967</v>
      </c>
      <c r="D125" s="13" t="s">
        <v>125</v>
      </c>
      <c r="E125" s="13" t="s">
        <v>124</v>
      </c>
      <c r="F125" s="14" t="n">
        <v>9</v>
      </c>
      <c r="G125" s="14" t="n">
        <v>9</v>
      </c>
      <c r="H125" s="14" t="n">
        <f aca="false">F125-G125</f>
        <v>0</v>
      </c>
      <c r="I125" s="15" t="n">
        <f aca="false">IF(F125=0,0,G125/F125)</f>
        <v>1</v>
      </c>
    </row>
    <row r="126" customFormat="false" ht="15" hidden="false" customHeight="true" outlineLevel="0" collapsed="false">
      <c r="A126" s="13" t="n">
        <v>2025</v>
      </c>
      <c r="B126" s="13" t="s">
        <v>955</v>
      </c>
      <c r="C126" s="13" t="s">
        <v>203</v>
      </c>
      <c r="D126" s="13" t="s">
        <v>125</v>
      </c>
      <c r="E126" s="13" t="s">
        <v>124</v>
      </c>
      <c r="F126" s="14" t="n">
        <v>2</v>
      </c>
      <c r="G126" s="14" t="n">
        <v>1</v>
      </c>
      <c r="H126" s="14" t="n">
        <f aca="false">F126-G126</f>
        <v>1</v>
      </c>
      <c r="I126" s="15" t="n">
        <f aca="false">IF(F126=0,0,G126/F126)</f>
        <v>0.5</v>
      </c>
    </row>
    <row r="127" customFormat="false" ht="15" hidden="false" customHeight="true" outlineLevel="0" collapsed="false">
      <c r="A127" s="13" t="n">
        <v>2025</v>
      </c>
      <c r="B127" s="13" t="s">
        <v>955</v>
      </c>
      <c r="C127" s="13" t="s">
        <v>203</v>
      </c>
      <c r="D127" s="13" t="s">
        <v>121</v>
      </c>
      <c r="E127" s="13" t="s">
        <v>122</v>
      </c>
      <c r="F127" s="14" t="n">
        <v>4</v>
      </c>
      <c r="G127" s="14" t="n">
        <v>3</v>
      </c>
      <c r="H127" s="14" t="n">
        <f aca="false">F127-G127</f>
        <v>1</v>
      </c>
      <c r="I127" s="15" t="n">
        <f aca="false">IF(F127=0,0,G127/F127)</f>
        <v>0.75</v>
      </c>
    </row>
    <row r="128" customFormat="false" ht="15" hidden="false" customHeight="true" outlineLevel="0" collapsed="false">
      <c r="A128" s="13" t="n">
        <v>2025</v>
      </c>
      <c r="B128" s="13" t="s">
        <v>955</v>
      </c>
      <c r="C128" s="13" t="s">
        <v>203</v>
      </c>
      <c r="D128" s="13" t="s">
        <v>121</v>
      </c>
      <c r="E128" s="13" t="s">
        <v>124</v>
      </c>
      <c r="F128" s="14" t="n">
        <v>17</v>
      </c>
      <c r="G128" s="14" t="n">
        <v>14</v>
      </c>
      <c r="H128" s="14" t="n">
        <f aca="false">F128-G128</f>
        <v>3</v>
      </c>
      <c r="I128" s="15" t="n">
        <f aca="false">IF(F128=0,0,G128/F128)</f>
        <v>0.823529411764706</v>
      </c>
    </row>
    <row r="129" customFormat="false" ht="15" hidden="false" customHeight="true" outlineLevel="0" collapsed="false">
      <c r="A129" s="13" t="n">
        <v>2025</v>
      </c>
      <c r="B129" s="13" t="s">
        <v>955</v>
      </c>
      <c r="C129" s="13" t="s">
        <v>202</v>
      </c>
      <c r="D129" s="13" t="s">
        <v>125</v>
      </c>
      <c r="E129" s="13" t="s">
        <v>122</v>
      </c>
      <c r="F129" s="14" t="n">
        <v>46</v>
      </c>
      <c r="G129" s="14" t="n">
        <v>13</v>
      </c>
      <c r="H129" s="14" t="n">
        <f aca="false">F129-G129</f>
        <v>33</v>
      </c>
      <c r="I129" s="15" t="n">
        <f aca="false">IF(F129=0,0,G129/F129)</f>
        <v>0.282608695652174</v>
      </c>
    </row>
    <row r="130" customFormat="false" ht="15" hidden="false" customHeight="true" outlineLevel="0" collapsed="false">
      <c r="A130" s="13" t="n">
        <v>2025</v>
      </c>
      <c r="B130" s="13" t="s">
        <v>955</v>
      </c>
      <c r="C130" s="13" t="s">
        <v>202</v>
      </c>
      <c r="D130" s="13" t="s">
        <v>125</v>
      </c>
      <c r="E130" s="13" t="s">
        <v>124</v>
      </c>
      <c r="F130" s="14" t="n">
        <v>77</v>
      </c>
      <c r="G130" s="14" t="n">
        <v>25</v>
      </c>
      <c r="H130" s="14" t="n">
        <f aca="false">F130-G130</f>
        <v>52</v>
      </c>
      <c r="I130" s="15" t="n">
        <f aca="false">IF(F130=0,0,G130/F130)</f>
        <v>0.324675324675325</v>
      </c>
    </row>
    <row r="131" customFormat="false" ht="15" hidden="false" customHeight="true" outlineLevel="0" collapsed="false">
      <c r="A131" s="13" t="n">
        <v>2025</v>
      </c>
      <c r="B131" s="13" t="s">
        <v>955</v>
      </c>
      <c r="C131" s="13" t="s">
        <v>202</v>
      </c>
      <c r="D131" s="13" t="s">
        <v>121</v>
      </c>
      <c r="E131" s="13" t="s">
        <v>122</v>
      </c>
      <c r="F131" s="14" t="n">
        <v>398</v>
      </c>
      <c r="G131" s="14" t="n">
        <v>284</v>
      </c>
      <c r="H131" s="14" t="n">
        <f aca="false">F131-G131</f>
        <v>114</v>
      </c>
      <c r="I131" s="15" t="n">
        <f aca="false">IF(F131=0,0,G131/F131)</f>
        <v>0.71356783919598</v>
      </c>
    </row>
    <row r="132" customFormat="false" ht="15" hidden="false" customHeight="true" outlineLevel="0" collapsed="false">
      <c r="A132" s="13" t="n">
        <v>2025</v>
      </c>
      <c r="B132" s="13" t="s">
        <v>955</v>
      </c>
      <c r="C132" s="13" t="s">
        <v>202</v>
      </c>
      <c r="D132" s="13" t="s">
        <v>121</v>
      </c>
      <c r="E132" s="13" t="s">
        <v>124</v>
      </c>
      <c r="F132" s="14" t="n">
        <v>645</v>
      </c>
      <c r="G132" s="14" t="n">
        <v>413</v>
      </c>
      <c r="H132" s="14" t="n">
        <f aca="false">F132-G132</f>
        <v>232</v>
      </c>
      <c r="I132" s="15" t="n">
        <f aca="false">IF(F132=0,0,G132/F132)</f>
        <v>0.64031007751938</v>
      </c>
    </row>
    <row r="133" customFormat="false" ht="15" hidden="false" customHeight="true" outlineLevel="0" collapsed="false">
      <c r="A133" s="13" t="n">
        <v>2025</v>
      </c>
      <c r="B133" s="13" t="s">
        <v>955</v>
      </c>
      <c r="C133" s="13" t="s">
        <v>128</v>
      </c>
      <c r="D133" s="13" t="s">
        <v>125</v>
      </c>
      <c r="E133" s="13" t="s">
        <v>122</v>
      </c>
      <c r="F133" s="14" t="n">
        <v>652</v>
      </c>
      <c r="G133" s="14" t="n">
        <v>387</v>
      </c>
      <c r="H133" s="14" t="n">
        <f aca="false">F133-G133</f>
        <v>265</v>
      </c>
      <c r="I133" s="15" t="n">
        <f aca="false">IF(F133=0,0,G133/F133)</f>
        <v>0.593558282208589</v>
      </c>
    </row>
    <row r="134" customFormat="false" ht="15" hidden="false" customHeight="true" outlineLevel="0" collapsed="false">
      <c r="A134" s="13" t="n">
        <v>2025</v>
      </c>
      <c r="B134" s="13" t="s">
        <v>955</v>
      </c>
      <c r="C134" s="13" t="s">
        <v>128</v>
      </c>
      <c r="D134" s="13" t="s">
        <v>125</v>
      </c>
      <c r="E134" s="13" t="s">
        <v>124</v>
      </c>
      <c r="F134" s="14" t="n">
        <v>781</v>
      </c>
      <c r="G134" s="14" t="n">
        <v>259</v>
      </c>
      <c r="H134" s="14" t="n">
        <f aca="false">F134-G134</f>
        <v>522</v>
      </c>
      <c r="I134" s="15" t="n">
        <f aca="false">IF(F134=0,0,G134/F134)</f>
        <v>0.331626120358515</v>
      </c>
    </row>
    <row r="135" customFormat="false" ht="15" hidden="false" customHeight="true" outlineLevel="0" collapsed="false">
      <c r="A135" s="13" t="n">
        <v>2025</v>
      </c>
      <c r="B135" s="13" t="s">
        <v>955</v>
      </c>
      <c r="C135" s="13" t="s">
        <v>128</v>
      </c>
      <c r="D135" s="13" t="s">
        <v>121</v>
      </c>
      <c r="E135" s="13" t="s">
        <v>122</v>
      </c>
      <c r="F135" s="14" t="n">
        <v>1971</v>
      </c>
      <c r="G135" s="14" t="n">
        <v>1542</v>
      </c>
      <c r="H135" s="14" t="n">
        <f aca="false">F135-G135</f>
        <v>429</v>
      </c>
      <c r="I135" s="15" t="n">
        <f aca="false">IF(F135=0,0,G135/F135)</f>
        <v>0.78234398782344</v>
      </c>
    </row>
    <row r="136" customFormat="false" ht="15" hidden="false" customHeight="true" outlineLevel="0" collapsed="false">
      <c r="A136" s="13" t="n">
        <v>2025</v>
      </c>
      <c r="B136" s="13" t="s">
        <v>955</v>
      </c>
      <c r="C136" s="13" t="s">
        <v>128</v>
      </c>
      <c r="D136" s="13" t="s">
        <v>121</v>
      </c>
      <c r="E136" s="13" t="s">
        <v>124</v>
      </c>
      <c r="F136" s="14" t="n">
        <v>1657</v>
      </c>
      <c r="G136" s="14" t="n">
        <v>844</v>
      </c>
      <c r="H136" s="14" t="n">
        <f aca="false">F136-G136</f>
        <v>813</v>
      </c>
      <c r="I136" s="15" t="n">
        <f aca="false">IF(F136=0,0,G136/F136)</f>
        <v>0.509354254677127</v>
      </c>
    </row>
    <row r="137" customFormat="false" ht="15" hidden="false" customHeight="true" outlineLevel="0" collapsed="false">
      <c r="A137" s="13" t="n">
        <v>2025</v>
      </c>
      <c r="B137" s="13" t="s">
        <v>955</v>
      </c>
      <c r="C137" s="13" t="s">
        <v>126</v>
      </c>
      <c r="D137" s="13" t="s">
        <v>125</v>
      </c>
      <c r="E137" s="13" t="s">
        <v>122</v>
      </c>
      <c r="F137" s="14" t="n">
        <v>8</v>
      </c>
      <c r="G137" s="14" t="n">
        <v>4</v>
      </c>
      <c r="H137" s="14" t="n">
        <f aca="false">F137-G137</f>
        <v>4</v>
      </c>
      <c r="I137" s="15" t="n">
        <f aca="false">IF(F137=0,0,G137/F137)</f>
        <v>0.5</v>
      </c>
    </row>
    <row r="138" customFormat="false" ht="15" hidden="false" customHeight="true" outlineLevel="0" collapsed="false">
      <c r="A138" s="13" t="n">
        <v>2025</v>
      </c>
      <c r="B138" s="13" t="s">
        <v>955</v>
      </c>
      <c r="C138" s="13" t="s">
        <v>126</v>
      </c>
      <c r="D138" s="13" t="s">
        <v>125</v>
      </c>
      <c r="E138" s="13" t="s">
        <v>124</v>
      </c>
      <c r="F138" s="14" t="n">
        <v>21</v>
      </c>
      <c r="G138" s="14" t="n">
        <v>9</v>
      </c>
      <c r="H138" s="14" t="n">
        <f aca="false">F138-G138</f>
        <v>12</v>
      </c>
      <c r="I138" s="15" t="n">
        <f aca="false">IF(F138=0,0,G138/F138)</f>
        <v>0.428571428571429</v>
      </c>
    </row>
    <row r="139" customFormat="false" ht="15" hidden="false" customHeight="true" outlineLevel="0" collapsed="false">
      <c r="A139" s="13" t="n">
        <v>2025</v>
      </c>
      <c r="B139" s="13" t="s">
        <v>955</v>
      </c>
      <c r="C139" s="13" t="s">
        <v>126</v>
      </c>
      <c r="D139" s="13" t="s">
        <v>121</v>
      </c>
      <c r="E139" s="13" t="s">
        <v>122</v>
      </c>
      <c r="F139" s="14" t="n">
        <v>97</v>
      </c>
      <c r="G139" s="14" t="n">
        <v>94</v>
      </c>
      <c r="H139" s="14" t="n">
        <f aca="false">F139-G139</f>
        <v>3</v>
      </c>
      <c r="I139" s="15" t="n">
        <f aca="false">IF(F139=0,0,G139/F139)</f>
        <v>0.969072164948454</v>
      </c>
    </row>
    <row r="140" customFormat="false" ht="15" hidden="false" customHeight="true" outlineLevel="0" collapsed="false">
      <c r="A140" s="13" t="n">
        <v>2025</v>
      </c>
      <c r="B140" s="13" t="s">
        <v>955</v>
      </c>
      <c r="C140" s="13" t="s">
        <v>126</v>
      </c>
      <c r="D140" s="13" t="s">
        <v>121</v>
      </c>
      <c r="E140" s="13" t="s">
        <v>124</v>
      </c>
      <c r="F140" s="14" t="n">
        <v>165</v>
      </c>
      <c r="G140" s="14" t="n">
        <v>137</v>
      </c>
      <c r="H140" s="14" t="n">
        <f aca="false">F140-G140</f>
        <v>28</v>
      </c>
      <c r="I140" s="15" t="n">
        <f aca="false">IF(F140=0,0,G140/F140)</f>
        <v>0.83030303030303</v>
      </c>
    </row>
    <row r="141" customFormat="false" ht="15" hidden="false" customHeight="true" outlineLevel="0" collapsed="false">
      <c r="A141" s="13" t="n">
        <v>2025</v>
      </c>
      <c r="B141" s="13" t="s">
        <v>955</v>
      </c>
      <c r="C141" s="13" t="s">
        <v>123</v>
      </c>
      <c r="D141" s="13" t="s">
        <v>125</v>
      </c>
      <c r="E141" s="13" t="s">
        <v>122</v>
      </c>
      <c r="F141" s="14" t="n">
        <v>247</v>
      </c>
      <c r="G141" s="14" t="n">
        <v>186</v>
      </c>
      <c r="H141" s="14" t="n">
        <f aca="false">F141-G141</f>
        <v>61</v>
      </c>
      <c r="I141" s="15" t="n">
        <f aca="false">IF(F141=0,0,G141/F141)</f>
        <v>0.753036437246964</v>
      </c>
    </row>
    <row r="142" customFormat="false" ht="15" hidden="false" customHeight="true" outlineLevel="0" collapsed="false">
      <c r="A142" s="13" t="n">
        <v>2025</v>
      </c>
      <c r="B142" s="13" t="s">
        <v>955</v>
      </c>
      <c r="C142" s="13" t="s">
        <v>123</v>
      </c>
      <c r="D142" s="13" t="s">
        <v>125</v>
      </c>
      <c r="E142" s="13" t="s">
        <v>124</v>
      </c>
      <c r="F142" s="14" t="n">
        <v>174</v>
      </c>
      <c r="G142" s="14" t="n">
        <v>106</v>
      </c>
      <c r="H142" s="14" t="n">
        <f aca="false">F142-G142</f>
        <v>68</v>
      </c>
      <c r="I142" s="15" t="n">
        <f aca="false">IF(F142=0,0,G142/F142)</f>
        <v>0.609195402298851</v>
      </c>
    </row>
    <row r="143" customFormat="false" ht="15" hidden="false" customHeight="true" outlineLevel="0" collapsed="false">
      <c r="A143" s="13" t="n">
        <v>2025</v>
      </c>
      <c r="B143" s="13" t="s">
        <v>955</v>
      </c>
      <c r="C143" s="13" t="s">
        <v>123</v>
      </c>
      <c r="D143" s="13" t="s">
        <v>121</v>
      </c>
      <c r="E143" s="13" t="s">
        <v>122</v>
      </c>
      <c r="F143" s="14" t="n">
        <v>1173</v>
      </c>
      <c r="G143" s="14" t="n">
        <v>1023</v>
      </c>
      <c r="H143" s="14" t="n">
        <f aca="false">F143-G143</f>
        <v>150</v>
      </c>
      <c r="I143" s="15" t="n">
        <f aca="false">IF(F143=0,0,G143/F143)</f>
        <v>0.872122762148338</v>
      </c>
    </row>
    <row r="144" customFormat="false" ht="15" hidden="false" customHeight="true" outlineLevel="0" collapsed="false">
      <c r="A144" s="13" t="n">
        <v>2025</v>
      </c>
      <c r="B144" s="13" t="s">
        <v>955</v>
      </c>
      <c r="C144" s="13" t="s">
        <v>123</v>
      </c>
      <c r="D144" s="13" t="s">
        <v>121</v>
      </c>
      <c r="E144" s="13" t="s">
        <v>124</v>
      </c>
      <c r="F144" s="14" t="n">
        <v>635</v>
      </c>
      <c r="G144" s="14" t="n">
        <v>537</v>
      </c>
      <c r="H144" s="14" t="n">
        <f aca="false">F144-G144</f>
        <v>98</v>
      </c>
      <c r="I144" s="15" t="n">
        <f aca="false">IF(F144=0,0,G144/F144)</f>
        <v>0.845669291338583</v>
      </c>
    </row>
    <row r="145" customFormat="false" ht="15" hidden="false" customHeight="true" outlineLevel="0" collapsed="false">
      <c r="A145" s="13" t="n">
        <v>2025</v>
      </c>
      <c r="B145" s="13" t="s">
        <v>955</v>
      </c>
      <c r="C145" s="13" t="s">
        <v>968</v>
      </c>
      <c r="D145" s="13" t="s">
        <v>125</v>
      </c>
      <c r="E145" s="13" t="s">
        <v>124</v>
      </c>
      <c r="F145" s="14" t="n">
        <v>1</v>
      </c>
      <c r="G145" s="14" t="n">
        <v>0</v>
      </c>
      <c r="H145" s="14" t="n">
        <f aca="false">F145-G145</f>
        <v>1</v>
      </c>
      <c r="I145" s="15" t="n">
        <f aca="false">IF(F145=0,0,G145/F145)</f>
        <v>0</v>
      </c>
    </row>
    <row r="146" customFormat="false" ht="15" hidden="false" customHeight="true" outlineLevel="0" collapsed="false">
      <c r="A146" s="13" t="n">
        <v>2025</v>
      </c>
      <c r="B146" s="13" t="s">
        <v>958</v>
      </c>
      <c r="C146" s="13" t="s">
        <v>967</v>
      </c>
      <c r="D146" s="13" t="s">
        <v>125</v>
      </c>
      <c r="E146" s="13" t="s">
        <v>122</v>
      </c>
      <c r="F146" s="14" t="n">
        <v>5</v>
      </c>
      <c r="G146" s="14" t="n">
        <v>3</v>
      </c>
      <c r="H146" s="14" t="n">
        <f aca="false">F146-G146</f>
        <v>2</v>
      </c>
      <c r="I146" s="15" t="n">
        <f aca="false">IF(F146=0,0,G146/F146)</f>
        <v>0.6</v>
      </c>
    </row>
    <row r="147" customFormat="false" ht="15" hidden="false" customHeight="true" outlineLevel="0" collapsed="false">
      <c r="A147" s="13" t="n">
        <v>2025</v>
      </c>
      <c r="B147" s="13" t="s">
        <v>958</v>
      </c>
      <c r="C147" s="13" t="s">
        <v>967</v>
      </c>
      <c r="D147" s="13" t="s">
        <v>125</v>
      </c>
      <c r="E147" s="13" t="s">
        <v>124</v>
      </c>
      <c r="F147" s="14" t="n">
        <v>10</v>
      </c>
      <c r="G147" s="14" t="n">
        <v>7</v>
      </c>
      <c r="H147" s="14" t="n">
        <f aca="false">F147-G147</f>
        <v>3</v>
      </c>
      <c r="I147" s="15" t="n">
        <f aca="false">IF(F147=0,0,G147/F147)</f>
        <v>0.7</v>
      </c>
    </row>
    <row r="148" customFormat="false" ht="15" hidden="false" customHeight="true" outlineLevel="0" collapsed="false">
      <c r="A148" s="13" t="n">
        <v>2025</v>
      </c>
      <c r="B148" s="13" t="s">
        <v>958</v>
      </c>
      <c r="C148" s="13" t="s">
        <v>203</v>
      </c>
      <c r="D148" s="13" t="s">
        <v>125</v>
      </c>
      <c r="E148" s="13" t="s">
        <v>124</v>
      </c>
      <c r="F148" s="14" t="n">
        <v>1</v>
      </c>
      <c r="G148" s="14" t="n">
        <v>1</v>
      </c>
      <c r="H148" s="14" t="n">
        <f aca="false">F148-G148</f>
        <v>0</v>
      </c>
      <c r="I148" s="15" t="n">
        <f aca="false">IF(F148=0,0,G148/F148)</f>
        <v>1</v>
      </c>
    </row>
    <row r="149" customFormat="false" ht="15" hidden="false" customHeight="true" outlineLevel="0" collapsed="false">
      <c r="A149" s="13" t="n">
        <v>2025</v>
      </c>
      <c r="B149" s="13" t="s">
        <v>958</v>
      </c>
      <c r="C149" s="13" t="s">
        <v>203</v>
      </c>
      <c r="D149" s="13" t="s">
        <v>121</v>
      </c>
      <c r="E149" s="13" t="s">
        <v>124</v>
      </c>
      <c r="F149" s="14" t="n">
        <v>13</v>
      </c>
      <c r="G149" s="14" t="n">
        <v>9</v>
      </c>
      <c r="H149" s="14" t="n">
        <f aca="false">F149-G149</f>
        <v>4</v>
      </c>
      <c r="I149" s="15" t="n">
        <f aca="false">IF(F149=0,0,G149/F149)</f>
        <v>0.692307692307692</v>
      </c>
    </row>
    <row r="150" customFormat="false" ht="15" hidden="false" customHeight="true" outlineLevel="0" collapsed="false">
      <c r="A150" s="13" t="n">
        <v>2025</v>
      </c>
      <c r="B150" s="13" t="s">
        <v>958</v>
      </c>
      <c r="C150" s="13" t="s">
        <v>202</v>
      </c>
      <c r="D150" s="13" t="s">
        <v>125</v>
      </c>
      <c r="E150" s="13" t="s">
        <v>122</v>
      </c>
      <c r="F150" s="14" t="n">
        <v>121</v>
      </c>
      <c r="G150" s="14" t="n">
        <v>44</v>
      </c>
      <c r="H150" s="14" t="n">
        <f aca="false">F150-G150</f>
        <v>77</v>
      </c>
      <c r="I150" s="15" t="n">
        <f aca="false">IF(F150=0,0,G150/F150)</f>
        <v>0.363636363636364</v>
      </c>
    </row>
    <row r="151" customFormat="false" ht="15" hidden="false" customHeight="true" outlineLevel="0" collapsed="false">
      <c r="A151" s="13" t="n">
        <v>2025</v>
      </c>
      <c r="B151" s="13" t="s">
        <v>958</v>
      </c>
      <c r="C151" s="13" t="s">
        <v>202</v>
      </c>
      <c r="D151" s="13" t="s">
        <v>125</v>
      </c>
      <c r="E151" s="13" t="s">
        <v>124</v>
      </c>
      <c r="F151" s="14" t="n">
        <v>93</v>
      </c>
      <c r="G151" s="14" t="n">
        <v>27</v>
      </c>
      <c r="H151" s="14" t="n">
        <f aca="false">F151-G151</f>
        <v>66</v>
      </c>
      <c r="I151" s="15" t="n">
        <f aca="false">IF(F151=0,0,G151/F151)</f>
        <v>0.290322580645161</v>
      </c>
    </row>
    <row r="152" customFormat="false" ht="15" hidden="false" customHeight="true" outlineLevel="0" collapsed="false">
      <c r="A152" s="13" t="n">
        <v>2025</v>
      </c>
      <c r="B152" s="13" t="s">
        <v>958</v>
      </c>
      <c r="C152" s="13" t="s">
        <v>202</v>
      </c>
      <c r="D152" s="13" t="s">
        <v>121</v>
      </c>
      <c r="E152" s="13" t="s">
        <v>122</v>
      </c>
      <c r="F152" s="14" t="n">
        <v>782</v>
      </c>
      <c r="G152" s="14" t="n">
        <v>649</v>
      </c>
      <c r="H152" s="14" t="n">
        <f aca="false">F152-G152</f>
        <v>133</v>
      </c>
      <c r="I152" s="15" t="n">
        <f aca="false">IF(F152=0,0,G152/F152)</f>
        <v>0.829923273657289</v>
      </c>
    </row>
    <row r="153" customFormat="false" ht="15" hidden="false" customHeight="true" outlineLevel="0" collapsed="false">
      <c r="A153" s="13" t="n">
        <v>2025</v>
      </c>
      <c r="B153" s="13" t="s">
        <v>958</v>
      </c>
      <c r="C153" s="13" t="s">
        <v>202</v>
      </c>
      <c r="D153" s="13" t="s">
        <v>121</v>
      </c>
      <c r="E153" s="13" t="s">
        <v>124</v>
      </c>
      <c r="F153" s="14" t="n">
        <v>759</v>
      </c>
      <c r="G153" s="14" t="n">
        <v>501</v>
      </c>
      <c r="H153" s="14" t="n">
        <f aca="false">F153-G153</f>
        <v>258</v>
      </c>
      <c r="I153" s="15" t="n">
        <f aca="false">IF(F153=0,0,G153/F153)</f>
        <v>0.660079051383399</v>
      </c>
    </row>
    <row r="154" customFormat="false" ht="15" hidden="false" customHeight="true" outlineLevel="0" collapsed="false">
      <c r="A154" s="13" t="n">
        <v>2025</v>
      </c>
      <c r="B154" s="13" t="s">
        <v>958</v>
      </c>
      <c r="C154" s="13" t="s">
        <v>128</v>
      </c>
      <c r="D154" s="13" t="s">
        <v>125</v>
      </c>
      <c r="E154" s="13" t="s">
        <v>122</v>
      </c>
      <c r="F154" s="14" t="n">
        <v>656</v>
      </c>
      <c r="G154" s="14" t="n">
        <v>426</v>
      </c>
      <c r="H154" s="14" t="n">
        <f aca="false">F154-G154</f>
        <v>230</v>
      </c>
      <c r="I154" s="15" t="n">
        <f aca="false">IF(F154=0,0,G154/F154)</f>
        <v>0.649390243902439</v>
      </c>
    </row>
    <row r="155" customFormat="false" ht="15" hidden="false" customHeight="true" outlineLevel="0" collapsed="false">
      <c r="A155" s="13" t="n">
        <v>2025</v>
      </c>
      <c r="B155" s="13" t="s">
        <v>958</v>
      </c>
      <c r="C155" s="13" t="s">
        <v>128</v>
      </c>
      <c r="D155" s="13" t="s">
        <v>125</v>
      </c>
      <c r="E155" s="13" t="s">
        <v>124</v>
      </c>
      <c r="F155" s="14" t="n">
        <v>482</v>
      </c>
      <c r="G155" s="14" t="n">
        <v>150</v>
      </c>
      <c r="H155" s="14" t="n">
        <f aca="false">F155-G155</f>
        <v>332</v>
      </c>
      <c r="I155" s="15" t="n">
        <f aca="false">IF(F155=0,0,G155/F155)</f>
        <v>0.311203319502075</v>
      </c>
    </row>
    <row r="156" customFormat="false" ht="15" hidden="false" customHeight="true" outlineLevel="0" collapsed="false">
      <c r="A156" s="13" t="n">
        <v>2025</v>
      </c>
      <c r="B156" s="13" t="s">
        <v>958</v>
      </c>
      <c r="C156" s="13" t="s">
        <v>128</v>
      </c>
      <c r="D156" s="13" t="s">
        <v>121</v>
      </c>
      <c r="E156" s="13" t="s">
        <v>122</v>
      </c>
      <c r="F156" s="14" t="n">
        <v>1561</v>
      </c>
      <c r="G156" s="14" t="n">
        <v>1196</v>
      </c>
      <c r="H156" s="14" t="n">
        <f aca="false">F156-G156</f>
        <v>365</v>
      </c>
      <c r="I156" s="15" t="n">
        <f aca="false">IF(F156=0,0,G156/F156)</f>
        <v>0.766175528507367</v>
      </c>
    </row>
    <row r="157" customFormat="false" ht="15" hidden="false" customHeight="true" outlineLevel="0" collapsed="false">
      <c r="A157" s="13" t="n">
        <v>2025</v>
      </c>
      <c r="B157" s="13" t="s">
        <v>958</v>
      </c>
      <c r="C157" s="13" t="s">
        <v>128</v>
      </c>
      <c r="D157" s="13" t="s">
        <v>121</v>
      </c>
      <c r="E157" s="13" t="s">
        <v>124</v>
      </c>
      <c r="F157" s="14" t="n">
        <v>1008</v>
      </c>
      <c r="G157" s="14" t="n">
        <v>500</v>
      </c>
      <c r="H157" s="14" t="n">
        <f aca="false">F157-G157</f>
        <v>508</v>
      </c>
      <c r="I157" s="15" t="n">
        <f aca="false">IF(F157=0,0,G157/F157)</f>
        <v>0.496031746031746</v>
      </c>
    </row>
    <row r="158" customFormat="false" ht="15" hidden="false" customHeight="true" outlineLevel="0" collapsed="false">
      <c r="A158" s="13" t="n">
        <v>2025</v>
      </c>
      <c r="B158" s="13" t="s">
        <v>958</v>
      </c>
      <c r="C158" s="13" t="s">
        <v>126</v>
      </c>
      <c r="D158" s="13" t="s">
        <v>125</v>
      </c>
      <c r="E158" s="13" t="s">
        <v>122</v>
      </c>
      <c r="F158" s="14" t="n">
        <v>8</v>
      </c>
      <c r="G158" s="14" t="n">
        <v>3</v>
      </c>
      <c r="H158" s="14" t="n">
        <f aca="false">F158-G158</f>
        <v>5</v>
      </c>
      <c r="I158" s="15" t="n">
        <f aca="false">IF(F158=0,0,G158/F158)</f>
        <v>0.375</v>
      </c>
    </row>
    <row r="159" customFormat="false" ht="15" hidden="false" customHeight="true" outlineLevel="0" collapsed="false">
      <c r="A159" s="13" t="n">
        <v>2025</v>
      </c>
      <c r="B159" s="13" t="s">
        <v>958</v>
      </c>
      <c r="C159" s="13" t="s">
        <v>126</v>
      </c>
      <c r="D159" s="13" t="s">
        <v>125</v>
      </c>
      <c r="E159" s="13" t="s">
        <v>124</v>
      </c>
      <c r="F159" s="14" t="n">
        <v>23</v>
      </c>
      <c r="G159" s="14" t="n">
        <v>6</v>
      </c>
      <c r="H159" s="14" t="n">
        <f aca="false">F159-G159</f>
        <v>17</v>
      </c>
      <c r="I159" s="15" t="n">
        <f aca="false">IF(F159=0,0,G159/F159)</f>
        <v>0.260869565217391</v>
      </c>
    </row>
    <row r="160" customFormat="false" ht="15" hidden="false" customHeight="true" outlineLevel="0" collapsed="false">
      <c r="A160" s="13" t="n">
        <v>2025</v>
      </c>
      <c r="B160" s="13" t="s">
        <v>958</v>
      </c>
      <c r="C160" s="13" t="s">
        <v>126</v>
      </c>
      <c r="D160" s="13" t="s">
        <v>121</v>
      </c>
      <c r="E160" s="13" t="s">
        <v>122</v>
      </c>
      <c r="F160" s="14" t="n">
        <v>149</v>
      </c>
      <c r="G160" s="14" t="n">
        <v>134</v>
      </c>
      <c r="H160" s="14" t="n">
        <f aca="false">F160-G160</f>
        <v>15</v>
      </c>
      <c r="I160" s="15" t="n">
        <f aca="false">IF(F160=0,0,G160/F160)</f>
        <v>0.899328859060403</v>
      </c>
    </row>
    <row r="161" customFormat="false" ht="15" hidden="false" customHeight="true" outlineLevel="0" collapsed="false">
      <c r="A161" s="13" t="n">
        <v>2025</v>
      </c>
      <c r="B161" s="13" t="s">
        <v>958</v>
      </c>
      <c r="C161" s="13" t="s">
        <v>126</v>
      </c>
      <c r="D161" s="13" t="s">
        <v>121</v>
      </c>
      <c r="E161" s="13" t="s">
        <v>124</v>
      </c>
      <c r="F161" s="14" t="n">
        <v>232</v>
      </c>
      <c r="G161" s="14" t="n">
        <v>207</v>
      </c>
      <c r="H161" s="14" t="n">
        <f aca="false">F161-G161</f>
        <v>25</v>
      </c>
      <c r="I161" s="15" t="n">
        <f aca="false">IF(F161=0,0,G161/F161)</f>
        <v>0.892241379310345</v>
      </c>
    </row>
    <row r="162" customFormat="false" ht="15" hidden="false" customHeight="true" outlineLevel="0" collapsed="false">
      <c r="A162" s="13" t="n">
        <v>2025</v>
      </c>
      <c r="B162" s="13" t="s">
        <v>958</v>
      </c>
      <c r="C162" s="13" t="s">
        <v>123</v>
      </c>
      <c r="D162" s="13" t="s">
        <v>125</v>
      </c>
      <c r="E162" s="13" t="s">
        <v>122</v>
      </c>
      <c r="F162" s="14" t="n">
        <v>159</v>
      </c>
      <c r="G162" s="14" t="n">
        <v>116</v>
      </c>
      <c r="H162" s="14" t="n">
        <f aca="false">F162-G162</f>
        <v>43</v>
      </c>
      <c r="I162" s="15" t="n">
        <f aca="false">IF(F162=0,0,G162/F162)</f>
        <v>0.729559748427673</v>
      </c>
    </row>
    <row r="163" customFormat="false" ht="15" hidden="false" customHeight="true" outlineLevel="0" collapsed="false">
      <c r="A163" s="13" t="n">
        <v>2025</v>
      </c>
      <c r="B163" s="13" t="s">
        <v>958</v>
      </c>
      <c r="C163" s="13" t="s">
        <v>123</v>
      </c>
      <c r="D163" s="13" t="s">
        <v>125</v>
      </c>
      <c r="E163" s="13" t="s">
        <v>124</v>
      </c>
      <c r="F163" s="14" t="n">
        <v>69</v>
      </c>
      <c r="G163" s="14" t="n">
        <v>48</v>
      </c>
      <c r="H163" s="14" t="n">
        <f aca="false">F163-G163</f>
        <v>21</v>
      </c>
      <c r="I163" s="15" t="n">
        <f aca="false">IF(F163=0,0,G163/F163)</f>
        <v>0.695652173913044</v>
      </c>
    </row>
    <row r="164" customFormat="false" ht="15" hidden="false" customHeight="true" outlineLevel="0" collapsed="false">
      <c r="A164" s="13" t="n">
        <v>2025</v>
      </c>
      <c r="B164" s="13" t="s">
        <v>958</v>
      </c>
      <c r="C164" s="13" t="s">
        <v>123</v>
      </c>
      <c r="D164" s="13" t="s">
        <v>121</v>
      </c>
      <c r="E164" s="13" t="s">
        <v>122</v>
      </c>
      <c r="F164" s="14" t="n">
        <v>963</v>
      </c>
      <c r="G164" s="14" t="n">
        <v>886</v>
      </c>
      <c r="H164" s="14" t="n">
        <f aca="false">F164-G164</f>
        <v>77</v>
      </c>
      <c r="I164" s="15" t="n">
        <f aca="false">IF(F164=0,0,G164/F164)</f>
        <v>0.920041536863967</v>
      </c>
    </row>
    <row r="165" customFormat="false" ht="15" hidden="false" customHeight="true" outlineLevel="0" collapsed="false">
      <c r="A165" s="13" t="n">
        <v>2025</v>
      </c>
      <c r="B165" s="13" t="s">
        <v>958</v>
      </c>
      <c r="C165" s="13" t="s">
        <v>123</v>
      </c>
      <c r="D165" s="13" t="s">
        <v>121</v>
      </c>
      <c r="E165" s="13" t="s">
        <v>124</v>
      </c>
      <c r="F165" s="14" t="n">
        <v>273</v>
      </c>
      <c r="G165" s="14" t="n">
        <v>240</v>
      </c>
      <c r="H165" s="14" t="n">
        <f aca="false">F165-G165</f>
        <v>33</v>
      </c>
      <c r="I165" s="15" t="n">
        <f aca="false">IF(F165=0,0,G165/F165)</f>
        <v>0.879120879120879</v>
      </c>
    </row>
    <row r="166" customFormat="false" ht="15" hidden="false" customHeight="true" outlineLevel="0" collapsed="false">
      <c r="A166" s="13" t="n">
        <v>2025</v>
      </c>
      <c r="B166" s="13" t="s">
        <v>959</v>
      </c>
      <c r="C166" s="13" t="s">
        <v>967</v>
      </c>
      <c r="D166" s="13" t="s">
        <v>125</v>
      </c>
      <c r="E166" s="13" t="s">
        <v>122</v>
      </c>
      <c r="F166" s="14" t="n">
        <v>9</v>
      </c>
      <c r="G166" s="14" t="n">
        <v>6</v>
      </c>
      <c r="H166" s="14" t="n">
        <f aca="false">F166-G166</f>
        <v>3</v>
      </c>
      <c r="I166" s="15" t="n">
        <f aca="false">IF(F166=0,0,G166/F166)</f>
        <v>0.666666666666667</v>
      </c>
    </row>
    <row r="167" customFormat="false" ht="15" hidden="false" customHeight="true" outlineLevel="0" collapsed="false">
      <c r="A167" s="13" t="n">
        <v>2025</v>
      </c>
      <c r="B167" s="13" t="s">
        <v>959</v>
      </c>
      <c r="C167" s="13" t="s">
        <v>967</v>
      </c>
      <c r="D167" s="13" t="s">
        <v>125</v>
      </c>
      <c r="E167" s="13" t="s">
        <v>124</v>
      </c>
      <c r="F167" s="14" t="n">
        <v>7</v>
      </c>
      <c r="G167" s="14" t="n">
        <v>4</v>
      </c>
      <c r="H167" s="14" t="n">
        <f aca="false">F167-G167</f>
        <v>3</v>
      </c>
      <c r="I167" s="15" t="n">
        <f aca="false">IF(F167=0,0,G167/F167)</f>
        <v>0.571428571428571</v>
      </c>
    </row>
    <row r="168" customFormat="false" ht="15" hidden="false" customHeight="true" outlineLevel="0" collapsed="false">
      <c r="A168" s="13" t="n">
        <v>2025</v>
      </c>
      <c r="B168" s="13" t="s">
        <v>959</v>
      </c>
      <c r="C168" s="13" t="s">
        <v>203</v>
      </c>
      <c r="D168" s="13" t="s">
        <v>125</v>
      </c>
      <c r="E168" s="13" t="s">
        <v>122</v>
      </c>
      <c r="F168" s="14" t="n">
        <v>1</v>
      </c>
      <c r="G168" s="14" t="n">
        <v>1</v>
      </c>
      <c r="H168" s="14" t="n">
        <f aca="false">F168-G168</f>
        <v>0</v>
      </c>
      <c r="I168" s="15" t="n">
        <f aca="false">IF(F168=0,0,G168/F168)</f>
        <v>1</v>
      </c>
    </row>
    <row r="169" customFormat="false" ht="15" hidden="false" customHeight="true" outlineLevel="0" collapsed="false">
      <c r="A169" s="13" t="n">
        <v>2025</v>
      </c>
      <c r="B169" s="13" t="s">
        <v>959</v>
      </c>
      <c r="C169" s="13" t="s">
        <v>203</v>
      </c>
      <c r="D169" s="13" t="s">
        <v>125</v>
      </c>
      <c r="E169" s="13" t="s">
        <v>124</v>
      </c>
      <c r="F169" s="14" t="n">
        <v>5</v>
      </c>
      <c r="G169" s="14" t="n">
        <v>2</v>
      </c>
      <c r="H169" s="14" t="n">
        <f aca="false">F169-G169</f>
        <v>3</v>
      </c>
      <c r="I169" s="15" t="n">
        <f aca="false">IF(F169=0,0,G169/F169)</f>
        <v>0.4</v>
      </c>
    </row>
    <row r="170" customFormat="false" ht="15" hidden="false" customHeight="true" outlineLevel="0" collapsed="false">
      <c r="A170" s="13" t="n">
        <v>2025</v>
      </c>
      <c r="B170" s="13" t="s">
        <v>959</v>
      </c>
      <c r="C170" s="13" t="s">
        <v>203</v>
      </c>
      <c r="D170" s="13" t="s">
        <v>121</v>
      </c>
      <c r="E170" s="13" t="s">
        <v>122</v>
      </c>
      <c r="F170" s="14" t="n">
        <v>36</v>
      </c>
      <c r="G170" s="14" t="n">
        <v>33</v>
      </c>
      <c r="H170" s="14" t="n">
        <f aca="false">F170-G170</f>
        <v>3</v>
      </c>
      <c r="I170" s="15" t="n">
        <f aca="false">IF(F170=0,0,G170/F170)</f>
        <v>0.916666666666667</v>
      </c>
    </row>
    <row r="171" customFormat="false" ht="15" hidden="false" customHeight="true" outlineLevel="0" collapsed="false">
      <c r="A171" s="13" t="n">
        <v>2025</v>
      </c>
      <c r="B171" s="13" t="s">
        <v>959</v>
      </c>
      <c r="C171" s="13" t="s">
        <v>203</v>
      </c>
      <c r="D171" s="13" t="s">
        <v>121</v>
      </c>
      <c r="E171" s="13" t="s">
        <v>124</v>
      </c>
      <c r="F171" s="14" t="n">
        <v>16</v>
      </c>
      <c r="G171" s="14" t="n">
        <v>11</v>
      </c>
      <c r="H171" s="14" t="n">
        <f aca="false">F171-G171</f>
        <v>5</v>
      </c>
      <c r="I171" s="15" t="n">
        <f aca="false">IF(F171=0,0,G171/F171)</f>
        <v>0.6875</v>
      </c>
    </row>
    <row r="172" customFormat="false" ht="15" hidden="false" customHeight="true" outlineLevel="0" collapsed="false">
      <c r="A172" s="13" t="n">
        <v>2025</v>
      </c>
      <c r="B172" s="13" t="s">
        <v>959</v>
      </c>
      <c r="C172" s="13" t="s">
        <v>202</v>
      </c>
      <c r="D172" s="13" t="s">
        <v>125</v>
      </c>
      <c r="E172" s="13" t="s">
        <v>122</v>
      </c>
      <c r="F172" s="14" t="n">
        <v>71</v>
      </c>
      <c r="G172" s="14" t="n">
        <v>29</v>
      </c>
      <c r="H172" s="14" t="n">
        <f aca="false">F172-G172</f>
        <v>42</v>
      </c>
      <c r="I172" s="15" t="n">
        <f aca="false">IF(F172=0,0,G172/F172)</f>
        <v>0.408450704225352</v>
      </c>
    </row>
    <row r="173" customFormat="false" ht="15" hidden="false" customHeight="true" outlineLevel="0" collapsed="false">
      <c r="A173" s="13" t="n">
        <v>2025</v>
      </c>
      <c r="B173" s="13" t="s">
        <v>959</v>
      </c>
      <c r="C173" s="13" t="s">
        <v>202</v>
      </c>
      <c r="D173" s="13" t="s">
        <v>125</v>
      </c>
      <c r="E173" s="13" t="s">
        <v>124</v>
      </c>
      <c r="F173" s="14" t="n">
        <v>167</v>
      </c>
      <c r="G173" s="14" t="n">
        <v>61</v>
      </c>
      <c r="H173" s="14" t="n">
        <f aca="false">F173-G173</f>
        <v>106</v>
      </c>
      <c r="I173" s="15" t="n">
        <f aca="false">IF(F173=0,0,G173/F173)</f>
        <v>0.365269461077844</v>
      </c>
    </row>
    <row r="174" customFormat="false" ht="15" hidden="false" customHeight="true" outlineLevel="0" collapsed="false">
      <c r="A174" s="13" t="n">
        <v>2025</v>
      </c>
      <c r="B174" s="13" t="s">
        <v>959</v>
      </c>
      <c r="C174" s="13" t="s">
        <v>202</v>
      </c>
      <c r="D174" s="13" t="s">
        <v>121</v>
      </c>
      <c r="E174" s="13" t="s">
        <v>122</v>
      </c>
      <c r="F174" s="14" t="n">
        <v>672</v>
      </c>
      <c r="G174" s="14" t="n">
        <v>491</v>
      </c>
      <c r="H174" s="14" t="n">
        <f aca="false">F174-G174</f>
        <v>181</v>
      </c>
      <c r="I174" s="15" t="n">
        <f aca="false">IF(F174=0,0,G174/F174)</f>
        <v>0.730654761904762</v>
      </c>
    </row>
    <row r="175" customFormat="false" ht="15" hidden="false" customHeight="true" outlineLevel="0" collapsed="false">
      <c r="A175" s="13" t="n">
        <v>2025</v>
      </c>
      <c r="B175" s="13" t="s">
        <v>959</v>
      </c>
      <c r="C175" s="13" t="s">
        <v>202</v>
      </c>
      <c r="D175" s="13" t="s">
        <v>121</v>
      </c>
      <c r="E175" s="13" t="s">
        <v>124</v>
      </c>
      <c r="F175" s="14" t="n">
        <v>953</v>
      </c>
      <c r="G175" s="14" t="n">
        <v>591</v>
      </c>
      <c r="H175" s="14" t="n">
        <f aca="false">F175-G175</f>
        <v>362</v>
      </c>
      <c r="I175" s="15" t="n">
        <f aca="false">IF(F175=0,0,G175/F175)</f>
        <v>0.620146904512067</v>
      </c>
    </row>
    <row r="176" customFormat="false" ht="15" hidden="false" customHeight="true" outlineLevel="0" collapsed="false">
      <c r="A176" s="13" t="n">
        <v>2025</v>
      </c>
      <c r="B176" s="13" t="s">
        <v>959</v>
      </c>
      <c r="C176" s="13" t="s">
        <v>128</v>
      </c>
      <c r="D176" s="13" t="s">
        <v>125</v>
      </c>
      <c r="E176" s="13" t="s">
        <v>122</v>
      </c>
      <c r="F176" s="14" t="n">
        <v>507</v>
      </c>
      <c r="G176" s="14" t="n">
        <v>278</v>
      </c>
      <c r="H176" s="14" t="n">
        <f aca="false">F176-G176</f>
        <v>229</v>
      </c>
      <c r="I176" s="15" t="n">
        <f aca="false">IF(F176=0,0,G176/F176)</f>
        <v>0.548323471400395</v>
      </c>
    </row>
    <row r="177" customFormat="false" ht="15" hidden="false" customHeight="true" outlineLevel="0" collapsed="false">
      <c r="A177" s="13" t="n">
        <v>2025</v>
      </c>
      <c r="B177" s="13" t="s">
        <v>959</v>
      </c>
      <c r="C177" s="13" t="s">
        <v>128</v>
      </c>
      <c r="D177" s="13" t="s">
        <v>125</v>
      </c>
      <c r="E177" s="13" t="s">
        <v>124</v>
      </c>
      <c r="F177" s="14" t="n">
        <v>535</v>
      </c>
      <c r="G177" s="14" t="n">
        <v>118</v>
      </c>
      <c r="H177" s="14" t="n">
        <f aca="false">F177-G177</f>
        <v>417</v>
      </c>
      <c r="I177" s="15" t="n">
        <f aca="false">IF(F177=0,0,G177/F177)</f>
        <v>0.220560747663551</v>
      </c>
    </row>
    <row r="178" customFormat="false" ht="15" hidden="false" customHeight="true" outlineLevel="0" collapsed="false">
      <c r="A178" s="13" t="n">
        <v>2025</v>
      </c>
      <c r="B178" s="13" t="s">
        <v>959</v>
      </c>
      <c r="C178" s="13" t="s">
        <v>128</v>
      </c>
      <c r="D178" s="13" t="s">
        <v>121</v>
      </c>
      <c r="E178" s="13" t="s">
        <v>122</v>
      </c>
      <c r="F178" s="14" t="n">
        <v>1739</v>
      </c>
      <c r="G178" s="14" t="n">
        <v>1179</v>
      </c>
      <c r="H178" s="14" t="n">
        <f aca="false">F178-G178</f>
        <v>560</v>
      </c>
      <c r="I178" s="15" t="n">
        <f aca="false">IF(F178=0,0,G178/F178)</f>
        <v>0.677975848188614</v>
      </c>
    </row>
    <row r="179" customFormat="false" ht="15" hidden="false" customHeight="true" outlineLevel="0" collapsed="false">
      <c r="A179" s="13" t="n">
        <v>2025</v>
      </c>
      <c r="B179" s="13" t="s">
        <v>959</v>
      </c>
      <c r="C179" s="13" t="s">
        <v>128</v>
      </c>
      <c r="D179" s="13" t="s">
        <v>121</v>
      </c>
      <c r="E179" s="13" t="s">
        <v>124</v>
      </c>
      <c r="F179" s="14" t="n">
        <v>1199</v>
      </c>
      <c r="G179" s="14" t="n">
        <v>559</v>
      </c>
      <c r="H179" s="14" t="n">
        <f aca="false">F179-G179</f>
        <v>640</v>
      </c>
      <c r="I179" s="15" t="n">
        <f aca="false">IF(F179=0,0,G179/F179)</f>
        <v>0.466221851542953</v>
      </c>
    </row>
    <row r="180" customFormat="false" ht="15" hidden="false" customHeight="true" outlineLevel="0" collapsed="false">
      <c r="A180" s="13" t="n">
        <v>2025</v>
      </c>
      <c r="B180" s="13" t="s">
        <v>959</v>
      </c>
      <c r="C180" s="13" t="s">
        <v>126</v>
      </c>
      <c r="D180" s="13" t="s">
        <v>125</v>
      </c>
      <c r="E180" s="13" t="s">
        <v>122</v>
      </c>
      <c r="F180" s="14" t="n">
        <v>17</v>
      </c>
      <c r="G180" s="14" t="n">
        <v>10</v>
      </c>
      <c r="H180" s="14" t="n">
        <f aca="false">F180-G180</f>
        <v>7</v>
      </c>
      <c r="I180" s="15" t="n">
        <f aca="false">IF(F180=0,0,G180/F180)</f>
        <v>0.588235294117647</v>
      </c>
    </row>
    <row r="181" customFormat="false" ht="15" hidden="false" customHeight="true" outlineLevel="0" collapsed="false">
      <c r="A181" s="13" t="n">
        <v>2025</v>
      </c>
      <c r="B181" s="13" t="s">
        <v>959</v>
      </c>
      <c r="C181" s="13" t="s">
        <v>126</v>
      </c>
      <c r="D181" s="13" t="s">
        <v>125</v>
      </c>
      <c r="E181" s="13" t="s">
        <v>124</v>
      </c>
      <c r="F181" s="14" t="n">
        <v>60</v>
      </c>
      <c r="G181" s="14" t="n">
        <v>29</v>
      </c>
      <c r="H181" s="14" t="n">
        <f aca="false">F181-G181</f>
        <v>31</v>
      </c>
      <c r="I181" s="15" t="n">
        <f aca="false">IF(F181=0,0,G181/F181)</f>
        <v>0.483333333333333</v>
      </c>
    </row>
    <row r="182" customFormat="false" ht="15" hidden="false" customHeight="true" outlineLevel="0" collapsed="false">
      <c r="A182" s="13" t="n">
        <v>2025</v>
      </c>
      <c r="B182" s="13" t="s">
        <v>959</v>
      </c>
      <c r="C182" s="13" t="s">
        <v>126</v>
      </c>
      <c r="D182" s="13" t="s">
        <v>121</v>
      </c>
      <c r="E182" s="13" t="s">
        <v>122</v>
      </c>
      <c r="F182" s="14" t="n">
        <v>199</v>
      </c>
      <c r="G182" s="14" t="n">
        <v>180</v>
      </c>
      <c r="H182" s="14" t="n">
        <f aca="false">F182-G182</f>
        <v>19</v>
      </c>
      <c r="I182" s="15" t="n">
        <f aca="false">IF(F182=0,0,G182/F182)</f>
        <v>0.904522613065327</v>
      </c>
    </row>
    <row r="183" customFormat="false" ht="15" hidden="false" customHeight="true" outlineLevel="0" collapsed="false">
      <c r="A183" s="13" t="n">
        <v>2025</v>
      </c>
      <c r="B183" s="13" t="s">
        <v>959</v>
      </c>
      <c r="C183" s="13" t="s">
        <v>126</v>
      </c>
      <c r="D183" s="13" t="s">
        <v>121</v>
      </c>
      <c r="E183" s="13" t="s">
        <v>124</v>
      </c>
      <c r="F183" s="14" t="n">
        <v>332</v>
      </c>
      <c r="G183" s="14" t="n">
        <v>287</v>
      </c>
      <c r="H183" s="14" t="n">
        <f aca="false">F183-G183</f>
        <v>45</v>
      </c>
      <c r="I183" s="15" t="n">
        <f aca="false">IF(F183=0,0,G183/F183)</f>
        <v>0.864457831325301</v>
      </c>
    </row>
    <row r="184" customFormat="false" ht="15" hidden="false" customHeight="true" outlineLevel="0" collapsed="false">
      <c r="A184" s="13" t="n">
        <v>2025</v>
      </c>
      <c r="B184" s="13" t="s">
        <v>959</v>
      </c>
      <c r="C184" s="13" t="s">
        <v>123</v>
      </c>
      <c r="D184" s="13" t="s">
        <v>125</v>
      </c>
      <c r="E184" s="13" t="s">
        <v>122</v>
      </c>
      <c r="F184" s="14" t="n">
        <v>215</v>
      </c>
      <c r="G184" s="14" t="n">
        <v>141</v>
      </c>
      <c r="H184" s="14" t="n">
        <f aca="false">F184-G184</f>
        <v>74</v>
      </c>
      <c r="I184" s="15" t="n">
        <f aca="false">IF(F184=0,0,G184/F184)</f>
        <v>0.655813953488372</v>
      </c>
    </row>
    <row r="185" customFormat="false" ht="15" hidden="false" customHeight="true" outlineLevel="0" collapsed="false">
      <c r="A185" s="13" t="n">
        <v>2025</v>
      </c>
      <c r="B185" s="13" t="s">
        <v>959</v>
      </c>
      <c r="C185" s="13" t="s">
        <v>123</v>
      </c>
      <c r="D185" s="13" t="s">
        <v>125</v>
      </c>
      <c r="E185" s="13" t="s">
        <v>124</v>
      </c>
      <c r="F185" s="14" t="n">
        <v>118</v>
      </c>
      <c r="G185" s="14" t="n">
        <v>76</v>
      </c>
      <c r="H185" s="14" t="n">
        <f aca="false">F185-G185</f>
        <v>42</v>
      </c>
      <c r="I185" s="15" t="n">
        <f aca="false">IF(F185=0,0,G185/F185)</f>
        <v>0.644067796610169</v>
      </c>
    </row>
    <row r="186" customFormat="false" ht="15" hidden="false" customHeight="true" outlineLevel="0" collapsed="false">
      <c r="A186" s="13" t="n">
        <v>2025</v>
      </c>
      <c r="B186" s="13" t="s">
        <v>959</v>
      </c>
      <c r="C186" s="13" t="s">
        <v>123</v>
      </c>
      <c r="D186" s="13" t="s">
        <v>121</v>
      </c>
      <c r="E186" s="13" t="s">
        <v>122</v>
      </c>
      <c r="F186" s="14" t="n">
        <v>1273</v>
      </c>
      <c r="G186" s="14" t="n">
        <v>1126</v>
      </c>
      <c r="H186" s="14" t="n">
        <f aca="false">F186-G186</f>
        <v>147</v>
      </c>
      <c r="I186" s="15" t="n">
        <f aca="false">IF(F186=0,0,G186/F186)</f>
        <v>0.884524744697565</v>
      </c>
    </row>
    <row r="187" customFormat="false" ht="15" hidden="false" customHeight="true" outlineLevel="0" collapsed="false">
      <c r="A187" s="13" t="n">
        <v>2025</v>
      </c>
      <c r="B187" s="13" t="s">
        <v>959</v>
      </c>
      <c r="C187" s="13" t="s">
        <v>123</v>
      </c>
      <c r="D187" s="13" t="s">
        <v>121</v>
      </c>
      <c r="E187" s="13" t="s">
        <v>124</v>
      </c>
      <c r="F187" s="14" t="n">
        <v>505</v>
      </c>
      <c r="G187" s="14" t="n">
        <v>425</v>
      </c>
      <c r="H187" s="14" t="n">
        <f aca="false">F187-G187</f>
        <v>80</v>
      </c>
      <c r="I187" s="15" t="n">
        <f aca="false">IF(F187=0,0,G187/F187)</f>
        <v>0.841584158415842</v>
      </c>
    </row>
    <row r="188" customFormat="false" ht="15" hidden="false" customHeight="true" outlineLevel="0" collapsed="false">
      <c r="A188" s="13" t="n">
        <v>2025</v>
      </c>
      <c r="B188" s="13" t="s">
        <v>959</v>
      </c>
      <c r="C188" s="13" t="s">
        <v>968</v>
      </c>
      <c r="D188" s="13" t="s">
        <v>125</v>
      </c>
      <c r="E188" s="13" t="s">
        <v>122</v>
      </c>
      <c r="F188" s="14" t="n">
        <v>7</v>
      </c>
      <c r="G188" s="14" t="n">
        <v>5</v>
      </c>
      <c r="H188" s="14" t="n">
        <f aca="false">F188-G188</f>
        <v>2</v>
      </c>
      <c r="I188" s="15" t="n">
        <f aca="false">IF(F188=0,0,G188/F188)</f>
        <v>0.714285714285714</v>
      </c>
    </row>
    <row r="189" customFormat="false" ht="15" hidden="false" customHeight="true" outlineLevel="0" collapsed="false">
      <c r="A189" s="13" t="n">
        <v>2025</v>
      </c>
      <c r="B189" s="13" t="s">
        <v>55</v>
      </c>
      <c r="C189" s="13" t="s">
        <v>966</v>
      </c>
      <c r="D189" s="13" t="s">
        <v>125</v>
      </c>
      <c r="E189" s="13" t="s">
        <v>124</v>
      </c>
      <c r="F189" s="14" t="n">
        <v>6</v>
      </c>
      <c r="G189" s="14" t="n">
        <v>1</v>
      </c>
      <c r="H189" s="14" t="n">
        <f aca="false">F189-G189</f>
        <v>5</v>
      </c>
      <c r="I189" s="15" t="n">
        <f aca="false">IF(F189=0,0,G189/F189)</f>
        <v>0.166666666666667</v>
      </c>
    </row>
    <row r="190" customFormat="false" ht="15" hidden="false" customHeight="true" outlineLevel="0" collapsed="false">
      <c r="A190" s="13" t="n">
        <v>2025</v>
      </c>
      <c r="B190" s="13" t="s">
        <v>55</v>
      </c>
      <c r="C190" s="13" t="s">
        <v>967</v>
      </c>
      <c r="D190" s="13" t="s">
        <v>125</v>
      </c>
      <c r="E190" s="13" t="s">
        <v>122</v>
      </c>
      <c r="F190" s="14" t="n">
        <v>14</v>
      </c>
      <c r="G190" s="14" t="n">
        <v>12</v>
      </c>
      <c r="H190" s="14" t="n">
        <f aca="false">F190-G190</f>
        <v>2</v>
      </c>
      <c r="I190" s="15" t="n">
        <f aca="false">IF(F190=0,0,G190/F190)</f>
        <v>0.857142857142857</v>
      </c>
    </row>
    <row r="191" customFormat="false" ht="15" hidden="false" customHeight="true" outlineLevel="0" collapsed="false">
      <c r="A191" s="13" t="n">
        <v>2025</v>
      </c>
      <c r="B191" s="13" t="s">
        <v>55</v>
      </c>
      <c r="C191" s="13" t="s">
        <v>967</v>
      </c>
      <c r="D191" s="13" t="s">
        <v>125</v>
      </c>
      <c r="E191" s="13" t="s">
        <v>124</v>
      </c>
      <c r="F191" s="14" t="n">
        <v>22</v>
      </c>
      <c r="G191" s="14" t="n">
        <v>16</v>
      </c>
      <c r="H191" s="14" t="n">
        <f aca="false">F191-G191</f>
        <v>6</v>
      </c>
      <c r="I191" s="15" t="n">
        <f aca="false">IF(F191=0,0,G191/F191)</f>
        <v>0.727272727272727</v>
      </c>
    </row>
    <row r="192" customFormat="false" ht="15" hidden="false" customHeight="true" outlineLevel="0" collapsed="false">
      <c r="A192" s="13" t="n">
        <v>2025</v>
      </c>
      <c r="B192" s="13" t="s">
        <v>55</v>
      </c>
      <c r="C192" s="13" t="s">
        <v>203</v>
      </c>
      <c r="D192" s="13" t="s">
        <v>125</v>
      </c>
      <c r="E192" s="13" t="s">
        <v>122</v>
      </c>
      <c r="F192" s="14" t="n">
        <v>9</v>
      </c>
      <c r="G192" s="14" t="n">
        <v>3</v>
      </c>
      <c r="H192" s="14" t="n">
        <f aca="false">F192-G192</f>
        <v>6</v>
      </c>
      <c r="I192" s="15" t="n">
        <f aca="false">IF(F192=0,0,G192/F192)</f>
        <v>0.333333333333333</v>
      </c>
    </row>
    <row r="193" customFormat="false" ht="15" hidden="false" customHeight="true" outlineLevel="0" collapsed="false">
      <c r="A193" s="13" t="n">
        <v>2025</v>
      </c>
      <c r="B193" s="13" t="s">
        <v>55</v>
      </c>
      <c r="C193" s="13" t="s">
        <v>203</v>
      </c>
      <c r="D193" s="13" t="s">
        <v>125</v>
      </c>
      <c r="E193" s="13" t="s">
        <v>124</v>
      </c>
      <c r="F193" s="14" t="n">
        <v>34</v>
      </c>
      <c r="G193" s="14" t="n">
        <v>13</v>
      </c>
      <c r="H193" s="14" t="n">
        <f aca="false">F193-G193</f>
        <v>21</v>
      </c>
      <c r="I193" s="15" t="n">
        <f aca="false">IF(F193=0,0,G193/F193)</f>
        <v>0.382352941176471</v>
      </c>
    </row>
    <row r="194" customFormat="false" ht="15" hidden="false" customHeight="true" outlineLevel="0" collapsed="false">
      <c r="A194" s="13" t="n">
        <v>2025</v>
      </c>
      <c r="B194" s="13" t="s">
        <v>55</v>
      </c>
      <c r="C194" s="13" t="s">
        <v>203</v>
      </c>
      <c r="D194" s="13" t="s">
        <v>121</v>
      </c>
      <c r="E194" s="13" t="s">
        <v>122</v>
      </c>
      <c r="F194" s="14" t="n">
        <v>116</v>
      </c>
      <c r="G194" s="14" t="n">
        <v>107</v>
      </c>
      <c r="H194" s="14" t="n">
        <f aca="false">F194-G194</f>
        <v>9</v>
      </c>
      <c r="I194" s="15" t="n">
        <f aca="false">IF(F194=0,0,G194/F194)</f>
        <v>0.922413793103448</v>
      </c>
    </row>
    <row r="195" customFormat="false" ht="15" hidden="false" customHeight="true" outlineLevel="0" collapsed="false">
      <c r="A195" s="13" t="n">
        <v>2025</v>
      </c>
      <c r="B195" s="13" t="s">
        <v>55</v>
      </c>
      <c r="C195" s="13" t="s">
        <v>203</v>
      </c>
      <c r="D195" s="13" t="s">
        <v>121</v>
      </c>
      <c r="E195" s="13" t="s">
        <v>124</v>
      </c>
      <c r="F195" s="14" t="n">
        <v>217</v>
      </c>
      <c r="G195" s="14" t="n">
        <v>160</v>
      </c>
      <c r="H195" s="14" t="n">
        <f aca="false">F195-G195</f>
        <v>57</v>
      </c>
      <c r="I195" s="15" t="n">
        <f aca="false">IF(F195=0,0,G195/F195)</f>
        <v>0.737327188940092</v>
      </c>
    </row>
    <row r="196" customFormat="false" ht="15" hidden="false" customHeight="true" outlineLevel="0" collapsed="false">
      <c r="A196" s="13" t="n">
        <v>2025</v>
      </c>
      <c r="B196" s="13" t="s">
        <v>55</v>
      </c>
      <c r="C196" s="13" t="s">
        <v>202</v>
      </c>
      <c r="D196" s="13" t="s">
        <v>125</v>
      </c>
      <c r="E196" s="13" t="s">
        <v>122</v>
      </c>
      <c r="F196" s="14" t="n">
        <v>159</v>
      </c>
      <c r="G196" s="14" t="n">
        <v>69</v>
      </c>
      <c r="H196" s="14" t="n">
        <f aca="false">F196-G196</f>
        <v>90</v>
      </c>
      <c r="I196" s="15" t="n">
        <f aca="false">IF(F196=0,0,G196/F196)</f>
        <v>0.433962264150943</v>
      </c>
    </row>
    <row r="197" customFormat="false" ht="15" hidden="false" customHeight="true" outlineLevel="0" collapsed="false">
      <c r="A197" s="13" t="n">
        <v>2025</v>
      </c>
      <c r="B197" s="13" t="s">
        <v>55</v>
      </c>
      <c r="C197" s="13" t="s">
        <v>202</v>
      </c>
      <c r="D197" s="13" t="s">
        <v>125</v>
      </c>
      <c r="E197" s="13" t="s">
        <v>124</v>
      </c>
      <c r="F197" s="14" t="n">
        <v>250</v>
      </c>
      <c r="G197" s="14" t="n">
        <v>94</v>
      </c>
      <c r="H197" s="14" t="n">
        <f aca="false">F197-G197</f>
        <v>156</v>
      </c>
      <c r="I197" s="15" t="n">
        <f aca="false">IF(F197=0,0,G197/F197)</f>
        <v>0.376</v>
      </c>
    </row>
    <row r="198" customFormat="false" ht="15" hidden="false" customHeight="true" outlineLevel="0" collapsed="false">
      <c r="A198" s="13" t="n">
        <v>2025</v>
      </c>
      <c r="B198" s="13" t="s">
        <v>55</v>
      </c>
      <c r="C198" s="13" t="s">
        <v>202</v>
      </c>
      <c r="D198" s="13" t="s">
        <v>121</v>
      </c>
      <c r="E198" s="13" t="s">
        <v>122</v>
      </c>
      <c r="F198" s="14" t="n">
        <v>2510</v>
      </c>
      <c r="G198" s="14" t="n">
        <v>2046</v>
      </c>
      <c r="H198" s="14" t="n">
        <f aca="false">F198-G198</f>
        <v>464</v>
      </c>
      <c r="I198" s="15" t="n">
        <f aca="false">IF(F198=0,0,G198/F198)</f>
        <v>0.815139442231076</v>
      </c>
    </row>
    <row r="199" customFormat="false" ht="15" hidden="false" customHeight="true" outlineLevel="0" collapsed="false">
      <c r="A199" s="13" t="n">
        <v>2025</v>
      </c>
      <c r="B199" s="13" t="s">
        <v>55</v>
      </c>
      <c r="C199" s="13" t="s">
        <v>202</v>
      </c>
      <c r="D199" s="13" t="s">
        <v>121</v>
      </c>
      <c r="E199" s="13" t="s">
        <v>124</v>
      </c>
      <c r="F199" s="14" t="n">
        <v>2609</v>
      </c>
      <c r="G199" s="14" t="n">
        <v>1821</v>
      </c>
      <c r="H199" s="14" t="n">
        <f aca="false">F199-G199</f>
        <v>788</v>
      </c>
      <c r="I199" s="15" t="n">
        <f aca="false">IF(F199=0,0,G199/F199)</f>
        <v>0.697968570333461</v>
      </c>
    </row>
    <row r="200" customFormat="false" ht="15" hidden="false" customHeight="true" outlineLevel="0" collapsed="false">
      <c r="A200" s="13" t="n">
        <v>2025</v>
      </c>
      <c r="B200" s="13" t="s">
        <v>55</v>
      </c>
      <c r="C200" s="13" t="s">
        <v>128</v>
      </c>
      <c r="D200" s="13" t="s">
        <v>125</v>
      </c>
      <c r="E200" s="13" t="s">
        <v>122</v>
      </c>
      <c r="F200" s="14" t="n">
        <v>1856</v>
      </c>
      <c r="G200" s="14" t="n">
        <v>1100</v>
      </c>
      <c r="H200" s="14" t="n">
        <f aca="false">F200-G200</f>
        <v>756</v>
      </c>
      <c r="I200" s="15" t="n">
        <f aca="false">IF(F200=0,0,G200/F200)</f>
        <v>0.592672413793103</v>
      </c>
    </row>
    <row r="201" customFormat="false" ht="15" hidden="false" customHeight="true" outlineLevel="0" collapsed="false">
      <c r="A201" s="13" t="n">
        <v>2025</v>
      </c>
      <c r="B201" s="13" t="s">
        <v>55</v>
      </c>
      <c r="C201" s="13" t="s">
        <v>128</v>
      </c>
      <c r="D201" s="13" t="s">
        <v>125</v>
      </c>
      <c r="E201" s="13" t="s">
        <v>124</v>
      </c>
      <c r="F201" s="14" t="n">
        <v>1436</v>
      </c>
      <c r="G201" s="14" t="n">
        <v>511</v>
      </c>
      <c r="H201" s="14" t="n">
        <f aca="false">F201-G201</f>
        <v>925</v>
      </c>
      <c r="I201" s="15" t="n">
        <f aca="false">IF(F201=0,0,G201/F201)</f>
        <v>0.355849582172702</v>
      </c>
    </row>
    <row r="202" customFormat="false" ht="15" hidden="false" customHeight="true" outlineLevel="0" collapsed="false">
      <c r="A202" s="13" t="n">
        <v>2025</v>
      </c>
      <c r="B202" s="13" t="s">
        <v>55</v>
      </c>
      <c r="C202" s="13" t="s">
        <v>128</v>
      </c>
      <c r="D202" s="13" t="s">
        <v>121</v>
      </c>
      <c r="E202" s="13" t="s">
        <v>122</v>
      </c>
      <c r="F202" s="14" t="n">
        <v>6438</v>
      </c>
      <c r="G202" s="14" t="n">
        <v>4831</v>
      </c>
      <c r="H202" s="14" t="n">
        <f aca="false">F202-G202</f>
        <v>1607</v>
      </c>
      <c r="I202" s="15" t="n">
        <f aca="false">IF(F202=0,0,G202/F202)</f>
        <v>0.750388319353837</v>
      </c>
    </row>
    <row r="203" customFormat="false" ht="15" hidden="false" customHeight="true" outlineLevel="0" collapsed="false">
      <c r="A203" s="13" t="n">
        <v>2025</v>
      </c>
      <c r="B203" s="13" t="s">
        <v>55</v>
      </c>
      <c r="C203" s="13" t="s">
        <v>128</v>
      </c>
      <c r="D203" s="13" t="s">
        <v>121</v>
      </c>
      <c r="E203" s="13" t="s">
        <v>124</v>
      </c>
      <c r="F203" s="14" t="n">
        <v>3466</v>
      </c>
      <c r="G203" s="14" t="n">
        <v>1903</v>
      </c>
      <c r="H203" s="14" t="n">
        <f aca="false">F203-G203</f>
        <v>1563</v>
      </c>
      <c r="I203" s="15" t="n">
        <f aca="false">IF(F203=0,0,G203/F203)</f>
        <v>0.549047893825736</v>
      </c>
    </row>
    <row r="204" customFormat="false" ht="15" hidden="false" customHeight="true" outlineLevel="0" collapsed="false">
      <c r="A204" s="13" t="n">
        <v>2025</v>
      </c>
      <c r="B204" s="13" t="s">
        <v>55</v>
      </c>
      <c r="C204" s="13" t="s">
        <v>126</v>
      </c>
      <c r="D204" s="13" t="s">
        <v>125</v>
      </c>
      <c r="E204" s="13" t="s">
        <v>122</v>
      </c>
      <c r="F204" s="14" t="n">
        <v>36</v>
      </c>
      <c r="G204" s="14" t="n">
        <v>12</v>
      </c>
      <c r="H204" s="14" t="n">
        <f aca="false">F204-G204</f>
        <v>24</v>
      </c>
      <c r="I204" s="15" t="n">
        <f aca="false">IF(F204=0,0,G204/F204)</f>
        <v>0.333333333333333</v>
      </c>
    </row>
    <row r="205" customFormat="false" ht="15" hidden="false" customHeight="true" outlineLevel="0" collapsed="false">
      <c r="A205" s="13" t="n">
        <v>2025</v>
      </c>
      <c r="B205" s="13" t="s">
        <v>55</v>
      </c>
      <c r="C205" s="13" t="s">
        <v>126</v>
      </c>
      <c r="D205" s="13" t="s">
        <v>125</v>
      </c>
      <c r="E205" s="13" t="s">
        <v>124</v>
      </c>
      <c r="F205" s="14" t="n">
        <v>84</v>
      </c>
      <c r="G205" s="14" t="n">
        <v>36</v>
      </c>
      <c r="H205" s="14" t="n">
        <f aca="false">F205-G205</f>
        <v>48</v>
      </c>
      <c r="I205" s="15" t="n">
        <f aca="false">IF(F205=0,0,G205/F205)</f>
        <v>0.428571428571429</v>
      </c>
    </row>
    <row r="206" customFormat="false" ht="15" hidden="false" customHeight="true" outlineLevel="0" collapsed="false">
      <c r="A206" s="13" t="n">
        <v>2025</v>
      </c>
      <c r="B206" s="13" t="s">
        <v>55</v>
      </c>
      <c r="C206" s="13" t="s">
        <v>126</v>
      </c>
      <c r="D206" s="13" t="s">
        <v>121</v>
      </c>
      <c r="E206" s="13" t="s">
        <v>122</v>
      </c>
      <c r="F206" s="14" t="n">
        <v>444</v>
      </c>
      <c r="G206" s="14" t="n">
        <v>404</v>
      </c>
      <c r="H206" s="14" t="n">
        <f aca="false">F206-G206</f>
        <v>40</v>
      </c>
      <c r="I206" s="15" t="n">
        <f aca="false">IF(F206=0,0,G206/F206)</f>
        <v>0.90990990990991</v>
      </c>
    </row>
    <row r="207" customFormat="false" ht="15" hidden="false" customHeight="true" outlineLevel="0" collapsed="false">
      <c r="A207" s="13" t="n">
        <v>2025</v>
      </c>
      <c r="B207" s="13" t="s">
        <v>55</v>
      </c>
      <c r="C207" s="13" t="s">
        <v>126</v>
      </c>
      <c r="D207" s="13" t="s">
        <v>121</v>
      </c>
      <c r="E207" s="13" t="s">
        <v>124</v>
      </c>
      <c r="F207" s="14" t="n">
        <v>604</v>
      </c>
      <c r="G207" s="14" t="n">
        <v>509</v>
      </c>
      <c r="H207" s="14" t="n">
        <f aca="false">F207-G207</f>
        <v>95</v>
      </c>
      <c r="I207" s="15" t="n">
        <f aca="false">IF(F207=0,0,G207/F207)</f>
        <v>0.84271523178808</v>
      </c>
    </row>
    <row r="208" customFormat="false" ht="15" hidden="false" customHeight="true" outlineLevel="0" collapsed="false">
      <c r="A208" s="13" t="n">
        <v>2025</v>
      </c>
      <c r="B208" s="13" t="s">
        <v>55</v>
      </c>
      <c r="C208" s="13" t="s">
        <v>123</v>
      </c>
      <c r="D208" s="13" t="s">
        <v>125</v>
      </c>
      <c r="E208" s="13" t="s">
        <v>122</v>
      </c>
      <c r="F208" s="14" t="n">
        <v>533</v>
      </c>
      <c r="G208" s="14" t="n">
        <v>355</v>
      </c>
      <c r="H208" s="14" t="n">
        <f aca="false">F208-G208</f>
        <v>178</v>
      </c>
      <c r="I208" s="15" t="n">
        <f aca="false">IF(F208=0,0,G208/F208)</f>
        <v>0.666041275797373</v>
      </c>
    </row>
    <row r="209" customFormat="false" ht="15" hidden="false" customHeight="true" outlineLevel="0" collapsed="false">
      <c r="A209" s="13" t="n">
        <v>2025</v>
      </c>
      <c r="B209" s="13" t="s">
        <v>55</v>
      </c>
      <c r="C209" s="13" t="s">
        <v>123</v>
      </c>
      <c r="D209" s="13" t="s">
        <v>125</v>
      </c>
      <c r="E209" s="13" t="s">
        <v>124</v>
      </c>
      <c r="F209" s="14" t="n">
        <v>250</v>
      </c>
      <c r="G209" s="14" t="n">
        <v>154</v>
      </c>
      <c r="H209" s="14" t="n">
        <f aca="false">F209-G209</f>
        <v>96</v>
      </c>
      <c r="I209" s="15" t="n">
        <f aca="false">IF(F209=0,0,G209/F209)</f>
        <v>0.616</v>
      </c>
    </row>
    <row r="210" customFormat="false" ht="15" hidden="false" customHeight="true" outlineLevel="0" collapsed="false">
      <c r="A210" s="13" t="n">
        <v>2025</v>
      </c>
      <c r="B210" s="13" t="s">
        <v>55</v>
      </c>
      <c r="C210" s="13" t="s">
        <v>123</v>
      </c>
      <c r="D210" s="13" t="s">
        <v>121</v>
      </c>
      <c r="E210" s="13" t="s">
        <v>122</v>
      </c>
      <c r="F210" s="14" t="n">
        <v>3124</v>
      </c>
      <c r="G210" s="14" t="n">
        <v>2752</v>
      </c>
      <c r="H210" s="14" t="n">
        <f aca="false">F210-G210</f>
        <v>372</v>
      </c>
      <c r="I210" s="15" t="n">
        <f aca="false">IF(F210=0,0,G210/F210)</f>
        <v>0.880921895006402</v>
      </c>
    </row>
    <row r="211" customFormat="false" ht="15" hidden="false" customHeight="true" outlineLevel="0" collapsed="false">
      <c r="A211" s="13" t="n">
        <v>2025</v>
      </c>
      <c r="B211" s="13" t="s">
        <v>55</v>
      </c>
      <c r="C211" s="13" t="s">
        <v>123</v>
      </c>
      <c r="D211" s="13" t="s">
        <v>121</v>
      </c>
      <c r="E211" s="13" t="s">
        <v>124</v>
      </c>
      <c r="F211" s="14" t="n">
        <v>1005</v>
      </c>
      <c r="G211" s="14" t="n">
        <v>829</v>
      </c>
      <c r="H211" s="14" t="n">
        <f aca="false">F211-G211</f>
        <v>176</v>
      </c>
      <c r="I211" s="15" t="n">
        <f aca="false">IF(F211=0,0,G211/F211)</f>
        <v>0.824875621890547</v>
      </c>
    </row>
    <row r="212" customFormat="false" ht="15" hidden="false" customHeight="true" outlineLevel="0" collapsed="false">
      <c r="A212" s="13" t="n">
        <v>2025</v>
      </c>
      <c r="B212" s="13" t="s">
        <v>195</v>
      </c>
      <c r="C212" s="13" t="s">
        <v>966</v>
      </c>
      <c r="D212" s="13" t="s">
        <v>125</v>
      </c>
      <c r="E212" s="13" t="s">
        <v>124</v>
      </c>
      <c r="F212" s="14" t="n">
        <v>6</v>
      </c>
      <c r="G212" s="14" t="n">
        <v>1</v>
      </c>
      <c r="H212" s="14" t="n">
        <f aca="false">F212-G212</f>
        <v>5</v>
      </c>
      <c r="I212" s="15" t="n">
        <f aca="false">IF(F212=0,0,G212/F212)</f>
        <v>0.166666666666667</v>
      </c>
    </row>
    <row r="213" customFormat="false" ht="15" hidden="false" customHeight="true" outlineLevel="0" collapsed="false">
      <c r="A213" s="13" t="n">
        <v>2025</v>
      </c>
      <c r="B213" s="13" t="s">
        <v>195</v>
      </c>
      <c r="C213" s="13" t="s">
        <v>967</v>
      </c>
      <c r="D213" s="13" t="s">
        <v>125</v>
      </c>
      <c r="E213" s="13" t="s">
        <v>122</v>
      </c>
      <c r="F213" s="14" t="n">
        <v>33</v>
      </c>
      <c r="G213" s="14" t="n">
        <v>26</v>
      </c>
      <c r="H213" s="14" t="n">
        <f aca="false">F213-G213</f>
        <v>7</v>
      </c>
      <c r="I213" s="15" t="n">
        <f aca="false">IF(F213=0,0,G213/F213)</f>
        <v>0.787878787878788</v>
      </c>
    </row>
    <row r="214" customFormat="false" ht="15" hidden="false" customHeight="true" outlineLevel="0" collapsed="false">
      <c r="A214" s="13" t="n">
        <v>2025</v>
      </c>
      <c r="B214" s="13" t="s">
        <v>195</v>
      </c>
      <c r="C214" s="13" t="s">
        <v>967</v>
      </c>
      <c r="D214" s="13" t="s">
        <v>125</v>
      </c>
      <c r="E214" s="13" t="s">
        <v>124</v>
      </c>
      <c r="F214" s="14" t="n">
        <v>48</v>
      </c>
      <c r="G214" s="14" t="n">
        <v>36</v>
      </c>
      <c r="H214" s="14" t="n">
        <f aca="false">F214-G214</f>
        <v>12</v>
      </c>
      <c r="I214" s="15" t="n">
        <f aca="false">IF(F214=0,0,G214/F214)</f>
        <v>0.75</v>
      </c>
    </row>
    <row r="215" customFormat="false" ht="15" hidden="false" customHeight="true" outlineLevel="0" collapsed="false">
      <c r="A215" s="13" t="n">
        <v>2025</v>
      </c>
      <c r="B215" s="13" t="s">
        <v>195</v>
      </c>
      <c r="C215" s="13" t="s">
        <v>203</v>
      </c>
      <c r="D215" s="13" t="s">
        <v>125</v>
      </c>
      <c r="E215" s="13" t="s">
        <v>122</v>
      </c>
      <c r="F215" s="14" t="n">
        <v>10</v>
      </c>
      <c r="G215" s="14" t="n">
        <v>4</v>
      </c>
      <c r="H215" s="14" t="n">
        <f aca="false">F215-G215</f>
        <v>6</v>
      </c>
      <c r="I215" s="15" t="n">
        <f aca="false">IF(F215=0,0,G215/F215)</f>
        <v>0.4</v>
      </c>
    </row>
    <row r="216" customFormat="false" ht="15" hidden="false" customHeight="true" outlineLevel="0" collapsed="false">
      <c r="A216" s="13" t="n">
        <v>2025</v>
      </c>
      <c r="B216" s="13" t="s">
        <v>195</v>
      </c>
      <c r="C216" s="13" t="s">
        <v>203</v>
      </c>
      <c r="D216" s="13" t="s">
        <v>125</v>
      </c>
      <c r="E216" s="13" t="s">
        <v>124</v>
      </c>
      <c r="F216" s="14" t="n">
        <v>42</v>
      </c>
      <c r="G216" s="14" t="n">
        <v>17</v>
      </c>
      <c r="H216" s="14" t="n">
        <f aca="false">F216-G216</f>
        <v>25</v>
      </c>
      <c r="I216" s="15" t="n">
        <f aca="false">IF(F216=0,0,G216/F216)</f>
        <v>0.404761904761905</v>
      </c>
    </row>
    <row r="217" customFormat="false" ht="15" hidden="false" customHeight="true" outlineLevel="0" collapsed="false">
      <c r="A217" s="13" t="n">
        <v>2025</v>
      </c>
      <c r="B217" s="13" t="s">
        <v>195</v>
      </c>
      <c r="C217" s="13" t="s">
        <v>203</v>
      </c>
      <c r="D217" s="13" t="s">
        <v>121</v>
      </c>
      <c r="E217" s="13" t="s">
        <v>122</v>
      </c>
      <c r="F217" s="14" t="n">
        <v>156</v>
      </c>
      <c r="G217" s="14" t="n">
        <v>143</v>
      </c>
      <c r="H217" s="14" t="n">
        <f aca="false">F217-G217</f>
        <v>13</v>
      </c>
      <c r="I217" s="15" t="n">
        <f aca="false">IF(F217=0,0,G217/F217)</f>
        <v>0.916666666666667</v>
      </c>
    </row>
    <row r="218" customFormat="false" ht="15" hidden="false" customHeight="true" outlineLevel="0" collapsed="false">
      <c r="A218" s="13" t="n">
        <v>2025</v>
      </c>
      <c r="B218" s="13" t="s">
        <v>195</v>
      </c>
      <c r="C218" s="13" t="s">
        <v>203</v>
      </c>
      <c r="D218" s="13" t="s">
        <v>121</v>
      </c>
      <c r="E218" s="13" t="s">
        <v>124</v>
      </c>
      <c r="F218" s="14" t="n">
        <v>263</v>
      </c>
      <c r="G218" s="14" t="n">
        <v>194</v>
      </c>
      <c r="H218" s="14" t="n">
        <f aca="false">F218-G218</f>
        <v>69</v>
      </c>
      <c r="I218" s="15" t="n">
        <f aca="false">IF(F218=0,0,G218/F218)</f>
        <v>0.737642585551331</v>
      </c>
    </row>
    <row r="219" customFormat="false" ht="15" hidden="false" customHeight="true" outlineLevel="0" collapsed="false">
      <c r="A219" s="13" t="n">
        <v>2025</v>
      </c>
      <c r="B219" s="13" t="s">
        <v>195</v>
      </c>
      <c r="C219" s="13" t="s">
        <v>202</v>
      </c>
      <c r="D219" s="13" t="s">
        <v>125</v>
      </c>
      <c r="E219" s="13" t="s">
        <v>122</v>
      </c>
      <c r="F219" s="14" t="n">
        <v>397</v>
      </c>
      <c r="G219" s="14" t="n">
        <v>155</v>
      </c>
      <c r="H219" s="14" t="n">
        <f aca="false">F219-G219</f>
        <v>242</v>
      </c>
      <c r="I219" s="15" t="n">
        <f aca="false">IF(F219=0,0,G219/F219)</f>
        <v>0.390428211586902</v>
      </c>
    </row>
    <row r="220" customFormat="false" ht="15" hidden="false" customHeight="true" outlineLevel="0" collapsed="false">
      <c r="A220" s="13" t="n">
        <v>2025</v>
      </c>
      <c r="B220" s="13" t="s">
        <v>195</v>
      </c>
      <c r="C220" s="13" t="s">
        <v>202</v>
      </c>
      <c r="D220" s="13" t="s">
        <v>125</v>
      </c>
      <c r="E220" s="13" t="s">
        <v>124</v>
      </c>
      <c r="F220" s="14" t="n">
        <v>587</v>
      </c>
      <c r="G220" s="14" t="n">
        <v>207</v>
      </c>
      <c r="H220" s="14" t="n">
        <f aca="false">F220-G220</f>
        <v>380</v>
      </c>
      <c r="I220" s="15" t="n">
        <f aca="false">IF(F220=0,0,G220/F220)</f>
        <v>0.352640545144804</v>
      </c>
    </row>
    <row r="221" customFormat="false" ht="15" hidden="false" customHeight="true" outlineLevel="0" collapsed="false">
      <c r="A221" s="13" t="n">
        <v>2025</v>
      </c>
      <c r="B221" s="13" t="s">
        <v>195</v>
      </c>
      <c r="C221" s="13" t="s">
        <v>202</v>
      </c>
      <c r="D221" s="13" t="s">
        <v>121</v>
      </c>
      <c r="E221" s="13" t="s">
        <v>122</v>
      </c>
      <c r="F221" s="14" t="n">
        <v>4362</v>
      </c>
      <c r="G221" s="14" t="n">
        <v>3470</v>
      </c>
      <c r="H221" s="14" t="n">
        <f aca="false">F221-G221</f>
        <v>892</v>
      </c>
      <c r="I221" s="15" t="n">
        <f aca="false">IF(F221=0,0,G221/F221)</f>
        <v>0.795506648326456</v>
      </c>
    </row>
    <row r="222" customFormat="false" ht="15" hidden="false" customHeight="true" outlineLevel="0" collapsed="false">
      <c r="A222" s="13" t="n">
        <v>2025</v>
      </c>
      <c r="B222" s="13" t="s">
        <v>195</v>
      </c>
      <c r="C222" s="13" t="s">
        <v>202</v>
      </c>
      <c r="D222" s="13" t="s">
        <v>121</v>
      </c>
      <c r="E222" s="13" t="s">
        <v>124</v>
      </c>
      <c r="F222" s="14" t="n">
        <v>4966</v>
      </c>
      <c r="G222" s="14" t="n">
        <v>3326</v>
      </c>
      <c r="H222" s="14" t="n">
        <f aca="false">F222-G222</f>
        <v>1640</v>
      </c>
      <c r="I222" s="15" t="n">
        <f aca="false">IF(F222=0,0,G222/F222)</f>
        <v>0.669754329440193</v>
      </c>
    </row>
    <row r="223" customFormat="false" ht="15" hidden="false" customHeight="true" outlineLevel="0" collapsed="false">
      <c r="A223" s="13" t="n">
        <v>2025</v>
      </c>
      <c r="B223" s="13" t="s">
        <v>195</v>
      </c>
      <c r="C223" s="13" t="s">
        <v>128</v>
      </c>
      <c r="D223" s="13" t="s">
        <v>125</v>
      </c>
      <c r="E223" s="13" t="s">
        <v>122</v>
      </c>
      <c r="F223" s="14" t="n">
        <v>3671</v>
      </c>
      <c r="G223" s="14" t="n">
        <v>2191</v>
      </c>
      <c r="H223" s="14" t="n">
        <f aca="false">F223-G223</f>
        <v>1480</v>
      </c>
      <c r="I223" s="15" t="n">
        <f aca="false">IF(F223=0,0,G223/F223)</f>
        <v>0.596840098065922</v>
      </c>
    </row>
    <row r="224" customFormat="false" ht="15" hidden="false" customHeight="true" outlineLevel="0" collapsed="false">
      <c r="A224" s="13" t="n">
        <v>2025</v>
      </c>
      <c r="B224" s="13" t="s">
        <v>195</v>
      </c>
      <c r="C224" s="13" t="s">
        <v>128</v>
      </c>
      <c r="D224" s="13" t="s">
        <v>125</v>
      </c>
      <c r="E224" s="13" t="s">
        <v>124</v>
      </c>
      <c r="F224" s="14" t="n">
        <v>3234</v>
      </c>
      <c r="G224" s="14" t="n">
        <v>1038</v>
      </c>
      <c r="H224" s="14" t="n">
        <f aca="false">F224-G224</f>
        <v>2196</v>
      </c>
      <c r="I224" s="15" t="n">
        <f aca="false">IF(F224=0,0,G224/F224)</f>
        <v>0.320964749536178</v>
      </c>
    </row>
    <row r="225" customFormat="false" ht="15" hidden="false" customHeight="true" outlineLevel="0" collapsed="false">
      <c r="A225" s="13" t="n">
        <v>2025</v>
      </c>
      <c r="B225" s="13" t="s">
        <v>195</v>
      </c>
      <c r="C225" s="13" t="s">
        <v>128</v>
      </c>
      <c r="D225" s="13" t="s">
        <v>121</v>
      </c>
      <c r="E225" s="13" t="s">
        <v>122</v>
      </c>
      <c r="F225" s="14" t="n">
        <v>11709</v>
      </c>
      <c r="G225" s="14" t="n">
        <v>8748</v>
      </c>
      <c r="H225" s="14" t="n">
        <f aca="false">F225-G225</f>
        <v>2961</v>
      </c>
      <c r="I225" s="15" t="n">
        <f aca="false">IF(F225=0,0,G225/F225)</f>
        <v>0.747117601844735</v>
      </c>
    </row>
    <row r="226" customFormat="false" ht="15" hidden="false" customHeight="true" outlineLevel="0" collapsed="false">
      <c r="A226" s="13" t="n">
        <v>2025</v>
      </c>
      <c r="B226" s="13" t="s">
        <v>195</v>
      </c>
      <c r="C226" s="13" t="s">
        <v>128</v>
      </c>
      <c r="D226" s="13" t="s">
        <v>121</v>
      </c>
      <c r="E226" s="13" t="s">
        <v>124</v>
      </c>
      <c r="F226" s="14" t="n">
        <v>7330</v>
      </c>
      <c r="G226" s="14" t="n">
        <v>3806</v>
      </c>
      <c r="H226" s="14" t="n">
        <f aca="false">F226-G226</f>
        <v>3524</v>
      </c>
      <c r="I226" s="15" t="n">
        <f aca="false">IF(F226=0,0,G226/F226)</f>
        <v>0.519236016371078</v>
      </c>
    </row>
    <row r="227" customFormat="false" ht="15" hidden="false" customHeight="true" outlineLevel="0" collapsed="false">
      <c r="A227" s="13" t="n">
        <v>2025</v>
      </c>
      <c r="B227" s="13" t="s">
        <v>195</v>
      </c>
      <c r="C227" s="13" t="s">
        <v>126</v>
      </c>
      <c r="D227" s="13" t="s">
        <v>125</v>
      </c>
      <c r="E227" s="13" t="s">
        <v>122</v>
      </c>
      <c r="F227" s="14" t="n">
        <v>69</v>
      </c>
      <c r="G227" s="14" t="n">
        <v>29</v>
      </c>
      <c r="H227" s="14" t="n">
        <f aca="false">F227-G227</f>
        <v>40</v>
      </c>
      <c r="I227" s="15" t="n">
        <f aca="false">IF(F227=0,0,G227/F227)</f>
        <v>0.420289855072464</v>
      </c>
    </row>
    <row r="228" customFormat="false" ht="15" hidden="false" customHeight="true" outlineLevel="0" collapsed="false">
      <c r="A228" s="13" t="n">
        <v>2025</v>
      </c>
      <c r="B228" s="13" t="s">
        <v>195</v>
      </c>
      <c r="C228" s="13" t="s">
        <v>126</v>
      </c>
      <c r="D228" s="13" t="s">
        <v>125</v>
      </c>
      <c r="E228" s="13" t="s">
        <v>124</v>
      </c>
      <c r="F228" s="14" t="n">
        <v>188</v>
      </c>
      <c r="G228" s="14" t="n">
        <v>80</v>
      </c>
      <c r="H228" s="14" t="n">
        <f aca="false">F228-G228</f>
        <v>108</v>
      </c>
      <c r="I228" s="15" t="n">
        <f aca="false">IF(F228=0,0,G228/F228)</f>
        <v>0.425531914893617</v>
      </c>
    </row>
    <row r="229" customFormat="false" ht="15" hidden="false" customHeight="true" outlineLevel="0" collapsed="false">
      <c r="A229" s="13" t="n">
        <v>2025</v>
      </c>
      <c r="B229" s="13" t="s">
        <v>195</v>
      </c>
      <c r="C229" s="13" t="s">
        <v>126</v>
      </c>
      <c r="D229" s="13" t="s">
        <v>121</v>
      </c>
      <c r="E229" s="13" t="s">
        <v>122</v>
      </c>
      <c r="F229" s="14" t="n">
        <v>889</v>
      </c>
      <c r="G229" s="14" t="n">
        <v>812</v>
      </c>
      <c r="H229" s="14" t="n">
        <f aca="false">F229-G229</f>
        <v>77</v>
      </c>
      <c r="I229" s="15" t="n">
        <f aca="false">IF(F229=0,0,G229/F229)</f>
        <v>0.913385826771654</v>
      </c>
    </row>
    <row r="230" customFormat="false" ht="15" hidden="false" customHeight="true" outlineLevel="0" collapsed="false">
      <c r="A230" s="13" t="n">
        <v>2025</v>
      </c>
      <c r="B230" s="13" t="s">
        <v>195</v>
      </c>
      <c r="C230" s="13" t="s">
        <v>126</v>
      </c>
      <c r="D230" s="13" t="s">
        <v>121</v>
      </c>
      <c r="E230" s="13" t="s">
        <v>124</v>
      </c>
      <c r="F230" s="14" t="n">
        <v>1333</v>
      </c>
      <c r="G230" s="14" t="n">
        <v>1140</v>
      </c>
      <c r="H230" s="14" t="n">
        <f aca="false">F230-G230</f>
        <v>193</v>
      </c>
      <c r="I230" s="15" t="n">
        <f aca="false">IF(F230=0,0,G230/F230)</f>
        <v>0.855213803450863</v>
      </c>
    </row>
    <row r="231" customFormat="false" ht="15" hidden="false" customHeight="true" outlineLevel="0" collapsed="false">
      <c r="A231" s="13" t="n">
        <v>2025</v>
      </c>
      <c r="B231" s="13" t="s">
        <v>195</v>
      </c>
      <c r="C231" s="13" t="s">
        <v>123</v>
      </c>
      <c r="D231" s="13" t="s">
        <v>125</v>
      </c>
      <c r="E231" s="13" t="s">
        <v>122</v>
      </c>
      <c r="F231" s="14" t="n">
        <v>1154</v>
      </c>
      <c r="G231" s="14" t="n">
        <v>798</v>
      </c>
      <c r="H231" s="14" t="n">
        <f aca="false">F231-G231</f>
        <v>356</v>
      </c>
      <c r="I231" s="15" t="n">
        <f aca="false">IF(F231=0,0,G231/F231)</f>
        <v>0.691507798960139</v>
      </c>
    </row>
    <row r="232" customFormat="false" ht="15" hidden="false" customHeight="true" outlineLevel="0" collapsed="false">
      <c r="A232" s="13" t="n">
        <v>2025</v>
      </c>
      <c r="B232" s="13" t="s">
        <v>195</v>
      </c>
      <c r="C232" s="13" t="s">
        <v>123</v>
      </c>
      <c r="D232" s="13" t="s">
        <v>125</v>
      </c>
      <c r="E232" s="13" t="s">
        <v>124</v>
      </c>
      <c r="F232" s="14" t="n">
        <v>611</v>
      </c>
      <c r="G232" s="14" t="n">
        <v>384</v>
      </c>
      <c r="H232" s="14" t="n">
        <f aca="false">F232-G232</f>
        <v>227</v>
      </c>
      <c r="I232" s="15" t="n">
        <f aca="false">IF(F232=0,0,G232/F232)</f>
        <v>0.62847790507365</v>
      </c>
    </row>
    <row r="233" customFormat="false" ht="15" hidden="false" customHeight="true" outlineLevel="0" collapsed="false">
      <c r="A233" s="13" t="n">
        <v>2025</v>
      </c>
      <c r="B233" s="13" t="s">
        <v>195</v>
      </c>
      <c r="C233" s="13" t="s">
        <v>123</v>
      </c>
      <c r="D233" s="13" t="s">
        <v>121</v>
      </c>
      <c r="E233" s="13" t="s">
        <v>122</v>
      </c>
      <c r="F233" s="14" t="n">
        <v>6533</v>
      </c>
      <c r="G233" s="14" t="n">
        <v>5787</v>
      </c>
      <c r="H233" s="14" t="n">
        <f aca="false">F233-G233</f>
        <v>746</v>
      </c>
      <c r="I233" s="15" t="n">
        <f aca="false">IF(F233=0,0,G233/F233)</f>
        <v>0.885810500535742</v>
      </c>
    </row>
    <row r="234" customFormat="false" ht="15" hidden="false" customHeight="true" outlineLevel="0" collapsed="false">
      <c r="A234" s="13" t="n">
        <v>2025</v>
      </c>
      <c r="B234" s="13" t="s">
        <v>195</v>
      </c>
      <c r="C234" s="13" t="s">
        <v>123</v>
      </c>
      <c r="D234" s="13" t="s">
        <v>121</v>
      </c>
      <c r="E234" s="13" t="s">
        <v>124</v>
      </c>
      <c r="F234" s="14" t="n">
        <v>2418</v>
      </c>
      <c r="G234" s="14" t="n">
        <v>2031</v>
      </c>
      <c r="H234" s="14" t="n">
        <f aca="false">F234-G234</f>
        <v>387</v>
      </c>
      <c r="I234" s="15" t="n">
        <f aca="false">IF(F234=0,0,G234/F234)</f>
        <v>0.839950372208437</v>
      </c>
    </row>
    <row r="235" customFormat="false" ht="15" hidden="false" customHeight="true" outlineLevel="0" collapsed="false">
      <c r="A235" s="13" t="n">
        <v>2025</v>
      </c>
      <c r="B235" s="13" t="s">
        <v>195</v>
      </c>
      <c r="C235" s="13" t="s">
        <v>968</v>
      </c>
      <c r="D235" s="13" t="s">
        <v>125</v>
      </c>
      <c r="E235" s="13" t="s">
        <v>122</v>
      </c>
      <c r="F235" s="14" t="n">
        <v>7</v>
      </c>
      <c r="G235" s="14" t="n">
        <v>5</v>
      </c>
      <c r="H235" s="14" t="n">
        <f aca="false">F235-G235</f>
        <v>2</v>
      </c>
      <c r="I235" s="15" t="n">
        <f aca="false">IF(F235=0,0,G235/F235)</f>
        <v>0.714285714285714</v>
      </c>
    </row>
    <row r="236" customFormat="false" ht="15" hidden="false" customHeight="true" outlineLevel="0" collapsed="false">
      <c r="A236" s="13" t="n">
        <v>2025</v>
      </c>
      <c r="B236" s="13" t="s">
        <v>195</v>
      </c>
      <c r="C236" s="13" t="s">
        <v>968</v>
      </c>
      <c r="D236" s="13" t="s">
        <v>125</v>
      </c>
      <c r="E236" s="13" t="s">
        <v>124</v>
      </c>
      <c r="F236" s="14" t="n">
        <v>1</v>
      </c>
      <c r="G236" s="14" t="n">
        <v>0</v>
      </c>
      <c r="H236" s="14" t="n">
        <f aca="false">F236-G236</f>
        <v>1</v>
      </c>
      <c r="I236" s="15" t="n">
        <f aca="false">IF(F236=0,0,G236/F236)</f>
        <v>0</v>
      </c>
    </row>
    <row r="237" customFormat="false" ht="15" hidden="false" customHeight="true" outlineLevel="0" collapsed="false">
      <c r="A237" s="13" t="n">
        <v>2026</v>
      </c>
      <c r="B237" s="13" t="s">
        <v>955</v>
      </c>
      <c r="C237" s="13" t="s">
        <v>966</v>
      </c>
      <c r="D237" s="13" t="s">
        <v>125</v>
      </c>
      <c r="E237" s="13" t="s">
        <v>124</v>
      </c>
      <c r="F237" s="14" t="n">
        <v>0</v>
      </c>
      <c r="G237" s="14" t="n">
        <v>0</v>
      </c>
      <c r="H237" s="14" t="n">
        <f aca="false">F237-G237</f>
        <v>0</v>
      </c>
      <c r="I237" s="15" t="n">
        <f aca="false">IF(F237=0,0,G237/F237)</f>
        <v>0</v>
      </c>
    </row>
    <row r="238" customFormat="false" ht="15" hidden="false" customHeight="true" outlineLevel="0" collapsed="false">
      <c r="A238" s="13" t="n">
        <v>2026</v>
      </c>
      <c r="B238" s="13" t="s">
        <v>955</v>
      </c>
      <c r="C238" s="13" t="s">
        <v>967</v>
      </c>
      <c r="D238" s="13" t="s">
        <v>125</v>
      </c>
      <c r="E238" s="13" t="s">
        <v>122</v>
      </c>
      <c r="F238" s="14" t="n">
        <v>4</v>
      </c>
      <c r="G238" s="14" t="n">
        <v>3</v>
      </c>
      <c r="H238" s="14" t="n">
        <f aca="false">F238-G238</f>
        <v>1</v>
      </c>
      <c r="I238" s="15" t="n">
        <f aca="false">IF(F238=0,0,G238/F238)</f>
        <v>0.75</v>
      </c>
    </row>
    <row r="239" customFormat="false" ht="15" hidden="false" customHeight="true" outlineLevel="0" collapsed="false">
      <c r="A239" s="13" t="n">
        <v>2026</v>
      </c>
      <c r="B239" s="13" t="s">
        <v>955</v>
      </c>
      <c r="C239" s="13" t="s">
        <v>967</v>
      </c>
      <c r="D239" s="13" t="s">
        <v>125</v>
      </c>
      <c r="E239" s="13" t="s">
        <v>124</v>
      </c>
      <c r="F239" s="14" t="n">
        <v>4</v>
      </c>
      <c r="G239" s="14" t="n">
        <v>2</v>
      </c>
      <c r="H239" s="14" t="n">
        <f aca="false">F239-G239</f>
        <v>2</v>
      </c>
      <c r="I239" s="15" t="n">
        <f aca="false">IF(F239=0,0,G239/F239)</f>
        <v>0.5</v>
      </c>
    </row>
    <row r="240" customFormat="false" ht="15" hidden="false" customHeight="true" outlineLevel="0" collapsed="false">
      <c r="A240" s="13" t="n">
        <v>2026</v>
      </c>
      <c r="B240" s="13" t="s">
        <v>955</v>
      </c>
      <c r="C240" s="13" t="s">
        <v>203</v>
      </c>
      <c r="D240" s="13" t="s">
        <v>121</v>
      </c>
      <c r="E240" s="13" t="s">
        <v>122</v>
      </c>
      <c r="F240" s="14" t="n">
        <v>2</v>
      </c>
      <c r="G240" s="14" t="n">
        <v>2</v>
      </c>
      <c r="H240" s="14" t="n">
        <f aca="false">F240-G240</f>
        <v>0</v>
      </c>
      <c r="I240" s="15" t="n">
        <f aca="false">IF(F240=0,0,G240/F240)</f>
        <v>1</v>
      </c>
    </row>
    <row r="241" customFormat="false" ht="15" hidden="false" customHeight="true" outlineLevel="0" collapsed="false">
      <c r="A241" s="13" t="n">
        <v>2026</v>
      </c>
      <c r="B241" s="13" t="s">
        <v>955</v>
      </c>
      <c r="C241" s="13" t="s">
        <v>203</v>
      </c>
      <c r="D241" s="13" t="s">
        <v>121</v>
      </c>
      <c r="E241" s="13" t="s">
        <v>124</v>
      </c>
      <c r="F241" s="14" t="n">
        <v>5</v>
      </c>
      <c r="G241" s="14" t="n">
        <v>4</v>
      </c>
      <c r="H241" s="14" t="n">
        <f aca="false">F241-G241</f>
        <v>1</v>
      </c>
      <c r="I241" s="15" t="n">
        <f aca="false">IF(F241=0,0,G241/F241)</f>
        <v>0.8</v>
      </c>
    </row>
    <row r="242" customFormat="false" ht="15" hidden="false" customHeight="true" outlineLevel="0" collapsed="false">
      <c r="A242" s="13" t="n">
        <v>2026</v>
      </c>
      <c r="B242" s="13" t="s">
        <v>955</v>
      </c>
      <c r="C242" s="13" t="s">
        <v>202</v>
      </c>
      <c r="D242" s="13" t="s">
        <v>125</v>
      </c>
      <c r="E242" s="13" t="s">
        <v>122</v>
      </c>
      <c r="F242" s="14" t="n">
        <v>58</v>
      </c>
      <c r="G242" s="14" t="n">
        <v>27</v>
      </c>
      <c r="H242" s="14" t="n">
        <f aca="false">F242-G242</f>
        <v>31</v>
      </c>
      <c r="I242" s="15" t="n">
        <f aca="false">IF(F242=0,0,G242/F242)</f>
        <v>0.46551724137931</v>
      </c>
    </row>
    <row r="243" customFormat="false" ht="15" hidden="false" customHeight="true" outlineLevel="0" collapsed="false">
      <c r="A243" s="13" t="n">
        <v>2026</v>
      </c>
      <c r="B243" s="13" t="s">
        <v>955</v>
      </c>
      <c r="C243" s="13" t="s">
        <v>202</v>
      </c>
      <c r="D243" s="13" t="s">
        <v>125</v>
      </c>
      <c r="E243" s="13" t="s">
        <v>124</v>
      </c>
      <c r="F243" s="14" t="n">
        <v>116</v>
      </c>
      <c r="G243" s="14" t="n">
        <v>45</v>
      </c>
      <c r="H243" s="14" t="n">
        <f aca="false">F243-G243</f>
        <v>71</v>
      </c>
      <c r="I243" s="15" t="n">
        <f aca="false">IF(F243=0,0,G243/F243)</f>
        <v>0.387931034482759</v>
      </c>
    </row>
    <row r="244" customFormat="false" ht="15" hidden="false" customHeight="true" outlineLevel="0" collapsed="false">
      <c r="A244" s="13" t="n">
        <v>2026</v>
      </c>
      <c r="B244" s="13" t="s">
        <v>955</v>
      </c>
      <c r="C244" s="13" t="s">
        <v>202</v>
      </c>
      <c r="D244" s="13" t="s">
        <v>121</v>
      </c>
      <c r="E244" s="13" t="s">
        <v>122</v>
      </c>
      <c r="F244" s="14" t="n">
        <v>569</v>
      </c>
      <c r="G244" s="14" t="n">
        <v>438</v>
      </c>
      <c r="H244" s="14" t="n">
        <f aca="false">F244-G244</f>
        <v>131</v>
      </c>
      <c r="I244" s="15" t="n">
        <f aca="false">IF(F244=0,0,G244/F244)</f>
        <v>0.769771528998243</v>
      </c>
    </row>
    <row r="245" customFormat="false" ht="15" hidden="false" customHeight="true" outlineLevel="0" collapsed="false">
      <c r="A245" s="13" t="n">
        <v>2026</v>
      </c>
      <c r="B245" s="13" t="s">
        <v>955</v>
      </c>
      <c r="C245" s="13" t="s">
        <v>202</v>
      </c>
      <c r="D245" s="13" t="s">
        <v>121</v>
      </c>
      <c r="E245" s="13" t="s">
        <v>124</v>
      </c>
      <c r="F245" s="14" t="n">
        <v>793</v>
      </c>
      <c r="G245" s="14" t="n">
        <v>556</v>
      </c>
      <c r="H245" s="14" t="n">
        <f aca="false">F245-G245</f>
        <v>237</v>
      </c>
      <c r="I245" s="15" t="n">
        <f aca="false">IF(F245=0,0,G245/F245)</f>
        <v>0.701134930643127</v>
      </c>
    </row>
    <row r="246" customFormat="false" ht="15" hidden="false" customHeight="true" outlineLevel="0" collapsed="false">
      <c r="A246" s="13" t="n">
        <v>2026</v>
      </c>
      <c r="B246" s="13" t="s">
        <v>955</v>
      </c>
      <c r="C246" s="13" t="s">
        <v>128</v>
      </c>
      <c r="D246" s="13" t="s">
        <v>125</v>
      </c>
      <c r="E246" s="13" t="s">
        <v>122</v>
      </c>
      <c r="F246" s="14" t="n">
        <v>692</v>
      </c>
      <c r="G246" s="14" t="n">
        <v>373</v>
      </c>
      <c r="H246" s="14" t="n">
        <f aca="false">F246-G246</f>
        <v>319</v>
      </c>
      <c r="I246" s="15" t="n">
        <f aca="false">IF(F246=0,0,G246/F246)</f>
        <v>0.539017341040462</v>
      </c>
    </row>
    <row r="247" customFormat="false" ht="15" hidden="false" customHeight="true" outlineLevel="0" collapsed="false">
      <c r="A247" s="13" t="n">
        <v>2026</v>
      </c>
      <c r="B247" s="13" t="s">
        <v>955</v>
      </c>
      <c r="C247" s="13" t="s">
        <v>128</v>
      </c>
      <c r="D247" s="13" t="s">
        <v>125</v>
      </c>
      <c r="E247" s="13" t="s">
        <v>124</v>
      </c>
      <c r="F247" s="14" t="n">
        <v>873</v>
      </c>
      <c r="G247" s="14" t="n">
        <v>237</v>
      </c>
      <c r="H247" s="14" t="n">
        <f aca="false">F247-G247</f>
        <v>636</v>
      </c>
      <c r="I247" s="15" t="n">
        <f aca="false">IF(F247=0,0,G247/F247)</f>
        <v>0.271477663230241</v>
      </c>
    </row>
    <row r="248" customFormat="false" ht="15" hidden="false" customHeight="true" outlineLevel="0" collapsed="false">
      <c r="A248" s="13" t="n">
        <v>2026</v>
      </c>
      <c r="B248" s="13" t="s">
        <v>955</v>
      </c>
      <c r="C248" s="13" t="s">
        <v>128</v>
      </c>
      <c r="D248" s="13" t="s">
        <v>121</v>
      </c>
      <c r="E248" s="13" t="s">
        <v>122</v>
      </c>
      <c r="F248" s="14" t="n">
        <v>2251</v>
      </c>
      <c r="G248" s="14" t="n">
        <v>1646</v>
      </c>
      <c r="H248" s="14" t="n">
        <f aca="false">F248-G248</f>
        <v>605</v>
      </c>
      <c r="I248" s="15" t="n">
        <f aca="false">IF(F248=0,0,G248/F248)</f>
        <v>0.731230564193692</v>
      </c>
    </row>
    <row r="249" customFormat="false" ht="15" hidden="false" customHeight="true" outlineLevel="0" collapsed="false">
      <c r="A249" s="13" t="n">
        <v>2026</v>
      </c>
      <c r="B249" s="13" t="s">
        <v>955</v>
      </c>
      <c r="C249" s="13" t="s">
        <v>128</v>
      </c>
      <c r="D249" s="13" t="s">
        <v>121</v>
      </c>
      <c r="E249" s="13" t="s">
        <v>124</v>
      </c>
      <c r="F249" s="14" t="n">
        <v>1553</v>
      </c>
      <c r="G249" s="14" t="n">
        <v>714</v>
      </c>
      <c r="H249" s="14" t="n">
        <f aca="false">F249-G249</f>
        <v>839</v>
      </c>
      <c r="I249" s="15" t="n">
        <f aca="false">IF(F249=0,0,G249/F249)</f>
        <v>0.459755312298777</v>
      </c>
    </row>
    <row r="250" customFormat="false" ht="15" hidden="false" customHeight="true" outlineLevel="0" collapsed="false">
      <c r="A250" s="13" t="n">
        <v>2026</v>
      </c>
      <c r="B250" s="13" t="s">
        <v>955</v>
      </c>
      <c r="C250" s="13" t="s">
        <v>126</v>
      </c>
      <c r="D250" s="13" t="s">
        <v>125</v>
      </c>
      <c r="E250" s="13" t="s">
        <v>122</v>
      </c>
      <c r="F250" s="14" t="n">
        <v>5</v>
      </c>
      <c r="G250" s="14" t="n">
        <v>3</v>
      </c>
      <c r="H250" s="14" t="n">
        <f aca="false">F250-G250</f>
        <v>2</v>
      </c>
      <c r="I250" s="15" t="n">
        <f aca="false">IF(F250=0,0,G250/F250)</f>
        <v>0.6</v>
      </c>
    </row>
    <row r="251" customFormat="false" ht="15" hidden="false" customHeight="true" outlineLevel="0" collapsed="false">
      <c r="A251" s="13" t="n">
        <v>2026</v>
      </c>
      <c r="B251" s="13" t="s">
        <v>955</v>
      </c>
      <c r="C251" s="13" t="s">
        <v>126</v>
      </c>
      <c r="D251" s="13" t="s">
        <v>125</v>
      </c>
      <c r="E251" s="13" t="s">
        <v>124</v>
      </c>
      <c r="F251" s="14" t="n">
        <v>22</v>
      </c>
      <c r="G251" s="14" t="n">
        <v>10</v>
      </c>
      <c r="H251" s="14" t="n">
        <f aca="false">F251-G251</f>
        <v>12</v>
      </c>
      <c r="I251" s="15" t="n">
        <f aca="false">IF(F251=0,0,G251/F251)</f>
        <v>0.454545454545455</v>
      </c>
    </row>
    <row r="252" customFormat="false" ht="15" hidden="false" customHeight="true" outlineLevel="0" collapsed="false">
      <c r="A252" s="13" t="n">
        <v>2026</v>
      </c>
      <c r="B252" s="13" t="s">
        <v>955</v>
      </c>
      <c r="C252" s="13" t="s">
        <v>126</v>
      </c>
      <c r="D252" s="13" t="s">
        <v>121</v>
      </c>
      <c r="E252" s="13" t="s">
        <v>122</v>
      </c>
      <c r="F252" s="14" t="n">
        <v>67</v>
      </c>
      <c r="G252" s="14" t="n">
        <v>57</v>
      </c>
      <c r="H252" s="14" t="n">
        <f aca="false">F252-G252</f>
        <v>10</v>
      </c>
      <c r="I252" s="15" t="n">
        <f aca="false">IF(F252=0,0,G252/F252)</f>
        <v>0.850746268656716</v>
      </c>
    </row>
    <row r="253" customFormat="false" ht="15" hidden="false" customHeight="true" outlineLevel="0" collapsed="false">
      <c r="A253" s="13" t="n">
        <v>2026</v>
      </c>
      <c r="B253" s="13" t="s">
        <v>955</v>
      </c>
      <c r="C253" s="13" t="s">
        <v>126</v>
      </c>
      <c r="D253" s="13" t="s">
        <v>121</v>
      </c>
      <c r="E253" s="13" t="s">
        <v>124</v>
      </c>
      <c r="F253" s="14" t="n">
        <v>111</v>
      </c>
      <c r="G253" s="14" t="n">
        <v>92</v>
      </c>
      <c r="H253" s="14" t="n">
        <f aca="false">F253-G253</f>
        <v>19</v>
      </c>
      <c r="I253" s="15" t="n">
        <f aca="false">IF(F253=0,0,G253/F253)</f>
        <v>0.828828828828829</v>
      </c>
    </row>
    <row r="254" customFormat="false" ht="15" hidden="false" customHeight="true" outlineLevel="0" collapsed="false">
      <c r="A254" s="13" t="n">
        <v>2026</v>
      </c>
      <c r="B254" s="13" t="s">
        <v>955</v>
      </c>
      <c r="C254" s="13" t="s">
        <v>123</v>
      </c>
      <c r="D254" s="13" t="s">
        <v>125</v>
      </c>
      <c r="E254" s="13" t="s">
        <v>122</v>
      </c>
      <c r="F254" s="14" t="n">
        <v>172</v>
      </c>
      <c r="G254" s="14" t="n">
        <v>123</v>
      </c>
      <c r="H254" s="14" t="n">
        <f aca="false">F254-G254</f>
        <v>49</v>
      </c>
      <c r="I254" s="15" t="n">
        <f aca="false">IF(F254=0,0,G254/F254)</f>
        <v>0.715116279069768</v>
      </c>
    </row>
    <row r="255" customFormat="false" ht="15" hidden="false" customHeight="true" outlineLevel="0" collapsed="false">
      <c r="A255" s="13" t="n">
        <v>2026</v>
      </c>
      <c r="B255" s="13" t="s">
        <v>955</v>
      </c>
      <c r="C255" s="13" t="s">
        <v>123</v>
      </c>
      <c r="D255" s="13" t="s">
        <v>125</v>
      </c>
      <c r="E255" s="13" t="s">
        <v>124</v>
      </c>
      <c r="F255" s="14" t="n">
        <v>133</v>
      </c>
      <c r="G255" s="14" t="n">
        <v>80</v>
      </c>
      <c r="H255" s="14" t="n">
        <f aca="false">F255-G255</f>
        <v>53</v>
      </c>
      <c r="I255" s="15" t="n">
        <f aca="false">IF(F255=0,0,G255/F255)</f>
        <v>0.601503759398496</v>
      </c>
    </row>
    <row r="256" customFormat="false" ht="15" hidden="false" customHeight="true" outlineLevel="0" collapsed="false">
      <c r="A256" s="13" t="n">
        <v>2026</v>
      </c>
      <c r="B256" s="13" t="s">
        <v>955</v>
      </c>
      <c r="C256" s="13" t="s">
        <v>123</v>
      </c>
      <c r="D256" s="13" t="s">
        <v>121</v>
      </c>
      <c r="E256" s="13" t="s">
        <v>122</v>
      </c>
      <c r="F256" s="14" t="n">
        <v>1443</v>
      </c>
      <c r="G256" s="14" t="n">
        <v>1232</v>
      </c>
      <c r="H256" s="14" t="n">
        <f aca="false">F256-G256</f>
        <v>211</v>
      </c>
      <c r="I256" s="15" t="n">
        <f aca="false">IF(F256=0,0,G256/F256)</f>
        <v>0.853776853776854</v>
      </c>
    </row>
    <row r="257" customFormat="false" ht="15" hidden="false" customHeight="true" outlineLevel="0" collapsed="false">
      <c r="A257" s="13" t="n">
        <v>2026</v>
      </c>
      <c r="B257" s="13" t="s">
        <v>955</v>
      </c>
      <c r="C257" s="13" t="s">
        <v>123</v>
      </c>
      <c r="D257" s="13" t="s">
        <v>121</v>
      </c>
      <c r="E257" s="13" t="s">
        <v>124</v>
      </c>
      <c r="F257" s="14" t="n">
        <v>657</v>
      </c>
      <c r="G257" s="14" t="n">
        <v>544</v>
      </c>
      <c r="H257" s="14" t="n">
        <f aca="false">F257-G257</f>
        <v>113</v>
      </c>
      <c r="I257" s="15" t="n">
        <f aca="false">IF(F257=0,0,G257/F257)</f>
        <v>0.828006088280061</v>
      </c>
    </row>
    <row r="258" customFormat="false" ht="15" hidden="false" customHeight="true" outlineLevel="0" collapsed="false">
      <c r="A258" s="13" t="n">
        <v>2026</v>
      </c>
      <c r="B258" s="13" t="s">
        <v>955</v>
      </c>
      <c r="C258" s="13" t="s">
        <v>968</v>
      </c>
      <c r="D258" s="13" t="s">
        <v>125</v>
      </c>
      <c r="E258" s="13" t="s">
        <v>124</v>
      </c>
      <c r="F258" s="14" t="n">
        <v>1</v>
      </c>
      <c r="G258" s="14" t="n">
        <v>0</v>
      </c>
      <c r="H258" s="14" t="n">
        <f aca="false">F258-G258</f>
        <v>1</v>
      </c>
      <c r="I258" s="15" t="n">
        <f aca="false">IF(F258=0,0,G258/F258)</f>
        <v>0</v>
      </c>
    </row>
    <row r="259" customFormat="false" ht="15" hidden="false" customHeight="true" outlineLevel="0" collapsed="false">
      <c r="A259" s="13" t="n">
        <v>2026</v>
      </c>
      <c r="B259" s="13" t="s">
        <v>958</v>
      </c>
      <c r="C259" s="13" t="s">
        <v>967</v>
      </c>
      <c r="D259" s="13" t="s">
        <v>125</v>
      </c>
      <c r="E259" s="13" t="s">
        <v>122</v>
      </c>
      <c r="F259" s="14" t="n">
        <v>4</v>
      </c>
      <c r="G259" s="14" t="n">
        <v>4</v>
      </c>
      <c r="H259" s="14" t="n">
        <f aca="false">F259-G259</f>
        <v>0</v>
      </c>
      <c r="I259" s="15" t="n">
        <f aca="false">IF(F259=0,0,G259/F259)</f>
        <v>1</v>
      </c>
    </row>
    <row r="260" customFormat="false" ht="15" hidden="false" customHeight="true" outlineLevel="0" collapsed="false">
      <c r="A260" s="13" t="n">
        <v>2026</v>
      </c>
      <c r="B260" s="13" t="s">
        <v>958</v>
      </c>
      <c r="C260" s="13" t="s">
        <v>967</v>
      </c>
      <c r="D260" s="13" t="s">
        <v>125</v>
      </c>
      <c r="E260" s="13" t="s">
        <v>124</v>
      </c>
      <c r="F260" s="14" t="n">
        <v>11</v>
      </c>
      <c r="G260" s="14" t="n">
        <v>8</v>
      </c>
      <c r="H260" s="14" t="n">
        <f aca="false">F260-G260</f>
        <v>3</v>
      </c>
      <c r="I260" s="15" t="n">
        <f aca="false">IF(F260=0,0,G260/F260)</f>
        <v>0.727272727272727</v>
      </c>
    </row>
    <row r="261" customFormat="false" ht="15" hidden="false" customHeight="true" outlineLevel="0" collapsed="false">
      <c r="A261" s="13" t="n">
        <v>2026</v>
      </c>
      <c r="B261" s="13" t="s">
        <v>958</v>
      </c>
      <c r="C261" s="13" t="s">
        <v>203</v>
      </c>
      <c r="D261" s="13" t="s">
        <v>125</v>
      </c>
      <c r="E261" s="13" t="s">
        <v>124</v>
      </c>
      <c r="F261" s="14" t="n">
        <v>6</v>
      </c>
      <c r="G261" s="14" t="n">
        <v>1</v>
      </c>
      <c r="H261" s="14" t="n">
        <f aca="false">F261-G261</f>
        <v>5</v>
      </c>
      <c r="I261" s="15" t="n">
        <f aca="false">IF(F261=0,0,G261/F261)</f>
        <v>0.166666666666667</v>
      </c>
    </row>
    <row r="262" customFormat="false" ht="15" hidden="false" customHeight="true" outlineLevel="0" collapsed="false">
      <c r="A262" s="13" t="n">
        <v>2026</v>
      </c>
      <c r="B262" s="13" t="s">
        <v>958</v>
      </c>
      <c r="C262" s="13" t="s">
        <v>203</v>
      </c>
      <c r="D262" s="13" t="s">
        <v>121</v>
      </c>
      <c r="E262" s="13" t="s">
        <v>124</v>
      </c>
      <c r="F262" s="14" t="n">
        <v>22</v>
      </c>
      <c r="G262" s="14" t="n">
        <v>16</v>
      </c>
      <c r="H262" s="14" t="n">
        <f aca="false">F262-G262</f>
        <v>6</v>
      </c>
      <c r="I262" s="15" t="n">
        <f aca="false">IF(F262=0,0,G262/F262)</f>
        <v>0.727272727272727</v>
      </c>
    </row>
    <row r="263" customFormat="false" ht="15" hidden="false" customHeight="true" outlineLevel="0" collapsed="false">
      <c r="A263" s="13" t="n">
        <v>2026</v>
      </c>
      <c r="B263" s="13" t="s">
        <v>958</v>
      </c>
      <c r="C263" s="13" t="s">
        <v>202</v>
      </c>
      <c r="D263" s="13" t="s">
        <v>125</v>
      </c>
      <c r="E263" s="13" t="s">
        <v>122</v>
      </c>
      <c r="F263" s="14" t="n">
        <v>62</v>
      </c>
      <c r="G263" s="14" t="n">
        <v>25</v>
      </c>
      <c r="H263" s="14" t="n">
        <f aca="false">F263-G263</f>
        <v>37</v>
      </c>
      <c r="I263" s="15" t="n">
        <f aca="false">IF(F263=0,0,G263/F263)</f>
        <v>0.403225806451613</v>
      </c>
    </row>
    <row r="264" customFormat="false" ht="15" hidden="false" customHeight="true" outlineLevel="0" collapsed="false">
      <c r="A264" s="13" t="n">
        <v>2026</v>
      </c>
      <c r="B264" s="13" t="s">
        <v>958</v>
      </c>
      <c r="C264" s="13" t="s">
        <v>202</v>
      </c>
      <c r="D264" s="13" t="s">
        <v>125</v>
      </c>
      <c r="E264" s="13" t="s">
        <v>124</v>
      </c>
      <c r="F264" s="14" t="n">
        <v>131</v>
      </c>
      <c r="G264" s="14" t="n">
        <v>55</v>
      </c>
      <c r="H264" s="14" t="n">
        <f aca="false">F264-G264</f>
        <v>76</v>
      </c>
      <c r="I264" s="15" t="n">
        <f aca="false">IF(F264=0,0,G264/F264)</f>
        <v>0.419847328244275</v>
      </c>
    </row>
    <row r="265" customFormat="false" ht="15" hidden="false" customHeight="true" outlineLevel="0" collapsed="false">
      <c r="A265" s="13" t="n">
        <v>2026</v>
      </c>
      <c r="B265" s="13" t="s">
        <v>958</v>
      </c>
      <c r="C265" s="13" t="s">
        <v>202</v>
      </c>
      <c r="D265" s="13" t="s">
        <v>121</v>
      </c>
      <c r="E265" s="13" t="s">
        <v>122</v>
      </c>
      <c r="F265" s="14" t="n">
        <v>1026</v>
      </c>
      <c r="G265" s="14" t="n">
        <v>863</v>
      </c>
      <c r="H265" s="14" t="n">
        <f aca="false">F265-G265</f>
        <v>163</v>
      </c>
      <c r="I265" s="15" t="n">
        <f aca="false">IF(F265=0,0,G265/F265)</f>
        <v>0.841130604288499</v>
      </c>
    </row>
    <row r="266" customFormat="false" ht="15" hidden="false" customHeight="true" outlineLevel="0" collapsed="false">
      <c r="A266" s="13" t="n">
        <v>2026</v>
      </c>
      <c r="B266" s="13" t="s">
        <v>958</v>
      </c>
      <c r="C266" s="13" t="s">
        <v>202</v>
      </c>
      <c r="D266" s="13" t="s">
        <v>121</v>
      </c>
      <c r="E266" s="13" t="s">
        <v>124</v>
      </c>
      <c r="F266" s="14" t="n">
        <v>972</v>
      </c>
      <c r="G266" s="14" t="n">
        <v>653</v>
      </c>
      <c r="H266" s="14" t="n">
        <f aca="false">F266-G266</f>
        <v>319</v>
      </c>
      <c r="I266" s="15" t="n">
        <f aca="false">IF(F266=0,0,G266/F266)</f>
        <v>0.671810699588477</v>
      </c>
    </row>
    <row r="267" customFormat="false" ht="15" hidden="false" customHeight="true" outlineLevel="0" collapsed="false">
      <c r="A267" s="13" t="n">
        <v>2026</v>
      </c>
      <c r="B267" s="13" t="s">
        <v>958</v>
      </c>
      <c r="C267" s="13" t="s">
        <v>128</v>
      </c>
      <c r="D267" s="13" t="s">
        <v>125</v>
      </c>
      <c r="E267" s="13" t="s">
        <v>122</v>
      </c>
      <c r="F267" s="14" t="n">
        <v>734</v>
      </c>
      <c r="G267" s="14" t="n">
        <v>395</v>
      </c>
      <c r="H267" s="14" t="n">
        <f aca="false">F267-G267</f>
        <v>339</v>
      </c>
      <c r="I267" s="15" t="n">
        <f aca="false">IF(F267=0,0,G267/F267)</f>
        <v>0.538147138964578</v>
      </c>
    </row>
    <row r="268" customFormat="false" ht="15" hidden="false" customHeight="true" outlineLevel="0" collapsed="false">
      <c r="A268" s="13" t="n">
        <v>2026</v>
      </c>
      <c r="B268" s="13" t="s">
        <v>958</v>
      </c>
      <c r="C268" s="13" t="s">
        <v>128</v>
      </c>
      <c r="D268" s="13" t="s">
        <v>125</v>
      </c>
      <c r="E268" s="13" t="s">
        <v>124</v>
      </c>
      <c r="F268" s="14" t="n">
        <v>681</v>
      </c>
      <c r="G268" s="14" t="n">
        <v>184</v>
      </c>
      <c r="H268" s="14" t="n">
        <f aca="false">F268-G268</f>
        <v>497</v>
      </c>
      <c r="I268" s="15" t="n">
        <f aca="false">IF(F268=0,0,G268/F268)</f>
        <v>0.270190895741557</v>
      </c>
    </row>
    <row r="269" customFormat="false" ht="15" hidden="false" customHeight="true" outlineLevel="0" collapsed="false">
      <c r="A269" s="13" t="n">
        <v>2026</v>
      </c>
      <c r="B269" s="13" t="s">
        <v>958</v>
      </c>
      <c r="C269" s="13" t="s">
        <v>128</v>
      </c>
      <c r="D269" s="13" t="s">
        <v>121</v>
      </c>
      <c r="E269" s="13" t="s">
        <v>122</v>
      </c>
      <c r="F269" s="14" t="n">
        <v>1915</v>
      </c>
      <c r="G269" s="14" t="n">
        <v>1512</v>
      </c>
      <c r="H269" s="14" t="n">
        <f aca="false">F269-G269</f>
        <v>403</v>
      </c>
      <c r="I269" s="15" t="n">
        <f aca="false">IF(F269=0,0,G269/F269)</f>
        <v>0.789556135770235</v>
      </c>
    </row>
    <row r="270" customFormat="false" ht="15" hidden="false" customHeight="true" outlineLevel="0" collapsed="false">
      <c r="A270" s="13" t="n">
        <v>2026</v>
      </c>
      <c r="B270" s="13" t="s">
        <v>958</v>
      </c>
      <c r="C270" s="13" t="s">
        <v>128</v>
      </c>
      <c r="D270" s="13" t="s">
        <v>121</v>
      </c>
      <c r="E270" s="13" t="s">
        <v>124</v>
      </c>
      <c r="F270" s="14" t="n">
        <v>1188</v>
      </c>
      <c r="G270" s="14" t="n">
        <v>571</v>
      </c>
      <c r="H270" s="14" t="n">
        <f aca="false">F270-G270</f>
        <v>617</v>
      </c>
      <c r="I270" s="15" t="n">
        <f aca="false">IF(F270=0,0,G270/F270)</f>
        <v>0.480639730639731</v>
      </c>
    </row>
    <row r="271" customFormat="false" ht="15" hidden="false" customHeight="true" outlineLevel="0" collapsed="false">
      <c r="A271" s="13" t="n">
        <v>2026</v>
      </c>
      <c r="B271" s="13" t="s">
        <v>958</v>
      </c>
      <c r="C271" s="13" t="s">
        <v>126</v>
      </c>
      <c r="D271" s="13" t="s">
        <v>125</v>
      </c>
      <c r="E271" s="13" t="s">
        <v>122</v>
      </c>
      <c r="F271" s="14" t="n">
        <v>7</v>
      </c>
      <c r="G271" s="14" t="n">
        <v>4</v>
      </c>
      <c r="H271" s="14" t="n">
        <f aca="false">F271-G271</f>
        <v>3</v>
      </c>
      <c r="I271" s="15" t="n">
        <f aca="false">IF(F271=0,0,G271/F271)</f>
        <v>0.571428571428571</v>
      </c>
    </row>
    <row r="272" customFormat="false" ht="15" hidden="false" customHeight="true" outlineLevel="0" collapsed="false">
      <c r="A272" s="13" t="n">
        <v>2026</v>
      </c>
      <c r="B272" s="13" t="s">
        <v>958</v>
      </c>
      <c r="C272" s="13" t="s">
        <v>126</v>
      </c>
      <c r="D272" s="13" t="s">
        <v>125</v>
      </c>
      <c r="E272" s="13" t="s">
        <v>124</v>
      </c>
      <c r="F272" s="14" t="n">
        <v>23</v>
      </c>
      <c r="G272" s="14" t="n">
        <v>10</v>
      </c>
      <c r="H272" s="14" t="n">
        <f aca="false">F272-G272</f>
        <v>13</v>
      </c>
      <c r="I272" s="15" t="n">
        <f aca="false">IF(F272=0,0,G272/F272)</f>
        <v>0.434782608695652</v>
      </c>
    </row>
    <row r="273" customFormat="false" ht="15" hidden="false" customHeight="true" outlineLevel="0" collapsed="false">
      <c r="A273" s="13" t="n">
        <v>2026</v>
      </c>
      <c r="B273" s="13" t="s">
        <v>958</v>
      </c>
      <c r="C273" s="13" t="s">
        <v>126</v>
      </c>
      <c r="D273" s="13" t="s">
        <v>121</v>
      </c>
      <c r="E273" s="13" t="s">
        <v>122</v>
      </c>
      <c r="F273" s="14" t="n">
        <v>138</v>
      </c>
      <c r="G273" s="14" t="n">
        <v>125</v>
      </c>
      <c r="H273" s="14" t="n">
        <f aca="false">F273-G273</f>
        <v>13</v>
      </c>
      <c r="I273" s="15" t="n">
        <f aca="false">IF(F273=0,0,G273/F273)</f>
        <v>0.905797101449275</v>
      </c>
    </row>
    <row r="274" customFormat="false" ht="15" hidden="false" customHeight="true" outlineLevel="0" collapsed="false">
      <c r="A274" s="13" t="n">
        <v>2026</v>
      </c>
      <c r="B274" s="13" t="s">
        <v>958</v>
      </c>
      <c r="C274" s="13" t="s">
        <v>126</v>
      </c>
      <c r="D274" s="13" t="s">
        <v>121</v>
      </c>
      <c r="E274" s="13" t="s">
        <v>124</v>
      </c>
      <c r="F274" s="14" t="n">
        <v>203</v>
      </c>
      <c r="G274" s="14" t="n">
        <v>164</v>
      </c>
      <c r="H274" s="14" t="n">
        <f aca="false">F274-G274</f>
        <v>39</v>
      </c>
      <c r="I274" s="15" t="n">
        <f aca="false">IF(F274=0,0,G274/F274)</f>
        <v>0.807881773399015</v>
      </c>
    </row>
    <row r="275" customFormat="false" ht="15" hidden="false" customHeight="true" outlineLevel="0" collapsed="false">
      <c r="A275" s="13" t="n">
        <v>2026</v>
      </c>
      <c r="B275" s="13" t="s">
        <v>958</v>
      </c>
      <c r="C275" s="13" t="s">
        <v>123</v>
      </c>
      <c r="D275" s="13" t="s">
        <v>125</v>
      </c>
      <c r="E275" s="13" t="s">
        <v>122</v>
      </c>
      <c r="F275" s="14" t="n">
        <v>105</v>
      </c>
      <c r="G275" s="14" t="n">
        <v>78</v>
      </c>
      <c r="H275" s="14" t="n">
        <f aca="false">F275-G275</f>
        <v>27</v>
      </c>
      <c r="I275" s="15" t="n">
        <f aca="false">IF(F275=0,0,G275/F275)</f>
        <v>0.742857142857143</v>
      </c>
    </row>
    <row r="276" customFormat="false" ht="15" hidden="false" customHeight="true" outlineLevel="0" collapsed="false">
      <c r="A276" s="13" t="n">
        <v>2026</v>
      </c>
      <c r="B276" s="13" t="s">
        <v>958</v>
      </c>
      <c r="C276" s="13" t="s">
        <v>123</v>
      </c>
      <c r="D276" s="13" t="s">
        <v>125</v>
      </c>
      <c r="E276" s="13" t="s">
        <v>124</v>
      </c>
      <c r="F276" s="14" t="n">
        <v>35</v>
      </c>
      <c r="G276" s="14" t="n">
        <v>22</v>
      </c>
      <c r="H276" s="14" t="n">
        <f aca="false">F276-G276</f>
        <v>13</v>
      </c>
      <c r="I276" s="15" t="n">
        <f aca="false">IF(F276=0,0,G276/F276)</f>
        <v>0.628571428571429</v>
      </c>
    </row>
    <row r="277" customFormat="false" ht="15" hidden="false" customHeight="true" outlineLevel="0" collapsed="false">
      <c r="A277" s="13" t="n">
        <v>2026</v>
      </c>
      <c r="B277" s="13" t="s">
        <v>958</v>
      </c>
      <c r="C277" s="13" t="s">
        <v>123</v>
      </c>
      <c r="D277" s="13" t="s">
        <v>121</v>
      </c>
      <c r="E277" s="13" t="s">
        <v>122</v>
      </c>
      <c r="F277" s="14" t="n">
        <v>1045</v>
      </c>
      <c r="G277" s="14" t="n">
        <v>944</v>
      </c>
      <c r="H277" s="14" t="n">
        <f aca="false">F277-G277</f>
        <v>101</v>
      </c>
      <c r="I277" s="15" t="n">
        <f aca="false">IF(F277=0,0,G277/F277)</f>
        <v>0.903349282296651</v>
      </c>
    </row>
    <row r="278" customFormat="false" ht="15" hidden="false" customHeight="true" outlineLevel="0" collapsed="false">
      <c r="A278" s="13" t="n">
        <v>2026</v>
      </c>
      <c r="B278" s="13" t="s">
        <v>958</v>
      </c>
      <c r="C278" s="13" t="s">
        <v>123</v>
      </c>
      <c r="D278" s="13" t="s">
        <v>121</v>
      </c>
      <c r="E278" s="13" t="s">
        <v>124</v>
      </c>
      <c r="F278" s="14" t="n">
        <v>377</v>
      </c>
      <c r="G278" s="14" t="n">
        <v>302</v>
      </c>
      <c r="H278" s="14" t="n">
        <f aca="false">F278-G278</f>
        <v>75</v>
      </c>
      <c r="I278" s="15" t="n">
        <f aca="false">IF(F278=0,0,G278/F278)</f>
        <v>0.80106100795756</v>
      </c>
    </row>
    <row r="279" customFormat="false" ht="15" hidden="false" customHeight="true" outlineLevel="0" collapsed="false">
      <c r="A279" s="13" t="n">
        <v>2026</v>
      </c>
      <c r="B279" s="13" t="s">
        <v>959</v>
      </c>
      <c r="C279" s="13" t="s">
        <v>967</v>
      </c>
      <c r="D279" s="13" t="s">
        <v>125</v>
      </c>
      <c r="E279" s="13" t="s">
        <v>122</v>
      </c>
      <c r="F279" s="14" t="n">
        <v>3</v>
      </c>
      <c r="G279" s="14" t="n">
        <v>3</v>
      </c>
      <c r="H279" s="14" t="n">
        <f aca="false">F279-G279</f>
        <v>0</v>
      </c>
      <c r="I279" s="15" t="n">
        <f aca="false">IF(F279=0,0,G279/F279)</f>
        <v>1</v>
      </c>
    </row>
    <row r="280" customFormat="false" ht="15" hidden="false" customHeight="true" outlineLevel="0" collapsed="false">
      <c r="A280" s="13" t="n">
        <v>2026</v>
      </c>
      <c r="B280" s="13" t="s">
        <v>959</v>
      </c>
      <c r="C280" s="13" t="s">
        <v>967</v>
      </c>
      <c r="D280" s="13" t="s">
        <v>125</v>
      </c>
      <c r="E280" s="13" t="s">
        <v>124</v>
      </c>
      <c r="F280" s="14" t="n">
        <v>14</v>
      </c>
      <c r="G280" s="14" t="n">
        <v>8</v>
      </c>
      <c r="H280" s="14" t="n">
        <f aca="false">F280-G280</f>
        <v>6</v>
      </c>
      <c r="I280" s="15" t="n">
        <f aca="false">IF(F280=0,0,G280/F280)</f>
        <v>0.571428571428571</v>
      </c>
    </row>
    <row r="281" customFormat="false" ht="15" hidden="false" customHeight="true" outlineLevel="0" collapsed="false">
      <c r="A281" s="13" t="n">
        <v>2026</v>
      </c>
      <c r="B281" s="13" t="s">
        <v>959</v>
      </c>
      <c r="C281" s="13" t="s">
        <v>203</v>
      </c>
      <c r="D281" s="13" t="s">
        <v>125</v>
      </c>
      <c r="E281" s="13" t="s">
        <v>122</v>
      </c>
      <c r="F281" s="14" t="n">
        <v>1</v>
      </c>
      <c r="G281" s="14" t="n">
        <v>1</v>
      </c>
      <c r="H281" s="14" t="n">
        <f aca="false">F281-G281</f>
        <v>0</v>
      </c>
      <c r="I281" s="15" t="n">
        <f aca="false">IF(F281=0,0,G281/F281)</f>
        <v>1</v>
      </c>
    </row>
    <row r="282" customFormat="false" ht="15" hidden="false" customHeight="true" outlineLevel="0" collapsed="false">
      <c r="A282" s="13" t="n">
        <v>2026</v>
      </c>
      <c r="B282" s="13" t="s">
        <v>959</v>
      </c>
      <c r="C282" s="13" t="s">
        <v>203</v>
      </c>
      <c r="D282" s="13" t="s">
        <v>125</v>
      </c>
      <c r="E282" s="13" t="s">
        <v>124</v>
      </c>
      <c r="F282" s="14" t="n">
        <v>4</v>
      </c>
      <c r="G282" s="14" t="n">
        <v>0</v>
      </c>
      <c r="H282" s="14" t="n">
        <f aca="false">F282-G282</f>
        <v>4</v>
      </c>
      <c r="I282" s="15" t="n">
        <f aca="false">IF(F282=0,0,G282/F282)</f>
        <v>0</v>
      </c>
    </row>
    <row r="283" customFormat="false" ht="15" hidden="false" customHeight="true" outlineLevel="0" collapsed="false">
      <c r="A283" s="13" t="n">
        <v>2026</v>
      </c>
      <c r="B283" s="13" t="s">
        <v>959</v>
      </c>
      <c r="C283" s="13" t="s">
        <v>203</v>
      </c>
      <c r="D283" s="13" t="s">
        <v>121</v>
      </c>
      <c r="E283" s="13" t="s">
        <v>122</v>
      </c>
      <c r="F283" s="14" t="n">
        <v>24</v>
      </c>
      <c r="G283" s="14" t="n">
        <v>21</v>
      </c>
      <c r="H283" s="14" t="n">
        <f aca="false">F283-G283</f>
        <v>3</v>
      </c>
      <c r="I283" s="15" t="n">
        <f aca="false">IF(F283=0,0,G283/F283)</f>
        <v>0.875</v>
      </c>
    </row>
    <row r="284" customFormat="false" ht="15" hidden="false" customHeight="true" outlineLevel="0" collapsed="false">
      <c r="A284" s="13" t="n">
        <v>2026</v>
      </c>
      <c r="B284" s="13" t="s">
        <v>959</v>
      </c>
      <c r="C284" s="13" t="s">
        <v>203</v>
      </c>
      <c r="D284" s="13" t="s">
        <v>121</v>
      </c>
      <c r="E284" s="13" t="s">
        <v>124</v>
      </c>
      <c r="F284" s="14" t="n">
        <v>3</v>
      </c>
      <c r="G284" s="14" t="n">
        <v>3</v>
      </c>
      <c r="H284" s="14" t="n">
        <f aca="false">F284-G284</f>
        <v>0</v>
      </c>
      <c r="I284" s="15" t="n">
        <f aca="false">IF(F284=0,0,G284/F284)</f>
        <v>1</v>
      </c>
    </row>
    <row r="285" customFormat="false" ht="15" hidden="false" customHeight="true" outlineLevel="0" collapsed="false">
      <c r="A285" s="13" t="n">
        <v>2026</v>
      </c>
      <c r="B285" s="13" t="s">
        <v>959</v>
      </c>
      <c r="C285" s="13" t="s">
        <v>202</v>
      </c>
      <c r="D285" s="13" t="s">
        <v>125</v>
      </c>
      <c r="E285" s="13" t="s">
        <v>122</v>
      </c>
      <c r="F285" s="14" t="n">
        <v>85</v>
      </c>
      <c r="G285" s="14" t="n">
        <v>48</v>
      </c>
      <c r="H285" s="14" t="n">
        <f aca="false">F285-G285</f>
        <v>37</v>
      </c>
      <c r="I285" s="15" t="n">
        <f aca="false">IF(F285=0,0,G285/F285)</f>
        <v>0.564705882352941</v>
      </c>
    </row>
    <row r="286" customFormat="false" ht="15" hidden="false" customHeight="true" outlineLevel="0" collapsed="false">
      <c r="A286" s="13" t="n">
        <v>2026</v>
      </c>
      <c r="B286" s="13" t="s">
        <v>959</v>
      </c>
      <c r="C286" s="13" t="s">
        <v>202</v>
      </c>
      <c r="D286" s="13" t="s">
        <v>125</v>
      </c>
      <c r="E286" s="13" t="s">
        <v>124</v>
      </c>
      <c r="F286" s="14" t="n">
        <v>208</v>
      </c>
      <c r="G286" s="14" t="n">
        <v>83</v>
      </c>
      <c r="H286" s="14" t="n">
        <f aca="false">F286-G286</f>
        <v>125</v>
      </c>
      <c r="I286" s="15" t="n">
        <f aca="false">IF(F286=0,0,G286/F286)</f>
        <v>0.399038461538462</v>
      </c>
    </row>
    <row r="287" customFormat="false" ht="15" hidden="false" customHeight="true" outlineLevel="0" collapsed="false">
      <c r="A287" s="13" t="n">
        <v>2026</v>
      </c>
      <c r="B287" s="13" t="s">
        <v>959</v>
      </c>
      <c r="C287" s="13" t="s">
        <v>202</v>
      </c>
      <c r="D287" s="13" t="s">
        <v>121</v>
      </c>
      <c r="E287" s="13" t="s">
        <v>122</v>
      </c>
      <c r="F287" s="14" t="n">
        <v>884</v>
      </c>
      <c r="G287" s="14" t="n">
        <v>717</v>
      </c>
      <c r="H287" s="14" t="n">
        <f aca="false">F287-G287</f>
        <v>167</v>
      </c>
      <c r="I287" s="15" t="n">
        <f aca="false">IF(F287=0,0,G287/F287)</f>
        <v>0.811085972850679</v>
      </c>
    </row>
    <row r="288" customFormat="false" ht="15" hidden="false" customHeight="true" outlineLevel="0" collapsed="false">
      <c r="A288" s="13" t="n">
        <v>2026</v>
      </c>
      <c r="B288" s="13" t="s">
        <v>959</v>
      </c>
      <c r="C288" s="13" t="s">
        <v>202</v>
      </c>
      <c r="D288" s="13" t="s">
        <v>121</v>
      </c>
      <c r="E288" s="13" t="s">
        <v>124</v>
      </c>
      <c r="F288" s="14" t="n">
        <v>1159</v>
      </c>
      <c r="G288" s="14" t="n">
        <v>769</v>
      </c>
      <c r="H288" s="14" t="n">
        <f aca="false">F288-G288</f>
        <v>390</v>
      </c>
      <c r="I288" s="15" t="n">
        <f aca="false">IF(F288=0,0,G288/F288)</f>
        <v>0.663503019844694</v>
      </c>
    </row>
    <row r="289" customFormat="false" ht="15" hidden="false" customHeight="true" outlineLevel="0" collapsed="false">
      <c r="A289" s="13" t="n">
        <v>2026</v>
      </c>
      <c r="B289" s="13" t="s">
        <v>959</v>
      </c>
      <c r="C289" s="13" t="s">
        <v>128</v>
      </c>
      <c r="D289" s="13" t="s">
        <v>125</v>
      </c>
      <c r="E289" s="13" t="s">
        <v>122</v>
      </c>
      <c r="F289" s="14" t="n">
        <v>597</v>
      </c>
      <c r="G289" s="14" t="n">
        <v>306</v>
      </c>
      <c r="H289" s="14" t="n">
        <f aca="false">F289-G289</f>
        <v>291</v>
      </c>
      <c r="I289" s="15" t="n">
        <f aca="false">IF(F289=0,0,G289/F289)</f>
        <v>0.512562814070352</v>
      </c>
    </row>
    <row r="290" customFormat="false" ht="15" hidden="false" customHeight="true" outlineLevel="0" collapsed="false">
      <c r="A290" s="13" t="n">
        <v>2026</v>
      </c>
      <c r="B290" s="13" t="s">
        <v>959</v>
      </c>
      <c r="C290" s="13" t="s">
        <v>128</v>
      </c>
      <c r="D290" s="13" t="s">
        <v>125</v>
      </c>
      <c r="E290" s="13" t="s">
        <v>124</v>
      </c>
      <c r="F290" s="14" t="n">
        <v>655</v>
      </c>
      <c r="G290" s="14" t="n">
        <v>179</v>
      </c>
      <c r="H290" s="14" t="n">
        <f aca="false">F290-G290</f>
        <v>476</v>
      </c>
      <c r="I290" s="15" t="n">
        <f aca="false">IF(F290=0,0,G290/F290)</f>
        <v>0.273282442748092</v>
      </c>
    </row>
    <row r="291" customFormat="false" ht="15" hidden="false" customHeight="true" outlineLevel="0" collapsed="false">
      <c r="A291" s="13" t="n">
        <v>2026</v>
      </c>
      <c r="B291" s="13" t="s">
        <v>959</v>
      </c>
      <c r="C291" s="13" t="s">
        <v>128</v>
      </c>
      <c r="D291" s="13" t="s">
        <v>121</v>
      </c>
      <c r="E291" s="13" t="s">
        <v>122</v>
      </c>
      <c r="F291" s="14" t="n">
        <v>1880</v>
      </c>
      <c r="G291" s="14" t="n">
        <v>1351</v>
      </c>
      <c r="H291" s="14" t="n">
        <f aca="false">F291-G291</f>
        <v>529</v>
      </c>
      <c r="I291" s="15" t="n">
        <f aca="false">IF(F291=0,0,G291/F291)</f>
        <v>0.718617021276596</v>
      </c>
    </row>
    <row r="292" customFormat="false" ht="15" hidden="false" customHeight="true" outlineLevel="0" collapsed="false">
      <c r="A292" s="13" t="n">
        <v>2026</v>
      </c>
      <c r="B292" s="13" t="s">
        <v>959</v>
      </c>
      <c r="C292" s="13" t="s">
        <v>128</v>
      </c>
      <c r="D292" s="13" t="s">
        <v>121</v>
      </c>
      <c r="E292" s="13" t="s">
        <v>124</v>
      </c>
      <c r="F292" s="14" t="n">
        <v>1284</v>
      </c>
      <c r="G292" s="14" t="n">
        <v>597</v>
      </c>
      <c r="H292" s="14" t="n">
        <f aca="false">F292-G292</f>
        <v>687</v>
      </c>
      <c r="I292" s="15" t="n">
        <f aca="false">IF(F292=0,0,G292/F292)</f>
        <v>0.464953271028037</v>
      </c>
    </row>
    <row r="293" customFormat="false" ht="15" hidden="false" customHeight="true" outlineLevel="0" collapsed="false">
      <c r="A293" s="13" t="n">
        <v>2026</v>
      </c>
      <c r="B293" s="13" t="s">
        <v>959</v>
      </c>
      <c r="C293" s="13" t="s">
        <v>126</v>
      </c>
      <c r="D293" s="13" t="s">
        <v>125</v>
      </c>
      <c r="E293" s="13" t="s">
        <v>122</v>
      </c>
      <c r="F293" s="14" t="n">
        <v>13</v>
      </c>
      <c r="G293" s="14" t="n">
        <v>6</v>
      </c>
      <c r="H293" s="14" t="n">
        <f aca="false">F293-G293</f>
        <v>7</v>
      </c>
      <c r="I293" s="15" t="n">
        <f aca="false">IF(F293=0,0,G293/F293)</f>
        <v>0.461538461538462</v>
      </c>
    </row>
    <row r="294" customFormat="false" ht="15" hidden="false" customHeight="true" outlineLevel="0" collapsed="false">
      <c r="A294" s="13" t="n">
        <v>2026</v>
      </c>
      <c r="B294" s="13" t="s">
        <v>959</v>
      </c>
      <c r="C294" s="13" t="s">
        <v>126</v>
      </c>
      <c r="D294" s="13" t="s">
        <v>125</v>
      </c>
      <c r="E294" s="13" t="s">
        <v>124</v>
      </c>
      <c r="F294" s="14" t="n">
        <v>38</v>
      </c>
      <c r="G294" s="14" t="n">
        <v>16</v>
      </c>
      <c r="H294" s="14" t="n">
        <f aca="false">F294-G294</f>
        <v>22</v>
      </c>
      <c r="I294" s="15" t="n">
        <f aca="false">IF(F294=0,0,G294/F294)</f>
        <v>0.421052631578947</v>
      </c>
    </row>
    <row r="295" customFormat="false" ht="15" hidden="false" customHeight="true" outlineLevel="0" collapsed="false">
      <c r="A295" s="13" t="n">
        <v>2026</v>
      </c>
      <c r="B295" s="13" t="s">
        <v>959</v>
      </c>
      <c r="C295" s="13" t="s">
        <v>126</v>
      </c>
      <c r="D295" s="13" t="s">
        <v>121</v>
      </c>
      <c r="E295" s="13" t="s">
        <v>122</v>
      </c>
      <c r="F295" s="14" t="n">
        <v>175</v>
      </c>
      <c r="G295" s="14" t="n">
        <v>150</v>
      </c>
      <c r="H295" s="14" t="n">
        <f aca="false">F295-G295</f>
        <v>25</v>
      </c>
      <c r="I295" s="15" t="n">
        <f aca="false">IF(F295=0,0,G295/F295)</f>
        <v>0.857142857142857</v>
      </c>
    </row>
    <row r="296" customFormat="false" ht="15" hidden="false" customHeight="true" outlineLevel="0" collapsed="false">
      <c r="A296" s="13" t="n">
        <v>2026</v>
      </c>
      <c r="B296" s="13" t="s">
        <v>959</v>
      </c>
      <c r="C296" s="13" t="s">
        <v>126</v>
      </c>
      <c r="D296" s="13" t="s">
        <v>121</v>
      </c>
      <c r="E296" s="13" t="s">
        <v>124</v>
      </c>
      <c r="F296" s="14" t="n">
        <v>289</v>
      </c>
      <c r="G296" s="14" t="n">
        <v>218</v>
      </c>
      <c r="H296" s="14" t="n">
        <f aca="false">F296-G296</f>
        <v>71</v>
      </c>
      <c r="I296" s="15" t="n">
        <f aca="false">IF(F296=0,0,G296/F296)</f>
        <v>0.754325259515571</v>
      </c>
    </row>
    <row r="297" customFormat="false" ht="15" hidden="false" customHeight="true" outlineLevel="0" collapsed="false">
      <c r="A297" s="13" t="n">
        <v>2026</v>
      </c>
      <c r="B297" s="13" t="s">
        <v>959</v>
      </c>
      <c r="C297" s="13" t="s">
        <v>123</v>
      </c>
      <c r="D297" s="13" t="s">
        <v>125</v>
      </c>
      <c r="E297" s="13" t="s">
        <v>122</v>
      </c>
      <c r="F297" s="14" t="n">
        <v>177</v>
      </c>
      <c r="G297" s="14" t="n">
        <v>120</v>
      </c>
      <c r="H297" s="14" t="n">
        <f aca="false">F297-G297</f>
        <v>57</v>
      </c>
      <c r="I297" s="15" t="n">
        <f aca="false">IF(F297=0,0,G297/F297)</f>
        <v>0.677966101694915</v>
      </c>
    </row>
    <row r="298" customFormat="false" ht="15" hidden="false" customHeight="true" outlineLevel="0" collapsed="false">
      <c r="A298" s="13" t="n">
        <v>2026</v>
      </c>
      <c r="B298" s="13" t="s">
        <v>959</v>
      </c>
      <c r="C298" s="13" t="s">
        <v>123</v>
      </c>
      <c r="D298" s="13" t="s">
        <v>125</v>
      </c>
      <c r="E298" s="13" t="s">
        <v>124</v>
      </c>
      <c r="F298" s="14" t="n">
        <v>79</v>
      </c>
      <c r="G298" s="14" t="n">
        <v>34</v>
      </c>
      <c r="H298" s="14" t="n">
        <f aca="false">F298-G298</f>
        <v>45</v>
      </c>
      <c r="I298" s="15" t="n">
        <f aca="false">IF(F298=0,0,G298/F298)</f>
        <v>0.430379746835443</v>
      </c>
    </row>
    <row r="299" customFormat="false" ht="15" hidden="false" customHeight="true" outlineLevel="0" collapsed="false">
      <c r="A299" s="13" t="n">
        <v>2026</v>
      </c>
      <c r="B299" s="13" t="s">
        <v>959</v>
      </c>
      <c r="C299" s="13" t="s">
        <v>123</v>
      </c>
      <c r="D299" s="13" t="s">
        <v>121</v>
      </c>
      <c r="E299" s="13" t="s">
        <v>122</v>
      </c>
      <c r="F299" s="14" t="n">
        <v>1348</v>
      </c>
      <c r="G299" s="14" t="n">
        <v>1159</v>
      </c>
      <c r="H299" s="14" t="n">
        <f aca="false">F299-G299</f>
        <v>189</v>
      </c>
      <c r="I299" s="15" t="n">
        <f aca="false">IF(F299=0,0,G299/F299)</f>
        <v>0.859792284866469</v>
      </c>
    </row>
    <row r="300" customFormat="false" ht="15" hidden="false" customHeight="true" outlineLevel="0" collapsed="false">
      <c r="A300" s="13" t="n">
        <v>2026</v>
      </c>
      <c r="B300" s="13" t="s">
        <v>959</v>
      </c>
      <c r="C300" s="13" t="s">
        <v>123</v>
      </c>
      <c r="D300" s="13" t="s">
        <v>121</v>
      </c>
      <c r="E300" s="13" t="s">
        <v>124</v>
      </c>
      <c r="F300" s="14" t="n">
        <v>529</v>
      </c>
      <c r="G300" s="14" t="n">
        <v>421</v>
      </c>
      <c r="H300" s="14" t="n">
        <f aca="false">F300-G300</f>
        <v>108</v>
      </c>
      <c r="I300" s="15" t="n">
        <f aca="false">IF(F300=0,0,G300/F300)</f>
        <v>0.795841209829868</v>
      </c>
    </row>
    <row r="301" customFormat="false" ht="15" hidden="false" customHeight="true" outlineLevel="0" collapsed="false">
      <c r="A301" s="13" t="n">
        <v>2026</v>
      </c>
      <c r="B301" s="13" t="s">
        <v>959</v>
      </c>
      <c r="C301" s="13" t="s">
        <v>968</v>
      </c>
      <c r="D301" s="13" t="s">
        <v>125</v>
      </c>
      <c r="E301" s="13" t="s">
        <v>122</v>
      </c>
      <c r="F301" s="14" t="n">
        <v>6</v>
      </c>
      <c r="G301" s="14" t="n">
        <v>1</v>
      </c>
      <c r="H301" s="14" t="n">
        <f aca="false">F301-G301</f>
        <v>5</v>
      </c>
      <c r="I301" s="15" t="n">
        <f aca="false">IF(F301=0,0,G301/F301)</f>
        <v>0.166666666666667</v>
      </c>
    </row>
    <row r="302" customFormat="false" ht="15" hidden="false" customHeight="true" outlineLevel="0" collapsed="false">
      <c r="A302" s="13" t="n">
        <v>2026</v>
      </c>
      <c r="B302" s="13" t="s">
        <v>55</v>
      </c>
      <c r="C302" s="13" t="s">
        <v>966</v>
      </c>
      <c r="D302" s="13" t="s">
        <v>125</v>
      </c>
      <c r="E302" s="13" t="s">
        <v>124</v>
      </c>
      <c r="F302" s="14" t="n">
        <v>4</v>
      </c>
      <c r="G302" s="14" t="n">
        <v>2</v>
      </c>
      <c r="H302" s="14" t="n">
        <f aca="false">F302-G302</f>
        <v>2</v>
      </c>
      <c r="I302" s="15" t="n">
        <f aca="false">IF(F302=0,0,G302/F302)</f>
        <v>0.5</v>
      </c>
    </row>
    <row r="303" customFormat="false" ht="15" hidden="false" customHeight="true" outlineLevel="0" collapsed="false">
      <c r="A303" s="13" t="n">
        <v>2026</v>
      </c>
      <c r="B303" s="13" t="s">
        <v>55</v>
      </c>
      <c r="C303" s="13" t="s">
        <v>967</v>
      </c>
      <c r="D303" s="13" t="s">
        <v>125</v>
      </c>
      <c r="E303" s="13" t="s">
        <v>122</v>
      </c>
      <c r="F303" s="14" t="n">
        <v>8</v>
      </c>
      <c r="G303" s="14" t="n">
        <v>8</v>
      </c>
      <c r="H303" s="14" t="n">
        <f aca="false">F303-G303</f>
        <v>0</v>
      </c>
      <c r="I303" s="15" t="n">
        <f aca="false">IF(F303=0,0,G303/F303)</f>
        <v>1</v>
      </c>
    </row>
    <row r="304" customFormat="false" ht="15" hidden="false" customHeight="true" outlineLevel="0" collapsed="false">
      <c r="A304" s="13" t="n">
        <v>2026</v>
      </c>
      <c r="B304" s="13" t="s">
        <v>55</v>
      </c>
      <c r="C304" s="13" t="s">
        <v>967</v>
      </c>
      <c r="D304" s="13" t="s">
        <v>125</v>
      </c>
      <c r="E304" s="13" t="s">
        <v>124</v>
      </c>
      <c r="F304" s="14" t="n">
        <v>23</v>
      </c>
      <c r="G304" s="14" t="n">
        <v>13</v>
      </c>
      <c r="H304" s="14" t="n">
        <f aca="false">F304-G304</f>
        <v>10</v>
      </c>
      <c r="I304" s="15" t="n">
        <f aca="false">IF(F304=0,0,G304/F304)</f>
        <v>0.565217391304348</v>
      </c>
    </row>
    <row r="305" customFormat="false" ht="15" hidden="false" customHeight="true" outlineLevel="0" collapsed="false">
      <c r="A305" s="13" t="n">
        <v>2026</v>
      </c>
      <c r="B305" s="13" t="s">
        <v>55</v>
      </c>
      <c r="C305" s="13" t="s">
        <v>203</v>
      </c>
      <c r="D305" s="13" t="s">
        <v>125</v>
      </c>
      <c r="E305" s="13" t="s">
        <v>122</v>
      </c>
      <c r="F305" s="14" t="n">
        <v>8</v>
      </c>
      <c r="G305" s="14" t="n">
        <v>2</v>
      </c>
      <c r="H305" s="14" t="n">
        <f aca="false">F305-G305</f>
        <v>6</v>
      </c>
      <c r="I305" s="15" t="n">
        <f aca="false">IF(F305=0,0,G305/F305)</f>
        <v>0.25</v>
      </c>
    </row>
    <row r="306" customFormat="false" ht="15" hidden="false" customHeight="true" outlineLevel="0" collapsed="false">
      <c r="A306" s="13" t="n">
        <v>2026</v>
      </c>
      <c r="B306" s="13" t="s">
        <v>55</v>
      </c>
      <c r="C306" s="13" t="s">
        <v>203</v>
      </c>
      <c r="D306" s="13" t="s">
        <v>125</v>
      </c>
      <c r="E306" s="13" t="s">
        <v>124</v>
      </c>
      <c r="F306" s="14" t="n">
        <v>50</v>
      </c>
      <c r="G306" s="14" t="n">
        <v>15</v>
      </c>
      <c r="H306" s="14" t="n">
        <f aca="false">F306-G306</f>
        <v>35</v>
      </c>
      <c r="I306" s="15" t="n">
        <f aca="false">IF(F306=0,0,G306/F306)</f>
        <v>0.3</v>
      </c>
    </row>
    <row r="307" customFormat="false" ht="15" hidden="false" customHeight="true" outlineLevel="0" collapsed="false">
      <c r="A307" s="13" t="n">
        <v>2026</v>
      </c>
      <c r="B307" s="13" t="s">
        <v>55</v>
      </c>
      <c r="C307" s="13" t="s">
        <v>203</v>
      </c>
      <c r="D307" s="13" t="s">
        <v>121</v>
      </c>
      <c r="E307" s="13" t="s">
        <v>122</v>
      </c>
      <c r="F307" s="14" t="n">
        <v>84</v>
      </c>
      <c r="G307" s="14" t="n">
        <v>75</v>
      </c>
      <c r="H307" s="14" t="n">
        <f aca="false">F307-G307</f>
        <v>9</v>
      </c>
      <c r="I307" s="15" t="n">
        <f aca="false">IF(F307=0,0,G307/F307)</f>
        <v>0.892857142857143</v>
      </c>
    </row>
    <row r="308" customFormat="false" ht="15" hidden="false" customHeight="true" outlineLevel="0" collapsed="false">
      <c r="A308" s="13" t="n">
        <v>2026</v>
      </c>
      <c r="B308" s="13" t="s">
        <v>55</v>
      </c>
      <c r="C308" s="13" t="s">
        <v>203</v>
      </c>
      <c r="D308" s="13" t="s">
        <v>121</v>
      </c>
      <c r="E308" s="13" t="s">
        <v>124</v>
      </c>
      <c r="F308" s="14" t="n">
        <v>173</v>
      </c>
      <c r="G308" s="14" t="n">
        <v>128</v>
      </c>
      <c r="H308" s="14" t="n">
        <f aca="false">F308-G308</f>
        <v>45</v>
      </c>
      <c r="I308" s="15" t="n">
        <f aca="false">IF(F308=0,0,G308/F308)</f>
        <v>0.739884393063584</v>
      </c>
    </row>
    <row r="309" customFormat="false" ht="15" hidden="false" customHeight="true" outlineLevel="0" collapsed="false">
      <c r="A309" s="13" t="n">
        <v>2026</v>
      </c>
      <c r="B309" s="13" t="s">
        <v>55</v>
      </c>
      <c r="C309" s="13" t="s">
        <v>202</v>
      </c>
      <c r="D309" s="13" t="s">
        <v>125</v>
      </c>
      <c r="E309" s="13" t="s">
        <v>122</v>
      </c>
      <c r="F309" s="14" t="n">
        <v>211</v>
      </c>
      <c r="G309" s="14" t="n">
        <v>112</v>
      </c>
      <c r="H309" s="14" t="n">
        <f aca="false">F309-G309</f>
        <v>99</v>
      </c>
      <c r="I309" s="15" t="n">
        <f aca="false">IF(F309=0,0,G309/F309)</f>
        <v>0.530805687203792</v>
      </c>
    </row>
    <row r="310" customFormat="false" ht="15" hidden="false" customHeight="true" outlineLevel="0" collapsed="false">
      <c r="A310" s="13" t="n">
        <v>2026</v>
      </c>
      <c r="B310" s="13" t="s">
        <v>55</v>
      </c>
      <c r="C310" s="13" t="s">
        <v>202</v>
      </c>
      <c r="D310" s="13" t="s">
        <v>125</v>
      </c>
      <c r="E310" s="13" t="s">
        <v>124</v>
      </c>
      <c r="F310" s="14" t="n">
        <v>346</v>
      </c>
      <c r="G310" s="14" t="n">
        <v>148</v>
      </c>
      <c r="H310" s="14" t="n">
        <f aca="false">F310-G310</f>
        <v>198</v>
      </c>
      <c r="I310" s="15" t="n">
        <f aca="false">IF(F310=0,0,G310/F310)</f>
        <v>0.427745664739884</v>
      </c>
    </row>
    <row r="311" customFormat="false" ht="15" hidden="false" customHeight="true" outlineLevel="0" collapsed="false">
      <c r="A311" s="13" t="n">
        <v>2026</v>
      </c>
      <c r="B311" s="13" t="s">
        <v>55</v>
      </c>
      <c r="C311" s="13" t="s">
        <v>202</v>
      </c>
      <c r="D311" s="13" t="s">
        <v>121</v>
      </c>
      <c r="E311" s="13" t="s">
        <v>122</v>
      </c>
      <c r="F311" s="14" t="n">
        <v>3306</v>
      </c>
      <c r="G311" s="14" t="n">
        <v>2793</v>
      </c>
      <c r="H311" s="14" t="n">
        <f aca="false">F311-G311</f>
        <v>513</v>
      </c>
      <c r="I311" s="15" t="n">
        <f aca="false">IF(F311=0,0,G311/F311)</f>
        <v>0.844827586206897</v>
      </c>
    </row>
    <row r="312" customFormat="false" ht="15" hidden="false" customHeight="true" outlineLevel="0" collapsed="false">
      <c r="A312" s="13" t="n">
        <v>2026</v>
      </c>
      <c r="B312" s="13" t="s">
        <v>55</v>
      </c>
      <c r="C312" s="13" t="s">
        <v>202</v>
      </c>
      <c r="D312" s="13" t="s">
        <v>121</v>
      </c>
      <c r="E312" s="13" t="s">
        <v>124</v>
      </c>
      <c r="F312" s="14" t="n">
        <v>3293</v>
      </c>
      <c r="G312" s="14" t="n">
        <v>2403</v>
      </c>
      <c r="H312" s="14" t="n">
        <f aca="false">F312-G312</f>
        <v>890</v>
      </c>
      <c r="I312" s="15" t="n">
        <f aca="false">IF(F312=0,0,G312/F312)</f>
        <v>0.72972972972973</v>
      </c>
    </row>
    <row r="313" customFormat="false" ht="15" hidden="false" customHeight="true" outlineLevel="0" collapsed="false">
      <c r="A313" s="13" t="n">
        <v>2026</v>
      </c>
      <c r="B313" s="13" t="s">
        <v>55</v>
      </c>
      <c r="C313" s="13" t="s">
        <v>128</v>
      </c>
      <c r="D313" s="13" t="s">
        <v>125</v>
      </c>
      <c r="E313" s="13" t="s">
        <v>122</v>
      </c>
      <c r="F313" s="14" t="n">
        <v>1978</v>
      </c>
      <c r="G313" s="14" t="n">
        <v>1204</v>
      </c>
      <c r="H313" s="14" t="n">
        <f aca="false">F313-G313</f>
        <v>774</v>
      </c>
      <c r="I313" s="15" t="n">
        <f aca="false">IF(F313=0,0,G313/F313)</f>
        <v>0.608695652173913</v>
      </c>
    </row>
    <row r="314" customFormat="false" ht="15" hidden="false" customHeight="true" outlineLevel="0" collapsed="false">
      <c r="A314" s="13" t="n">
        <v>2026</v>
      </c>
      <c r="B314" s="13" t="s">
        <v>55</v>
      </c>
      <c r="C314" s="13" t="s">
        <v>128</v>
      </c>
      <c r="D314" s="13" t="s">
        <v>125</v>
      </c>
      <c r="E314" s="13" t="s">
        <v>124</v>
      </c>
      <c r="F314" s="14" t="n">
        <v>1662</v>
      </c>
      <c r="G314" s="14" t="n">
        <v>518</v>
      </c>
      <c r="H314" s="14" t="n">
        <f aca="false">F314-G314</f>
        <v>1144</v>
      </c>
      <c r="I314" s="15" t="n">
        <f aca="false">IF(F314=0,0,G314/F314)</f>
        <v>0.311672683513839</v>
      </c>
    </row>
    <row r="315" customFormat="false" ht="15" hidden="false" customHeight="true" outlineLevel="0" collapsed="false">
      <c r="A315" s="13" t="n">
        <v>2026</v>
      </c>
      <c r="B315" s="13" t="s">
        <v>55</v>
      </c>
      <c r="C315" s="13" t="s">
        <v>128</v>
      </c>
      <c r="D315" s="13" t="s">
        <v>121</v>
      </c>
      <c r="E315" s="13" t="s">
        <v>122</v>
      </c>
      <c r="F315" s="14" t="n">
        <v>6257</v>
      </c>
      <c r="G315" s="14" t="n">
        <v>4971</v>
      </c>
      <c r="H315" s="14" t="n">
        <f aca="false">F315-G315</f>
        <v>1286</v>
      </c>
      <c r="I315" s="15" t="n">
        <f aca="false">IF(F315=0,0,G315/F315)</f>
        <v>0.794470193383411</v>
      </c>
    </row>
    <row r="316" customFormat="false" ht="15" hidden="false" customHeight="true" outlineLevel="0" collapsed="false">
      <c r="A316" s="13" t="n">
        <v>2026</v>
      </c>
      <c r="B316" s="13" t="s">
        <v>55</v>
      </c>
      <c r="C316" s="13" t="s">
        <v>128</v>
      </c>
      <c r="D316" s="13" t="s">
        <v>121</v>
      </c>
      <c r="E316" s="13" t="s">
        <v>124</v>
      </c>
      <c r="F316" s="14" t="n">
        <v>3658</v>
      </c>
      <c r="G316" s="14" t="n">
        <v>2053</v>
      </c>
      <c r="H316" s="14" t="n">
        <f aca="false">F316-G316</f>
        <v>1605</v>
      </c>
      <c r="I316" s="15" t="n">
        <f aca="false">IF(F316=0,0,G316/F316)</f>
        <v>0.561235647895025</v>
      </c>
    </row>
    <row r="317" customFormat="false" ht="15" hidden="false" customHeight="true" outlineLevel="0" collapsed="false">
      <c r="A317" s="13" t="n">
        <v>2026</v>
      </c>
      <c r="B317" s="13" t="s">
        <v>55</v>
      </c>
      <c r="C317" s="13" t="s">
        <v>126</v>
      </c>
      <c r="D317" s="13" t="s">
        <v>125</v>
      </c>
      <c r="E317" s="13" t="s">
        <v>122</v>
      </c>
      <c r="F317" s="14" t="n">
        <v>24</v>
      </c>
      <c r="G317" s="14" t="n">
        <v>12</v>
      </c>
      <c r="H317" s="14" t="n">
        <f aca="false">F317-G317</f>
        <v>12</v>
      </c>
      <c r="I317" s="15" t="n">
        <f aca="false">IF(F317=0,0,G317/F317)</f>
        <v>0.5</v>
      </c>
    </row>
    <row r="318" customFormat="false" ht="15" hidden="false" customHeight="true" outlineLevel="0" collapsed="false">
      <c r="A318" s="13" t="n">
        <v>2026</v>
      </c>
      <c r="B318" s="13" t="s">
        <v>55</v>
      </c>
      <c r="C318" s="13" t="s">
        <v>126</v>
      </c>
      <c r="D318" s="13" t="s">
        <v>125</v>
      </c>
      <c r="E318" s="13" t="s">
        <v>124</v>
      </c>
      <c r="F318" s="14" t="n">
        <v>74</v>
      </c>
      <c r="G318" s="14" t="n">
        <v>26</v>
      </c>
      <c r="H318" s="14" t="n">
        <f aca="false">F318-G318</f>
        <v>48</v>
      </c>
      <c r="I318" s="15" t="n">
        <f aca="false">IF(F318=0,0,G318/F318)</f>
        <v>0.351351351351351</v>
      </c>
    </row>
    <row r="319" customFormat="false" ht="15" hidden="false" customHeight="true" outlineLevel="0" collapsed="false">
      <c r="A319" s="13" t="n">
        <v>2026</v>
      </c>
      <c r="B319" s="13" t="s">
        <v>55</v>
      </c>
      <c r="C319" s="13" t="s">
        <v>126</v>
      </c>
      <c r="D319" s="13" t="s">
        <v>121</v>
      </c>
      <c r="E319" s="13" t="s">
        <v>122</v>
      </c>
      <c r="F319" s="14" t="n">
        <v>370</v>
      </c>
      <c r="G319" s="14" t="n">
        <v>331</v>
      </c>
      <c r="H319" s="14" t="n">
        <f aca="false">F319-G319</f>
        <v>39</v>
      </c>
      <c r="I319" s="15" t="n">
        <f aca="false">IF(F319=0,0,G319/F319)</f>
        <v>0.894594594594595</v>
      </c>
    </row>
    <row r="320" customFormat="false" ht="15" hidden="false" customHeight="true" outlineLevel="0" collapsed="false">
      <c r="A320" s="13" t="n">
        <v>2026</v>
      </c>
      <c r="B320" s="13" t="s">
        <v>55</v>
      </c>
      <c r="C320" s="13" t="s">
        <v>126</v>
      </c>
      <c r="D320" s="13" t="s">
        <v>121</v>
      </c>
      <c r="E320" s="13" t="s">
        <v>124</v>
      </c>
      <c r="F320" s="14" t="n">
        <v>550</v>
      </c>
      <c r="G320" s="14" t="n">
        <v>455</v>
      </c>
      <c r="H320" s="14" t="n">
        <f aca="false">F320-G320</f>
        <v>95</v>
      </c>
      <c r="I320" s="15" t="n">
        <f aca="false">IF(F320=0,0,G320/F320)</f>
        <v>0.827272727272727</v>
      </c>
    </row>
    <row r="321" customFormat="false" ht="15" hidden="false" customHeight="true" outlineLevel="0" collapsed="false">
      <c r="A321" s="13" t="n">
        <v>2026</v>
      </c>
      <c r="B321" s="13" t="s">
        <v>55</v>
      </c>
      <c r="C321" s="13" t="s">
        <v>123</v>
      </c>
      <c r="D321" s="13" t="s">
        <v>125</v>
      </c>
      <c r="E321" s="13" t="s">
        <v>122</v>
      </c>
      <c r="F321" s="14" t="n">
        <v>349</v>
      </c>
      <c r="G321" s="14" t="n">
        <v>241</v>
      </c>
      <c r="H321" s="14" t="n">
        <f aca="false">F321-G321</f>
        <v>108</v>
      </c>
      <c r="I321" s="15" t="n">
        <f aca="false">IF(F321=0,0,G321/F321)</f>
        <v>0.69054441260745</v>
      </c>
    </row>
    <row r="322" customFormat="false" ht="15" hidden="false" customHeight="true" outlineLevel="0" collapsed="false">
      <c r="A322" s="13" t="n">
        <v>2026</v>
      </c>
      <c r="B322" s="13" t="s">
        <v>55</v>
      </c>
      <c r="C322" s="13" t="s">
        <v>123</v>
      </c>
      <c r="D322" s="13" t="s">
        <v>125</v>
      </c>
      <c r="E322" s="13" t="s">
        <v>124</v>
      </c>
      <c r="F322" s="14" t="n">
        <v>173</v>
      </c>
      <c r="G322" s="14" t="n">
        <v>94</v>
      </c>
      <c r="H322" s="14" t="n">
        <f aca="false">F322-G322</f>
        <v>79</v>
      </c>
      <c r="I322" s="15" t="n">
        <f aca="false">IF(F322=0,0,G322/F322)</f>
        <v>0.543352601156069</v>
      </c>
    </row>
    <row r="323" customFormat="false" ht="15" hidden="false" customHeight="true" outlineLevel="0" collapsed="false">
      <c r="A323" s="13" t="n">
        <v>2026</v>
      </c>
      <c r="B323" s="13" t="s">
        <v>55</v>
      </c>
      <c r="C323" s="13" t="s">
        <v>123</v>
      </c>
      <c r="D323" s="13" t="s">
        <v>121</v>
      </c>
      <c r="E323" s="13" t="s">
        <v>122</v>
      </c>
      <c r="F323" s="14" t="n">
        <v>3682</v>
      </c>
      <c r="G323" s="14" t="n">
        <v>3253</v>
      </c>
      <c r="H323" s="14" t="n">
        <f aca="false">F323-G323</f>
        <v>429</v>
      </c>
      <c r="I323" s="15" t="n">
        <f aca="false">IF(F323=0,0,G323/F323)</f>
        <v>0.883487235198262</v>
      </c>
    </row>
    <row r="324" customFormat="false" ht="15" hidden="false" customHeight="true" outlineLevel="0" collapsed="false">
      <c r="A324" s="13" t="n">
        <v>2026</v>
      </c>
      <c r="B324" s="13" t="s">
        <v>55</v>
      </c>
      <c r="C324" s="13" t="s">
        <v>123</v>
      </c>
      <c r="D324" s="13" t="s">
        <v>121</v>
      </c>
      <c r="E324" s="13" t="s">
        <v>124</v>
      </c>
      <c r="F324" s="14" t="n">
        <v>1079</v>
      </c>
      <c r="G324" s="14" t="n">
        <v>884</v>
      </c>
      <c r="H324" s="14" t="n">
        <f aca="false">F324-G324</f>
        <v>195</v>
      </c>
      <c r="I324" s="15" t="n">
        <f aca="false">IF(F324=0,0,G324/F324)</f>
        <v>0.819277108433735</v>
      </c>
    </row>
    <row r="325" customFormat="false" ht="15" hidden="false" customHeight="true" outlineLevel="0" collapsed="false">
      <c r="A325" s="13" t="n">
        <v>2026</v>
      </c>
      <c r="B325" s="13" t="s">
        <v>55</v>
      </c>
      <c r="C325" s="13" t="s">
        <v>968</v>
      </c>
      <c r="D325" s="13" t="s">
        <v>125</v>
      </c>
      <c r="E325" s="13" t="s">
        <v>124</v>
      </c>
      <c r="F325" s="14" t="n">
        <v>1</v>
      </c>
      <c r="G325" s="14" t="n">
        <v>0</v>
      </c>
      <c r="H325" s="14" t="n">
        <f aca="false">F325-G325</f>
        <v>1</v>
      </c>
      <c r="I325" s="15" t="n">
        <f aca="false">IF(F325=0,0,G325/F325)</f>
        <v>0</v>
      </c>
    </row>
    <row r="326" customFormat="false" ht="15" hidden="false" customHeight="true" outlineLevel="0" collapsed="false">
      <c r="A326" s="13" t="n">
        <v>2026</v>
      </c>
      <c r="B326" s="13" t="s">
        <v>195</v>
      </c>
      <c r="C326" s="13" t="s">
        <v>966</v>
      </c>
      <c r="D326" s="13" t="s">
        <v>125</v>
      </c>
      <c r="E326" s="13" t="s">
        <v>124</v>
      </c>
      <c r="F326" s="14" t="n">
        <v>4</v>
      </c>
      <c r="G326" s="14" t="n">
        <v>2</v>
      </c>
      <c r="H326" s="14" t="n">
        <f aca="false">F326-G326</f>
        <v>2</v>
      </c>
      <c r="I326" s="15" t="n">
        <f aca="false">IF(F326=0,0,G326/F326)</f>
        <v>0.5</v>
      </c>
    </row>
    <row r="327" customFormat="false" ht="15" hidden="false" customHeight="true" outlineLevel="0" collapsed="false">
      <c r="A327" s="13" t="n">
        <v>2026</v>
      </c>
      <c r="B327" s="13" t="s">
        <v>195</v>
      </c>
      <c r="C327" s="13" t="s">
        <v>967</v>
      </c>
      <c r="D327" s="13" t="s">
        <v>125</v>
      </c>
      <c r="E327" s="13" t="s">
        <v>122</v>
      </c>
      <c r="F327" s="14" t="n">
        <v>19</v>
      </c>
      <c r="G327" s="14" t="n">
        <v>18</v>
      </c>
      <c r="H327" s="14" t="n">
        <f aca="false">F327-G327</f>
        <v>1</v>
      </c>
      <c r="I327" s="15" t="n">
        <f aca="false">IF(F327=0,0,G327/F327)</f>
        <v>0.947368421052632</v>
      </c>
    </row>
    <row r="328" customFormat="false" ht="15" hidden="false" customHeight="true" outlineLevel="0" collapsed="false">
      <c r="A328" s="13" t="n">
        <v>2026</v>
      </c>
      <c r="B328" s="13" t="s">
        <v>195</v>
      </c>
      <c r="C328" s="13" t="s">
        <v>967</v>
      </c>
      <c r="D328" s="13" t="s">
        <v>125</v>
      </c>
      <c r="E328" s="13" t="s">
        <v>124</v>
      </c>
      <c r="F328" s="14" t="n">
        <v>52</v>
      </c>
      <c r="G328" s="14" t="n">
        <v>31</v>
      </c>
      <c r="H328" s="14" t="n">
        <f aca="false">F328-G328</f>
        <v>21</v>
      </c>
      <c r="I328" s="15" t="n">
        <f aca="false">IF(F328=0,0,G328/F328)</f>
        <v>0.596153846153846</v>
      </c>
    </row>
    <row r="329" customFormat="false" ht="15" hidden="false" customHeight="true" outlineLevel="0" collapsed="false">
      <c r="A329" s="13" t="n">
        <v>2026</v>
      </c>
      <c r="B329" s="13" t="s">
        <v>195</v>
      </c>
      <c r="C329" s="13" t="s">
        <v>203</v>
      </c>
      <c r="D329" s="13" t="s">
        <v>125</v>
      </c>
      <c r="E329" s="13" t="s">
        <v>122</v>
      </c>
      <c r="F329" s="14" t="n">
        <v>9</v>
      </c>
      <c r="G329" s="14" t="n">
        <v>3</v>
      </c>
      <c r="H329" s="14" t="n">
        <f aca="false">F329-G329</f>
        <v>6</v>
      </c>
      <c r="I329" s="15" t="n">
        <f aca="false">IF(F329=0,0,G329/F329)</f>
        <v>0.333333333333333</v>
      </c>
    </row>
    <row r="330" customFormat="false" ht="15" hidden="false" customHeight="true" outlineLevel="0" collapsed="false">
      <c r="A330" s="13" t="n">
        <v>2026</v>
      </c>
      <c r="B330" s="13" t="s">
        <v>195</v>
      </c>
      <c r="C330" s="13" t="s">
        <v>203</v>
      </c>
      <c r="D330" s="13" t="s">
        <v>125</v>
      </c>
      <c r="E330" s="13" t="s">
        <v>124</v>
      </c>
      <c r="F330" s="14" t="n">
        <v>60</v>
      </c>
      <c r="G330" s="14" t="n">
        <v>16</v>
      </c>
      <c r="H330" s="14" t="n">
        <f aca="false">F330-G330</f>
        <v>44</v>
      </c>
      <c r="I330" s="15" t="n">
        <f aca="false">IF(F330=0,0,G330/F330)</f>
        <v>0.266666666666667</v>
      </c>
    </row>
    <row r="331" customFormat="false" ht="15" hidden="false" customHeight="true" outlineLevel="0" collapsed="false">
      <c r="A331" s="13" t="n">
        <v>2026</v>
      </c>
      <c r="B331" s="13" t="s">
        <v>195</v>
      </c>
      <c r="C331" s="13" t="s">
        <v>203</v>
      </c>
      <c r="D331" s="13" t="s">
        <v>121</v>
      </c>
      <c r="E331" s="13" t="s">
        <v>122</v>
      </c>
      <c r="F331" s="14" t="n">
        <v>110</v>
      </c>
      <c r="G331" s="14" t="n">
        <v>98</v>
      </c>
      <c r="H331" s="14" t="n">
        <f aca="false">F331-G331</f>
        <v>12</v>
      </c>
      <c r="I331" s="15" t="n">
        <f aca="false">IF(F331=0,0,G331/F331)</f>
        <v>0.890909090909091</v>
      </c>
    </row>
    <row r="332" customFormat="false" ht="15" hidden="false" customHeight="true" outlineLevel="0" collapsed="false">
      <c r="A332" s="13" t="n">
        <v>2026</v>
      </c>
      <c r="B332" s="13" t="s">
        <v>195</v>
      </c>
      <c r="C332" s="13" t="s">
        <v>203</v>
      </c>
      <c r="D332" s="13" t="s">
        <v>121</v>
      </c>
      <c r="E332" s="13" t="s">
        <v>124</v>
      </c>
      <c r="F332" s="14" t="n">
        <v>203</v>
      </c>
      <c r="G332" s="14" t="n">
        <v>151</v>
      </c>
      <c r="H332" s="14" t="n">
        <f aca="false">F332-G332</f>
        <v>52</v>
      </c>
      <c r="I332" s="15" t="n">
        <f aca="false">IF(F332=0,0,G332/F332)</f>
        <v>0.74384236453202</v>
      </c>
    </row>
    <row r="333" customFormat="false" ht="15" hidden="false" customHeight="true" outlineLevel="0" collapsed="false">
      <c r="A333" s="13" t="n">
        <v>2026</v>
      </c>
      <c r="B333" s="13" t="s">
        <v>195</v>
      </c>
      <c r="C333" s="13" t="s">
        <v>202</v>
      </c>
      <c r="D333" s="13" t="s">
        <v>125</v>
      </c>
      <c r="E333" s="13" t="s">
        <v>122</v>
      </c>
      <c r="F333" s="14" t="n">
        <v>416</v>
      </c>
      <c r="G333" s="14" t="n">
        <v>212</v>
      </c>
      <c r="H333" s="14" t="n">
        <f aca="false">F333-G333</f>
        <v>204</v>
      </c>
      <c r="I333" s="15" t="n">
        <f aca="false">IF(F333=0,0,G333/F333)</f>
        <v>0.509615384615385</v>
      </c>
    </row>
    <row r="334" customFormat="false" ht="15" hidden="false" customHeight="true" outlineLevel="0" collapsed="false">
      <c r="A334" s="13" t="n">
        <v>2026</v>
      </c>
      <c r="B334" s="13" t="s">
        <v>195</v>
      </c>
      <c r="C334" s="13" t="s">
        <v>202</v>
      </c>
      <c r="D334" s="13" t="s">
        <v>125</v>
      </c>
      <c r="E334" s="13" t="s">
        <v>124</v>
      </c>
      <c r="F334" s="14" t="n">
        <v>801</v>
      </c>
      <c r="G334" s="14" t="n">
        <v>331</v>
      </c>
      <c r="H334" s="14" t="n">
        <f aca="false">F334-G334</f>
        <v>470</v>
      </c>
      <c r="I334" s="15" t="n">
        <f aca="false">IF(F334=0,0,G334/F334)</f>
        <v>0.413233458177278</v>
      </c>
    </row>
    <row r="335" customFormat="false" ht="15" hidden="false" customHeight="true" outlineLevel="0" collapsed="false">
      <c r="A335" s="13" t="n">
        <v>2026</v>
      </c>
      <c r="B335" s="13" t="s">
        <v>195</v>
      </c>
      <c r="C335" s="13" t="s">
        <v>202</v>
      </c>
      <c r="D335" s="13" t="s">
        <v>121</v>
      </c>
      <c r="E335" s="13" t="s">
        <v>122</v>
      </c>
      <c r="F335" s="14" t="n">
        <v>5785</v>
      </c>
      <c r="G335" s="14" t="n">
        <v>4811</v>
      </c>
      <c r="H335" s="14" t="n">
        <f aca="false">F335-G335</f>
        <v>974</v>
      </c>
      <c r="I335" s="15" t="n">
        <f aca="false">IF(F335=0,0,G335/F335)</f>
        <v>0.831633535004322</v>
      </c>
    </row>
    <row r="336" customFormat="false" ht="15" hidden="false" customHeight="true" outlineLevel="0" collapsed="false">
      <c r="A336" s="13" t="n">
        <v>2026</v>
      </c>
      <c r="B336" s="13" t="s">
        <v>195</v>
      </c>
      <c r="C336" s="13" t="s">
        <v>202</v>
      </c>
      <c r="D336" s="13" t="s">
        <v>121</v>
      </c>
      <c r="E336" s="13" t="s">
        <v>124</v>
      </c>
      <c r="F336" s="14" t="n">
        <v>6217</v>
      </c>
      <c r="G336" s="14" t="n">
        <v>4381</v>
      </c>
      <c r="H336" s="14" t="n">
        <f aca="false">F336-G336</f>
        <v>1836</v>
      </c>
      <c r="I336" s="15" t="n">
        <f aca="false">IF(F336=0,0,G336/F336)</f>
        <v>0.704680714170822</v>
      </c>
    </row>
    <row r="337" customFormat="false" ht="15" hidden="false" customHeight="true" outlineLevel="0" collapsed="false">
      <c r="A337" s="13" t="n">
        <v>2026</v>
      </c>
      <c r="B337" s="13" t="s">
        <v>195</v>
      </c>
      <c r="C337" s="13" t="s">
        <v>128</v>
      </c>
      <c r="D337" s="13" t="s">
        <v>125</v>
      </c>
      <c r="E337" s="13" t="s">
        <v>122</v>
      </c>
      <c r="F337" s="14" t="n">
        <v>4001</v>
      </c>
      <c r="G337" s="14" t="n">
        <v>2278</v>
      </c>
      <c r="H337" s="14" t="n">
        <f aca="false">F337-G337</f>
        <v>1723</v>
      </c>
      <c r="I337" s="15" t="n">
        <f aca="false">IF(F337=0,0,G337/F337)</f>
        <v>0.569357660584854</v>
      </c>
    </row>
    <row r="338" customFormat="false" ht="15" hidden="false" customHeight="true" outlineLevel="0" collapsed="false">
      <c r="A338" s="13" t="n">
        <v>2026</v>
      </c>
      <c r="B338" s="13" t="s">
        <v>195</v>
      </c>
      <c r="C338" s="13" t="s">
        <v>128</v>
      </c>
      <c r="D338" s="13" t="s">
        <v>125</v>
      </c>
      <c r="E338" s="13" t="s">
        <v>124</v>
      </c>
      <c r="F338" s="14" t="n">
        <v>3871</v>
      </c>
      <c r="G338" s="14" t="n">
        <v>1118</v>
      </c>
      <c r="H338" s="14" t="n">
        <f aca="false">F338-G338</f>
        <v>2753</v>
      </c>
      <c r="I338" s="15" t="n">
        <f aca="false">IF(F338=0,0,G338/F338)</f>
        <v>0.288814259881168</v>
      </c>
    </row>
    <row r="339" customFormat="false" ht="15" hidden="false" customHeight="true" outlineLevel="0" collapsed="false">
      <c r="A339" s="13" t="n">
        <v>2026</v>
      </c>
      <c r="B339" s="13" t="s">
        <v>195</v>
      </c>
      <c r="C339" s="13" t="s">
        <v>128</v>
      </c>
      <c r="D339" s="13" t="s">
        <v>121</v>
      </c>
      <c r="E339" s="13" t="s">
        <v>122</v>
      </c>
      <c r="F339" s="14" t="n">
        <v>12303</v>
      </c>
      <c r="G339" s="14" t="n">
        <v>9480</v>
      </c>
      <c r="H339" s="14" t="n">
        <f aca="false">F339-G339</f>
        <v>2823</v>
      </c>
      <c r="I339" s="15" t="n">
        <f aca="false">IF(F339=0,0,G339/F339)</f>
        <v>0.770543769812241</v>
      </c>
    </row>
    <row r="340" customFormat="false" ht="15" hidden="false" customHeight="true" outlineLevel="0" collapsed="false">
      <c r="A340" s="13" t="n">
        <v>2026</v>
      </c>
      <c r="B340" s="13" t="s">
        <v>195</v>
      </c>
      <c r="C340" s="13" t="s">
        <v>128</v>
      </c>
      <c r="D340" s="13" t="s">
        <v>121</v>
      </c>
      <c r="E340" s="13" t="s">
        <v>124</v>
      </c>
      <c r="F340" s="14" t="n">
        <v>7683</v>
      </c>
      <c r="G340" s="14" t="n">
        <v>3935</v>
      </c>
      <c r="H340" s="14" t="n">
        <f aca="false">F340-G340</f>
        <v>3748</v>
      </c>
      <c r="I340" s="15" t="n">
        <f aca="false">IF(F340=0,0,G340/F340)</f>
        <v>0.512169725367695</v>
      </c>
    </row>
    <row r="341" customFormat="false" ht="15" hidden="false" customHeight="true" outlineLevel="0" collapsed="false">
      <c r="A341" s="13" t="n">
        <v>2026</v>
      </c>
      <c r="B341" s="13" t="s">
        <v>195</v>
      </c>
      <c r="C341" s="13" t="s">
        <v>126</v>
      </c>
      <c r="D341" s="13" t="s">
        <v>125</v>
      </c>
      <c r="E341" s="13" t="s">
        <v>122</v>
      </c>
      <c r="F341" s="14" t="n">
        <v>49</v>
      </c>
      <c r="G341" s="14" t="n">
        <v>25</v>
      </c>
      <c r="H341" s="14" t="n">
        <f aca="false">F341-G341</f>
        <v>24</v>
      </c>
      <c r="I341" s="15" t="n">
        <f aca="false">IF(F341=0,0,G341/F341)</f>
        <v>0.510204081632653</v>
      </c>
    </row>
    <row r="342" customFormat="false" ht="15" hidden="false" customHeight="true" outlineLevel="0" collapsed="false">
      <c r="A342" s="13" t="n">
        <v>2026</v>
      </c>
      <c r="B342" s="13" t="s">
        <v>195</v>
      </c>
      <c r="C342" s="13" t="s">
        <v>126</v>
      </c>
      <c r="D342" s="13" t="s">
        <v>125</v>
      </c>
      <c r="E342" s="13" t="s">
        <v>124</v>
      </c>
      <c r="F342" s="14" t="n">
        <v>157</v>
      </c>
      <c r="G342" s="14" t="n">
        <v>62</v>
      </c>
      <c r="H342" s="14" t="n">
        <f aca="false">F342-G342</f>
        <v>95</v>
      </c>
      <c r="I342" s="15" t="n">
        <f aca="false">IF(F342=0,0,G342/F342)</f>
        <v>0.394904458598726</v>
      </c>
    </row>
    <row r="343" customFormat="false" ht="15" hidden="false" customHeight="true" outlineLevel="0" collapsed="false">
      <c r="A343" s="13" t="n">
        <v>2026</v>
      </c>
      <c r="B343" s="13" t="s">
        <v>195</v>
      </c>
      <c r="C343" s="13" t="s">
        <v>126</v>
      </c>
      <c r="D343" s="13" t="s">
        <v>121</v>
      </c>
      <c r="E343" s="13" t="s">
        <v>122</v>
      </c>
      <c r="F343" s="14" t="n">
        <v>750</v>
      </c>
      <c r="G343" s="14" t="n">
        <v>663</v>
      </c>
      <c r="H343" s="14" t="n">
        <f aca="false">F343-G343</f>
        <v>87</v>
      </c>
      <c r="I343" s="15" t="n">
        <f aca="false">IF(F343=0,0,G343/F343)</f>
        <v>0.884</v>
      </c>
    </row>
    <row r="344" customFormat="false" ht="15" hidden="false" customHeight="true" outlineLevel="0" collapsed="false">
      <c r="A344" s="13" t="n">
        <v>2026</v>
      </c>
      <c r="B344" s="13" t="s">
        <v>195</v>
      </c>
      <c r="C344" s="13" t="s">
        <v>126</v>
      </c>
      <c r="D344" s="13" t="s">
        <v>121</v>
      </c>
      <c r="E344" s="13" t="s">
        <v>124</v>
      </c>
      <c r="F344" s="14" t="n">
        <v>1153</v>
      </c>
      <c r="G344" s="14" t="n">
        <v>929</v>
      </c>
      <c r="H344" s="14" t="n">
        <f aca="false">F344-G344</f>
        <v>224</v>
      </c>
      <c r="I344" s="15" t="n">
        <f aca="false">IF(F344=0,0,G344/F344)</f>
        <v>0.805724197745013</v>
      </c>
    </row>
    <row r="345" customFormat="false" ht="15" hidden="false" customHeight="true" outlineLevel="0" collapsed="false">
      <c r="A345" s="13" t="n">
        <v>2026</v>
      </c>
      <c r="B345" s="13" t="s">
        <v>195</v>
      </c>
      <c r="C345" s="13" t="s">
        <v>123</v>
      </c>
      <c r="D345" s="13" t="s">
        <v>125</v>
      </c>
      <c r="E345" s="13" t="s">
        <v>122</v>
      </c>
      <c r="F345" s="14" t="n">
        <v>803</v>
      </c>
      <c r="G345" s="14" t="n">
        <v>562</v>
      </c>
      <c r="H345" s="14" t="n">
        <f aca="false">F345-G345</f>
        <v>241</v>
      </c>
      <c r="I345" s="15" t="n">
        <f aca="false">IF(F345=0,0,G345/F345)</f>
        <v>0.699875466998755</v>
      </c>
    </row>
    <row r="346" customFormat="false" ht="15" hidden="false" customHeight="true" outlineLevel="0" collapsed="false">
      <c r="A346" s="13" t="n">
        <v>2026</v>
      </c>
      <c r="B346" s="13" t="s">
        <v>195</v>
      </c>
      <c r="C346" s="13" t="s">
        <v>123</v>
      </c>
      <c r="D346" s="13" t="s">
        <v>125</v>
      </c>
      <c r="E346" s="13" t="s">
        <v>124</v>
      </c>
      <c r="F346" s="14" t="n">
        <v>420</v>
      </c>
      <c r="G346" s="14" t="n">
        <v>230</v>
      </c>
      <c r="H346" s="14" t="n">
        <f aca="false">F346-G346</f>
        <v>190</v>
      </c>
      <c r="I346" s="15" t="n">
        <f aca="false">IF(F346=0,0,G346/F346)</f>
        <v>0.547619047619048</v>
      </c>
    </row>
    <row r="347" customFormat="false" ht="15" hidden="false" customHeight="true" outlineLevel="0" collapsed="false">
      <c r="A347" s="13" t="n">
        <v>2026</v>
      </c>
      <c r="B347" s="13" t="s">
        <v>195</v>
      </c>
      <c r="C347" s="13" t="s">
        <v>123</v>
      </c>
      <c r="D347" s="13" t="s">
        <v>121</v>
      </c>
      <c r="E347" s="13" t="s">
        <v>122</v>
      </c>
      <c r="F347" s="14" t="n">
        <v>7518</v>
      </c>
      <c r="G347" s="14" t="n">
        <v>6588</v>
      </c>
      <c r="H347" s="14" t="n">
        <f aca="false">F347-G347</f>
        <v>930</v>
      </c>
      <c r="I347" s="15" t="n">
        <f aca="false">IF(F347=0,0,G347/F347)</f>
        <v>0.876296887470072</v>
      </c>
    </row>
    <row r="348" customFormat="false" ht="15" hidden="false" customHeight="true" outlineLevel="0" collapsed="false">
      <c r="A348" s="13" t="n">
        <v>2026</v>
      </c>
      <c r="B348" s="13" t="s">
        <v>195</v>
      </c>
      <c r="C348" s="13" t="s">
        <v>123</v>
      </c>
      <c r="D348" s="13" t="s">
        <v>121</v>
      </c>
      <c r="E348" s="13" t="s">
        <v>124</v>
      </c>
      <c r="F348" s="14" t="n">
        <v>2642</v>
      </c>
      <c r="G348" s="14" t="n">
        <v>2151</v>
      </c>
      <c r="H348" s="14" t="n">
        <f aca="false">F348-G348</f>
        <v>491</v>
      </c>
      <c r="I348" s="15" t="n">
        <f aca="false">IF(F348=0,0,G348/F348)</f>
        <v>0.814155942467827</v>
      </c>
    </row>
    <row r="349" customFormat="false" ht="15" hidden="false" customHeight="true" outlineLevel="0" collapsed="false">
      <c r="A349" s="13" t="n">
        <v>2026</v>
      </c>
      <c r="B349" s="13" t="s">
        <v>195</v>
      </c>
      <c r="C349" s="13" t="s">
        <v>968</v>
      </c>
      <c r="D349" s="13" t="s">
        <v>125</v>
      </c>
      <c r="E349" s="13" t="s">
        <v>122</v>
      </c>
      <c r="F349" s="14" t="n">
        <v>6</v>
      </c>
      <c r="G349" s="14" t="n">
        <v>1</v>
      </c>
      <c r="H349" s="14" t="n">
        <f aca="false">F349-G349</f>
        <v>5</v>
      </c>
      <c r="I349" s="15" t="n">
        <f aca="false">IF(F349=0,0,G349/F349)</f>
        <v>0.166666666666667</v>
      </c>
    </row>
    <row r="350" customFormat="false" ht="15" hidden="false" customHeight="true" outlineLevel="0" collapsed="false">
      <c r="A350" s="13" t="n">
        <v>2026</v>
      </c>
      <c r="B350" s="13" t="s">
        <v>195</v>
      </c>
      <c r="C350" s="13" t="s">
        <v>968</v>
      </c>
      <c r="D350" s="13" t="s">
        <v>125</v>
      </c>
      <c r="E350" s="13" t="s">
        <v>124</v>
      </c>
      <c r="F350" s="14" t="n">
        <v>2</v>
      </c>
      <c r="G350" s="14" t="n">
        <v>0</v>
      </c>
      <c r="H350" s="14" t="n">
        <f aca="false">F350-G350</f>
        <v>2</v>
      </c>
      <c r="I350" s="15" t="n">
        <f aca="false">IF(F350=0,0,G350/F350)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3" width="12"/>
  </cols>
  <sheetData>
    <row r="1" customFormat="false" ht="15" hidden="false" customHeight="true" outlineLevel="0" collapsed="false">
      <c r="A1" s="13" t="s">
        <v>971</v>
      </c>
    </row>
    <row r="2" customFormat="false" ht="15" hidden="false" customHeight="true" outlineLevel="0" collapsed="false">
      <c r="A2" s="13" t="s">
        <v>972</v>
      </c>
    </row>
    <row r="4" customFormat="false" ht="15" hidden="false" customHeight="true" outlineLevel="0" collapsed="false">
      <c r="A4" s="13" t="s">
        <v>3</v>
      </c>
      <c r="B4" s="13" t="s">
        <v>973</v>
      </c>
      <c r="C4" s="13" t="s">
        <v>4</v>
      </c>
      <c r="D4" s="13" t="s">
        <v>5</v>
      </c>
      <c r="E4" s="13" t="s">
        <v>974</v>
      </c>
      <c r="F4" s="13" t="s">
        <v>6</v>
      </c>
    </row>
    <row r="5" customFormat="false" ht="15" hidden="false" customHeight="true" outlineLevel="0" collapsed="false">
      <c r="A5" s="13" t="n">
        <v>2024</v>
      </c>
      <c r="B5" s="13" t="s">
        <v>975</v>
      </c>
      <c r="C5" s="14" t="n">
        <v>32284</v>
      </c>
      <c r="D5" s="14" t="n">
        <v>20484</v>
      </c>
      <c r="E5" s="14" t="n">
        <f aca="false">C5-D5</f>
        <v>11800</v>
      </c>
      <c r="F5" s="16" t="n">
        <v>63.45</v>
      </c>
    </row>
    <row r="6" customFormat="false" ht="15" hidden="false" customHeight="true" outlineLevel="0" collapsed="false">
      <c r="A6" s="13" t="n">
        <v>2024</v>
      </c>
      <c r="B6" s="13" t="s">
        <v>976</v>
      </c>
      <c r="C6" s="14" t="n">
        <v>33977</v>
      </c>
      <c r="D6" s="14" t="n">
        <v>30555</v>
      </c>
      <c r="E6" s="14" t="n">
        <f aca="false">C6-D6</f>
        <v>3422</v>
      </c>
      <c r="F6" s="16" t="n">
        <v>89.93</v>
      </c>
    </row>
    <row r="7" customFormat="false" ht="15" hidden="false" customHeight="true" outlineLevel="0" collapsed="false">
      <c r="A7" s="13" t="n">
        <v>2025</v>
      </c>
      <c r="B7" s="13" t="s">
        <v>976</v>
      </c>
      <c r="C7" s="14" t="n">
        <v>32152</v>
      </c>
      <c r="D7" s="14" t="n">
        <v>26384</v>
      </c>
      <c r="E7" s="14" t="n">
        <f aca="false">C7-D7</f>
        <v>5768</v>
      </c>
      <c r="F7" s="16" t="n">
        <v>82.06</v>
      </c>
    </row>
    <row r="8" customFormat="false" ht="15" hidden="false" customHeight="true" outlineLevel="0" collapsed="false">
      <c r="A8" s="13" t="n">
        <v>2026</v>
      </c>
      <c r="B8" s="13" t="s">
        <v>975</v>
      </c>
      <c r="C8" s="14" t="n">
        <v>31611</v>
      </c>
      <c r="D8" s="14" t="n">
        <v>19772</v>
      </c>
      <c r="E8" s="14" t="n">
        <f aca="false">C8-D8</f>
        <v>11839</v>
      </c>
      <c r="F8" s="16" t="n">
        <v>62.55</v>
      </c>
    </row>
    <row r="9" customFormat="false" ht="15" hidden="false" customHeight="true" outlineLevel="0" collapsed="false">
      <c r="A9" s="13" t="n">
        <v>2026</v>
      </c>
      <c r="B9" s="13" t="s">
        <v>976</v>
      </c>
      <c r="C9" s="14" t="n">
        <v>32531</v>
      </c>
      <c r="D9" s="14" t="n">
        <v>21183</v>
      </c>
      <c r="E9" s="14" t="n">
        <f aca="false">C9-D9</f>
        <v>11348</v>
      </c>
      <c r="F9" s="16" t="n">
        <v>65.12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3" width="12"/>
    <col collapsed="false" customWidth="true" hidden="false" outlineLevel="0" max="4" min="3" style="13" width="18"/>
    <col collapsed="false" customWidth="true" hidden="false" outlineLevel="0" max="13" min="5" style="13" width="12"/>
  </cols>
  <sheetData>
    <row r="1" customFormat="false" ht="15" hidden="false" customHeight="true" outlineLevel="0" collapsed="false">
      <c r="A1" s="13" t="s">
        <v>977</v>
      </c>
    </row>
    <row r="2" customFormat="false" ht="15" hidden="false" customHeight="true" outlineLevel="0" collapsed="false">
      <c r="A2" s="13" t="s">
        <v>978</v>
      </c>
    </row>
    <row r="4" customFormat="false" ht="15" hidden="false" customHeight="true" outlineLevel="0" collapsed="false">
      <c r="A4" s="13" t="s">
        <v>3</v>
      </c>
      <c r="B4" s="13" t="s">
        <v>973</v>
      </c>
      <c r="C4" s="13" t="s">
        <v>114</v>
      </c>
      <c r="D4" s="13" t="s">
        <v>187</v>
      </c>
      <c r="E4" s="13" t="s">
        <v>4</v>
      </c>
      <c r="F4" s="13" t="s">
        <v>5</v>
      </c>
      <c r="G4" s="13" t="s">
        <v>6</v>
      </c>
      <c r="H4" s="13" t="s">
        <v>979</v>
      </c>
      <c r="I4" s="13" t="s">
        <v>116</v>
      </c>
      <c r="J4" s="13" t="s">
        <v>117</v>
      </c>
      <c r="K4" s="13" t="s">
        <v>118</v>
      </c>
      <c r="L4" s="13" t="s">
        <v>119</v>
      </c>
      <c r="M4" s="13" t="s">
        <v>120</v>
      </c>
    </row>
    <row r="5" customFormat="false" ht="15" hidden="false" customHeight="true" outlineLevel="0" collapsed="false">
      <c r="A5" s="13" t="n">
        <v>2024</v>
      </c>
      <c r="B5" s="13" t="s">
        <v>975</v>
      </c>
      <c r="C5" s="13" t="s">
        <v>123</v>
      </c>
      <c r="D5" s="13" t="s">
        <v>366</v>
      </c>
      <c r="E5" s="14" t="n">
        <v>13877</v>
      </c>
      <c r="F5" s="14" t="n">
        <v>8619</v>
      </c>
      <c r="G5" s="16" t="n">
        <v>62.1</v>
      </c>
      <c r="H5" s="14" t="n">
        <v>1210</v>
      </c>
      <c r="I5" s="14" t="n">
        <v>2161</v>
      </c>
      <c r="J5" s="14" t="n">
        <v>2914</v>
      </c>
      <c r="K5" s="14" t="n">
        <v>2138</v>
      </c>
      <c r="L5" s="14" t="n">
        <v>196</v>
      </c>
      <c r="M5" s="14" t="n">
        <v>0</v>
      </c>
    </row>
    <row r="6" customFormat="false" ht="15" hidden="false" customHeight="true" outlineLevel="0" collapsed="false">
      <c r="A6" s="13" t="n">
        <v>2024</v>
      </c>
      <c r="B6" s="13" t="s">
        <v>975</v>
      </c>
      <c r="C6" s="13" t="s">
        <v>123</v>
      </c>
      <c r="D6" s="13" t="s">
        <v>368</v>
      </c>
      <c r="E6" s="14" t="n">
        <v>6</v>
      </c>
      <c r="F6" s="14" t="n">
        <v>0</v>
      </c>
      <c r="G6" s="16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</row>
    <row r="7" customFormat="false" ht="15" hidden="false" customHeight="true" outlineLevel="0" collapsed="false">
      <c r="A7" s="13" t="n">
        <v>2024</v>
      </c>
      <c r="B7" s="13" t="s">
        <v>975</v>
      </c>
      <c r="C7" s="13" t="s">
        <v>123</v>
      </c>
      <c r="D7" s="13" t="s">
        <v>367</v>
      </c>
      <c r="E7" s="14" t="n">
        <v>7579</v>
      </c>
      <c r="F7" s="14" t="n">
        <v>6267</v>
      </c>
      <c r="G7" s="16" t="n">
        <v>82.69</v>
      </c>
      <c r="H7" s="14" t="n">
        <v>1454</v>
      </c>
      <c r="I7" s="14" t="n">
        <v>2061</v>
      </c>
      <c r="J7" s="14" t="n">
        <v>1998</v>
      </c>
      <c r="K7" s="14" t="n">
        <v>737</v>
      </c>
      <c r="L7" s="14" t="n">
        <v>17</v>
      </c>
      <c r="M7" s="14" t="n">
        <v>0</v>
      </c>
    </row>
    <row r="8" customFormat="false" ht="15" hidden="false" customHeight="true" outlineLevel="0" collapsed="false">
      <c r="A8" s="13" t="n">
        <v>2024</v>
      </c>
      <c r="B8" s="13" t="s">
        <v>975</v>
      </c>
      <c r="C8" s="13" t="s">
        <v>123</v>
      </c>
      <c r="D8" s="13" t="s">
        <v>369</v>
      </c>
      <c r="E8" s="14" t="n">
        <v>3</v>
      </c>
      <c r="F8" s="14" t="n">
        <v>1</v>
      </c>
      <c r="G8" s="16" t="n">
        <v>33.33</v>
      </c>
      <c r="H8" s="14" t="n">
        <v>0</v>
      </c>
      <c r="I8" s="14" t="n">
        <v>1</v>
      </c>
      <c r="J8" s="14" t="n">
        <v>0</v>
      </c>
      <c r="K8" s="14" t="n">
        <v>0</v>
      </c>
      <c r="L8" s="14" t="n">
        <v>0</v>
      </c>
      <c r="M8" s="14" t="n">
        <v>0</v>
      </c>
    </row>
    <row r="9" customFormat="false" ht="15" hidden="false" customHeight="true" outlineLevel="0" collapsed="false">
      <c r="A9" s="13" t="n">
        <v>2024</v>
      </c>
      <c r="B9" s="13" t="s">
        <v>975</v>
      </c>
      <c r="C9" s="13" t="s">
        <v>123</v>
      </c>
      <c r="D9" s="13" t="s">
        <v>359</v>
      </c>
      <c r="E9" s="14" t="n">
        <v>21465</v>
      </c>
      <c r="F9" s="14" t="n">
        <v>14887</v>
      </c>
      <c r="G9" s="16" t="n">
        <v>69.35</v>
      </c>
      <c r="H9" s="14" t="n">
        <v>2664</v>
      </c>
      <c r="I9" s="14" t="n">
        <v>4223</v>
      </c>
      <c r="J9" s="14" t="n">
        <v>4912</v>
      </c>
      <c r="K9" s="14" t="n">
        <v>2875</v>
      </c>
      <c r="L9" s="14" t="n">
        <v>213</v>
      </c>
      <c r="M9" s="14" t="n">
        <v>0</v>
      </c>
    </row>
    <row r="10" customFormat="false" ht="15" hidden="false" customHeight="true" outlineLevel="0" collapsed="false">
      <c r="A10" s="13" t="n">
        <v>2024</v>
      </c>
      <c r="B10" s="13" t="s">
        <v>975</v>
      </c>
      <c r="C10" s="13" t="s">
        <v>126</v>
      </c>
      <c r="D10" s="13" t="s">
        <v>366</v>
      </c>
      <c r="E10" s="14" t="n">
        <v>1218</v>
      </c>
      <c r="F10" s="14" t="n">
        <v>487</v>
      </c>
      <c r="G10" s="16" t="n">
        <v>40</v>
      </c>
      <c r="H10" s="14" t="n">
        <v>52</v>
      </c>
      <c r="I10" s="14" t="n">
        <v>112</v>
      </c>
      <c r="J10" s="14" t="n">
        <v>175</v>
      </c>
      <c r="K10" s="14" t="n">
        <v>129</v>
      </c>
      <c r="L10" s="14" t="n">
        <v>19</v>
      </c>
      <c r="M10" s="14" t="n">
        <v>0</v>
      </c>
    </row>
    <row r="11" customFormat="false" ht="15" hidden="false" customHeight="true" outlineLevel="0" collapsed="false">
      <c r="A11" s="13" t="n">
        <v>2024</v>
      </c>
      <c r="B11" s="13" t="s">
        <v>975</v>
      </c>
      <c r="C11" s="13" t="s">
        <v>126</v>
      </c>
      <c r="D11" s="13" t="s">
        <v>367</v>
      </c>
      <c r="E11" s="14" t="n">
        <v>51</v>
      </c>
      <c r="F11" s="14" t="n">
        <v>37</v>
      </c>
      <c r="G11" s="16" t="n">
        <v>72.55</v>
      </c>
      <c r="H11" s="14" t="n">
        <v>10</v>
      </c>
      <c r="I11" s="14" t="n">
        <v>15</v>
      </c>
      <c r="J11" s="14" t="n">
        <v>10</v>
      </c>
      <c r="K11" s="14" t="n">
        <v>2</v>
      </c>
      <c r="L11" s="14" t="n">
        <v>0</v>
      </c>
      <c r="M11" s="14" t="n">
        <v>0</v>
      </c>
    </row>
    <row r="12" customFormat="false" ht="15" hidden="false" customHeight="true" outlineLevel="0" collapsed="false">
      <c r="A12" s="13" t="n">
        <v>2024</v>
      </c>
      <c r="B12" s="13" t="s">
        <v>975</v>
      </c>
      <c r="C12" s="13" t="s">
        <v>126</v>
      </c>
      <c r="D12" s="13" t="s">
        <v>359</v>
      </c>
      <c r="E12" s="14" t="n">
        <v>1269</v>
      </c>
      <c r="F12" s="14" t="n">
        <v>524</v>
      </c>
      <c r="G12" s="16" t="n">
        <v>41.29</v>
      </c>
      <c r="H12" s="14" t="n">
        <v>62</v>
      </c>
      <c r="I12" s="14" t="n">
        <v>127</v>
      </c>
      <c r="J12" s="14" t="n">
        <v>185</v>
      </c>
      <c r="K12" s="14" t="n">
        <v>131</v>
      </c>
      <c r="L12" s="14" t="n">
        <v>19</v>
      </c>
      <c r="M12" s="14" t="n">
        <v>0</v>
      </c>
    </row>
    <row r="13" customFormat="false" ht="15" hidden="false" customHeight="true" outlineLevel="0" collapsed="false">
      <c r="A13" s="13" t="n">
        <v>2024</v>
      </c>
      <c r="B13" s="13" t="s">
        <v>975</v>
      </c>
      <c r="C13" s="13" t="s">
        <v>170</v>
      </c>
      <c r="D13" s="13" t="s">
        <v>366</v>
      </c>
      <c r="E13" s="14" t="n">
        <v>2150</v>
      </c>
      <c r="F13" s="14" t="n">
        <v>790</v>
      </c>
      <c r="G13" s="16" t="n">
        <v>36.75</v>
      </c>
      <c r="H13" s="14" t="n">
        <v>20</v>
      </c>
      <c r="I13" s="14" t="n">
        <v>107</v>
      </c>
      <c r="J13" s="14" t="n">
        <v>296</v>
      </c>
      <c r="K13" s="14" t="n">
        <v>323</v>
      </c>
      <c r="L13" s="14" t="n">
        <v>44</v>
      </c>
      <c r="M13" s="14" t="n">
        <v>0</v>
      </c>
    </row>
    <row r="14" customFormat="false" ht="15" hidden="false" customHeight="true" outlineLevel="0" collapsed="false">
      <c r="A14" s="13" t="n">
        <v>2024</v>
      </c>
      <c r="B14" s="13" t="s">
        <v>975</v>
      </c>
      <c r="C14" s="13" t="s">
        <v>170</v>
      </c>
      <c r="D14" s="13" t="s">
        <v>367</v>
      </c>
      <c r="E14" s="14" t="n">
        <v>98</v>
      </c>
      <c r="F14" s="14" t="n">
        <v>49</v>
      </c>
      <c r="G14" s="16" t="n">
        <v>50</v>
      </c>
      <c r="H14" s="14" t="n">
        <v>5</v>
      </c>
      <c r="I14" s="14" t="n">
        <v>13</v>
      </c>
      <c r="J14" s="14" t="n">
        <v>21</v>
      </c>
      <c r="K14" s="14" t="n">
        <v>10</v>
      </c>
      <c r="L14" s="14" t="n">
        <v>0</v>
      </c>
      <c r="M14" s="14" t="n">
        <v>0</v>
      </c>
    </row>
    <row r="15" customFormat="false" ht="15" hidden="false" customHeight="true" outlineLevel="0" collapsed="false">
      <c r="A15" s="13" t="n">
        <v>2024</v>
      </c>
      <c r="B15" s="13" t="s">
        <v>975</v>
      </c>
      <c r="C15" s="13" t="s">
        <v>170</v>
      </c>
      <c r="D15" s="13" t="s">
        <v>359</v>
      </c>
      <c r="E15" s="14" t="n">
        <v>2248</v>
      </c>
      <c r="F15" s="14" t="n">
        <v>839</v>
      </c>
      <c r="G15" s="16" t="n">
        <v>37.32</v>
      </c>
      <c r="H15" s="14" t="n">
        <v>25</v>
      </c>
      <c r="I15" s="14" t="n">
        <v>120</v>
      </c>
      <c r="J15" s="14" t="n">
        <v>317</v>
      </c>
      <c r="K15" s="14" t="n">
        <v>333</v>
      </c>
      <c r="L15" s="14" t="n">
        <v>44</v>
      </c>
      <c r="M15" s="14" t="n">
        <v>0</v>
      </c>
    </row>
    <row r="16" customFormat="false" ht="15" hidden="false" customHeight="true" outlineLevel="0" collapsed="false">
      <c r="A16" s="13" t="n">
        <v>2024</v>
      </c>
      <c r="B16" s="13" t="s">
        <v>975</v>
      </c>
      <c r="C16" s="13" t="s">
        <v>128</v>
      </c>
      <c r="D16" s="13" t="s">
        <v>366</v>
      </c>
      <c r="E16" s="14" t="n">
        <v>2689</v>
      </c>
      <c r="F16" s="14" t="n">
        <v>1346</v>
      </c>
      <c r="G16" s="16" t="n">
        <v>50.06</v>
      </c>
      <c r="H16" s="14" t="n">
        <v>4</v>
      </c>
      <c r="I16" s="14" t="n">
        <v>55</v>
      </c>
      <c r="J16" s="14" t="n">
        <v>418</v>
      </c>
      <c r="K16" s="14" t="n">
        <v>693</v>
      </c>
      <c r="L16" s="14" t="n">
        <v>176</v>
      </c>
      <c r="M16" s="14" t="n">
        <v>0</v>
      </c>
    </row>
    <row r="17" customFormat="false" ht="15" hidden="false" customHeight="true" outlineLevel="0" collapsed="false">
      <c r="A17" s="13" t="n">
        <v>2024</v>
      </c>
      <c r="B17" s="13" t="s">
        <v>975</v>
      </c>
      <c r="C17" s="13" t="s">
        <v>128</v>
      </c>
      <c r="D17" s="13" t="s">
        <v>368</v>
      </c>
      <c r="E17" s="14" t="n">
        <v>2228</v>
      </c>
      <c r="F17" s="14" t="n">
        <v>1026</v>
      </c>
      <c r="G17" s="16" t="n">
        <v>46.05</v>
      </c>
      <c r="H17" s="14" t="n">
        <v>2</v>
      </c>
      <c r="I17" s="14" t="n">
        <v>71</v>
      </c>
      <c r="J17" s="14" t="n">
        <v>308</v>
      </c>
      <c r="K17" s="14" t="n">
        <v>502</v>
      </c>
      <c r="L17" s="14" t="n">
        <v>143</v>
      </c>
      <c r="M17" s="14" t="n">
        <v>0</v>
      </c>
    </row>
    <row r="18" customFormat="false" ht="15" hidden="false" customHeight="true" outlineLevel="0" collapsed="false">
      <c r="A18" s="13" t="n">
        <v>2024</v>
      </c>
      <c r="B18" s="13" t="s">
        <v>975</v>
      </c>
      <c r="C18" s="13" t="s">
        <v>128</v>
      </c>
      <c r="D18" s="13" t="s">
        <v>367</v>
      </c>
      <c r="E18" s="14" t="n">
        <v>1429</v>
      </c>
      <c r="F18" s="14" t="n">
        <v>1127</v>
      </c>
      <c r="G18" s="16" t="n">
        <v>78.87</v>
      </c>
      <c r="H18" s="14" t="n">
        <v>6</v>
      </c>
      <c r="I18" s="14" t="n">
        <v>182</v>
      </c>
      <c r="J18" s="14" t="n">
        <v>581</v>
      </c>
      <c r="K18" s="14" t="n">
        <v>330</v>
      </c>
      <c r="L18" s="14" t="n">
        <v>28</v>
      </c>
      <c r="M18" s="14" t="n">
        <v>0</v>
      </c>
    </row>
    <row r="19" customFormat="false" ht="15" hidden="false" customHeight="true" outlineLevel="0" collapsed="false">
      <c r="A19" s="13" t="n">
        <v>2024</v>
      </c>
      <c r="B19" s="13" t="s">
        <v>975</v>
      </c>
      <c r="C19" s="13" t="s">
        <v>128</v>
      </c>
      <c r="D19" s="13" t="s">
        <v>369</v>
      </c>
      <c r="E19" s="14" t="n">
        <v>956</v>
      </c>
      <c r="F19" s="14" t="n">
        <v>735</v>
      </c>
      <c r="G19" s="16" t="n">
        <v>76.88</v>
      </c>
      <c r="H19" s="14" t="n">
        <v>16</v>
      </c>
      <c r="I19" s="14" t="n">
        <v>175</v>
      </c>
      <c r="J19" s="14" t="n">
        <v>388</v>
      </c>
      <c r="K19" s="14" t="n">
        <v>137</v>
      </c>
      <c r="L19" s="14" t="n">
        <v>19</v>
      </c>
      <c r="M19" s="14" t="n">
        <v>0</v>
      </c>
    </row>
    <row r="20" customFormat="false" ht="15" hidden="false" customHeight="true" outlineLevel="0" collapsed="false">
      <c r="A20" s="13" t="n">
        <v>2024</v>
      </c>
      <c r="B20" s="13" t="s">
        <v>975</v>
      </c>
      <c r="C20" s="13" t="s">
        <v>128</v>
      </c>
      <c r="D20" s="13" t="s">
        <v>359</v>
      </c>
      <c r="E20" s="14" t="n">
        <v>7302</v>
      </c>
      <c r="F20" s="14" t="n">
        <v>4234</v>
      </c>
      <c r="G20" s="16" t="n">
        <v>57.98</v>
      </c>
      <c r="H20" s="14" t="n">
        <v>28</v>
      </c>
      <c r="I20" s="14" t="n">
        <v>483</v>
      </c>
      <c r="J20" s="14" t="n">
        <v>1695</v>
      </c>
      <c r="K20" s="14" t="n">
        <v>1662</v>
      </c>
      <c r="L20" s="14" t="n">
        <v>366</v>
      </c>
      <c r="M20" s="14" t="n">
        <v>0</v>
      </c>
    </row>
    <row r="21" customFormat="false" ht="15" hidden="false" customHeight="true" outlineLevel="0" collapsed="false">
      <c r="A21" s="13" t="n">
        <v>2024</v>
      </c>
      <c r="B21" s="13" t="s">
        <v>975</v>
      </c>
      <c r="C21" s="13" t="s">
        <v>980</v>
      </c>
      <c r="D21" s="13" t="s">
        <v>137</v>
      </c>
      <c r="E21" s="14" t="n">
        <v>32284</v>
      </c>
      <c r="F21" s="14" t="n">
        <v>20484</v>
      </c>
      <c r="G21" s="16" t="n">
        <v>63.45</v>
      </c>
      <c r="H21" s="14" t="n">
        <v>2779</v>
      </c>
      <c r="I21" s="14" t="n">
        <v>4953</v>
      </c>
      <c r="J21" s="14" t="n">
        <v>7109</v>
      </c>
      <c r="K21" s="14" t="n">
        <v>5001</v>
      </c>
      <c r="L21" s="14" t="n">
        <v>642</v>
      </c>
      <c r="M21" s="14" t="n">
        <v>0</v>
      </c>
    </row>
    <row r="22" customFormat="false" ht="15" hidden="false" customHeight="true" outlineLevel="0" collapsed="false">
      <c r="A22" s="13" t="n">
        <v>2024</v>
      </c>
      <c r="B22" s="13" t="s">
        <v>976</v>
      </c>
      <c r="C22" s="13" t="s">
        <v>123</v>
      </c>
      <c r="D22" s="13" t="s">
        <v>366</v>
      </c>
      <c r="E22" s="14" t="n">
        <v>13945</v>
      </c>
      <c r="F22" s="14" t="n">
        <v>12529</v>
      </c>
      <c r="G22" s="16" t="n">
        <v>89.85</v>
      </c>
      <c r="H22" s="14" t="n">
        <v>1977</v>
      </c>
      <c r="I22" s="14" t="n">
        <v>3564</v>
      </c>
      <c r="J22" s="14" t="n">
        <v>3655</v>
      </c>
      <c r="K22" s="14" t="n">
        <v>2768</v>
      </c>
      <c r="L22" s="14" t="n">
        <v>559</v>
      </c>
      <c r="M22" s="14" t="n">
        <v>3</v>
      </c>
    </row>
    <row r="23" customFormat="false" ht="15" hidden="false" customHeight="true" outlineLevel="0" collapsed="false">
      <c r="A23" s="13" t="n">
        <v>2024</v>
      </c>
      <c r="B23" s="13" t="s">
        <v>976</v>
      </c>
      <c r="C23" s="13" t="s">
        <v>123</v>
      </c>
      <c r="D23" s="13" t="s">
        <v>368</v>
      </c>
      <c r="E23" s="14" t="n">
        <v>1835</v>
      </c>
      <c r="F23" s="14" t="n">
        <v>1744</v>
      </c>
      <c r="G23" s="16" t="n">
        <v>95.04</v>
      </c>
      <c r="H23" s="14" t="n">
        <v>913</v>
      </c>
      <c r="I23" s="14" t="n">
        <v>300</v>
      </c>
      <c r="J23" s="14" t="n">
        <v>202</v>
      </c>
      <c r="K23" s="14" t="n">
        <v>206</v>
      </c>
      <c r="L23" s="14" t="n">
        <v>105</v>
      </c>
      <c r="M23" s="14" t="n">
        <v>2</v>
      </c>
    </row>
    <row r="24" customFormat="false" ht="15" hidden="false" customHeight="true" outlineLevel="0" collapsed="false">
      <c r="A24" s="13" t="n">
        <v>2024</v>
      </c>
      <c r="B24" s="13" t="s">
        <v>976</v>
      </c>
      <c r="C24" s="13" t="s">
        <v>123</v>
      </c>
      <c r="D24" s="13" t="s">
        <v>367</v>
      </c>
      <c r="E24" s="14" t="n">
        <v>6860</v>
      </c>
      <c r="F24" s="14" t="n">
        <v>6659</v>
      </c>
      <c r="G24" s="16" t="n">
        <v>97.07</v>
      </c>
      <c r="H24" s="14" t="n">
        <v>1834</v>
      </c>
      <c r="I24" s="14" t="n">
        <v>2578</v>
      </c>
      <c r="J24" s="14" t="n">
        <v>1735</v>
      </c>
      <c r="K24" s="14" t="n">
        <v>490</v>
      </c>
      <c r="L24" s="14" t="n">
        <v>20</v>
      </c>
      <c r="M24" s="14" t="n">
        <v>2</v>
      </c>
    </row>
    <row r="25" customFormat="false" ht="15" hidden="false" customHeight="true" outlineLevel="0" collapsed="false">
      <c r="A25" s="13" t="n">
        <v>2024</v>
      </c>
      <c r="B25" s="13" t="s">
        <v>976</v>
      </c>
      <c r="C25" s="13" t="s">
        <v>123</v>
      </c>
      <c r="D25" s="13" t="s">
        <v>369</v>
      </c>
      <c r="E25" s="14" t="n">
        <v>766</v>
      </c>
      <c r="F25" s="14" t="n">
        <v>759</v>
      </c>
      <c r="G25" s="16" t="n">
        <v>99.09</v>
      </c>
      <c r="H25" s="14" t="n">
        <v>503</v>
      </c>
      <c r="I25" s="14" t="n">
        <v>154</v>
      </c>
      <c r="J25" s="14" t="n">
        <v>53</v>
      </c>
      <c r="K25" s="14" t="n">
        <v>35</v>
      </c>
      <c r="L25" s="14" t="n">
        <v>13</v>
      </c>
      <c r="M25" s="14" t="n">
        <v>0</v>
      </c>
    </row>
    <row r="26" customFormat="false" ht="15" hidden="false" customHeight="true" outlineLevel="0" collapsed="false">
      <c r="A26" s="13" t="n">
        <v>2024</v>
      </c>
      <c r="B26" s="13" t="s">
        <v>976</v>
      </c>
      <c r="C26" s="13" t="s">
        <v>123</v>
      </c>
      <c r="D26" s="13" t="s">
        <v>359</v>
      </c>
      <c r="E26" s="14" t="n">
        <v>23406</v>
      </c>
      <c r="F26" s="14" t="n">
        <v>21691</v>
      </c>
      <c r="G26" s="16" t="n">
        <v>92.67</v>
      </c>
      <c r="H26" s="14" t="n">
        <v>5227</v>
      </c>
      <c r="I26" s="14" t="n">
        <v>6596</v>
      </c>
      <c r="J26" s="14" t="n">
        <v>5645</v>
      </c>
      <c r="K26" s="14" t="n">
        <v>3499</v>
      </c>
      <c r="L26" s="14" t="n">
        <v>697</v>
      </c>
      <c r="M26" s="14" t="n">
        <v>7</v>
      </c>
    </row>
    <row r="27" customFormat="false" ht="15" hidden="false" customHeight="true" outlineLevel="0" collapsed="false">
      <c r="A27" s="13" t="n">
        <v>2024</v>
      </c>
      <c r="B27" s="13" t="s">
        <v>976</v>
      </c>
      <c r="C27" s="13" t="s">
        <v>126</v>
      </c>
      <c r="D27" s="13" t="s">
        <v>366</v>
      </c>
      <c r="E27" s="14" t="n">
        <v>1064</v>
      </c>
      <c r="F27" s="14" t="n">
        <v>866</v>
      </c>
      <c r="G27" s="16" t="n">
        <v>81.39</v>
      </c>
      <c r="H27" s="14" t="n">
        <v>46</v>
      </c>
      <c r="I27" s="14" t="n">
        <v>157</v>
      </c>
      <c r="J27" s="14" t="n">
        <v>290</v>
      </c>
      <c r="K27" s="14" t="n">
        <v>297</v>
      </c>
      <c r="L27" s="14" t="n">
        <v>76</v>
      </c>
      <c r="M27" s="14" t="n">
        <v>0</v>
      </c>
    </row>
    <row r="28" customFormat="false" ht="15" hidden="false" customHeight="true" outlineLevel="0" collapsed="false">
      <c r="A28" s="13" t="n">
        <v>2024</v>
      </c>
      <c r="B28" s="13" t="s">
        <v>976</v>
      </c>
      <c r="C28" s="13" t="s">
        <v>126</v>
      </c>
      <c r="D28" s="13" t="s">
        <v>368</v>
      </c>
      <c r="E28" s="14" t="n">
        <v>213</v>
      </c>
      <c r="F28" s="14" t="n">
        <v>173</v>
      </c>
      <c r="G28" s="16" t="n">
        <v>81.22</v>
      </c>
      <c r="H28" s="14" t="n">
        <v>3</v>
      </c>
      <c r="I28" s="14" t="n">
        <v>22</v>
      </c>
      <c r="J28" s="14" t="n">
        <v>19</v>
      </c>
      <c r="K28" s="14" t="n">
        <v>31</v>
      </c>
      <c r="L28" s="14" t="n">
        <v>22</v>
      </c>
      <c r="M28" s="14" t="n">
        <v>0</v>
      </c>
    </row>
    <row r="29" customFormat="false" ht="15" hidden="false" customHeight="true" outlineLevel="0" collapsed="false">
      <c r="A29" s="13" t="n">
        <v>2024</v>
      </c>
      <c r="B29" s="13" t="s">
        <v>976</v>
      </c>
      <c r="C29" s="13" t="s">
        <v>126</v>
      </c>
      <c r="D29" s="13" t="s">
        <v>367</v>
      </c>
      <c r="E29" s="14" t="n">
        <v>82</v>
      </c>
      <c r="F29" s="14" t="n">
        <v>76</v>
      </c>
      <c r="G29" s="16" t="n">
        <v>92.68</v>
      </c>
      <c r="H29" s="14" t="n">
        <v>19</v>
      </c>
      <c r="I29" s="14" t="n">
        <v>24</v>
      </c>
      <c r="J29" s="14" t="n">
        <v>26</v>
      </c>
      <c r="K29" s="14" t="n">
        <v>7</v>
      </c>
      <c r="L29" s="14" t="n">
        <v>0</v>
      </c>
      <c r="M29" s="14" t="n">
        <v>0</v>
      </c>
    </row>
    <row r="30" customFormat="false" ht="15" hidden="false" customHeight="true" outlineLevel="0" collapsed="false">
      <c r="A30" s="13" t="n">
        <v>2024</v>
      </c>
      <c r="B30" s="13" t="s">
        <v>976</v>
      </c>
      <c r="C30" s="13" t="s">
        <v>126</v>
      </c>
      <c r="D30" s="13" t="s">
        <v>369</v>
      </c>
      <c r="E30" s="14" t="n">
        <v>18</v>
      </c>
      <c r="F30" s="14" t="n">
        <v>17</v>
      </c>
      <c r="G30" s="16" t="n">
        <v>94.44</v>
      </c>
      <c r="H30" s="14" t="n">
        <v>0</v>
      </c>
      <c r="I30" s="14" t="n">
        <v>1</v>
      </c>
      <c r="J30" s="14" t="n">
        <v>0</v>
      </c>
      <c r="K30" s="14" t="n">
        <v>0</v>
      </c>
      <c r="L30" s="14" t="n">
        <v>0</v>
      </c>
      <c r="M30" s="14" t="n">
        <v>0</v>
      </c>
    </row>
    <row r="31" customFormat="false" ht="15" hidden="false" customHeight="true" outlineLevel="0" collapsed="false">
      <c r="A31" s="13" t="n">
        <v>2024</v>
      </c>
      <c r="B31" s="13" t="s">
        <v>976</v>
      </c>
      <c r="C31" s="13" t="s">
        <v>126</v>
      </c>
      <c r="D31" s="13" t="s">
        <v>359</v>
      </c>
      <c r="E31" s="14" t="n">
        <v>1377</v>
      </c>
      <c r="F31" s="14" t="n">
        <v>1132</v>
      </c>
      <c r="G31" s="16" t="n">
        <v>82.21</v>
      </c>
      <c r="H31" s="14" t="n">
        <v>68</v>
      </c>
      <c r="I31" s="14" t="n">
        <v>204</v>
      </c>
      <c r="J31" s="14" t="n">
        <v>335</v>
      </c>
      <c r="K31" s="14" t="n">
        <v>335</v>
      </c>
      <c r="L31" s="14" t="n">
        <v>98</v>
      </c>
      <c r="M31" s="14" t="n">
        <v>0</v>
      </c>
    </row>
    <row r="32" customFormat="false" ht="15" hidden="false" customHeight="true" outlineLevel="0" collapsed="false">
      <c r="A32" s="13" t="n">
        <v>2024</v>
      </c>
      <c r="B32" s="13" t="s">
        <v>976</v>
      </c>
      <c r="C32" s="13" t="s">
        <v>170</v>
      </c>
      <c r="D32" s="13" t="s">
        <v>366</v>
      </c>
      <c r="E32" s="14" t="n">
        <v>1515</v>
      </c>
      <c r="F32" s="14" t="n">
        <v>1187</v>
      </c>
      <c r="G32" s="16" t="n">
        <v>78.35</v>
      </c>
      <c r="H32" s="14" t="n">
        <v>14</v>
      </c>
      <c r="I32" s="14" t="n">
        <v>118</v>
      </c>
      <c r="J32" s="14" t="n">
        <v>447</v>
      </c>
      <c r="K32" s="14" t="n">
        <v>472</v>
      </c>
      <c r="L32" s="14" t="n">
        <v>136</v>
      </c>
      <c r="M32" s="14" t="n">
        <v>0</v>
      </c>
    </row>
    <row r="33" customFormat="false" ht="15" hidden="false" customHeight="true" outlineLevel="0" collapsed="false">
      <c r="A33" s="13" t="n">
        <v>2024</v>
      </c>
      <c r="B33" s="13" t="s">
        <v>976</v>
      </c>
      <c r="C33" s="13" t="s">
        <v>170</v>
      </c>
      <c r="D33" s="13" t="s">
        <v>368</v>
      </c>
      <c r="E33" s="14" t="n">
        <v>74</v>
      </c>
      <c r="F33" s="14" t="n">
        <v>67</v>
      </c>
      <c r="G33" s="16" t="n">
        <v>90.54</v>
      </c>
      <c r="H33" s="14" t="n">
        <v>2</v>
      </c>
      <c r="I33" s="14" t="n">
        <v>18</v>
      </c>
      <c r="J33" s="14" t="n">
        <v>28</v>
      </c>
      <c r="K33" s="14" t="n">
        <v>10</v>
      </c>
      <c r="L33" s="14" t="n">
        <v>10</v>
      </c>
      <c r="M33" s="14" t="n">
        <v>0</v>
      </c>
    </row>
    <row r="34" customFormat="false" ht="15" hidden="false" customHeight="true" outlineLevel="0" collapsed="false">
      <c r="A34" s="13" t="n">
        <v>2024</v>
      </c>
      <c r="B34" s="13" t="s">
        <v>976</v>
      </c>
      <c r="C34" s="13" t="s">
        <v>170</v>
      </c>
      <c r="D34" s="13" t="s">
        <v>367</v>
      </c>
      <c r="E34" s="14" t="n">
        <v>79</v>
      </c>
      <c r="F34" s="14" t="n">
        <v>75</v>
      </c>
      <c r="G34" s="16" t="n">
        <v>94.94</v>
      </c>
      <c r="H34" s="14" t="n">
        <v>2</v>
      </c>
      <c r="I34" s="14" t="n">
        <v>18</v>
      </c>
      <c r="J34" s="14" t="n">
        <v>45</v>
      </c>
      <c r="K34" s="14" t="n">
        <v>19</v>
      </c>
      <c r="L34" s="14" t="n">
        <v>0</v>
      </c>
      <c r="M34" s="14" t="n">
        <v>0</v>
      </c>
    </row>
    <row r="35" customFormat="false" ht="15" hidden="false" customHeight="true" outlineLevel="0" collapsed="false">
      <c r="A35" s="13" t="n">
        <v>2024</v>
      </c>
      <c r="B35" s="13" t="s">
        <v>976</v>
      </c>
      <c r="C35" s="13" t="s">
        <v>170</v>
      </c>
      <c r="D35" s="13" t="s">
        <v>369</v>
      </c>
      <c r="E35" s="14" t="n">
        <v>7</v>
      </c>
      <c r="F35" s="14" t="n">
        <v>7</v>
      </c>
      <c r="G35" s="16" t="n">
        <v>100</v>
      </c>
      <c r="H35" s="14" t="n">
        <v>0</v>
      </c>
      <c r="I35" s="14" t="n">
        <v>3</v>
      </c>
      <c r="J35" s="14" t="n">
        <v>4</v>
      </c>
      <c r="K35" s="14" t="n">
        <v>0</v>
      </c>
      <c r="L35" s="14" t="n">
        <v>0</v>
      </c>
      <c r="M35" s="14" t="n">
        <v>0</v>
      </c>
    </row>
    <row r="36" customFormat="false" ht="15" hidden="false" customHeight="true" outlineLevel="0" collapsed="false">
      <c r="A36" s="13" t="n">
        <v>2024</v>
      </c>
      <c r="B36" s="13" t="s">
        <v>976</v>
      </c>
      <c r="C36" s="13" t="s">
        <v>170</v>
      </c>
      <c r="D36" s="13" t="s">
        <v>359</v>
      </c>
      <c r="E36" s="14" t="n">
        <v>1675</v>
      </c>
      <c r="F36" s="14" t="n">
        <v>1336</v>
      </c>
      <c r="G36" s="16" t="n">
        <v>79.76</v>
      </c>
      <c r="H36" s="14" t="n">
        <v>18</v>
      </c>
      <c r="I36" s="14" t="n">
        <v>147</v>
      </c>
      <c r="J36" s="14" t="n">
        <v>524</v>
      </c>
      <c r="K36" s="14" t="n">
        <v>501</v>
      </c>
      <c r="L36" s="14" t="n">
        <v>146</v>
      </c>
      <c r="M36" s="14" t="n">
        <v>0</v>
      </c>
    </row>
    <row r="37" customFormat="false" ht="15" hidden="false" customHeight="true" outlineLevel="0" collapsed="false">
      <c r="A37" s="13" t="n">
        <v>2024</v>
      </c>
      <c r="B37" s="13" t="s">
        <v>976</v>
      </c>
      <c r="C37" s="13" t="s">
        <v>128</v>
      </c>
      <c r="D37" s="13" t="s">
        <v>366</v>
      </c>
      <c r="E37" s="14" t="n">
        <v>2645</v>
      </c>
      <c r="F37" s="14" t="n">
        <v>2284</v>
      </c>
      <c r="G37" s="16" t="n">
        <v>86.35</v>
      </c>
      <c r="H37" s="14" t="n">
        <v>11</v>
      </c>
      <c r="I37" s="14" t="n">
        <v>180</v>
      </c>
      <c r="J37" s="14" t="n">
        <v>693</v>
      </c>
      <c r="K37" s="14" t="n">
        <v>1068</v>
      </c>
      <c r="L37" s="14" t="n">
        <v>328</v>
      </c>
      <c r="M37" s="14" t="n">
        <v>3</v>
      </c>
    </row>
    <row r="38" customFormat="false" ht="15" hidden="false" customHeight="true" outlineLevel="0" collapsed="false">
      <c r="A38" s="13" t="n">
        <v>2024</v>
      </c>
      <c r="B38" s="13" t="s">
        <v>976</v>
      </c>
      <c r="C38" s="13" t="s">
        <v>128</v>
      </c>
      <c r="D38" s="13" t="s">
        <v>368</v>
      </c>
      <c r="E38" s="14" t="n">
        <v>2260</v>
      </c>
      <c r="F38" s="14" t="n">
        <v>1699</v>
      </c>
      <c r="G38" s="16" t="n">
        <v>75.18</v>
      </c>
      <c r="H38" s="14" t="n">
        <v>1</v>
      </c>
      <c r="I38" s="14" t="n">
        <v>48</v>
      </c>
      <c r="J38" s="14" t="n">
        <v>408</v>
      </c>
      <c r="K38" s="14" t="n">
        <v>886</v>
      </c>
      <c r="L38" s="14" t="n">
        <v>350</v>
      </c>
      <c r="M38" s="14" t="n">
        <v>5</v>
      </c>
    </row>
    <row r="39" customFormat="false" ht="15" hidden="false" customHeight="true" outlineLevel="0" collapsed="false">
      <c r="A39" s="13" t="n">
        <v>2024</v>
      </c>
      <c r="B39" s="13" t="s">
        <v>976</v>
      </c>
      <c r="C39" s="13" t="s">
        <v>128</v>
      </c>
      <c r="D39" s="13" t="s">
        <v>367</v>
      </c>
      <c r="E39" s="14" t="n">
        <v>1428</v>
      </c>
      <c r="F39" s="14" t="n">
        <v>1345</v>
      </c>
      <c r="G39" s="16" t="n">
        <v>94.19</v>
      </c>
      <c r="H39" s="14" t="n">
        <v>20</v>
      </c>
      <c r="I39" s="14" t="n">
        <v>360</v>
      </c>
      <c r="J39" s="14" t="n">
        <v>668</v>
      </c>
      <c r="K39" s="14" t="n">
        <v>279</v>
      </c>
      <c r="L39" s="14" t="n">
        <v>17</v>
      </c>
      <c r="M39" s="14" t="n">
        <v>1</v>
      </c>
    </row>
    <row r="40" customFormat="false" ht="15" hidden="false" customHeight="true" outlineLevel="0" collapsed="false">
      <c r="A40" s="13" t="n">
        <v>2024</v>
      </c>
      <c r="B40" s="13" t="s">
        <v>976</v>
      </c>
      <c r="C40" s="13" t="s">
        <v>128</v>
      </c>
      <c r="D40" s="13" t="s">
        <v>369</v>
      </c>
      <c r="E40" s="14" t="n">
        <v>1186</v>
      </c>
      <c r="F40" s="14" t="n">
        <v>1068</v>
      </c>
      <c r="G40" s="16" t="n">
        <v>90.05</v>
      </c>
      <c r="H40" s="14" t="n">
        <v>6</v>
      </c>
      <c r="I40" s="14" t="n">
        <v>228</v>
      </c>
      <c r="J40" s="14" t="n">
        <v>484</v>
      </c>
      <c r="K40" s="14" t="n">
        <v>282</v>
      </c>
      <c r="L40" s="14" t="n">
        <v>66</v>
      </c>
      <c r="M40" s="14" t="n">
        <v>2</v>
      </c>
    </row>
    <row r="41" customFormat="false" ht="15" hidden="false" customHeight="true" outlineLevel="0" collapsed="false">
      <c r="A41" s="13" t="n">
        <v>2024</v>
      </c>
      <c r="B41" s="13" t="s">
        <v>976</v>
      </c>
      <c r="C41" s="13" t="s">
        <v>128</v>
      </c>
      <c r="D41" s="13" t="s">
        <v>359</v>
      </c>
      <c r="E41" s="14" t="n">
        <v>7519</v>
      </c>
      <c r="F41" s="14" t="n">
        <v>6396</v>
      </c>
      <c r="G41" s="16" t="n">
        <v>85.06</v>
      </c>
      <c r="H41" s="14" t="n">
        <v>38</v>
      </c>
      <c r="I41" s="14" t="n">
        <v>816</v>
      </c>
      <c r="J41" s="14" t="n">
        <v>2253</v>
      </c>
      <c r="K41" s="14" t="n">
        <v>2515</v>
      </c>
      <c r="L41" s="14" t="n">
        <v>761</v>
      </c>
      <c r="M41" s="14" t="n">
        <v>11</v>
      </c>
    </row>
    <row r="42" customFormat="false" ht="15" hidden="false" customHeight="true" outlineLevel="0" collapsed="false">
      <c r="A42" s="13" t="n">
        <v>2024</v>
      </c>
      <c r="B42" s="13" t="s">
        <v>976</v>
      </c>
      <c r="C42" s="13" t="s">
        <v>980</v>
      </c>
      <c r="D42" s="13" t="s">
        <v>137</v>
      </c>
      <c r="E42" s="14" t="n">
        <v>33977</v>
      </c>
      <c r="F42" s="14" t="n">
        <v>30555</v>
      </c>
      <c r="G42" s="16" t="n">
        <v>89.93</v>
      </c>
      <c r="H42" s="14" t="n">
        <v>5351</v>
      </c>
      <c r="I42" s="14" t="n">
        <v>7763</v>
      </c>
      <c r="J42" s="14" t="n">
        <v>8757</v>
      </c>
      <c r="K42" s="14" t="n">
        <v>6850</v>
      </c>
      <c r="L42" s="14" t="n">
        <v>1702</v>
      </c>
      <c r="M42" s="14" t="n">
        <v>18</v>
      </c>
    </row>
    <row r="43" customFormat="false" ht="15" hidden="false" customHeight="true" outlineLevel="0" collapsed="false">
      <c r="A43" s="13" t="n">
        <v>2025</v>
      </c>
      <c r="B43" s="13" t="s">
        <v>976</v>
      </c>
      <c r="C43" s="13" t="s">
        <v>123</v>
      </c>
      <c r="D43" s="13" t="s">
        <v>366</v>
      </c>
      <c r="E43" s="14" t="n">
        <v>12994</v>
      </c>
      <c r="F43" s="14" t="n">
        <v>10317</v>
      </c>
      <c r="G43" s="16" t="n">
        <v>79.4</v>
      </c>
      <c r="H43" s="14" t="n">
        <v>1798</v>
      </c>
      <c r="I43" s="14" t="n">
        <v>3027</v>
      </c>
      <c r="J43" s="14" t="n">
        <v>3034</v>
      </c>
      <c r="K43" s="14" t="n">
        <v>2201</v>
      </c>
      <c r="L43" s="14" t="n">
        <v>257</v>
      </c>
      <c r="M43" s="14" t="n">
        <v>0</v>
      </c>
    </row>
    <row r="44" customFormat="false" ht="15" hidden="false" customHeight="true" outlineLevel="0" collapsed="false">
      <c r="A44" s="13" t="n">
        <v>2025</v>
      </c>
      <c r="B44" s="13" t="s">
        <v>976</v>
      </c>
      <c r="C44" s="13" t="s">
        <v>123</v>
      </c>
      <c r="D44" s="13" t="s">
        <v>368</v>
      </c>
      <c r="E44" s="14" t="n">
        <v>1620</v>
      </c>
      <c r="F44" s="14" t="n">
        <v>1493</v>
      </c>
      <c r="G44" s="16" t="n">
        <v>92.16</v>
      </c>
      <c r="H44" s="14" t="n">
        <v>904</v>
      </c>
      <c r="I44" s="14" t="n">
        <v>220</v>
      </c>
      <c r="J44" s="14" t="n">
        <v>130</v>
      </c>
      <c r="K44" s="14" t="n">
        <v>156</v>
      </c>
      <c r="L44" s="14" t="n">
        <v>83</v>
      </c>
      <c r="M44" s="14" t="n">
        <v>0</v>
      </c>
    </row>
    <row r="45" customFormat="false" ht="15" hidden="false" customHeight="true" outlineLevel="0" collapsed="false">
      <c r="A45" s="13" t="n">
        <v>2025</v>
      </c>
      <c r="B45" s="13" t="s">
        <v>976</v>
      </c>
      <c r="C45" s="13" t="s">
        <v>123</v>
      </c>
      <c r="D45" s="13" t="s">
        <v>367</v>
      </c>
      <c r="E45" s="14" t="n">
        <v>7239</v>
      </c>
      <c r="F45" s="14" t="n">
        <v>6653</v>
      </c>
      <c r="G45" s="16" t="n">
        <v>91.9</v>
      </c>
      <c r="H45" s="14" t="n">
        <v>2106</v>
      </c>
      <c r="I45" s="14" t="n">
        <v>2340</v>
      </c>
      <c r="J45" s="14" t="n">
        <v>1691</v>
      </c>
      <c r="K45" s="14" t="n">
        <v>508</v>
      </c>
      <c r="L45" s="14" t="n">
        <v>8</v>
      </c>
      <c r="M45" s="14" t="n">
        <v>0</v>
      </c>
    </row>
    <row r="46" customFormat="false" ht="15" hidden="false" customHeight="true" outlineLevel="0" collapsed="false">
      <c r="A46" s="13" t="n">
        <v>2025</v>
      </c>
      <c r="B46" s="13" t="s">
        <v>976</v>
      </c>
      <c r="C46" s="13" t="s">
        <v>123</v>
      </c>
      <c r="D46" s="13" t="s">
        <v>369</v>
      </c>
      <c r="E46" s="14" t="n">
        <v>588</v>
      </c>
      <c r="F46" s="14" t="n">
        <v>573</v>
      </c>
      <c r="G46" s="16" t="n">
        <v>97.45</v>
      </c>
      <c r="H46" s="14" t="n">
        <v>418</v>
      </c>
      <c r="I46" s="14" t="n">
        <v>99</v>
      </c>
      <c r="J46" s="14" t="n">
        <v>35</v>
      </c>
      <c r="K46" s="14" t="n">
        <v>15</v>
      </c>
      <c r="L46" s="14" t="n">
        <v>6</v>
      </c>
      <c r="M46" s="14" t="n">
        <v>0</v>
      </c>
    </row>
    <row r="47" customFormat="false" ht="15" hidden="false" customHeight="true" outlineLevel="0" collapsed="false">
      <c r="A47" s="13" t="n">
        <v>2025</v>
      </c>
      <c r="B47" s="13" t="s">
        <v>976</v>
      </c>
      <c r="C47" s="13" t="s">
        <v>123</v>
      </c>
      <c r="D47" s="13" t="s">
        <v>359</v>
      </c>
      <c r="E47" s="14" t="n">
        <v>22441</v>
      </c>
      <c r="F47" s="14" t="n">
        <v>19036</v>
      </c>
      <c r="G47" s="16" t="n">
        <v>84.83</v>
      </c>
      <c r="H47" s="14" t="n">
        <v>5226</v>
      </c>
      <c r="I47" s="14" t="n">
        <v>5686</v>
      </c>
      <c r="J47" s="14" t="n">
        <v>4890</v>
      </c>
      <c r="K47" s="14" t="n">
        <v>2880</v>
      </c>
      <c r="L47" s="14" t="n">
        <v>354</v>
      </c>
      <c r="M47" s="14" t="n">
        <v>0</v>
      </c>
    </row>
    <row r="48" customFormat="false" ht="15" hidden="false" customHeight="true" outlineLevel="0" collapsed="false">
      <c r="A48" s="13" t="n">
        <v>2025</v>
      </c>
      <c r="B48" s="13" t="s">
        <v>976</v>
      </c>
      <c r="C48" s="13" t="s">
        <v>126</v>
      </c>
      <c r="D48" s="13" t="s">
        <v>366</v>
      </c>
      <c r="E48" s="14" t="n">
        <v>1123</v>
      </c>
      <c r="F48" s="14" t="n">
        <v>802</v>
      </c>
      <c r="G48" s="16" t="n">
        <v>71.42</v>
      </c>
      <c r="H48" s="14" t="n">
        <v>79</v>
      </c>
      <c r="I48" s="14" t="n">
        <v>175</v>
      </c>
      <c r="J48" s="14" t="n">
        <v>265</v>
      </c>
      <c r="K48" s="14" t="n">
        <v>240</v>
      </c>
      <c r="L48" s="14" t="n">
        <v>43</v>
      </c>
      <c r="M48" s="14" t="n">
        <v>0</v>
      </c>
    </row>
    <row r="49" customFormat="false" ht="15" hidden="false" customHeight="true" outlineLevel="0" collapsed="false">
      <c r="A49" s="13" t="n">
        <v>2025</v>
      </c>
      <c r="B49" s="13" t="s">
        <v>976</v>
      </c>
      <c r="C49" s="13" t="s">
        <v>126</v>
      </c>
      <c r="D49" s="13" t="s">
        <v>368</v>
      </c>
      <c r="E49" s="14" t="n">
        <v>200</v>
      </c>
      <c r="F49" s="14" t="n">
        <v>79</v>
      </c>
      <c r="G49" s="16" t="n">
        <v>39.5</v>
      </c>
      <c r="H49" s="14" t="n">
        <v>5</v>
      </c>
      <c r="I49" s="14" t="n">
        <v>20</v>
      </c>
      <c r="J49" s="14" t="n">
        <v>22</v>
      </c>
      <c r="K49" s="14" t="n">
        <v>23</v>
      </c>
      <c r="L49" s="14" t="n">
        <v>9</v>
      </c>
      <c r="M49" s="14" t="n">
        <v>0</v>
      </c>
    </row>
    <row r="50" customFormat="false" ht="15" hidden="false" customHeight="true" outlineLevel="0" collapsed="false">
      <c r="A50" s="13" t="n">
        <v>2025</v>
      </c>
      <c r="B50" s="13" t="s">
        <v>976</v>
      </c>
      <c r="C50" s="13" t="s">
        <v>126</v>
      </c>
      <c r="D50" s="13" t="s">
        <v>367</v>
      </c>
      <c r="E50" s="14" t="n">
        <v>51</v>
      </c>
      <c r="F50" s="14" t="n">
        <v>50</v>
      </c>
      <c r="G50" s="16" t="n">
        <v>98.04</v>
      </c>
      <c r="H50" s="14" t="n">
        <v>18</v>
      </c>
      <c r="I50" s="14" t="n">
        <v>14</v>
      </c>
      <c r="J50" s="14" t="n">
        <v>13</v>
      </c>
      <c r="K50" s="14" t="n">
        <v>5</v>
      </c>
      <c r="L50" s="14" t="n">
        <v>0</v>
      </c>
      <c r="M50" s="14" t="n">
        <v>0</v>
      </c>
    </row>
    <row r="51" customFormat="false" ht="15" hidden="false" customHeight="true" outlineLevel="0" collapsed="false">
      <c r="A51" s="13" t="n">
        <v>2025</v>
      </c>
      <c r="B51" s="13" t="s">
        <v>976</v>
      </c>
      <c r="C51" s="13" t="s">
        <v>126</v>
      </c>
      <c r="D51" s="13" t="s">
        <v>369</v>
      </c>
      <c r="E51" s="14" t="n">
        <v>14</v>
      </c>
      <c r="F51" s="14" t="n">
        <v>3</v>
      </c>
      <c r="G51" s="16" t="n">
        <v>21.43</v>
      </c>
      <c r="H51" s="14" t="n">
        <v>1</v>
      </c>
      <c r="I51" s="14" t="n">
        <v>2</v>
      </c>
      <c r="J51" s="14" t="n">
        <v>0</v>
      </c>
      <c r="K51" s="14" t="n">
        <v>0</v>
      </c>
      <c r="L51" s="14" t="n">
        <v>0</v>
      </c>
      <c r="M51" s="14" t="n">
        <v>0</v>
      </c>
    </row>
    <row r="52" customFormat="false" ht="15" hidden="false" customHeight="true" outlineLevel="0" collapsed="false">
      <c r="A52" s="13" t="n">
        <v>2025</v>
      </c>
      <c r="B52" s="13" t="s">
        <v>976</v>
      </c>
      <c r="C52" s="13" t="s">
        <v>126</v>
      </c>
      <c r="D52" s="13" t="s">
        <v>359</v>
      </c>
      <c r="E52" s="14" t="n">
        <v>1388</v>
      </c>
      <c r="F52" s="14" t="n">
        <v>934</v>
      </c>
      <c r="G52" s="16" t="n">
        <v>67.29</v>
      </c>
      <c r="H52" s="14" t="n">
        <v>103</v>
      </c>
      <c r="I52" s="14" t="n">
        <v>211</v>
      </c>
      <c r="J52" s="14" t="n">
        <v>300</v>
      </c>
      <c r="K52" s="14" t="n">
        <v>268</v>
      </c>
      <c r="L52" s="14" t="n">
        <v>52</v>
      </c>
      <c r="M52" s="14" t="n">
        <v>0</v>
      </c>
    </row>
    <row r="53" customFormat="false" ht="15" hidden="false" customHeight="true" outlineLevel="0" collapsed="false">
      <c r="A53" s="13" t="n">
        <v>2025</v>
      </c>
      <c r="B53" s="13" t="s">
        <v>976</v>
      </c>
      <c r="C53" s="13" t="s">
        <v>170</v>
      </c>
      <c r="D53" s="13" t="s">
        <v>366</v>
      </c>
      <c r="E53" s="14" t="n">
        <v>1969</v>
      </c>
      <c r="F53" s="14" t="n">
        <v>1489</v>
      </c>
      <c r="G53" s="16" t="n">
        <v>75.62</v>
      </c>
      <c r="H53" s="14" t="n">
        <v>55</v>
      </c>
      <c r="I53" s="14" t="n">
        <v>244</v>
      </c>
      <c r="J53" s="14" t="n">
        <v>536</v>
      </c>
      <c r="K53" s="14" t="n">
        <v>566</v>
      </c>
      <c r="L53" s="14" t="n">
        <v>88</v>
      </c>
      <c r="M53" s="14" t="n">
        <v>0</v>
      </c>
    </row>
    <row r="54" customFormat="false" ht="15" hidden="false" customHeight="true" outlineLevel="0" collapsed="false">
      <c r="A54" s="13" t="n">
        <v>2025</v>
      </c>
      <c r="B54" s="13" t="s">
        <v>976</v>
      </c>
      <c r="C54" s="13" t="s">
        <v>170</v>
      </c>
      <c r="D54" s="13" t="s">
        <v>368</v>
      </c>
      <c r="E54" s="14" t="n">
        <v>112</v>
      </c>
      <c r="F54" s="14" t="n">
        <v>89</v>
      </c>
      <c r="G54" s="16" t="n">
        <v>79.46</v>
      </c>
      <c r="H54" s="14" t="n">
        <v>3</v>
      </c>
      <c r="I54" s="14" t="n">
        <v>13</v>
      </c>
      <c r="J54" s="14" t="n">
        <v>31</v>
      </c>
      <c r="K54" s="14" t="n">
        <v>30</v>
      </c>
      <c r="L54" s="14" t="n">
        <v>12</v>
      </c>
      <c r="M54" s="14" t="n">
        <v>0</v>
      </c>
    </row>
    <row r="55" customFormat="false" ht="15" hidden="false" customHeight="true" outlineLevel="0" collapsed="false">
      <c r="A55" s="13" t="n">
        <v>2025</v>
      </c>
      <c r="B55" s="13" t="s">
        <v>976</v>
      </c>
      <c r="C55" s="13" t="s">
        <v>170</v>
      </c>
      <c r="D55" s="13" t="s">
        <v>367</v>
      </c>
      <c r="E55" s="14" t="n">
        <v>92</v>
      </c>
      <c r="F55" s="14" t="n">
        <v>84</v>
      </c>
      <c r="G55" s="16" t="n">
        <v>91.3</v>
      </c>
      <c r="H55" s="14" t="n">
        <v>10</v>
      </c>
      <c r="I55" s="14" t="n">
        <v>26</v>
      </c>
      <c r="J55" s="14" t="n">
        <v>32</v>
      </c>
      <c r="K55" s="14" t="n">
        <v>14</v>
      </c>
      <c r="L55" s="14" t="n">
        <v>2</v>
      </c>
      <c r="M55" s="14" t="n">
        <v>0</v>
      </c>
    </row>
    <row r="56" customFormat="false" ht="15" hidden="false" customHeight="true" outlineLevel="0" collapsed="false">
      <c r="A56" s="13" t="n">
        <v>2025</v>
      </c>
      <c r="B56" s="13" t="s">
        <v>976</v>
      </c>
      <c r="C56" s="13" t="s">
        <v>170</v>
      </c>
      <c r="D56" s="13" t="s">
        <v>369</v>
      </c>
      <c r="E56" s="14" t="n">
        <v>6</v>
      </c>
      <c r="F56" s="14" t="n">
        <v>6</v>
      </c>
      <c r="G56" s="16" t="n">
        <v>100</v>
      </c>
      <c r="H56" s="14" t="n">
        <v>0</v>
      </c>
      <c r="I56" s="14" t="n">
        <v>3</v>
      </c>
      <c r="J56" s="14" t="n">
        <v>2</v>
      </c>
      <c r="K56" s="14" t="n">
        <v>1</v>
      </c>
      <c r="L56" s="14" t="n">
        <v>0</v>
      </c>
      <c r="M56" s="14" t="n">
        <v>0</v>
      </c>
    </row>
    <row r="57" customFormat="false" ht="15" hidden="false" customHeight="true" outlineLevel="0" collapsed="false">
      <c r="A57" s="13" t="n">
        <v>2025</v>
      </c>
      <c r="B57" s="13" t="s">
        <v>976</v>
      </c>
      <c r="C57" s="13" t="s">
        <v>170</v>
      </c>
      <c r="D57" s="13" t="s">
        <v>359</v>
      </c>
      <c r="E57" s="14" t="n">
        <v>2179</v>
      </c>
      <c r="F57" s="14" t="n">
        <v>1668</v>
      </c>
      <c r="G57" s="16" t="n">
        <v>76.55</v>
      </c>
      <c r="H57" s="14" t="n">
        <v>68</v>
      </c>
      <c r="I57" s="14" t="n">
        <v>286</v>
      </c>
      <c r="J57" s="14" t="n">
        <v>601</v>
      </c>
      <c r="K57" s="14" t="n">
        <v>611</v>
      </c>
      <c r="L57" s="14" t="n">
        <v>102</v>
      </c>
      <c r="M57" s="14" t="n">
        <v>0</v>
      </c>
    </row>
    <row r="58" customFormat="false" ht="15" hidden="false" customHeight="true" outlineLevel="0" collapsed="false">
      <c r="A58" s="13" t="n">
        <v>2025</v>
      </c>
      <c r="B58" s="13" t="s">
        <v>976</v>
      </c>
      <c r="C58" s="13" t="s">
        <v>128</v>
      </c>
      <c r="D58" s="13" t="s">
        <v>366</v>
      </c>
      <c r="E58" s="14" t="n">
        <v>2188</v>
      </c>
      <c r="F58" s="14" t="n">
        <v>1618</v>
      </c>
      <c r="G58" s="16" t="n">
        <v>73.95</v>
      </c>
      <c r="H58" s="14" t="n">
        <v>9</v>
      </c>
      <c r="I58" s="14" t="n">
        <v>125</v>
      </c>
      <c r="J58" s="14" t="n">
        <v>503</v>
      </c>
      <c r="K58" s="14" t="n">
        <v>758</v>
      </c>
      <c r="L58" s="14" t="n">
        <v>219</v>
      </c>
      <c r="M58" s="14" t="n">
        <v>4</v>
      </c>
    </row>
    <row r="59" customFormat="false" ht="15" hidden="false" customHeight="true" outlineLevel="0" collapsed="false">
      <c r="A59" s="13" t="n">
        <v>2025</v>
      </c>
      <c r="B59" s="13" t="s">
        <v>976</v>
      </c>
      <c r="C59" s="13" t="s">
        <v>128</v>
      </c>
      <c r="D59" s="13" t="s">
        <v>368</v>
      </c>
      <c r="E59" s="14" t="n">
        <v>1740</v>
      </c>
      <c r="F59" s="14" t="n">
        <v>1201</v>
      </c>
      <c r="G59" s="16" t="n">
        <v>69.02</v>
      </c>
      <c r="H59" s="14" t="n">
        <v>3</v>
      </c>
      <c r="I59" s="14" t="n">
        <v>59</v>
      </c>
      <c r="J59" s="14" t="n">
        <v>344</v>
      </c>
      <c r="K59" s="14" t="n">
        <v>559</v>
      </c>
      <c r="L59" s="14" t="n">
        <v>229</v>
      </c>
      <c r="M59" s="14" t="n">
        <v>7</v>
      </c>
    </row>
    <row r="60" customFormat="false" ht="15" hidden="false" customHeight="true" outlineLevel="0" collapsed="false">
      <c r="A60" s="13" t="n">
        <v>2025</v>
      </c>
      <c r="B60" s="13" t="s">
        <v>976</v>
      </c>
      <c r="C60" s="13" t="s">
        <v>128</v>
      </c>
      <c r="D60" s="13" t="s">
        <v>367</v>
      </c>
      <c r="E60" s="14" t="n">
        <v>1250</v>
      </c>
      <c r="F60" s="14" t="n">
        <v>1106</v>
      </c>
      <c r="G60" s="16" t="n">
        <v>88.48</v>
      </c>
      <c r="H60" s="14" t="n">
        <v>24</v>
      </c>
      <c r="I60" s="14" t="n">
        <v>312</v>
      </c>
      <c r="J60" s="14" t="n">
        <v>549</v>
      </c>
      <c r="K60" s="14" t="n">
        <v>213</v>
      </c>
      <c r="L60" s="14" t="n">
        <v>8</v>
      </c>
      <c r="M60" s="14" t="n">
        <v>0</v>
      </c>
    </row>
    <row r="61" customFormat="false" ht="15" hidden="false" customHeight="true" outlineLevel="0" collapsed="false">
      <c r="A61" s="13" t="n">
        <v>2025</v>
      </c>
      <c r="B61" s="13" t="s">
        <v>976</v>
      </c>
      <c r="C61" s="13" t="s">
        <v>128</v>
      </c>
      <c r="D61" s="13" t="s">
        <v>369</v>
      </c>
      <c r="E61" s="14" t="n">
        <v>966</v>
      </c>
      <c r="F61" s="14" t="n">
        <v>821</v>
      </c>
      <c r="G61" s="16" t="n">
        <v>84.99</v>
      </c>
      <c r="H61" s="14" t="n">
        <v>11</v>
      </c>
      <c r="I61" s="14" t="n">
        <v>196</v>
      </c>
      <c r="J61" s="14" t="n">
        <v>353</v>
      </c>
      <c r="K61" s="14" t="n">
        <v>222</v>
      </c>
      <c r="L61" s="14" t="n">
        <v>37</v>
      </c>
      <c r="M61" s="14" t="n">
        <v>2</v>
      </c>
    </row>
    <row r="62" customFormat="false" ht="15" hidden="false" customHeight="true" outlineLevel="0" collapsed="false">
      <c r="A62" s="13" t="n">
        <v>2025</v>
      </c>
      <c r="B62" s="13" t="s">
        <v>976</v>
      </c>
      <c r="C62" s="13" t="s">
        <v>128</v>
      </c>
      <c r="D62" s="13" t="s">
        <v>359</v>
      </c>
      <c r="E62" s="14" t="n">
        <v>6144</v>
      </c>
      <c r="F62" s="14" t="n">
        <v>4746</v>
      </c>
      <c r="G62" s="16" t="n">
        <v>77.25</v>
      </c>
      <c r="H62" s="14" t="n">
        <v>47</v>
      </c>
      <c r="I62" s="14" t="n">
        <v>692</v>
      </c>
      <c r="J62" s="14" t="n">
        <v>1749</v>
      </c>
      <c r="K62" s="14" t="n">
        <v>1752</v>
      </c>
      <c r="L62" s="14" t="n">
        <v>493</v>
      </c>
      <c r="M62" s="14" t="n">
        <v>13</v>
      </c>
    </row>
    <row r="63" customFormat="false" ht="15" hidden="false" customHeight="true" outlineLevel="0" collapsed="false">
      <c r="A63" s="13" t="n">
        <v>2025</v>
      </c>
      <c r="B63" s="13" t="s">
        <v>976</v>
      </c>
      <c r="C63" s="13" t="s">
        <v>980</v>
      </c>
      <c r="D63" s="13" t="s">
        <v>137</v>
      </c>
      <c r="E63" s="14" t="n">
        <v>32152</v>
      </c>
      <c r="F63" s="14" t="n">
        <v>26384</v>
      </c>
      <c r="G63" s="16" t="n">
        <v>82.06</v>
      </c>
      <c r="H63" s="14" t="n">
        <v>5444</v>
      </c>
      <c r="I63" s="14" t="n">
        <v>6875</v>
      </c>
      <c r="J63" s="14" t="n">
        <v>7540</v>
      </c>
      <c r="K63" s="14" t="n">
        <v>5511</v>
      </c>
      <c r="L63" s="14" t="n">
        <v>1001</v>
      </c>
      <c r="M63" s="14" t="n">
        <v>13</v>
      </c>
    </row>
    <row r="64" customFormat="false" ht="15" hidden="false" customHeight="true" outlineLevel="0" collapsed="false">
      <c r="A64" s="13" t="n">
        <v>2026</v>
      </c>
      <c r="B64" s="13" t="s">
        <v>975</v>
      </c>
      <c r="C64" s="13" t="s">
        <v>123</v>
      </c>
      <c r="D64" s="13" t="s">
        <v>366</v>
      </c>
      <c r="E64" s="14" t="n">
        <v>13726</v>
      </c>
      <c r="F64" s="14" t="n">
        <v>8030</v>
      </c>
      <c r="G64" s="16" t="n">
        <v>58.5</v>
      </c>
      <c r="H64" s="14" t="n">
        <v>972</v>
      </c>
      <c r="I64" s="14" t="n">
        <v>2061</v>
      </c>
      <c r="J64" s="14" t="n">
        <v>2922</v>
      </c>
      <c r="K64" s="14" t="n">
        <v>1921</v>
      </c>
      <c r="L64" s="14" t="n">
        <v>154</v>
      </c>
      <c r="M64" s="14" t="n">
        <v>0</v>
      </c>
    </row>
    <row r="65" customFormat="false" ht="15" hidden="false" customHeight="true" outlineLevel="0" collapsed="false">
      <c r="A65" s="13" t="n">
        <v>2026</v>
      </c>
      <c r="B65" s="13" t="s">
        <v>975</v>
      </c>
      <c r="C65" s="13" t="s">
        <v>123</v>
      </c>
      <c r="D65" s="13" t="s">
        <v>367</v>
      </c>
      <c r="E65" s="14" t="n">
        <v>8527</v>
      </c>
      <c r="F65" s="14" t="n">
        <v>7077</v>
      </c>
      <c r="G65" s="16" t="n">
        <v>83</v>
      </c>
      <c r="H65" s="14" t="n">
        <v>1329</v>
      </c>
      <c r="I65" s="14" t="n">
        <v>2716</v>
      </c>
      <c r="J65" s="14" t="n">
        <v>2413</v>
      </c>
      <c r="K65" s="14" t="n">
        <v>606</v>
      </c>
      <c r="L65" s="14" t="n">
        <v>13</v>
      </c>
      <c r="M65" s="14" t="n">
        <v>0</v>
      </c>
    </row>
    <row r="66" customFormat="false" ht="15" hidden="false" customHeight="true" outlineLevel="0" collapsed="false">
      <c r="A66" s="13" t="n">
        <v>2026</v>
      </c>
      <c r="B66" s="13" t="s">
        <v>975</v>
      </c>
      <c r="C66" s="13" t="s">
        <v>123</v>
      </c>
      <c r="D66" s="13" t="s">
        <v>359</v>
      </c>
      <c r="E66" s="14" t="n">
        <v>22253</v>
      </c>
      <c r="F66" s="14" t="n">
        <v>15107</v>
      </c>
      <c r="G66" s="16" t="n">
        <v>67.9</v>
      </c>
      <c r="H66" s="14" t="n">
        <v>2301</v>
      </c>
      <c r="I66" s="14" t="n">
        <v>4777</v>
      </c>
      <c r="J66" s="14" t="n">
        <v>5335</v>
      </c>
      <c r="K66" s="14" t="n">
        <v>2527</v>
      </c>
      <c r="L66" s="14" t="n">
        <v>167</v>
      </c>
      <c r="M66" s="14" t="n">
        <v>0</v>
      </c>
    </row>
    <row r="67" customFormat="false" ht="15" hidden="false" customHeight="true" outlineLevel="0" collapsed="false">
      <c r="A67" s="13" t="n">
        <v>2026</v>
      </c>
      <c r="B67" s="13" t="s">
        <v>975</v>
      </c>
      <c r="C67" s="13" t="s">
        <v>126</v>
      </c>
      <c r="D67" s="13" t="s">
        <v>366</v>
      </c>
      <c r="E67" s="14" t="n">
        <v>1357</v>
      </c>
      <c r="F67" s="14" t="n">
        <v>625</v>
      </c>
      <c r="G67" s="16" t="n">
        <v>46.1</v>
      </c>
      <c r="H67" s="14" t="n">
        <v>39</v>
      </c>
      <c r="I67" s="14" t="n">
        <v>134</v>
      </c>
      <c r="J67" s="14" t="n">
        <v>270</v>
      </c>
      <c r="K67" s="14" t="n">
        <v>168</v>
      </c>
      <c r="L67" s="14" t="n">
        <v>14</v>
      </c>
      <c r="M67" s="14" t="n">
        <v>0</v>
      </c>
    </row>
    <row r="68" customFormat="false" ht="15" hidden="false" customHeight="true" outlineLevel="0" collapsed="false">
      <c r="A68" s="13" t="n">
        <v>2026</v>
      </c>
      <c r="B68" s="13" t="s">
        <v>975</v>
      </c>
      <c r="C68" s="13" t="s">
        <v>126</v>
      </c>
      <c r="D68" s="13" t="s">
        <v>367</v>
      </c>
      <c r="E68" s="14" t="n">
        <v>52</v>
      </c>
      <c r="F68" s="14" t="n">
        <v>45</v>
      </c>
      <c r="G68" s="16" t="n">
        <v>86.5</v>
      </c>
      <c r="H68" s="14" t="n">
        <v>7</v>
      </c>
      <c r="I68" s="14" t="n">
        <v>22</v>
      </c>
      <c r="J68" s="14" t="n">
        <v>12</v>
      </c>
      <c r="K68" s="14" t="n">
        <v>4</v>
      </c>
      <c r="L68" s="14" t="n">
        <v>0</v>
      </c>
      <c r="M68" s="14" t="n">
        <v>0</v>
      </c>
    </row>
    <row r="69" customFormat="false" ht="15" hidden="false" customHeight="true" outlineLevel="0" collapsed="false">
      <c r="A69" s="13" t="n">
        <v>2026</v>
      </c>
      <c r="B69" s="13" t="s">
        <v>975</v>
      </c>
      <c r="C69" s="13" t="s">
        <v>126</v>
      </c>
      <c r="D69" s="13" t="s">
        <v>359</v>
      </c>
      <c r="E69" s="14" t="n">
        <v>1409</v>
      </c>
      <c r="F69" s="14" t="n">
        <v>670</v>
      </c>
      <c r="G69" s="16" t="n">
        <v>47.6</v>
      </c>
      <c r="H69" s="14" t="n">
        <v>46</v>
      </c>
      <c r="I69" s="14" t="n">
        <v>156</v>
      </c>
      <c r="J69" s="14" t="n">
        <v>282</v>
      </c>
      <c r="K69" s="14" t="n">
        <v>172</v>
      </c>
      <c r="L69" s="14" t="n">
        <v>14</v>
      </c>
      <c r="M69" s="14" t="n">
        <v>0</v>
      </c>
    </row>
    <row r="70" customFormat="false" ht="15" hidden="false" customHeight="true" outlineLevel="0" collapsed="false">
      <c r="A70" s="13" t="n">
        <v>2026</v>
      </c>
      <c r="B70" s="13" t="s">
        <v>975</v>
      </c>
      <c r="C70" s="13" t="s">
        <v>170</v>
      </c>
      <c r="D70" s="13" t="s">
        <v>366</v>
      </c>
      <c r="E70" s="14" t="n">
        <v>2926</v>
      </c>
      <c r="F70" s="14" t="n">
        <v>1158</v>
      </c>
      <c r="G70" s="16" t="n">
        <v>39.6</v>
      </c>
      <c r="H70" s="14" t="n">
        <v>56</v>
      </c>
      <c r="I70" s="14" t="n">
        <v>179</v>
      </c>
      <c r="J70" s="14" t="n">
        <v>537</v>
      </c>
      <c r="K70" s="14" t="n">
        <v>357</v>
      </c>
      <c r="L70" s="14" t="n">
        <v>29</v>
      </c>
      <c r="M70" s="14" t="n">
        <v>0</v>
      </c>
    </row>
    <row r="71" customFormat="false" ht="15" hidden="false" customHeight="true" outlineLevel="0" collapsed="false">
      <c r="A71" s="13" t="n">
        <v>2026</v>
      </c>
      <c r="B71" s="13" t="s">
        <v>975</v>
      </c>
      <c r="C71" s="13" t="s">
        <v>170</v>
      </c>
      <c r="D71" s="13" t="s">
        <v>367</v>
      </c>
      <c r="E71" s="14" t="n">
        <v>144</v>
      </c>
      <c r="F71" s="14" t="n">
        <v>96</v>
      </c>
      <c r="G71" s="16" t="n">
        <v>66.7</v>
      </c>
      <c r="H71" s="14" t="n">
        <v>9</v>
      </c>
      <c r="I71" s="14" t="n">
        <v>45</v>
      </c>
      <c r="J71" s="14" t="n">
        <v>41</v>
      </c>
      <c r="K71" s="14" t="n">
        <v>1</v>
      </c>
      <c r="L71" s="14" t="n">
        <v>0</v>
      </c>
      <c r="M71" s="14" t="n">
        <v>0</v>
      </c>
    </row>
    <row r="72" customFormat="false" ht="15" hidden="false" customHeight="true" outlineLevel="0" collapsed="false">
      <c r="A72" s="13" t="n">
        <v>2026</v>
      </c>
      <c r="B72" s="13" t="s">
        <v>975</v>
      </c>
      <c r="C72" s="13" t="s">
        <v>170</v>
      </c>
      <c r="D72" s="13" t="s">
        <v>359</v>
      </c>
      <c r="E72" s="14" t="n">
        <v>3070</v>
      </c>
      <c r="F72" s="14" t="n">
        <v>1254</v>
      </c>
      <c r="G72" s="16" t="n">
        <v>40.8</v>
      </c>
      <c r="H72" s="14" t="n">
        <v>65</v>
      </c>
      <c r="I72" s="14" t="n">
        <v>224</v>
      </c>
      <c r="J72" s="14" t="n">
        <v>578</v>
      </c>
      <c r="K72" s="14" t="n">
        <v>358</v>
      </c>
      <c r="L72" s="14" t="n">
        <v>29</v>
      </c>
      <c r="M72" s="14" t="n">
        <v>0</v>
      </c>
    </row>
    <row r="73" customFormat="false" ht="15" hidden="false" customHeight="true" outlineLevel="0" collapsed="false">
      <c r="A73" s="13" t="n">
        <v>2026</v>
      </c>
      <c r="B73" s="13" t="s">
        <v>975</v>
      </c>
      <c r="C73" s="13" t="s">
        <v>128</v>
      </c>
      <c r="D73" s="13" t="s">
        <v>366</v>
      </c>
      <c r="E73" s="14" t="n">
        <v>1555</v>
      </c>
      <c r="F73" s="14" t="n">
        <v>704</v>
      </c>
      <c r="G73" s="16" t="n">
        <v>45.3</v>
      </c>
      <c r="H73" s="14" t="n">
        <v>15</v>
      </c>
      <c r="I73" s="14" t="n">
        <v>49</v>
      </c>
      <c r="J73" s="14" t="n">
        <v>254</v>
      </c>
      <c r="K73" s="14" t="n">
        <v>316</v>
      </c>
      <c r="L73" s="14" t="n">
        <v>70</v>
      </c>
      <c r="M73" s="14" t="n">
        <v>0</v>
      </c>
    </row>
    <row r="74" customFormat="false" ht="15" hidden="false" customHeight="true" outlineLevel="0" collapsed="false">
      <c r="A74" s="13" t="n">
        <v>2026</v>
      </c>
      <c r="B74" s="13" t="s">
        <v>975</v>
      </c>
      <c r="C74" s="13" t="s">
        <v>128</v>
      </c>
      <c r="D74" s="13" t="s">
        <v>368</v>
      </c>
      <c r="E74" s="14" t="n">
        <v>1621</v>
      </c>
      <c r="F74" s="14" t="n">
        <v>676</v>
      </c>
      <c r="G74" s="16" t="n">
        <v>41.7</v>
      </c>
      <c r="H74" s="14" t="n">
        <v>12</v>
      </c>
      <c r="I74" s="14" t="n">
        <v>107</v>
      </c>
      <c r="J74" s="14" t="n">
        <v>285</v>
      </c>
      <c r="K74" s="14" t="n">
        <v>231</v>
      </c>
      <c r="L74" s="14" t="n">
        <v>41</v>
      </c>
      <c r="M74" s="14" t="n">
        <v>0</v>
      </c>
    </row>
    <row r="75" customFormat="false" ht="15" hidden="false" customHeight="true" outlineLevel="0" collapsed="false">
      <c r="A75" s="13" t="n">
        <v>2026</v>
      </c>
      <c r="B75" s="13" t="s">
        <v>975</v>
      </c>
      <c r="C75" s="13" t="s">
        <v>128</v>
      </c>
      <c r="D75" s="13" t="s">
        <v>367</v>
      </c>
      <c r="E75" s="14" t="n">
        <v>922</v>
      </c>
      <c r="F75" s="14" t="n">
        <v>804</v>
      </c>
      <c r="G75" s="16" t="n">
        <v>87.2</v>
      </c>
      <c r="H75" s="14" t="n">
        <v>75</v>
      </c>
      <c r="I75" s="14" t="n">
        <v>314</v>
      </c>
      <c r="J75" s="14" t="n">
        <v>311</v>
      </c>
      <c r="K75" s="14" t="n">
        <v>100</v>
      </c>
      <c r="L75" s="14" t="n">
        <v>4</v>
      </c>
      <c r="M75" s="14" t="n">
        <v>0</v>
      </c>
    </row>
    <row r="76" customFormat="false" ht="15" hidden="false" customHeight="true" outlineLevel="0" collapsed="false">
      <c r="A76" s="13" t="n">
        <v>2026</v>
      </c>
      <c r="B76" s="13" t="s">
        <v>975</v>
      </c>
      <c r="C76" s="13" t="s">
        <v>128</v>
      </c>
      <c r="D76" s="13" t="s">
        <v>369</v>
      </c>
      <c r="E76" s="14" t="n">
        <v>781</v>
      </c>
      <c r="F76" s="14" t="n">
        <v>557</v>
      </c>
      <c r="G76" s="16" t="n">
        <v>71.3</v>
      </c>
      <c r="H76" s="14" t="n">
        <v>49</v>
      </c>
      <c r="I76" s="14" t="n">
        <v>208</v>
      </c>
      <c r="J76" s="14" t="n">
        <v>207</v>
      </c>
      <c r="K76" s="14" t="n">
        <v>84</v>
      </c>
      <c r="L76" s="14" t="n">
        <v>9</v>
      </c>
      <c r="M76" s="14" t="n">
        <v>0</v>
      </c>
    </row>
    <row r="77" customFormat="false" ht="15" hidden="false" customHeight="true" outlineLevel="0" collapsed="false">
      <c r="A77" s="13" t="n">
        <v>2026</v>
      </c>
      <c r="B77" s="13" t="s">
        <v>975</v>
      </c>
      <c r="C77" s="13" t="s">
        <v>128</v>
      </c>
      <c r="D77" s="13" t="s">
        <v>359</v>
      </c>
      <c r="E77" s="14" t="n">
        <v>4879</v>
      </c>
      <c r="F77" s="14" t="n">
        <v>2741</v>
      </c>
      <c r="G77" s="16" t="n">
        <v>56.2</v>
      </c>
      <c r="H77" s="14" t="n">
        <v>151</v>
      </c>
      <c r="I77" s="14" t="n">
        <v>678</v>
      </c>
      <c r="J77" s="14" t="n">
        <v>1057</v>
      </c>
      <c r="K77" s="14" t="n">
        <v>731</v>
      </c>
      <c r="L77" s="14" t="n">
        <v>124</v>
      </c>
      <c r="M77" s="14" t="n">
        <v>0</v>
      </c>
    </row>
    <row r="78" customFormat="false" ht="15" hidden="false" customHeight="true" outlineLevel="0" collapsed="false">
      <c r="A78" s="13" t="n">
        <v>2026</v>
      </c>
      <c r="B78" s="13" t="s">
        <v>975</v>
      </c>
      <c r="C78" s="13" t="s">
        <v>980</v>
      </c>
      <c r="D78" s="13" t="s">
        <v>137</v>
      </c>
      <c r="E78" s="14" t="n">
        <v>31611</v>
      </c>
      <c r="F78" s="14" t="n">
        <v>19772</v>
      </c>
      <c r="G78" s="16" t="n">
        <v>62.55</v>
      </c>
      <c r="H78" s="14" t="n">
        <v>2563</v>
      </c>
      <c r="I78" s="14" t="n">
        <v>5835</v>
      </c>
      <c r="J78" s="14" t="n">
        <v>7252</v>
      </c>
      <c r="K78" s="14" t="n">
        <v>3788</v>
      </c>
      <c r="L78" s="14" t="n">
        <v>334</v>
      </c>
      <c r="M78" s="14" t="n">
        <v>0</v>
      </c>
    </row>
    <row r="79" customFormat="false" ht="15" hidden="false" customHeight="true" outlineLevel="0" collapsed="false">
      <c r="A79" s="13" t="n">
        <v>2026</v>
      </c>
      <c r="B79" s="13" t="s">
        <v>976</v>
      </c>
      <c r="C79" s="13" t="s">
        <v>123</v>
      </c>
      <c r="D79" s="13" t="s">
        <v>366</v>
      </c>
      <c r="E79" s="14" t="n">
        <v>13655</v>
      </c>
      <c r="F79" s="14" t="n">
        <v>8645</v>
      </c>
      <c r="G79" s="16" t="n">
        <v>63.31</v>
      </c>
      <c r="H79" s="14" t="n">
        <v>1428</v>
      </c>
      <c r="I79" s="14" t="n">
        <v>2569</v>
      </c>
      <c r="J79" s="14" t="n">
        <v>2983</v>
      </c>
      <c r="K79" s="14" t="n">
        <v>1579</v>
      </c>
      <c r="L79" s="14" t="n">
        <v>86</v>
      </c>
      <c r="M79" s="14" t="n">
        <v>0</v>
      </c>
    </row>
    <row r="80" customFormat="false" ht="15" hidden="false" customHeight="true" outlineLevel="0" collapsed="false">
      <c r="A80" s="13" t="n">
        <v>2026</v>
      </c>
      <c r="B80" s="13" t="s">
        <v>976</v>
      </c>
      <c r="C80" s="13" t="s">
        <v>123</v>
      </c>
      <c r="D80" s="13" t="s">
        <v>368</v>
      </c>
      <c r="E80" s="14" t="n">
        <v>1481</v>
      </c>
      <c r="F80" s="14" t="n">
        <v>1205</v>
      </c>
      <c r="G80" s="16" t="n">
        <v>81.36</v>
      </c>
      <c r="H80" s="14" t="n">
        <v>594</v>
      </c>
      <c r="I80" s="14" t="n">
        <v>135</v>
      </c>
      <c r="J80" s="14" t="n">
        <v>126</v>
      </c>
      <c r="K80" s="14" t="n">
        <v>240</v>
      </c>
      <c r="L80" s="14" t="n">
        <v>103</v>
      </c>
      <c r="M80" s="14" t="n">
        <v>0</v>
      </c>
    </row>
    <row r="81" customFormat="false" ht="15" hidden="false" customHeight="true" outlineLevel="0" collapsed="false">
      <c r="A81" s="13" t="n">
        <v>2026</v>
      </c>
      <c r="B81" s="13" t="s">
        <v>976</v>
      </c>
      <c r="C81" s="13" t="s">
        <v>123</v>
      </c>
      <c r="D81" s="13" t="s">
        <v>367</v>
      </c>
      <c r="E81" s="14" t="n">
        <v>8259</v>
      </c>
      <c r="F81" s="14" t="n">
        <v>6870</v>
      </c>
      <c r="G81" s="16" t="n">
        <v>83.18</v>
      </c>
      <c r="H81" s="14" t="n">
        <v>1714</v>
      </c>
      <c r="I81" s="14" t="n">
        <v>2723</v>
      </c>
      <c r="J81" s="14" t="n">
        <v>2086</v>
      </c>
      <c r="K81" s="14" t="n">
        <v>343</v>
      </c>
      <c r="L81" s="14" t="n">
        <v>4</v>
      </c>
      <c r="M81" s="14" t="n">
        <v>0</v>
      </c>
    </row>
    <row r="82" customFormat="false" ht="15" hidden="false" customHeight="true" outlineLevel="0" collapsed="false">
      <c r="A82" s="13" t="n">
        <v>2026</v>
      </c>
      <c r="B82" s="13" t="s">
        <v>976</v>
      </c>
      <c r="C82" s="13" t="s">
        <v>123</v>
      </c>
      <c r="D82" s="13" t="s">
        <v>369</v>
      </c>
      <c r="E82" s="14" t="n">
        <v>685</v>
      </c>
      <c r="F82" s="14" t="n">
        <v>665</v>
      </c>
      <c r="G82" s="16" t="n">
        <v>97.1</v>
      </c>
      <c r="H82" s="14" t="n">
        <v>520</v>
      </c>
      <c r="I82" s="14" t="n">
        <v>73</v>
      </c>
      <c r="J82" s="14" t="n">
        <v>40</v>
      </c>
      <c r="K82" s="14" t="n">
        <v>27</v>
      </c>
      <c r="L82" s="14" t="n">
        <v>5</v>
      </c>
      <c r="M82" s="14" t="n">
        <v>0</v>
      </c>
    </row>
    <row r="83" customFormat="false" ht="15" hidden="false" customHeight="true" outlineLevel="0" collapsed="false">
      <c r="A83" s="13" t="n">
        <v>2026</v>
      </c>
      <c r="B83" s="13" t="s">
        <v>976</v>
      </c>
      <c r="C83" s="13" t="s">
        <v>123</v>
      </c>
      <c r="D83" s="13" t="s">
        <v>359</v>
      </c>
      <c r="E83" s="14" t="n">
        <v>24080</v>
      </c>
      <c r="F83" s="14" t="n">
        <v>17385</v>
      </c>
      <c r="G83" s="16" t="n">
        <v>72.2</v>
      </c>
      <c r="H83" s="14" t="n">
        <v>4256</v>
      </c>
      <c r="I83" s="14" t="n">
        <v>5500</v>
      </c>
      <c r="J83" s="14" t="n">
        <v>5235</v>
      </c>
      <c r="K83" s="14" t="n">
        <v>2189</v>
      </c>
      <c r="L83" s="14" t="n">
        <v>198</v>
      </c>
      <c r="M83" s="14" t="n">
        <v>0</v>
      </c>
    </row>
    <row r="84" customFormat="false" ht="15" hidden="false" customHeight="true" outlineLevel="0" collapsed="false">
      <c r="A84" s="13" t="n">
        <v>2026</v>
      </c>
      <c r="B84" s="13" t="s">
        <v>976</v>
      </c>
      <c r="C84" s="13" t="s">
        <v>126</v>
      </c>
      <c r="D84" s="13" t="s">
        <v>366</v>
      </c>
      <c r="E84" s="14" t="n">
        <v>1156</v>
      </c>
      <c r="F84" s="14" t="n">
        <v>593</v>
      </c>
      <c r="G84" s="16" t="n">
        <v>51.3</v>
      </c>
      <c r="H84" s="14" t="n">
        <v>39</v>
      </c>
      <c r="I84" s="14" t="n">
        <v>115</v>
      </c>
      <c r="J84" s="14" t="n">
        <v>222</v>
      </c>
      <c r="K84" s="14" t="n">
        <v>191</v>
      </c>
      <c r="L84" s="14" t="n">
        <v>26</v>
      </c>
      <c r="M84" s="14" t="n">
        <v>0</v>
      </c>
    </row>
    <row r="85" customFormat="false" ht="15" hidden="false" customHeight="true" outlineLevel="0" collapsed="false">
      <c r="A85" s="13" t="n">
        <v>2026</v>
      </c>
      <c r="B85" s="13" t="s">
        <v>976</v>
      </c>
      <c r="C85" s="13" t="s">
        <v>126</v>
      </c>
      <c r="D85" s="13" t="s">
        <v>368</v>
      </c>
      <c r="E85" s="14" t="n">
        <v>225</v>
      </c>
      <c r="F85" s="14" t="n">
        <v>149</v>
      </c>
      <c r="G85" s="16" t="n">
        <v>66.22</v>
      </c>
      <c r="H85" s="14" t="n">
        <v>3</v>
      </c>
      <c r="I85" s="14" t="n">
        <v>3</v>
      </c>
      <c r="J85" s="14" t="n">
        <v>14</v>
      </c>
      <c r="K85" s="14" t="n">
        <v>39</v>
      </c>
      <c r="L85" s="14" t="n">
        <v>25</v>
      </c>
      <c r="M85" s="14" t="n">
        <v>0</v>
      </c>
    </row>
    <row r="86" customFormat="false" ht="15" hidden="false" customHeight="true" outlineLevel="0" collapsed="false">
      <c r="A86" s="13" t="n">
        <v>2026</v>
      </c>
      <c r="B86" s="13" t="s">
        <v>976</v>
      </c>
      <c r="C86" s="13" t="s">
        <v>126</v>
      </c>
      <c r="D86" s="13" t="s">
        <v>367</v>
      </c>
      <c r="E86" s="14" t="n">
        <v>75</v>
      </c>
      <c r="F86" s="14" t="n">
        <v>61</v>
      </c>
      <c r="G86" s="16" t="n">
        <v>81.33</v>
      </c>
      <c r="H86" s="14" t="n">
        <v>15</v>
      </c>
      <c r="I86" s="14" t="n">
        <v>28</v>
      </c>
      <c r="J86" s="14" t="n">
        <v>16</v>
      </c>
      <c r="K86" s="14" t="n">
        <v>2</v>
      </c>
      <c r="L86" s="14" t="n">
        <v>0</v>
      </c>
      <c r="M86" s="14" t="n">
        <v>0</v>
      </c>
    </row>
    <row r="87" customFormat="false" ht="15" hidden="false" customHeight="true" outlineLevel="0" collapsed="false">
      <c r="A87" s="13" t="n">
        <v>2026</v>
      </c>
      <c r="B87" s="13" t="s">
        <v>976</v>
      </c>
      <c r="C87" s="13" t="s">
        <v>126</v>
      </c>
      <c r="D87" s="13" t="s">
        <v>369</v>
      </c>
      <c r="E87" s="14" t="n">
        <v>11</v>
      </c>
      <c r="F87" s="14" t="n">
        <v>10</v>
      </c>
      <c r="G87" s="16" t="n">
        <v>90.91</v>
      </c>
      <c r="H87" s="14" t="n">
        <v>0</v>
      </c>
      <c r="I87" s="14" t="n">
        <v>1</v>
      </c>
      <c r="J87" s="14" t="n">
        <v>0</v>
      </c>
      <c r="K87" s="14" t="n">
        <v>0</v>
      </c>
      <c r="L87" s="14" t="n">
        <v>0</v>
      </c>
      <c r="M87" s="14" t="n">
        <v>0</v>
      </c>
    </row>
    <row r="88" customFormat="false" ht="15" hidden="false" customHeight="true" outlineLevel="0" collapsed="false">
      <c r="A88" s="13" t="n">
        <v>2026</v>
      </c>
      <c r="B88" s="13" t="s">
        <v>976</v>
      </c>
      <c r="C88" s="13" t="s">
        <v>126</v>
      </c>
      <c r="D88" s="13" t="s">
        <v>359</v>
      </c>
      <c r="E88" s="14" t="n">
        <v>1467</v>
      </c>
      <c r="F88" s="14" t="n">
        <v>813</v>
      </c>
      <c r="G88" s="16" t="n">
        <v>55.4</v>
      </c>
      <c r="H88" s="14" t="n">
        <v>57</v>
      </c>
      <c r="I88" s="14" t="n">
        <v>147</v>
      </c>
      <c r="J88" s="14" t="n">
        <v>252</v>
      </c>
      <c r="K88" s="14" t="n">
        <v>232</v>
      </c>
      <c r="L88" s="14" t="n">
        <v>51</v>
      </c>
      <c r="M88" s="14" t="n">
        <v>0</v>
      </c>
    </row>
    <row r="89" customFormat="false" ht="15" hidden="false" customHeight="true" outlineLevel="0" collapsed="false">
      <c r="A89" s="13" t="n">
        <v>2026</v>
      </c>
      <c r="B89" s="13" t="s">
        <v>976</v>
      </c>
      <c r="C89" s="13" t="s">
        <v>170</v>
      </c>
      <c r="D89" s="13" t="s">
        <v>366</v>
      </c>
      <c r="E89" s="14" t="n">
        <v>2249</v>
      </c>
      <c r="F89" s="14" t="n">
        <v>966</v>
      </c>
      <c r="G89" s="16" t="n">
        <v>42.95</v>
      </c>
      <c r="H89" s="14" t="n">
        <v>40</v>
      </c>
      <c r="I89" s="14" t="n">
        <v>149</v>
      </c>
      <c r="J89" s="14" t="n">
        <v>465</v>
      </c>
      <c r="K89" s="14" t="n">
        <v>296</v>
      </c>
      <c r="L89" s="14" t="n">
        <v>16</v>
      </c>
      <c r="M89" s="14" t="n">
        <v>0</v>
      </c>
    </row>
    <row r="90" customFormat="false" ht="15" hidden="false" customHeight="true" outlineLevel="0" collapsed="false">
      <c r="A90" s="13" t="n">
        <v>2026</v>
      </c>
      <c r="B90" s="13" t="s">
        <v>976</v>
      </c>
      <c r="C90" s="13" t="s">
        <v>170</v>
      </c>
      <c r="D90" s="13" t="s">
        <v>368</v>
      </c>
      <c r="E90" s="14" t="n">
        <v>131</v>
      </c>
      <c r="F90" s="14" t="n">
        <v>81</v>
      </c>
      <c r="G90" s="16" t="n">
        <v>61.83</v>
      </c>
      <c r="H90" s="14" t="n">
        <v>5</v>
      </c>
      <c r="I90" s="14" t="n">
        <v>11</v>
      </c>
      <c r="J90" s="14" t="n">
        <v>20</v>
      </c>
      <c r="K90" s="14" t="n">
        <v>33</v>
      </c>
      <c r="L90" s="14" t="n">
        <v>12</v>
      </c>
      <c r="M90" s="14" t="n">
        <v>0</v>
      </c>
    </row>
    <row r="91" customFormat="false" ht="15" hidden="false" customHeight="true" outlineLevel="0" collapsed="false">
      <c r="A91" s="13" t="n">
        <v>2026</v>
      </c>
      <c r="B91" s="13" t="s">
        <v>976</v>
      </c>
      <c r="C91" s="13" t="s">
        <v>170</v>
      </c>
      <c r="D91" s="13" t="s">
        <v>367</v>
      </c>
      <c r="E91" s="14" t="n">
        <v>108</v>
      </c>
      <c r="F91" s="14" t="n">
        <v>66</v>
      </c>
      <c r="G91" s="16" t="n">
        <v>61.11</v>
      </c>
      <c r="H91" s="14" t="n">
        <v>11</v>
      </c>
      <c r="I91" s="14" t="n">
        <v>22</v>
      </c>
      <c r="J91" s="14" t="n">
        <v>32</v>
      </c>
      <c r="K91" s="14" t="n">
        <v>1</v>
      </c>
      <c r="L91" s="14" t="n">
        <v>0</v>
      </c>
      <c r="M91" s="14" t="n">
        <v>0</v>
      </c>
    </row>
    <row r="92" customFormat="false" ht="15" hidden="false" customHeight="true" outlineLevel="0" collapsed="false">
      <c r="A92" s="13" t="n">
        <v>2026</v>
      </c>
      <c r="B92" s="13" t="s">
        <v>976</v>
      </c>
      <c r="C92" s="13" t="s">
        <v>170</v>
      </c>
      <c r="D92" s="13" t="s">
        <v>369</v>
      </c>
      <c r="E92" s="14" t="n">
        <v>3</v>
      </c>
      <c r="F92" s="14" t="n">
        <v>1</v>
      </c>
      <c r="G92" s="16" t="n">
        <v>33.33</v>
      </c>
      <c r="H92" s="14" t="n">
        <v>0</v>
      </c>
      <c r="I92" s="14" t="n">
        <v>0</v>
      </c>
      <c r="J92" s="14" t="n">
        <v>0</v>
      </c>
      <c r="K92" s="14" t="n">
        <v>1</v>
      </c>
      <c r="L92" s="14" t="n">
        <v>0</v>
      </c>
      <c r="M92" s="14" t="n">
        <v>0</v>
      </c>
    </row>
    <row r="93" customFormat="false" ht="15" hidden="false" customHeight="true" outlineLevel="0" collapsed="false">
      <c r="A93" s="13" t="n">
        <v>2026</v>
      </c>
      <c r="B93" s="13" t="s">
        <v>976</v>
      </c>
      <c r="C93" s="13" t="s">
        <v>170</v>
      </c>
      <c r="D93" s="13" t="s">
        <v>359</v>
      </c>
      <c r="E93" s="14" t="n">
        <v>2491</v>
      </c>
      <c r="F93" s="14" t="n">
        <v>1114</v>
      </c>
      <c r="G93" s="16" t="n">
        <v>44.7</v>
      </c>
      <c r="H93" s="14" t="n">
        <v>56</v>
      </c>
      <c r="I93" s="14" t="n">
        <v>182</v>
      </c>
      <c r="J93" s="14" t="n">
        <v>517</v>
      </c>
      <c r="K93" s="14" t="n">
        <v>331</v>
      </c>
      <c r="L93" s="14" t="n">
        <v>28</v>
      </c>
      <c r="M93" s="14" t="n">
        <v>0</v>
      </c>
    </row>
    <row r="94" customFormat="false" ht="15" hidden="false" customHeight="true" outlineLevel="0" collapsed="false">
      <c r="A94" s="13" t="n">
        <v>2026</v>
      </c>
      <c r="B94" s="13" t="s">
        <v>976</v>
      </c>
      <c r="C94" s="13" t="s">
        <v>128</v>
      </c>
      <c r="D94" s="13" t="s">
        <v>366</v>
      </c>
      <c r="E94" s="14" t="n">
        <v>1555</v>
      </c>
      <c r="F94" s="14" t="n">
        <v>426</v>
      </c>
      <c r="G94" s="16" t="n">
        <v>27.4</v>
      </c>
      <c r="H94" s="14" t="n">
        <v>4</v>
      </c>
      <c r="I94" s="14" t="n">
        <v>52</v>
      </c>
      <c r="J94" s="14" t="n">
        <v>161</v>
      </c>
      <c r="K94" s="14" t="n">
        <v>189</v>
      </c>
      <c r="L94" s="14" t="n">
        <v>20</v>
      </c>
      <c r="M94" s="14" t="n">
        <v>0</v>
      </c>
    </row>
    <row r="95" customFormat="false" ht="15" hidden="false" customHeight="true" outlineLevel="0" collapsed="false">
      <c r="A95" s="13" t="n">
        <v>2026</v>
      </c>
      <c r="B95" s="13" t="s">
        <v>976</v>
      </c>
      <c r="C95" s="13" t="s">
        <v>128</v>
      </c>
      <c r="D95" s="13" t="s">
        <v>368</v>
      </c>
      <c r="E95" s="14" t="n">
        <v>1295</v>
      </c>
      <c r="F95" s="14" t="n">
        <v>432</v>
      </c>
      <c r="G95" s="16" t="n">
        <v>33.36</v>
      </c>
      <c r="H95" s="14" t="n">
        <v>1</v>
      </c>
      <c r="I95" s="14" t="n">
        <v>45</v>
      </c>
      <c r="J95" s="14" t="n">
        <v>169</v>
      </c>
      <c r="K95" s="14" t="n">
        <v>157</v>
      </c>
      <c r="L95" s="14" t="n">
        <v>58</v>
      </c>
      <c r="M95" s="14" t="n">
        <v>1</v>
      </c>
    </row>
    <row r="96" customFormat="false" ht="15" hidden="false" customHeight="true" outlineLevel="0" collapsed="false">
      <c r="A96" s="13" t="n">
        <v>2026</v>
      </c>
      <c r="B96" s="13" t="s">
        <v>976</v>
      </c>
      <c r="C96" s="13" t="s">
        <v>128</v>
      </c>
      <c r="D96" s="13" t="s">
        <v>367</v>
      </c>
      <c r="E96" s="14" t="n">
        <v>843</v>
      </c>
      <c r="F96" s="14" t="n">
        <v>532</v>
      </c>
      <c r="G96" s="16" t="n">
        <v>63.11</v>
      </c>
      <c r="H96" s="14" t="n">
        <v>22</v>
      </c>
      <c r="I96" s="14" t="n">
        <v>226</v>
      </c>
      <c r="J96" s="14" t="n">
        <v>256</v>
      </c>
      <c r="K96" s="14" t="n">
        <v>28</v>
      </c>
      <c r="L96" s="14" t="n">
        <v>0</v>
      </c>
      <c r="M96" s="14" t="n">
        <v>0</v>
      </c>
    </row>
    <row r="97" customFormat="false" ht="15" hidden="false" customHeight="true" outlineLevel="0" collapsed="false">
      <c r="A97" s="13" t="n">
        <v>2026</v>
      </c>
      <c r="B97" s="13" t="s">
        <v>976</v>
      </c>
      <c r="C97" s="13" t="s">
        <v>128</v>
      </c>
      <c r="D97" s="13" t="s">
        <v>369</v>
      </c>
      <c r="E97" s="14" t="n">
        <v>800</v>
      </c>
      <c r="F97" s="14" t="n">
        <v>481</v>
      </c>
      <c r="G97" s="16" t="n">
        <v>60.13</v>
      </c>
      <c r="H97" s="14" t="n">
        <v>10</v>
      </c>
      <c r="I97" s="14" t="n">
        <v>128</v>
      </c>
      <c r="J97" s="14" t="n">
        <v>196</v>
      </c>
      <c r="K97" s="14" t="n">
        <v>125</v>
      </c>
      <c r="L97" s="14" t="n">
        <v>22</v>
      </c>
      <c r="M97" s="14" t="n">
        <v>0</v>
      </c>
    </row>
    <row r="98" customFormat="false" ht="15" hidden="false" customHeight="true" outlineLevel="0" collapsed="false">
      <c r="A98" s="13" t="n">
        <v>2026</v>
      </c>
      <c r="B98" s="13" t="s">
        <v>976</v>
      </c>
      <c r="C98" s="13" t="s">
        <v>128</v>
      </c>
      <c r="D98" s="13" t="s">
        <v>359</v>
      </c>
      <c r="E98" s="14" t="n">
        <v>4493</v>
      </c>
      <c r="F98" s="14" t="n">
        <v>1871</v>
      </c>
      <c r="G98" s="16" t="n">
        <v>41.6</v>
      </c>
      <c r="H98" s="14" t="n">
        <v>37</v>
      </c>
      <c r="I98" s="14" t="n">
        <v>451</v>
      </c>
      <c r="J98" s="14" t="n">
        <v>782</v>
      </c>
      <c r="K98" s="14" t="n">
        <v>499</v>
      </c>
      <c r="L98" s="14" t="n">
        <v>100</v>
      </c>
      <c r="M98" s="14" t="n">
        <v>1</v>
      </c>
    </row>
    <row r="99" customFormat="false" ht="15" hidden="false" customHeight="true" outlineLevel="0" collapsed="false">
      <c r="A99" s="13" t="n">
        <v>2026</v>
      </c>
      <c r="B99" s="13" t="s">
        <v>976</v>
      </c>
      <c r="C99" s="13" t="s">
        <v>980</v>
      </c>
      <c r="D99" s="13" t="s">
        <v>137</v>
      </c>
      <c r="E99" s="14" t="n">
        <v>32531</v>
      </c>
      <c r="F99" s="14" t="n">
        <v>21183</v>
      </c>
      <c r="G99" s="16" t="n">
        <v>65.12</v>
      </c>
      <c r="H99" s="14" t="n">
        <v>4406</v>
      </c>
      <c r="I99" s="14" t="n">
        <v>6280</v>
      </c>
      <c r="J99" s="14" t="n">
        <v>6786</v>
      </c>
      <c r="K99" s="14" t="n">
        <v>3251</v>
      </c>
      <c r="L99" s="14" t="n">
        <v>377</v>
      </c>
      <c r="M99" s="1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30"/>
    <col collapsed="false" customWidth="true" hidden="false" outlineLevel="0" max="3" min="3" style="13" width="24"/>
    <col collapsed="false" customWidth="true" hidden="false" outlineLevel="0" max="6" min="4" style="13" width="12"/>
  </cols>
  <sheetData>
    <row r="1" customFormat="false" ht="15" hidden="false" customHeight="true" outlineLevel="0" collapsed="false">
      <c r="A1" s="13" t="s">
        <v>981</v>
      </c>
    </row>
    <row r="2" customFormat="false" ht="15" hidden="false" customHeight="true" outlineLevel="0" collapsed="false">
      <c r="A2" s="13" t="s">
        <v>982</v>
      </c>
    </row>
    <row r="4" customFormat="false" ht="15" hidden="false" customHeight="true" outlineLevel="0" collapsed="false">
      <c r="A4" s="13" t="s">
        <v>3</v>
      </c>
      <c r="B4" s="13" t="s">
        <v>141</v>
      </c>
      <c r="C4" s="13" t="s">
        <v>983</v>
      </c>
      <c r="D4" s="13" t="s">
        <v>4</v>
      </c>
      <c r="E4" s="13" t="s">
        <v>5</v>
      </c>
      <c r="F4" s="13" t="s">
        <v>6</v>
      </c>
    </row>
    <row r="5" customFormat="false" ht="15" hidden="false" customHeight="true" outlineLevel="0" collapsed="false">
      <c r="A5" s="13" t="n">
        <v>2024</v>
      </c>
      <c r="B5" s="13" t="s">
        <v>223</v>
      </c>
      <c r="C5" s="13" t="s">
        <v>975</v>
      </c>
      <c r="D5" s="14" t="n">
        <v>563</v>
      </c>
      <c r="E5" s="14" t="n">
        <v>521</v>
      </c>
      <c r="F5" s="13" t="n">
        <v>93</v>
      </c>
    </row>
    <row r="6" customFormat="false" ht="15" hidden="false" customHeight="true" outlineLevel="0" collapsed="false">
      <c r="A6" s="13" t="n">
        <v>2024</v>
      </c>
      <c r="B6" s="13" t="s">
        <v>224</v>
      </c>
      <c r="C6" s="13" t="s">
        <v>976</v>
      </c>
      <c r="D6" s="14" t="n">
        <v>585</v>
      </c>
      <c r="E6" s="14" t="n">
        <v>565</v>
      </c>
      <c r="F6" s="13" t="n">
        <v>97</v>
      </c>
    </row>
    <row r="7" customFormat="false" ht="15" hidden="false" customHeight="true" outlineLevel="0" collapsed="false">
      <c r="A7" s="13" t="n">
        <v>2024</v>
      </c>
      <c r="B7" s="13" t="s">
        <v>984</v>
      </c>
      <c r="C7" s="13" t="s">
        <v>975</v>
      </c>
      <c r="D7" s="14" t="n">
        <v>44</v>
      </c>
      <c r="E7" s="14" t="n">
        <v>37</v>
      </c>
      <c r="F7" s="13" t="n">
        <v>84</v>
      </c>
    </row>
    <row r="8" customFormat="false" ht="15" hidden="false" customHeight="true" outlineLevel="0" collapsed="false">
      <c r="A8" s="13" t="n">
        <v>2024</v>
      </c>
      <c r="B8" s="13" t="s">
        <v>985</v>
      </c>
      <c r="C8" s="13" t="s">
        <v>976</v>
      </c>
      <c r="D8" s="14" t="n">
        <v>9</v>
      </c>
      <c r="E8" s="14" t="n">
        <v>7</v>
      </c>
      <c r="F8" s="13" t="n">
        <v>78</v>
      </c>
    </row>
    <row r="9" customFormat="false" ht="15" hidden="false" customHeight="true" outlineLevel="0" collapsed="false">
      <c r="A9" s="13" t="n">
        <v>2024</v>
      </c>
      <c r="B9" s="13" t="s">
        <v>986</v>
      </c>
      <c r="C9" s="13" t="s">
        <v>987</v>
      </c>
      <c r="D9" s="14" t="n">
        <v>23451</v>
      </c>
      <c r="E9" s="14" t="n">
        <v>19250</v>
      </c>
      <c r="F9" s="13" t="n">
        <v>82</v>
      </c>
    </row>
    <row r="10" customFormat="false" ht="15" hidden="false" customHeight="true" outlineLevel="0" collapsed="false">
      <c r="A10" s="13" t="n">
        <v>2024</v>
      </c>
      <c r="B10" s="13" t="s">
        <v>230</v>
      </c>
      <c r="C10" s="13" t="s">
        <v>975</v>
      </c>
      <c r="D10" s="14" t="n">
        <v>25604</v>
      </c>
      <c r="E10" s="14" t="n">
        <v>22545</v>
      </c>
      <c r="F10" s="13" t="n">
        <v>88</v>
      </c>
    </row>
    <row r="11" customFormat="false" ht="15" hidden="false" customHeight="true" outlineLevel="0" collapsed="false">
      <c r="A11" s="13" t="n">
        <v>2024</v>
      </c>
      <c r="B11" s="13" t="s">
        <v>231</v>
      </c>
      <c r="C11" s="13" t="s">
        <v>976</v>
      </c>
      <c r="D11" s="14" t="n">
        <v>24225</v>
      </c>
      <c r="E11" s="14" t="n">
        <v>23438</v>
      </c>
      <c r="F11" s="13" t="n">
        <v>97</v>
      </c>
    </row>
    <row r="12" customFormat="false" ht="15" hidden="false" customHeight="true" outlineLevel="0" collapsed="false">
      <c r="A12" s="13" t="n">
        <v>2024</v>
      </c>
      <c r="B12" s="13" t="s">
        <v>232</v>
      </c>
      <c r="C12" s="13" t="s">
        <v>975</v>
      </c>
      <c r="D12" s="14" t="n">
        <v>5732</v>
      </c>
      <c r="E12" s="14" t="n">
        <v>5462</v>
      </c>
      <c r="F12" s="13" t="n">
        <v>95</v>
      </c>
    </row>
    <row r="13" customFormat="false" ht="15" hidden="false" customHeight="true" outlineLevel="0" collapsed="false">
      <c r="A13" s="13" t="n">
        <v>2024</v>
      </c>
      <c r="B13" s="13" t="s">
        <v>234</v>
      </c>
      <c r="C13" s="13" t="s">
        <v>976</v>
      </c>
      <c r="D13" s="14" t="n">
        <v>5320</v>
      </c>
      <c r="E13" s="14" t="n">
        <v>5173</v>
      </c>
      <c r="F13" s="13" t="n">
        <v>97</v>
      </c>
    </row>
    <row r="14" customFormat="false" ht="15" hidden="false" customHeight="true" outlineLevel="0" collapsed="false">
      <c r="A14" s="13" t="n">
        <v>2024</v>
      </c>
      <c r="B14" s="13" t="s">
        <v>238</v>
      </c>
      <c r="C14" s="13" t="s">
        <v>976</v>
      </c>
      <c r="D14" s="14" t="n">
        <v>2459</v>
      </c>
      <c r="E14" s="14" t="n">
        <v>2315</v>
      </c>
      <c r="F14" s="13" t="n">
        <v>94</v>
      </c>
    </row>
    <row r="15" customFormat="false" ht="15" hidden="false" customHeight="true" outlineLevel="0" collapsed="false">
      <c r="A15" s="13" t="n">
        <v>2024</v>
      </c>
      <c r="B15" s="13" t="s">
        <v>988</v>
      </c>
      <c r="C15" s="13" t="s">
        <v>976</v>
      </c>
      <c r="D15" s="14" t="n">
        <v>1655</v>
      </c>
      <c r="E15" s="14" t="n">
        <v>1597</v>
      </c>
      <c r="F15" s="13" t="n">
        <v>96</v>
      </c>
    </row>
    <row r="16" customFormat="false" ht="15" hidden="false" customHeight="true" outlineLevel="0" collapsed="false">
      <c r="A16" s="13" t="n">
        <v>2024</v>
      </c>
      <c r="B16" s="13" t="s">
        <v>246</v>
      </c>
      <c r="C16" s="13" t="s">
        <v>975</v>
      </c>
      <c r="D16" s="14" t="n">
        <v>35266</v>
      </c>
      <c r="E16" s="14" t="n">
        <v>33772</v>
      </c>
      <c r="F16" s="13" t="n">
        <v>96</v>
      </c>
    </row>
    <row r="17" customFormat="false" ht="15" hidden="false" customHeight="true" outlineLevel="0" collapsed="false">
      <c r="A17" s="13" t="n">
        <v>2024</v>
      </c>
      <c r="B17" s="13" t="s">
        <v>247</v>
      </c>
      <c r="C17" s="13" t="s">
        <v>976</v>
      </c>
      <c r="D17" s="14" t="n">
        <v>32743</v>
      </c>
      <c r="E17" s="14" t="n">
        <v>32322</v>
      </c>
      <c r="F17" s="13" t="n">
        <v>99</v>
      </c>
    </row>
    <row r="18" customFormat="false" ht="15" hidden="false" customHeight="true" outlineLevel="0" collapsed="false">
      <c r="A18" s="13" t="n">
        <v>2024</v>
      </c>
      <c r="B18" s="13" t="s">
        <v>989</v>
      </c>
      <c r="C18" s="13" t="s">
        <v>975</v>
      </c>
      <c r="D18" s="14" t="n">
        <v>104</v>
      </c>
      <c r="E18" s="14" t="n">
        <v>77</v>
      </c>
      <c r="F18" s="13" t="n">
        <v>74</v>
      </c>
    </row>
    <row r="19" customFormat="false" ht="15" hidden="false" customHeight="true" outlineLevel="0" collapsed="false">
      <c r="A19" s="13" t="n">
        <v>2024</v>
      </c>
      <c r="B19" s="13" t="s">
        <v>990</v>
      </c>
      <c r="C19" s="13" t="s">
        <v>976</v>
      </c>
      <c r="D19" s="14" t="n">
        <v>41</v>
      </c>
      <c r="E19" s="14" t="n">
        <v>36</v>
      </c>
      <c r="F19" s="13" t="n">
        <v>88</v>
      </c>
    </row>
    <row r="20" customFormat="false" ht="15" hidden="false" customHeight="true" outlineLevel="0" collapsed="false">
      <c r="A20" s="13" t="n">
        <v>2024</v>
      </c>
      <c r="B20" s="13" t="s">
        <v>240</v>
      </c>
      <c r="C20" s="13" t="s">
        <v>975</v>
      </c>
      <c r="D20" s="14" t="n">
        <v>1330</v>
      </c>
      <c r="E20" s="14" t="n">
        <v>1287</v>
      </c>
      <c r="F20" s="13" t="n">
        <v>97</v>
      </c>
    </row>
    <row r="21" customFormat="false" ht="15" hidden="false" customHeight="true" outlineLevel="0" collapsed="false">
      <c r="A21" s="13" t="n">
        <v>2024</v>
      </c>
      <c r="B21" s="13" t="s">
        <v>241</v>
      </c>
      <c r="C21" s="13" t="s">
        <v>976</v>
      </c>
      <c r="D21" s="14" t="n">
        <v>1109</v>
      </c>
      <c r="E21" s="14" t="n">
        <v>1093</v>
      </c>
      <c r="F21" s="13" t="n">
        <v>99</v>
      </c>
    </row>
    <row r="22" customFormat="false" ht="15" hidden="false" customHeight="true" outlineLevel="0" collapsed="false">
      <c r="A22" s="13" t="n">
        <v>2024</v>
      </c>
      <c r="B22" s="13" t="s">
        <v>242</v>
      </c>
      <c r="C22" s="13" t="s">
        <v>975</v>
      </c>
      <c r="D22" s="14" t="n">
        <v>166</v>
      </c>
      <c r="E22" s="14" t="n">
        <v>144</v>
      </c>
      <c r="F22" s="13" t="n">
        <v>87</v>
      </c>
    </row>
    <row r="23" customFormat="false" ht="15" hidden="false" customHeight="true" outlineLevel="0" collapsed="false">
      <c r="A23" s="13" t="n">
        <v>2024</v>
      </c>
      <c r="B23" s="13" t="s">
        <v>243</v>
      </c>
      <c r="C23" s="13" t="s">
        <v>976</v>
      </c>
      <c r="D23" s="14" t="n">
        <v>159</v>
      </c>
      <c r="E23" s="14" t="n">
        <v>153</v>
      </c>
      <c r="F23" s="13" t="n">
        <v>96</v>
      </c>
    </row>
    <row r="24" customFormat="false" ht="15" hidden="false" customHeight="true" outlineLevel="0" collapsed="false">
      <c r="A24" s="13" t="n">
        <v>2024</v>
      </c>
      <c r="B24" s="13" t="s">
        <v>991</v>
      </c>
      <c r="C24" s="13" t="s">
        <v>975</v>
      </c>
      <c r="D24" s="14" t="n">
        <v>30</v>
      </c>
      <c r="E24" s="14" t="n">
        <v>28</v>
      </c>
      <c r="F24" s="13" t="n">
        <v>93</v>
      </c>
    </row>
    <row r="25" customFormat="false" ht="15" hidden="false" customHeight="true" outlineLevel="0" collapsed="false">
      <c r="A25" s="13" t="n">
        <v>2024</v>
      </c>
      <c r="B25" s="13" t="s">
        <v>992</v>
      </c>
      <c r="C25" s="13" t="s">
        <v>976</v>
      </c>
      <c r="D25" s="14" t="n">
        <v>21</v>
      </c>
      <c r="E25" s="14" t="n">
        <v>20</v>
      </c>
      <c r="F25" s="13" t="n">
        <v>95</v>
      </c>
    </row>
    <row r="26" customFormat="false" ht="15" hidden="false" customHeight="true" outlineLevel="0" collapsed="false">
      <c r="A26" s="13" t="n">
        <v>2024</v>
      </c>
      <c r="B26" s="13" t="s">
        <v>252</v>
      </c>
      <c r="C26" s="13" t="s">
        <v>975</v>
      </c>
      <c r="D26" s="14" t="n">
        <v>31</v>
      </c>
      <c r="E26" s="14" t="n">
        <v>29</v>
      </c>
      <c r="F26" s="13" t="n">
        <v>94</v>
      </c>
    </row>
    <row r="27" customFormat="false" ht="15" hidden="false" customHeight="true" outlineLevel="0" collapsed="false">
      <c r="A27" s="13" t="n">
        <v>2024</v>
      </c>
      <c r="B27" s="13" t="s">
        <v>253</v>
      </c>
      <c r="C27" s="13" t="s">
        <v>976</v>
      </c>
      <c r="D27" s="14" t="n">
        <v>45</v>
      </c>
      <c r="E27" s="14" t="n">
        <v>45</v>
      </c>
      <c r="F27" s="13" t="n">
        <v>100</v>
      </c>
    </row>
    <row r="28" customFormat="false" ht="15" hidden="false" customHeight="true" outlineLevel="0" collapsed="false">
      <c r="A28" s="13" t="n">
        <v>2024</v>
      </c>
      <c r="B28" s="13" t="s">
        <v>993</v>
      </c>
      <c r="C28" s="13" t="s">
        <v>975</v>
      </c>
      <c r="D28" s="14" t="n">
        <v>164</v>
      </c>
      <c r="E28" s="14" t="n">
        <v>21</v>
      </c>
      <c r="F28" s="13" t="n">
        <v>13</v>
      </c>
    </row>
    <row r="29" customFormat="false" ht="15" hidden="false" customHeight="true" outlineLevel="0" collapsed="false">
      <c r="A29" s="13" t="n">
        <v>2024</v>
      </c>
      <c r="B29" s="13" t="s">
        <v>994</v>
      </c>
      <c r="C29" s="13" t="s">
        <v>976</v>
      </c>
      <c r="D29" s="14" t="n">
        <v>167</v>
      </c>
      <c r="E29" s="14" t="n">
        <v>46</v>
      </c>
      <c r="F29" s="13" t="n">
        <v>28</v>
      </c>
    </row>
    <row r="30" customFormat="false" ht="15" hidden="false" customHeight="true" outlineLevel="0" collapsed="false">
      <c r="A30" s="13" t="n">
        <v>2024</v>
      </c>
      <c r="B30" s="13" t="s">
        <v>995</v>
      </c>
      <c r="C30" s="13" t="s">
        <v>975</v>
      </c>
      <c r="D30" s="14" t="n">
        <v>156</v>
      </c>
      <c r="E30" s="14" t="n">
        <v>142</v>
      </c>
      <c r="F30" s="13" t="n">
        <v>91</v>
      </c>
    </row>
    <row r="31" customFormat="false" ht="15" hidden="false" customHeight="true" outlineLevel="0" collapsed="false">
      <c r="A31" s="13" t="n">
        <v>2024</v>
      </c>
      <c r="B31" s="13" t="s">
        <v>996</v>
      </c>
      <c r="C31" s="13" t="s">
        <v>976</v>
      </c>
      <c r="D31" s="14" t="n">
        <v>26</v>
      </c>
      <c r="E31" s="14" t="n">
        <v>25</v>
      </c>
      <c r="F31" s="13" t="n">
        <v>96</v>
      </c>
    </row>
    <row r="32" customFormat="false" ht="15" hidden="false" customHeight="true" outlineLevel="0" collapsed="false">
      <c r="A32" s="13" t="n">
        <v>2024</v>
      </c>
      <c r="B32" s="13" t="s">
        <v>997</v>
      </c>
      <c r="C32" s="13" t="s">
        <v>975</v>
      </c>
      <c r="D32" s="14" t="n">
        <v>2730</v>
      </c>
      <c r="E32" s="14" t="n">
        <v>2498</v>
      </c>
      <c r="F32" s="13" t="n">
        <v>92</v>
      </c>
    </row>
    <row r="33" customFormat="false" ht="15" hidden="false" customHeight="true" outlineLevel="0" collapsed="false">
      <c r="A33" s="13" t="n">
        <v>2024</v>
      </c>
      <c r="B33" s="13" t="s">
        <v>998</v>
      </c>
      <c r="C33" s="13" t="s">
        <v>976</v>
      </c>
      <c r="D33" s="14" t="n">
        <v>2780</v>
      </c>
      <c r="E33" s="14" t="n">
        <v>2735</v>
      </c>
      <c r="F33" s="13" t="n">
        <v>98</v>
      </c>
    </row>
    <row r="34" customFormat="false" ht="15" hidden="false" customHeight="true" outlineLevel="0" collapsed="false">
      <c r="A34" s="13" t="n">
        <v>2024</v>
      </c>
      <c r="B34" s="13" t="s">
        <v>265</v>
      </c>
      <c r="C34" s="13" t="s">
        <v>987</v>
      </c>
      <c r="D34" s="14" t="n">
        <v>34116</v>
      </c>
      <c r="E34" s="14" t="n">
        <v>33403</v>
      </c>
      <c r="F34" s="13" t="n">
        <v>98</v>
      </c>
    </row>
    <row r="35" customFormat="false" ht="15" hidden="false" customHeight="true" outlineLevel="0" collapsed="false">
      <c r="A35" s="13" t="n">
        <v>2024</v>
      </c>
      <c r="B35" s="13" t="s">
        <v>999</v>
      </c>
      <c r="C35" s="13" t="s">
        <v>975</v>
      </c>
      <c r="D35" s="14" t="n">
        <v>2270</v>
      </c>
      <c r="E35" s="14" t="n">
        <v>2144</v>
      </c>
      <c r="F35" s="13" t="n">
        <v>94</v>
      </c>
    </row>
    <row r="36" customFormat="false" ht="15" hidden="false" customHeight="true" outlineLevel="0" collapsed="false">
      <c r="A36" s="13" t="n">
        <v>2024</v>
      </c>
      <c r="B36" s="13" t="s">
        <v>1000</v>
      </c>
      <c r="C36" s="13" t="s">
        <v>976</v>
      </c>
      <c r="D36" s="14" t="n">
        <v>2246</v>
      </c>
      <c r="E36" s="14" t="n">
        <v>2173</v>
      </c>
      <c r="F36" s="13" t="n">
        <v>97</v>
      </c>
    </row>
    <row r="37" customFormat="false" ht="15" hidden="false" customHeight="true" outlineLevel="0" collapsed="false">
      <c r="A37" s="13" t="n">
        <v>2024</v>
      </c>
      <c r="B37" s="13" t="s">
        <v>266</v>
      </c>
      <c r="C37" s="13" t="s">
        <v>975</v>
      </c>
      <c r="D37" s="14" t="n">
        <v>6614</v>
      </c>
      <c r="E37" s="14" t="n">
        <v>5433</v>
      </c>
      <c r="F37" s="13" t="n">
        <v>82</v>
      </c>
    </row>
    <row r="38" customFormat="false" ht="15" hidden="false" customHeight="true" outlineLevel="0" collapsed="false">
      <c r="A38" s="13" t="n">
        <v>2024</v>
      </c>
      <c r="B38" s="13" t="s">
        <v>267</v>
      </c>
      <c r="C38" s="13" t="s">
        <v>976</v>
      </c>
      <c r="D38" s="14" t="n">
        <v>6199</v>
      </c>
      <c r="E38" s="14" t="n">
        <v>6038</v>
      </c>
      <c r="F38" s="13" t="n">
        <v>97</v>
      </c>
    </row>
    <row r="39" customFormat="false" ht="15" hidden="false" customHeight="true" outlineLevel="0" collapsed="false">
      <c r="A39" s="13" t="n">
        <v>2024</v>
      </c>
      <c r="B39" s="13" t="s">
        <v>268</v>
      </c>
      <c r="C39" s="13" t="s">
        <v>975</v>
      </c>
      <c r="D39" s="14" t="n">
        <v>117</v>
      </c>
      <c r="E39" s="14" t="n">
        <v>106</v>
      </c>
      <c r="F39" s="13" t="n">
        <v>91</v>
      </c>
    </row>
    <row r="40" customFormat="false" ht="15" hidden="false" customHeight="true" outlineLevel="0" collapsed="false">
      <c r="A40" s="13" t="n">
        <v>2024</v>
      </c>
      <c r="B40" s="13" t="s">
        <v>269</v>
      </c>
      <c r="C40" s="13" t="s">
        <v>976</v>
      </c>
      <c r="D40" s="14" t="n">
        <v>89</v>
      </c>
      <c r="E40" s="14" t="n">
        <v>84</v>
      </c>
      <c r="F40" s="13" t="n">
        <v>94</v>
      </c>
    </row>
    <row r="41" customFormat="false" ht="15" hidden="false" customHeight="true" outlineLevel="0" collapsed="false">
      <c r="A41" s="13" t="n">
        <v>2024</v>
      </c>
      <c r="B41" s="13" t="s">
        <v>1001</v>
      </c>
      <c r="C41" s="13" t="s">
        <v>975</v>
      </c>
      <c r="D41" s="14" t="n">
        <v>3901</v>
      </c>
      <c r="E41" s="14" t="n">
        <v>1998</v>
      </c>
      <c r="F41" s="13" t="n">
        <v>51</v>
      </c>
    </row>
    <row r="42" customFormat="false" ht="15" hidden="false" customHeight="true" outlineLevel="0" collapsed="false">
      <c r="A42" s="13" t="n">
        <v>2024</v>
      </c>
      <c r="B42" s="13" t="s">
        <v>1002</v>
      </c>
      <c r="C42" s="13" t="s">
        <v>976</v>
      </c>
      <c r="D42" s="14" t="n">
        <v>2972</v>
      </c>
      <c r="E42" s="14" t="n">
        <v>2617</v>
      </c>
      <c r="F42" s="13" t="n">
        <v>88</v>
      </c>
    </row>
    <row r="43" customFormat="false" ht="15" hidden="false" customHeight="true" outlineLevel="0" collapsed="false">
      <c r="A43" s="13" t="n">
        <v>2024</v>
      </c>
      <c r="B43" s="13" t="s">
        <v>1003</v>
      </c>
      <c r="C43" s="13" t="s">
        <v>975</v>
      </c>
      <c r="D43" s="14" t="n">
        <v>33797</v>
      </c>
      <c r="E43" s="14" t="n">
        <v>31583</v>
      </c>
      <c r="F43" s="13" t="n">
        <v>93</v>
      </c>
    </row>
    <row r="44" customFormat="false" ht="15" hidden="false" customHeight="true" outlineLevel="0" collapsed="false">
      <c r="A44" s="13" t="n">
        <v>2024</v>
      </c>
      <c r="B44" s="13" t="s">
        <v>1004</v>
      </c>
      <c r="C44" s="13" t="s">
        <v>976</v>
      </c>
      <c r="D44" s="14" t="n">
        <v>30548</v>
      </c>
      <c r="E44" s="14" t="n">
        <v>30160</v>
      </c>
      <c r="F44" s="13" t="n">
        <v>99</v>
      </c>
    </row>
    <row r="45" customFormat="false" ht="15" hidden="false" customHeight="true" outlineLevel="0" collapsed="false">
      <c r="A45" s="13" t="n">
        <v>2024</v>
      </c>
      <c r="B45" s="13" t="s">
        <v>1005</v>
      </c>
      <c r="C45" s="13" t="s">
        <v>975</v>
      </c>
      <c r="D45" s="14" t="n">
        <v>2834</v>
      </c>
      <c r="E45" s="14" t="n">
        <v>2706</v>
      </c>
      <c r="F45" s="13" t="n">
        <v>95</v>
      </c>
    </row>
    <row r="46" customFormat="false" ht="15" hidden="false" customHeight="true" outlineLevel="0" collapsed="false">
      <c r="A46" s="13" t="n">
        <v>2024</v>
      </c>
      <c r="B46" s="13" t="s">
        <v>1006</v>
      </c>
      <c r="C46" s="13" t="s">
        <v>976</v>
      </c>
      <c r="D46" s="14" t="n">
        <v>2427</v>
      </c>
      <c r="E46" s="14" t="n">
        <v>2353</v>
      </c>
      <c r="F46" s="13" t="n">
        <v>97</v>
      </c>
    </row>
    <row r="47" customFormat="false" ht="15" hidden="false" customHeight="true" outlineLevel="0" collapsed="false">
      <c r="A47" s="13" t="n">
        <v>2024</v>
      </c>
      <c r="B47" s="13" t="s">
        <v>274</v>
      </c>
      <c r="C47" s="13" t="s">
        <v>975</v>
      </c>
      <c r="D47" s="14" t="n">
        <v>7</v>
      </c>
      <c r="E47" s="14" t="n">
        <v>6</v>
      </c>
      <c r="F47" s="13" t="n">
        <v>86</v>
      </c>
    </row>
    <row r="48" customFormat="false" ht="15" hidden="false" customHeight="true" outlineLevel="0" collapsed="false">
      <c r="A48" s="13" t="n">
        <v>2024</v>
      </c>
      <c r="B48" s="13" t="s">
        <v>275</v>
      </c>
      <c r="C48" s="13" t="s">
        <v>976</v>
      </c>
      <c r="D48" s="14" t="n">
        <v>15</v>
      </c>
      <c r="E48" s="14" t="n">
        <v>14</v>
      </c>
      <c r="F48" s="13" t="n">
        <v>93</v>
      </c>
    </row>
    <row r="49" customFormat="false" ht="15" hidden="false" customHeight="true" outlineLevel="0" collapsed="false">
      <c r="A49" s="13" t="n">
        <v>2024</v>
      </c>
      <c r="B49" s="13" t="s">
        <v>280</v>
      </c>
      <c r="C49" s="13" t="s">
        <v>975</v>
      </c>
      <c r="D49" s="14" t="n">
        <v>26797</v>
      </c>
      <c r="E49" s="14" t="n">
        <v>22940</v>
      </c>
      <c r="F49" s="13" t="n">
        <v>86</v>
      </c>
    </row>
    <row r="50" customFormat="false" ht="15" hidden="false" customHeight="true" outlineLevel="0" collapsed="false">
      <c r="A50" s="13" t="n">
        <v>2024</v>
      </c>
      <c r="B50" s="13" t="s">
        <v>281</v>
      </c>
      <c r="C50" s="13" t="s">
        <v>976</v>
      </c>
      <c r="D50" s="14" t="n">
        <v>25468</v>
      </c>
      <c r="E50" s="14" t="n">
        <v>24654</v>
      </c>
      <c r="F50" s="13" t="n">
        <v>97</v>
      </c>
    </row>
    <row r="51" customFormat="false" ht="15" hidden="false" customHeight="true" outlineLevel="0" collapsed="false">
      <c r="A51" s="13" t="n">
        <v>2024</v>
      </c>
      <c r="B51" s="13" t="s">
        <v>1007</v>
      </c>
      <c r="C51" s="13" t="s">
        <v>987</v>
      </c>
      <c r="D51" s="14" t="n">
        <v>33029</v>
      </c>
      <c r="E51" s="14" t="n">
        <v>32209</v>
      </c>
      <c r="F51" s="13" t="n">
        <v>98</v>
      </c>
    </row>
    <row r="52" customFormat="false" ht="15" hidden="false" customHeight="true" outlineLevel="0" collapsed="false">
      <c r="A52" s="13" t="n">
        <v>2024</v>
      </c>
      <c r="B52" s="13" t="s">
        <v>286</v>
      </c>
      <c r="C52" s="13" t="s">
        <v>975</v>
      </c>
      <c r="D52" s="14" t="n">
        <v>177</v>
      </c>
      <c r="E52" s="14" t="n">
        <v>176</v>
      </c>
      <c r="F52" s="13" t="n">
        <v>99</v>
      </c>
    </row>
    <row r="53" customFormat="false" ht="15" hidden="false" customHeight="true" outlineLevel="0" collapsed="false">
      <c r="A53" s="13" t="n">
        <v>2024</v>
      </c>
      <c r="B53" s="13" t="s">
        <v>287</v>
      </c>
      <c r="C53" s="13" t="s">
        <v>976</v>
      </c>
      <c r="D53" s="14" t="n">
        <v>143</v>
      </c>
      <c r="E53" s="14" t="n">
        <v>142</v>
      </c>
      <c r="F53" s="13" t="n">
        <v>99</v>
      </c>
    </row>
    <row r="54" customFormat="false" ht="15" hidden="false" customHeight="true" outlineLevel="0" collapsed="false">
      <c r="A54" s="13" t="n">
        <v>2024</v>
      </c>
      <c r="B54" s="13" t="s">
        <v>295</v>
      </c>
      <c r="C54" s="13" t="s">
        <v>975</v>
      </c>
      <c r="D54" s="14" t="n">
        <v>329</v>
      </c>
      <c r="E54" s="14" t="n">
        <v>317</v>
      </c>
      <c r="F54" s="13" t="n">
        <v>96</v>
      </c>
    </row>
    <row r="55" customFormat="false" ht="15" hidden="false" customHeight="true" outlineLevel="0" collapsed="false">
      <c r="A55" s="13" t="n">
        <v>2024</v>
      </c>
      <c r="B55" s="13" t="s">
        <v>296</v>
      </c>
      <c r="C55" s="13" t="s">
        <v>976</v>
      </c>
      <c r="D55" s="14" t="n">
        <v>157</v>
      </c>
      <c r="E55" s="14" t="n">
        <v>151</v>
      </c>
      <c r="F55" s="13" t="n">
        <v>96</v>
      </c>
    </row>
    <row r="56" customFormat="false" ht="15" hidden="false" customHeight="true" outlineLevel="0" collapsed="false">
      <c r="A56" s="13" t="n">
        <v>2024</v>
      </c>
      <c r="B56" s="13" t="s">
        <v>301</v>
      </c>
      <c r="C56" s="13" t="s">
        <v>975</v>
      </c>
      <c r="D56" s="14" t="n">
        <v>35153</v>
      </c>
      <c r="E56" s="14" t="n">
        <v>30890</v>
      </c>
      <c r="F56" s="13" t="n">
        <v>88</v>
      </c>
    </row>
    <row r="57" customFormat="false" ht="15" hidden="false" customHeight="true" outlineLevel="0" collapsed="false">
      <c r="A57" s="13" t="n">
        <v>2024</v>
      </c>
      <c r="B57" s="13" t="s">
        <v>302</v>
      </c>
      <c r="C57" s="13" t="s">
        <v>976</v>
      </c>
      <c r="D57" s="14" t="n">
        <v>32816</v>
      </c>
      <c r="E57" s="14" t="n">
        <v>31952</v>
      </c>
      <c r="F57" s="13" t="n">
        <v>97</v>
      </c>
    </row>
    <row r="58" customFormat="false" ht="15" hidden="false" customHeight="true" outlineLevel="0" collapsed="false">
      <c r="A58" s="13" t="n">
        <v>2024</v>
      </c>
      <c r="B58" s="13" t="s">
        <v>299</v>
      </c>
      <c r="C58" s="13" t="s">
        <v>975</v>
      </c>
      <c r="D58" s="14" t="n">
        <v>406</v>
      </c>
      <c r="E58" s="14" t="n">
        <v>363</v>
      </c>
      <c r="F58" s="13" t="n">
        <v>89</v>
      </c>
    </row>
    <row r="59" customFormat="false" ht="15" hidden="false" customHeight="true" outlineLevel="0" collapsed="false">
      <c r="A59" s="13" t="n">
        <v>2024</v>
      </c>
      <c r="B59" s="13" t="s">
        <v>1008</v>
      </c>
      <c r="C59" s="13" t="s">
        <v>987</v>
      </c>
      <c r="D59" s="14" t="n">
        <v>22626</v>
      </c>
      <c r="E59" s="14" t="n">
        <v>22341</v>
      </c>
      <c r="F59" s="13" t="n">
        <v>99</v>
      </c>
    </row>
    <row r="60" customFormat="false" ht="15" hidden="false" customHeight="true" outlineLevel="0" collapsed="false">
      <c r="A60" s="13" t="n">
        <v>2025</v>
      </c>
      <c r="B60" s="13" t="s">
        <v>246</v>
      </c>
      <c r="C60" s="13" t="s">
        <v>975</v>
      </c>
      <c r="D60" s="14" t="n">
        <v>34137</v>
      </c>
      <c r="E60" s="14" t="n">
        <v>27735</v>
      </c>
      <c r="F60" s="13" t="n">
        <v>81</v>
      </c>
    </row>
    <row r="61" customFormat="false" ht="15" hidden="false" customHeight="true" outlineLevel="0" collapsed="false">
      <c r="A61" s="13" t="n">
        <v>2025</v>
      </c>
      <c r="B61" s="13" t="s">
        <v>247</v>
      </c>
      <c r="C61" s="13" t="s">
        <v>976</v>
      </c>
      <c r="D61" s="14" t="n">
        <v>30323</v>
      </c>
      <c r="E61" s="14" t="n">
        <v>29842</v>
      </c>
      <c r="F61" s="13" t="n">
        <v>98</v>
      </c>
    </row>
    <row r="62" customFormat="false" ht="15" hidden="false" customHeight="true" outlineLevel="0" collapsed="false">
      <c r="A62" s="13" t="n">
        <v>2025</v>
      </c>
      <c r="B62" s="13" t="s">
        <v>301</v>
      </c>
      <c r="C62" s="13" t="s">
        <v>975</v>
      </c>
      <c r="D62" s="14" t="n">
        <v>34858</v>
      </c>
      <c r="E62" s="14" t="n">
        <v>30507</v>
      </c>
      <c r="F62" s="13" t="n">
        <v>88</v>
      </c>
    </row>
    <row r="63" customFormat="false" ht="15" hidden="false" customHeight="true" outlineLevel="0" collapsed="false">
      <c r="A63" s="13" t="n">
        <v>2025</v>
      </c>
      <c r="B63" s="13" t="s">
        <v>302</v>
      </c>
      <c r="C63" s="13" t="s">
        <v>976</v>
      </c>
      <c r="D63" s="14" t="n">
        <v>30487</v>
      </c>
      <c r="E63" s="14" t="n">
        <v>30033</v>
      </c>
      <c r="F63" s="13" t="n">
        <v>99</v>
      </c>
    </row>
    <row r="64" customFormat="false" ht="15" hidden="false" customHeight="true" outlineLevel="0" collapsed="false">
      <c r="A64" s="13" t="n">
        <v>2025</v>
      </c>
      <c r="B64" s="13" t="s">
        <v>274</v>
      </c>
      <c r="C64" s="13" t="s">
        <v>975</v>
      </c>
      <c r="D64" s="14" t="n">
        <v>8</v>
      </c>
      <c r="E64" s="14" t="n">
        <v>8</v>
      </c>
      <c r="F64" s="13" t="n">
        <v>100</v>
      </c>
    </row>
    <row r="65" customFormat="false" ht="15" hidden="false" customHeight="true" outlineLevel="0" collapsed="false">
      <c r="A65" s="13" t="n">
        <v>2025</v>
      </c>
      <c r="B65" s="13" t="s">
        <v>275</v>
      </c>
      <c r="C65" s="13" t="s">
        <v>976</v>
      </c>
      <c r="D65" s="14" t="n">
        <v>5</v>
      </c>
      <c r="E65" s="14" t="n">
        <v>5</v>
      </c>
      <c r="F65" s="13" t="n">
        <v>100</v>
      </c>
    </row>
    <row r="66" customFormat="false" ht="15" hidden="false" customHeight="true" outlineLevel="0" collapsed="false">
      <c r="A66" s="13" t="n">
        <v>2025</v>
      </c>
      <c r="B66" s="13" t="s">
        <v>265</v>
      </c>
      <c r="C66" s="13" t="s">
        <v>987</v>
      </c>
      <c r="D66" s="14" t="n">
        <v>33884</v>
      </c>
      <c r="E66" s="14" t="n">
        <v>32979</v>
      </c>
      <c r="F66" s="13" t="n">
        <v>97</v>
      </c>
    </row>
    <row r="67" customFormat="false" ht="15" hidden="false" customHeight="true" outlineLevel="0" collapsed="false">
      <c r="A67" s="13" t="n">
        <v>2025</v>
      </c>
      <c r="B67" s="13" t="s">
        <v>149</v>
      </c>
      <c r="C67" s="13" t="s">
        <v>987</v>
      </c>
      <c r="D67" s="14" t="n">
        <v>30129</v>
      </c>
      <c r="E67" s="14" t="n">
        <v>28181</v>
      </c>
      <c r="F67" s="13" t="n">
        <v>94</v>
      </c>
    </row>
    <row r="68" customFormat="false" ht="15" hidden="false" customHeight="true" outlineLevel="0" collapsed="false">
      <c r="A68" s="13" t="n">
        <v>2025</v>
      </c>
      <c r="B68" s="13" t="s">
        <v>1009</v>
      </c>
      <c r="C68" s="13" t="s">
        <v>975</v>
      </c>
      <c r="D68" s="14" t="n">
        <v>170</v>
      </c>
      <c r="E68" s="14" t="n">
        <v>148</v>
      </c>
      <c r="F68" s="13" t="n">
        <v>87</v>
      </c>
    </row>
    <row r="69" customFormat="false" ht="15" hidden="false" customHeight="true" outlineLevel="0" collapsed="false">
      <c r="A69" s="13" t="n">
        <v>2025</v>
      </c>
      <c r="B69" s="13" t="s">
        <v>1010</v>
      </c>
      <c r="C69" s="13" t="s">
        <v>976</v>
      </c>
      <c r="D69" s="14" t="n">
        <v>107</v>
      </c>
      <c r="E69" s="14" t="n">
        <v>98</v>
      </c>
      <c r="F69" s="13" t="n">
        <v>92</v>
      </c>
    </row>
    <row r="70" customFormat="false" ht="15" hidden="false" customHeight="true" outlineLevel="0" collapsed="false">
      <c r="A70" s="13" t="n">
        <v>2025</v>
      </c>
      <c r="B70" s="13" t="s">
        <v>999</v>
      </c>
      <c r="C70" s="13" t="s">
        <v>975</v>
      </c>
      <c r="D70" s="14" t="n">
        <v>1644</v>
      </c>
      <c r="E70" s="14" t="n">
        <v>1504</v>
      </c>
      <c r="F70" s="13" t="n">
        <v>91</v>
      </c>
    </row>
    <row r="71" customFormat="false" ht="15" hidden="false" customHeight="true" outlineLevel="0" collapsed="false">
      <c r="A71" s="13" t="n">
        <v>2025</v>
      </c>
      <c r="B71" s="13" t="s">
        <v>1000</v>
      </c>
      <c r="C71" s="13" t="s">
        <v>976</v>
      </c>
      <c r="D71" s="14" t="n">
        <v>1640</v>
      </c>
      <c r="E71" s="14" t="n">
        <v>1585</v>
      </c>
      <c r="F71" s="13" t="n">
        <v>97</v>
      </c>
    </row>
    <row r="72" customFormat="false" ht="15" hidden="false" customHeight="true" outlineLevel="0" collapsed="false">
      <c r="A72" s="13" t="n">
        <v>2025</v>
      </c>
      <c r="B72" s="13" t="s">
        <v>240</v>
      </c>
      <c r="C72" s="13" t="s">
        <v>975</v>
      </c>
      <c r="D72" s="14" t="n">
        <v>1310</v>
      </c>
      <c r="E72" s="14" t="n">
        <v>1253</v>
      </c>
      <c r="F72" s="13" t="n">
        <v>96</v>
      </c>
    </row>
    <row r="73" customFormat="false" ht="15" hidden="false" customHeight="true" outlineLevel="0" collapsed="false">
      <c r="A73" s="13" t="n">
        <v>2025</v>
      </c>
      <c r="B73" s="13" t="s">
        <v>240</v>
      </c>
      <c r="C73" s="13" t="s">
        <v>976</v>
      </c>
      <c r="D73" s="14" t="n">
        <v>1127</v>
      </c>
      <c r="E73" s="14" t="n">
        <v>1115</v>
      </c>
      <c r="F73" s="13" t="n">
        <v>99</v>
      </c>
    </row>
    <row r="74" customFormat="false" ht="15" hidden="false" customHeight="true" outlineLevel="0" collapsed="false">
      <c r="A74" s="13" t="n">
        <v>2025</v>
      </c>
      <c r="B74" s="13" t="s">
        <v>252</v>
      </c>
      <c r="C74" s="13" t="s">
        <v>975</v>
      </c>
      <c r="D74" s="14" t="n">
        <v>25</v>
      </c>
      <c r="E74" s="14" t="n">
        <v>20</v>
      </c>
      <c r="F74" s="13" t="n">
        <v>80</v>
      </c>
    </row>
    <row r="75" customFormat="false" ht="15" hidden="false" customHeight="true" outlineLevel="0" collapsed="false">
      <c r="A75" s="13" t="n">
        <v>2025</v>
      </c>
      <c r="B75" s="13" t="s">
        <v>253</v>
      </c>
      <c r="C75" s="13" t="s">
        <v>976</v>
      </c>
      <c r="D75" s="14" t="n">
        <v>27</v>
      </c>
      <c r="E75" s="14" t="n">
        <v>27</v>
      </c>
      <c r="F75" s="13" t="n">
        <v>100</v>
      </c>
    </row>
    <row r="76" customFormat="false" ht="15" hidden="false" customHeight="true" outlineLevel="0" collapsed="false">
      <c r="A76" s="13" t="n">
        <v>2025</v>
      </c>
      <c r="B76" s="13" t="s">
        <v>286</v>
      </c>
      <c r="C76" s="13" t="s">
        <v>975</v>
      </c>
      <c r="D76" s="14" t="n">
        <v>126</v>
      </c>
      <c r="E76" s="14" t="n">
        <v>92</v>
      </c>
      <c r="F76" s="13" t="n">
        <v>73</v>
      </c>
    </row>
    <row r="77" customFormat="false" ht="15" hidden="false" customHeight="true" outlineLevel="0" collapsed="false">
      <c r="A77" s="13" t="n">
        <v>2025</v>
      </c>
      <c r="B77" s="13" t="s">
        <v>287</v>
      </c>
      <c r="C77" s="13" t="s">
        <v>976</v>
      </c>
      <c r="D77" s="14" t="n">
        <v>151</v>
      </c>
      <c r="E77" s="14" t="n">
        <v>132</v>
      </c>
      <c r="F77" s="13" t="n">
        <v>87</v>
      </c>
    </row>
    <row r="78" customFormat="false" ht="15" hidden="false" customHeight="true" outlineLevel="0" collapsed="false">
      <c r="A78" s="13" t="n">
        <v>2025</v>
      </c>
      <c r="B78" s="13" t="s">
        <v>232</v>
      </c>
      <c r="C78" s="13" t="s">
        <v>975</v>
      </c>
      <c r="D78" s="14" t="n">
        <v>4277</v>
      </c>
      <c r="E78" s="14" t="n">
        <v>4004</v>
      </c>
      <c r="F78" s="13" t="n">
        <v>94</v>
      </c>
    </row>
    <row r="79" customFormat="false" ht="15" hidden="false" customHeight="true" outlineLevel="0" collapsed="false">
      <c r="A79" s="13" t="n">
        <v>2025</v>
      </c>
      <c r="B79" s="13" t="s">
        <v>234</v>
      </c>
      <c r="C79" s="13" t="s">
        <v>976</v>
      </c>
      <c r="D79" s="14" t="n">
        <v>4433</v>
      </c>
      <c r="E79" s="14" t="n">
        <v>4303</v>
      </c>
      <c r="F79" s="13" t="n">
        <v>97</v>
      </c>
    </row>
    <row r="80" customFormat="false" ht="15" hidden="false" customHeight="true" outlineLevel="0" collapsed="false">
      <c r="A80" s="13" t="n">
        <v>2025</v>
      </c>
      <c r="B80" s="13" t="s">
        <v>295</v>
      </c>
      <c r="C80" s="13" t="s">
        <v>975</v>
      </c>
      <c r="D80" s="14" t="n">
        <v>400</v>
      </c>
      <c r="E80" s="14" t="n">
        <v>356</v>
      </c>
      <c r="F80" s="13" t="n">
        <v>89</v>
      </c>
    </row>
    <row r="81" customFormat="false" ht="15" hidden="false" customHeight="true" outlineLevel="0" collapsed="false">
      <c r="A81" s="13" t="n">
        <v>2025</v>
      </c>
      <c r="B81" s="13" t="s">
        <v>296</v>
      </c>
      <c r="C81" s="13" t="s">
        <v>976</v>
      </c>
      <c r="D81" s="14" t="n">
        <v>292</v>
      </c>
      <c r="E81" s="14" t="n">
        <v>280</v>
      </c>
      <c r="F81" s="13" t="n">
        <v>96</v>
      </c>
    </row>
    <row r="82" customFormat="false" ht="15" hidden="false" customHeight="true" outlineLevel="0" collapsed="false">
      <c r="A82" s="13" t="n">
        <v>2025</v>
      </c>
      <c r="B82" s="13" t="s">
        <v>270</v>
      </c>
      <c r="C82" s="13" t="s">
        <v>975</v>
      </c>
      <c r="D82" s="14" t="n">
        <v>4350</v>
      </c>
      <c r="E82" s="14" t="n">
        <v>1770</v>
      </c>
      <c r="F82" s="13" t="n">
        <v>41</v>
      </c>
    </row>
    <row r="83" customFormat="false" ht="15" hidden="false" customHeight="true" outlineLevel="0" collapsed="false">
      <c r="A83" s="13" t="n">
        <v>2025</v>
      </c>
      <c r="B83" s="13" t="s">
        <v>271</v>
      </c>
      <c r="C83" s="13" t="s">
        <v>976</v>
      </c>
      <c r="D83" s="14" t="n">
        <v>3423</v>
      </c>
      <c r="E83" s="14" t="n">
        <v>3111</v>
      </c>
      <c r="F83" s="13" t="n">
        <v>91</v>
      </c>
    </row>
    <row r="84" customFormat="false" ht="15" hidden="false" customHeight="true" outlineLevel="0" collapsed="false">
      <c r="A84" s="13" t="n">
        <v>2025</v>
      </c>
      <c r="B84" s="13" t="s">
        <v>995</v>
      </c>
      <c r="C84" s="13" t="s">
        <v>975</v>
      </c>
      <c r="D84" s="14" t="n">
        <v>55</v>
      </c>
      <c r="E84" s="14" t="n">
        <v>52</v>
      </c>
      <c r="F84" s="13" t="n">
        <v>95</v>
      </c>
    </row>
    <row r="85" customFormat="false" ht="15" hidden="false" customHeight="true" outlineLevel="0" collapsed="false">
      <c r="A85" s="13" t="n">
        <v>2025</v>
      </c>
      <c r="B85" s="13" t="s">
        <v>996</v>
      </c>
      <c r="C85" s="13" t="s">
        <v>976</v>
      </c>
      <c r="D85" s="14" t="n">
        <v>123</v>
      </c>
      <c r="E85" s="14" t="n">
        <v>99</v>
      </c>
      <c r="F85" s="13" t="n">
        <v>80</v>
      </c>
    </row>
    <row r="86" customFormat="false" ht="15" hidden="false" customHeight="true" outlineLevel="0" collapsed="false">
      <c r="A86" s="13" t="n">
        <v>2025</v>
      </c>
      <c r="B86" s="13" t="s">
        <v>991</v>
      </c>
      <c r="C86" s="13" t="s">
        <v>975</v>
      </c>
      <c r="D86" s="14" t="n">
        <v>38</v>
      </c>
      <c r="E86" s="14" t="n">
        <v>38</v>
      </c>
      <c r="F86" s="13" t="n">
        <v>100</v>
      </c>
    </row>
    <row r="87" customFormat="false" ht="15" hidden="false" customHeight="true" outlineLevel="0" collapsed="false">
      <c r="A87" s="13" t="n">
        <v>2025</v>
      </c>
      <c r="B87" s="13" t="s">
        <v>992</v>
      </c>
      <c r="C87" s="13" t="s">
        <v>976</v>
      </c>
      <c r="D87" s="14" t="n">
        <v>35</v>
      </c>
      <c r="E87" s="14" t="n">
        <v>35</v>
      </c>
      <c r="F87" s="13" t="n">
        <v>100</v>
      </c>
    </row>
    <row r="88" customFormat="false" ht="15" hidden="false" customHeight="true" outlineLevel="0" collapsed="false">
      <c r="A88" s="13" t="n">
        <v>2025</v>
      </c>
      <c r="B88" s="13" t="s">
        <v>266</v>
      </c>
      <c r="C88" s="13" t="s">
        <v>975</v>
      </c>
      <c r="D88" s="14" t="n">
        <v>4712</v>
      </c>
      <c r="E88" s="14" t="n">
        <v>4427</v>
      </c>
      <c r="F88" s="13" t="n">
        <v>94</v>
      </c>
    </row>
    <row r="89" customFormat="false" ht="15" hidden="false" customHeight="true" outlineLevel="0" collapsed="false">
      <c r="A89" s="13" t="n">
        <v>2025</v>
      </c>
      <c r="B89" s="13" t="s">
        <v>267</v>
      </c>
      <c r="C89" s="13" t="s">
        <v>976</v>
      </c>
      <c r="D89" s="14" t="n">
        <v>4958</v>
      </c>
      <c r="E89" s="14" t="n">
        <v>4811</v>
      </c>
      <c r="F89" s="13" t="n">
        <v>97</v>
      </c>
    </row>
    <row r="90" customFormat="false" ht="15" hidden="false" customHeight="true" outlineLevel="0" collapsed="false">
      <c r="A90" s="13" t="n">
        <v>2025</v>
      </c>
      <c r="B90" s="13" t="s">
        <v>1011</v>
      </c>
      <c r="C90" s="13" t="s">
        <v>975</v>
      </c>
      <c r="D90" s="14" t="n">
        <v>2138</v>
      </c>
      <c r="E90" s="14" t="n">
        <v>2046</v>
      </c>
      <c r="F90" s="13" t="n">
        <v>96</v>
      </c>
    </row>
    <row r="91" customFormat="false" ht="15" hidden="false" customHeight="true" outlineLevel="0" collapsed="false">
      <c r="A91" s="13" t="n">
        <v>2025</v>
      </c>
      <c r="B91" s="13" t="s">
        <v>1012</v>
      </c>
      <c r="C91" s="13" t="s">
        <v>976</v>
      </c>
      <c r="D91" s="14" t="n">
        <v>2232</v>
      </c>
      <c r="E91" s="14" t="n">
        <v>2198</v>
      </c>
      <c r="F91" s="13" t="n">
        <v>98</v>
      </c>
    </row>
    <row r="92" customFormat="false" ht="15" hidden="false" customHeight="true" outlineLevel="0" collapsed="false">
      <c r="A92" s="13" t="n">
        <v>2025</v>
      </c>
      <c r="B92" s="13" t="s">
        <v>242</v>
      </c>
      <c r="C92" s="13" t="s">
        <v>975</v>
      </c>
      <c r="D92" s="14" t="n">
        <v>212</v>
      </c>
      <c r="E92" s="14" t="n">
        <v>172</v>
      </c>
      <c r="F92" s="13" t="n">
        <v>81</v>
      </c>
    </row>
    <row r="93" customFormat="false" ht="15" hidden="false" customHeight="true" outlineLevel="0" collapsed="false">
      <c r="A93" s="13" t="n">
        <v>2025</v>
      </c>
      <c r="B93" s="13" t="s">
        <v>243</v>
      </c>
      <c r="C93" s="13" t="s">
        <v>976</v>
      </c>
      <c r="D93" s="14" t="n">
        <v>100</v>
      </c>
      <c r="E93" s="14" t="n">
        <v>91</v>
      </c>
      <c r="F93" s="13" t="n">
        <v>91</v>
      </c>
    </row>
    <row r="94" customFormat="false" ht="15" hidden="false" customHeight="true" outlineLevel="0" collapsed="false">
      <c r="A94" s="13" t="n">
        <v>2025</v>
      </c>
      <c r="B94" s="13" t="s">
        <v>268</v>
      </c>
      <c r="C94" s="13" t="s">
        <v>975</v>
      </c>
      <c r="D94" s="14" t="n">
        <v>59</v>
      </c>
      <c r="E94" s="14" t="n">
        <v>56</v>
      </c>
      <c r="F94" s="13" t="n">
        <v>95</v>
      </c>
    </row>
    <row r="95" customFormat="false" ht="15" hidden="false" customHeight="true" outlineLevel="0" collapsed="false">
      <c r="A95" s="13" t="n">
        <v>2025</v>
      </c>
      <c r="B95" s="13" t="s">
        <v>269</v>
      </c>
      <c r="C95" s="13" t="s">
        <v>976</v>
      </c>
      <c r="D95" s="14" t="n">
        <v>98</v>
      </c>
      <c r="E95" s="14" t="n">
        <v>98</v>
      </c>
      <c r="F95" s="13" t="n">
        <v>100</v>
      </c>
    </row>
    <row r="96" customFormat="false" ht="15" hidden="false" customHeight="true" outlineLevel="0" collapsed="false">
      <c r="A96" s="13" t="n">
        <v>2025</v>
      </c>
      <c r="B96" s="13" t="s">
        <v>1013</v>
      </c>
      <c r="C96" s="13" t="s">
        <v>975</v>
      </c>
      <c r="D96" s="14" t="n">
        <v>34466</v>
      </c>
      <c r="E96" s="14" t="n">
        <v>32378</v>
      </c>
      <c r="F96" s="13" t="n">
        <v>94</v>
      </c>
    </row>
    <row r="97" customFormat="false" ht="15" hidden="false" customHeight="true" outlineLevel="0" collapsed="false">
      <c r="A97" s="13" t="n">
        <v>2025</v>
      </c>
      <c r="B97" s="13" t="s">
        <v>1014</v>
      </c>
      <c r="C97" s="13" t="s">
        <v>976</v>
      </c>
      <c r="D97" s="14" t="n">
        <v>29744</v>
      </c>
      <c r="E97" s="14" t="n">
        <v>29350</v>
      </c>
      <c r="F97" s="13" t="n">
        <v>99</v>
      </c>
    </row>
    <row r="98" customFormat="false" ht="15" hidden="false" customHeight="true" outlineLevel="0" collapsed="false">
      <c r="A98" s="13" t="n">
        <v>2025</v>
      </c>
      <c r="B98" s="13" t="s">
        <v>223</v>
      </c>
      <c r="C98" s="13" t="s">
        <v>975</v>
      </c>
      <c r="D98" s="14" t="n">
        <v>450</v>
      </c>
      <c r="E98" s="14" t="n">
        <v>429</v>
      </c>
      <c r="F98" s="13" t="n">
        <v>95</v>
      </c>
    </row>
    <row r="99" customFormat="false" ht="15" hidden="false" customHeight="true" outlineLevel="0" collapsed="false">
      <c r="A99" s="13" t="n">
        <v>2025</v>
      </c>
      <c r="B99" s="13" t="s">
        <v>224</v>
      </c>
      <c r="C99" s="13" t="s">
        <v>976</v>
      </c>
      <c r="D99" s="14" t="n">
        <v>460</v>
      </c>
      <c r="E99" s="14" t="n">
        <v>451</v>
      </c>
      <c r="F99" s="13" t="n">
        <v>98</v>
      </c>
    </row>
    <row r="100" customFormat="false" ht="15" hidden="false" customHeight="true" outlineLevel="0" collapsed="false">
      <c r="A100" s="13" t="n">
        <v>2025</v>
      </c>
      <c r="B100" s="13" t="s">
        <v>1015</v>
      </c>
      <c r="C100" s="13" t="s">
        <v>975</v>
      </c>
      <c r="D100" s="14" t="n">
        <v>2760</v>
      </c>
      <c r="E100" s="14" t="n">
        <v>2662</v>
      </c>
      <c r="F100" s="13" t="n">
        <v>96</v>
      </c>
    </row>
    <row r="101" customFormat="false" ht="15" hidden="false" customHeight="true" outlineLevel="0" collapsed="false">
      <c r="A101" s="13" t="n">
        <v>2025</v>
      </c>
      <c r="B101" s="13" t="s">
        <v>1016</v>
      </c>
      <c r="C101" s="13" t="s">
        <v>976</v>
      </c>
      <c r="D101" s="14" t="n">
        <v>2135</v>
      </c>
      <c r="E101" s="14" t="n">
        <v>2046</v>
      </c>
      <c r="F101" s="13" t="n">
        <v>96</v>
      </c>
    </row>
    <row r="102" customFormat="false" ht="15" hidden="false" customHeight="true" outlineLevel="0" collapsed="false">
      <c r="A102" s="13" t="n">
        <v>2025</v>
      </c>
      <c r="B102" s="13" t="s">
        <v>989</v>
      </c>
      <c r="C102" s="13" t="s">
        <v>975</v>
      </c>
      <c r="D102" s="14" t="n">
        <v>74</v>
      </c>
      <c r="E102" s="14" t="n">
        <v>38</v>
      </c>
      <c r="F102" s="13" t="n">
        <v>51</v>
      </c>
    </row>
    <row r="103" customFormat="false" ht="15" hidden="false" customHeight="true" outlineLevel="0" collapsed="false">
      <c r="A103" s="13" t="n">
        <v>2025</v>
      </c>
      <c r="B103" s="13" t="s">
        <v>990</v>
      </c>
      <c r="C103" s="13" t="s">
        <v>976</v>
      </c>
      <c r="D103" s="14" t="n">
        <v>48</v>
      </c>
      <c r="E103" s="14" t="n">
        <v>29</v>
      </c>
      <c r="F103" s="13" t="n">
        <v>60</v>
      </c>
    </row>
    <row r="104" customFormat="false" ht="15" hidden="false" customHeight="true" outlineLevel="0" collapsed="false">
      <c r="A104" s="13" t="n">
        <v>2025</v>
      </c>
      <c r="B104" s="13" t="s">
        <v>299</v>
      </c>
      <c r="C104" s="13" t="s">
        <v>975</v>
      </c>
      <c r="D104" s="14" t="n">
        <v>318</v>
      </c>
      <c r="E104" s="14" t="n">
        <v>248</v>
      </c>
      <c r="F104" s="13" t="n">
        <v>78</v>
      </c>
    </row>
    <row r="105" customFormat="false" ht="15" hidden="false" customHeight="true" outlineLevel="0" collapsed="false">
      <c r="A105" s="13" t="n">
        <v>2025</v>
      </c>
      <c r="B105" s="13" t="s">
        <v>300</v>
      </c>
      <c r="C105" s="13" t="s">
        <v>976</v>
      </c>
      <c r="D105" s="14" t="n">
        <v>282</v>
      </c>
      <c r="E105" s="14" t="n">
        <v>248</v>
      </c>
      <c r="F105" s="13" t="n">
        <v>88</v>
      </c>
    </row>
    <row r="106" customFormat="false" ht="15" hidden="false" customHeight="true" outlineLevel="0" collapsed="false">
      <c r="A106" s="13" t="n">
        <v>2025</v>
      </c>
      <c r="B106" s="13" t="s">
        <v>280</v>
      </c>
      <c r="C106" s="13" t="s">
        <v>975</v>
      </c>
      <c r="D106" s="14" t="n">
        <v>27711</v>
      </c>
      <c r="E106" s="14" t="n">
        <v>16064</v>
      </c>
      <c r="F106" s="13" t="n">
        <v>58</v>
      </c>
    </row>
    <row r="107" customFormat="false" ht="15" hidden="false" customHeight="true" outlineLevel="0" collapsed="false">
      <c r="A107" s="13" t="n">
        <v>2025</v>
      </c>
      <c r="B107" s="13" t="s">
        <v>281</v>
      </c>
      <c r="C107" s="13" t="s">
        <v>976</v>
      </c>
      <c r="D107" s="14" t="n">
        <v>24438</v>
      </c>
      <c r="E107" s="14" t="n">
        <v>23363</v>
      </c>
      <c r="F107" s="13" t="n">
        <v>96</v>
      </c>
    </row>
    <row r="108" customFormat="false" ht="15" hidden="false" customHeight="true" outlineLevel="0" collapsed="false">
      <c r="A108" s="13" t="n">
        <v>2025</v>
      </c>
      <c r="B108" s="13" t="s">
        <v>230</v>
      </c>
      <c r="C108" s="13" t="s">
        <v>975</v>
      </c>
      <c r="D108" s="14" t="n">
        <v>26434</v>
      </c>
      <c r="E108" s="14" t="n">
        <v>20752</v>
      </c>
      <c r="F108" s="13" t="n">
        <v>79</v>
      </c>
    </row>
    <row r="109" customFormat="false" ht="15" hidden="false" customHeight="true" outlineLevel="0" collapsed="false">
      <c r="A109" s="13" t="n">
        <v>2025</v>
      </c>
      <c r="B109" s="13" t="s">
        <v>231</v>
      </c>
      <c r="C109" s="13" t="s">
        <v>976</v>
      </c>
      <c r="D109" s="14" t="n">
        <v>22446</v>
      </c>
      <c r="E109" s="14" t="n">
        <v>20408</v>
      </c>
      <c r="F109" s="13" t="n">
        <v>91</v>
      </c>
    </row>
    <row r="110" customFormat="false" ht="15" hidden="false" customHeight="true" outlineLevel="0" collapsed="false">
      <c r="A110" s="13" t="n">
        <v>2025</v>
      </c>
      <c r="B110" s="13" t="s">
        <v>1017</v>
      </c>
      <c r="C110" s="13" t="s">
        <v>975</v>
      </c>
      <c r="D110" s="14" t="n">
        <v>24956</v>
      </c>
      <c r="E110" s="14" t="n">
        <v>21705</v>
      </c>
      <c r="F110" s="13" t="n">
        <v>87</v>
      </c>
    </row>
    <row r="111" customFormat="false" ht="15" hidden="false" customHeight="true" outlineLevel="0" collapsed="false">
      <c r="A111" s="13" t="n">
        <v>2025</v>
      </c>
      <c r="B111" s="13" t="s">
        <v>1018</v>
      </c>
      <c r="C111" s="13" t="s">
        <v>975</v>
      </c>
      <c r="D111" s="14" t="n">
        <v>20533</v>
      </c>
      <c r="E111" s="14" t="n">
        <v>19189</v>
      </c>
      <c r="F111" s="13" t="n">
        <v>93</v>
      </c>
    </row>
    <row r="112" customFormat="false" ht="15" hidden="false" customHeight="true" outlineLevel="0" collapsed="false">
      <c r="A112" s="13" t="n">
        <v>2025</v>
      </c>
      <c r="B112" s="13" t="s">
        <v>237</v>
      </c>
      <c r="C112" s="13" t="s">
        <v>975</v>
      </c>
      <c r="D112" s="14" t="n">
        <v>2748</v>
      </c>
      <c r="E112" s="14" t="n">
        <v>2446</v>
      </c>
      <c r="F112" s="13" t="n">
        <v>89</v>
      </c>
    </row>
    <row r="113" customFormat="false" ht="15" hidden="false" customHeight="true" outlineLevel="0" collapsed="false">
      <c r="A113" s="13" t="n">
        <v>2025</v>
      </c>
      <c r="B113" s="13" t="s">
        <v>238</v>
      </c>
      <c r="C113" s="13" t="s">
        <v>976</v>
      </c>
      <c r="D113" s="14" t="n">
        <v>2122</v>
      </c>
      <c r="E113" s="14" t="n">
        <v>2075</v>
      </c>
      <c r="F113" s="13" t="n">
        <v>98</v>
      </c>
    </row>
    <row r="114" customFormat="false" ht="15" hidden="false" customHeight="true" outlineLevel="0" collapsed="false">
      <c r="A114" s="13" t="n">
        <v>2025</v>
      </c>
      <c r="B114" s="13" t="s">
        <v>984</v>
      </c>
      <c r="C114" s="13" t="s">
        <v>975</v>
      </c>
      <c r="D114" s="14" t="n">
        <v>14</v>
      </c>
      <c r="E114" s="14" t="n">
        <v>7</v>
      </c>
      <c r="F114" s="13" t="n">
        <v>50</v>
      </c>
    </row>
    <row r="115" customFormat="false" ht="15" hidden="false" customHeight="true" outlineLevel="0" collapsed="false">
      <c r="A115" s="13" t="n">
        <v>2025</v>
      </c>
      <c r="B115" s="13" t="s">
        <v>985</v>
      </c>
      <c r="C115" s="13" t="s">
        <v>976</v>
      </c>
      <c r="D115" s="14" t="n">
        <v>35</v>
      </c>
      <c r="E115" s="14" t="n">
        <v>33</v>
      </c>
      <c r="F115" s="13" t="n">
        <v>94</v>
      </c>
    </row>
    <row r="116" customFormat="false" ht="15" hidden="false" customHeight="true" outlineLevel="0" collapsed="false">
      <c r="A116" s="13" t="n">
        <v>2026</v>
      </c>
      <c r="B116" s="13" t="s">
        <v>246</v>
      </c>
      <c r="C116" s="13" t="s">
        <v>975</v>
      </c>
      <c r="D116" s="14" t="n">
        <v>33472</v>
      </c>
      <c r="E116" s="14" t="n">
        <v>31889</v>
      </c>
      <c r="F116" s="13" t="n">
        <v>95.27</v>
      </c>
    </row>
    <row r="117" customFormat="false" ht="15" hidden="false" customHeight="true" outlineLevel="0" collapsed="false">
      <c r="A117" s="13" t="n">
        <v>2026</v>
      </c>
      <c r="B117" s="13" t="s">
        <v>247</v>
      </c>
      <c r="C117" s="13" t="s">
        <v>976</v>
      </c>
      <c r="D117" s="14" t="n">
        <v>30177</v>
      </c>
      <c r="E117" s="14" t="n">
        <v>29466</v>
      </c>
      <c r="F117" s="13" t="n">
        <v>97.64</v>
      </c>
    </row>
    <row r="118" customFormat="false" ht="15" hidden="false" customHeight="true" outlineLevel="0" collapsed="false">
      <c r="A118" s="13" t="n">
        <v>2026</v>
      </c>
      <c r="B118" s="13" t="s">
        <v>301</v>
      </c>
      <c r="C118" s="13" t="s">
        <v>975</v>
      </c>
      <c r="D118" s="14" t="n">
        <v>33402</v>
      </c>
      <c r="E118" s="14" t="n">
        <v>30771</v>
      </c>
      <c r="F118" s="13" t="n">
        <v>92.12</v>
      </c>
    </row>
    <row r="119" customFormat="false" ht="15" hidden="false" customHeight="true" outlineLevel="0" collapsed="false">
      <c r="A119" s="13" t="n">
        <v>2026</v>
      </c>
      <c r="B119" s="13" t="s">
        <v>302</v>
      </c>
      <c r="C119" s="13" t="s">
        <v>976</v>
      </c>
      <c r="D119" s="14" t="n">
        <v>30081</v>
      </c>
      <c r="E119" s="14" t="n">
        <v>29316</v>
      </c>
      <c r="F119" s="13" t="n">
        <v>97.46</v>
      </c>
    </row>
    <row r="120" customFormat="false" ht="15" hidden="false" customHeight="true" outlineLevel="0" collapsed="false">
      <c r="A120" s="13" t="n">
        <v>2026</v>
      </c>
      <c r="B120" s="13" t="s">
        <v>274</v>
      </c>
      <c r="C120" s="13" t="s">
        <v>975</v>
      </c>
      <c r="D120" s="14" t="n">
        <v>4</v>
      </c>
      <c r="E120" s="14" t="n">
        <v>4</v>
      </c>
      <c r="F120" s="13" t="n">
        <v>100</v>
      </c>
    </row>
    <row r="121" customFormat="false" ht="15" hidden="false" customHeight="true" outlineLevel="0" collapsed="false">
      <c r="A121" s="13" t="n">
        <v>2026</v>
      </c>
      <c r="B121" s="13" t="s">
        <v>275</v>
      </c>
      <c r="C121" s="13" t="s">
        <v>976</v>
      </c>
      <c r="D121" s="14" t="n">
        <v>7</v>
      </c>
      <c r="E121" s="14" t="n">
        <v>7</v>
      </c>
      <c r="F121" s="13" t="n">
        <v>100</v>
      </c>
    </row>
    <row r="122" customFormat="false" ht="15" hidden="false" customHeight="true" outlineLevel="0" collapsed="false">
      <c r="A122" s="13" t="n">
        <v>2026</v>
      </c>
      <c r="B122" s="13" t="s">
        <v>265</v>
      </c>
      <c r="C122" s="13" t="s">
        <v>987</v>
      </c>
      <c r="D122" s="14" t="n">
        <v>31998</v>
      </c>
      <c r="E122" s="14" t="n">
        <v>28470</v>
      </c>
      <c r="F122" s="13" t="n">
        <v>88.97</v>
      </c>
    </row>
    <row r="123" customFormat="false" ht="15" hidden="false" customHeight="true" outlineLevel="0" collapsed="false">
      <c r="A123" s="13" t="n">
        <v>2026</v>
      </c>
      <c r="B123" s="13" t="s">
        <v>149</v>
      </c>
      <c r="C123" s="13" t="s">
        <v>987</v>
      </c>
      <c r="D123" s="14" t="n">
        <v>30401</v>
      </c>
      <c r="E123" s="14" t="n">
        <v>21372</v>
      </c>
      <c r="F123" s="13" t="n">
        <v>70.3</v>
      </c>
    </row>
    <row r="124" customFormat="false" ht="15" hidden="false" customHeight="true" outlineLevel="0" collapsed="false">
      <c r="A124" s="13" t="n">
        <v>2026</v>
      </c>
      <c r="B124" s="13" t="s">
        <v>1009</v>
      </c>
      <c r="C124" s="13" t="s">
        <v>975</v>
      </c>
      <c r="D124" s="14" t="n">
        <v>143</v>
      </c>
      <c r="E124" s="14" t="n">
        <v>92</v>
      </c>
      <c r="F124" s="13" t="n">
        <v>64.34</v>
      </c>
    </row>
    <row r="125" customFormat="false" ht="15" hidden="false" customHeight="true" outlineLevel="0" collapsed="false">
      <c r="A125" s="13" t="n">
        <v>2026</v>
      </c>
      <c r="B125" s="13" t="s">
        <v>1010</v>
      </c>
      <c r="C125" s="13" t="s">
        <v>976</v>
      </c>
      <c r="D125" s="14" t="n">
        <v>79</v>
      </c>
      <c r="E125" s="14" t="n">
        <v>63</v>
      </c>
      <c r="F125" s="13" t="n">
        <v>79.75</v>
      </c>
    </row>
    <row r="126" customFormat="false" ht="15" hidden="false" customHeight="true" outlineLevel="0" collapsed="false">
      <c r="A126" s="13" t="n">
        <v>2026</v>
      </c>
      <c r="B126" s="13" t="s">
        <v>999</v>
      </c>
      <c r="C126" s="13" t="s">
        <v>975</v>
      </c>
      <c r="D126" s="14" t="n">
        <v>1758</v>
      </c>
      <c r="E126" s="14" t="n">
        <v>1542</v>
      </c>
      <c r="F126" s="13" t="n">
        <v>87.71</v>
      </c>
    </row>
    <row r="127" customFormat="false" ht="15" hidden="false" customHeight="true" outlineLevel="0" collapsed="false">
      <c r="A127" s="13" t="n">
        <v>2026</v>
      </c>
      <c r="B127" s="13" t="s">
        <v>1000</v>
      </c>
      <c r="C127" s="13" t="s">
        <v>976</v>
      </c>
      <c r="D127" s="14" t="n">
        <v>1104</v>
      </c>
      <c r="E127" s="14" t="n">
        <v>1063</v>
      </c>
      <c r="F127" s="13" t="n">
        <v>96.29</v>
      </c>
    </row>
    <row r="128" customFormat="false" ht="15" hidden="false" customHeight="true" outlineLevel="0" collapsed="false">
      <c r="A128" s="13" t="n">
        <v>2026</v>
      </c>
      <c r="B128" s="13" t="s">
        <v>240</v>
      </c>
      <c r="C128" s="13" t="s">
        <v>975</v>
      </c>
      <c r="D128" s="14" t="n">
        <v>1279</v>
      </c>
      <c r="E128" s="14" t="n">
        <v>1177</v>
      </c>
      <c r="F128" s="13" t="n">
        <v>92.03</v>
      </c>
    </row>
    <row r="129" customFormat="false" ht="15" hidden="false" customHeight="true" outlineLevel="0" collapsed="false">
      <c r="A129" s="13" t="n">
        <v>2026</v>
      </c>
      <c r="B129" s="13" t="s">
        <v>241</v>
      </c>
      <c r="C129" s="13" t="s">
        <v>976</v>
      </c>
      <c r="D129" s="14" t="n">
        <v>1010</v>
      </c>
      <c r="E129" s="14" t="n">
        <v>988</v>
      </c>
      <c r="F129" s="13" t="n">
        <v>97.82</v>
      </c>
    </row>
    <row r="130" customFormat="false" ht="15" hidden="false" customHeight="true" outlineLevel="0" collapsed="false">
      <c r="A130" s="13" t="n">
        <v>2026</v>
      </c>
      <c r="B130" s="13" t="s">
        <v>252</v>
      </c>
      <c r="C130" s="13" t="s">
        <v>975</v>
      </c>
      <c r="D130" s="14" t="n">
        <v>16</v>
      </c>
      <c r="E130" s="14" t="n">
        <v>16</v>
      </c>
      <c r="F130" s="13" t="n">
        <v>100</v>
      </c>
    </row>
    <row r="131" customFormat="false" ht="15" hidden="false" customHeight="true" outlineLevel="0" collapsed="false">
      <c r="A131" s="13" t="n">
        <v>2026</v>
      </c>
      <c r="B131" s="13" t="s">
        <v>253</v>
      </c>
      <c r="C131" s="13" t="s">
        <v>976</v>
      </c>
      <c r="D131" s="14" t="n">
        <v>18</v>
      </c>
      <c r="E131" s="14" t="n">
        <v>18</v>
      </c>
      <c r="F131" s="13" t="n">
        <v>100</v>
      </c>
    </row>
    <row r="132" customFormat="false" ht="15" hidden="false" customHeight="true" outlineLevel="0" collapsed="false">
      <c r="A132" s="13" t="n">
        <v>2026</v>
      </c>
      <c r="B132" s="13" t="s">
        <v>286</v>
      </c>
      <c r="C132" s="13" t="s">
        <v>975</v>
      </c>
      <c r="D132" s="14" t="n">
        <v>58</v>
      </c>
      <c r="E132" s="14" t="n">
        <v>48</v>
      </c>
      <c r="F132" s="13" t="n">
        <v>82.76</v>
      </c>
    </row>
    <row r="133" customFormat="false" ht="15" hidden="false" customHeight="true" outlineLevel="0" collapsed="false">
      <c r="A133" s="13" t="n">
        <v>2026</v>
      </c>
      <c r="B133" s="13" t="s">
        <v>287</v>
      </c>
      <c r="C133" s="13" t="s">
        <v>976</v>
      </c>
      <c r="D133" s="14" t="n">
        <v>110</v>
      </c>
      <c r="E133" s="14" t="n">
        <v>99</v>
      </c>
      <c r="F133" s="13" t="n">
        <v>90</v>
      </c>
    </row>
    <row r="134" customFormat="false" ht="15" hidden="false" customHeight="true" outlineLevel="0" collapsed="false">
      <c r="A134" s="13" t="n">
        <v>2026</v>
      </c>
      <c r="B134" s="13" t="s">
        <v>232</v>
      </c>
      <c r="C134" s="13" t="s">
        <v>975</v>
      </c>
      <c r="D134" s="14" t="n">
        <v>3701</v>
      </c>
      <c r="E134" s="14" t="n">
        <v>3502</v>
      </c>
      <c r="F134" s="13" t="n">
        <v>94.62</v>
      </c>
    </row>
    <row r="135" customFormat="false" ht="15" hidden="false" customHeight="true" outlineLevel="0" collapsed="false">
      <c r="A135" s="13" t="n">
        <v>2026</v>
      </c>
      <c r="B135" s="13" t="s">
        <v>234</v>
      </c>
      <c r="C135" s="13" t="s">
        <v>976</v>
      </c>
      <c r="D135" s="14" t="n">
        <v>3207</v>
      </c>
      <c r="E135" s="14" t="n">
        <v>3050</v>
      </c>
      <c r="F135" s="13" t="n">
        <v>95.1</v>
      </c>
    </row>
    <row r="136" customFormat="false" ht="15" hidden="false" customHeight="true" outlineLevel="0" collapsed="false">
      <c r="A136" s="13" t="n">
        <v>2026</v>
      </c>
      <c r="B136" s="13" t="s">
        <v>295</v>
      </c>
      <c r="C136" s="13" t="s">
        <v>975</v>
      </c>
      <c r="D136" s="14" t="n">
        <v>388</v>
      </c>
      <c r="E136" s="14" t="n">
        <v>278</v>
      </c>
      <c r="F136" s="13" t="n">
        <v>71.65</v>
      </c>
    </row>
    <row r="137" customFormat="false" ht="15" hidden="false" customHeight="true" outlineLevel="0" collapsed="false">
      <c r="A137" s="13" t="n">
        <v>2026</v>
      </c>
      <c r="B137" s="13" t="s">
        <v>296</v>
      </c>
      <c r="C137" s="13" t="s">
        <v>976</v>
      </c>
      <c r="D137" s="14" t="n">
        <v>348</v>
      </c>
      <c r="E137" s="14" t="n">
        <v>328</v>
      </c>
      <c r="F137" s="13" t="n">
        <v>94.25</v>
      </c>
    </row>
    <row r="138" customFormat="false" ht="15" hidden="false" customHeight="true" outlineLevel="0" collapsed="false">
      <c r="A138" s="13" t="n">
        <v>2026</v>
      </c>
      <c r="B138" s="13" t="s">
        <v>270</v>
      </c>
      <c r="C138" s="13" t="s">
        <v>975</v>
      </c>
      <c r="D138" s="14" t="n">
        <v>5536</v>
      </c>
      <c r="E138" s="14" t="n">
        <v>3187</v>
      </c>
      <c r="F138" s="13" t="n">
        <v>57.57</v>
      </c>
    </row>
    <row r="139" customFormat="false" ht="15" hidden="false" customHeight="true" outlineLevel="0" collapsed="false">
      <c r="A139" s="13" t="n">
        <v>2026</v>
      </c>
      <c r="B139" s="13" t="s">
        <v>271</v>
      </c>
      <c r="C139" s="13" t="s">
        <v>976</v>
      </c>
      <c r="D139" s="14" t="n">
        <v>3745</v>
      </c>
      <c r="E139" s="14" t="n">
        <v>3004</v>
      </c>
      <c r="F139" s="13" t="n">
        <v>80.21</v>
      </c>
    </row>
    <row r="140" customFormat="false" ht="15" hidden="false" customHeight="true" outlineLevel="0" collapsed="false">
      <c r="A140" s="13" t="n">
        <v>2026</v>
      </c>
      <c r="B140" s="13" t="s">
        <v>995</v>
      </c>
      <c r="C140" s="13" t="s">
        <v>975</v>
      </c>
      <c r="D140" s="14" t="n">
        <v>45</v>
      </c>
      <c r="E140" s="14" t="n">
        <v>45</v>
      </c>
      <c r="F140" s="13" t="n">
        <v>100</v>
      </c>
    </row>
    <row r="141" customFormat="false" ht="15" hidden="false" customHeight="true" outlineLevel="0" collapsed="false">
      <c r="A141" s="13" t="n">
        <v>2026</v>
      </c>
      <c r="B141" s="13" t="s">
        <v>996</v>
      </c>
      <c r="C141" s="13" t="s">
        <v>976</v>
      </c>
      <c r="D141" s="14" t="n">
        <v>56</v>
      </c>
      <c r="E141" s="14" t="n">
        <v>50</v>
      </c>
      <c r="F141" s="13" t="n">
        <v>89.29</v>
      </c>
    </row>
    <row r="142" customFormat="false" ht="15" hidden="false" customHeight="true" outlineLevel="0" collapsed="false">
      <c r="A142" s="13" t="n">
        <v>2026</v>
      </c>
      <c r="B142" s="13" t="s">
        <v>991</v>
      </c>
      <c r="C142" s="13" t="s">
        <v>975</v>
      </c>
      <c r="D142" s="14" t="n">
        <v>30</v>
      </c>
      <c r="E142" s="14" t="n">
        <v>28</v>
      </c>
      <c r="F142" s="13" t="n">
        <v>93.33</v>
      </c>
    </row>
    <row r="143" customFormat="false" ht="15" hidden="false" customHeight="true" outlineLevel="0" collapsed="false">
      <c r="A143" s="13" t="n">
        <v>2026</v>
      </c>
      <c r="B143" s="13" t="s">
        <v>992</v>
      </c>
      <c r="C143" s="13" t="s">
        <v>976</v>
      </c>
      <c r="D143" s="14" t="n">
        <v>36</v>
      </c>
      <c r="E143" s="14" t="n">
        <v>36</v>
      </c>
      <c r="F143" s="13" t="n">
        <v>100</v>
      </c>
    </row>
    <row r="144" customFormat="false" ht="15" hidden="false" customHeight="true" outlineLevel="0" collapsed="false">
      <c r="A144" s="13" t="n">
        <v>2026</v>
      </c>
      <c r="B144" s="13" t="s">
        <v>266</v>
      </c>
      <c r="C144" s="13" t="s">
        <v>975</v>
      </c>
      <c r="D144" s="14" t="n">
        <v>3669</v>
      </c>
      <c r="E144" s="14" t="n">
        <v>3173</v>
      </c>
      <c r="F144" s="13" t="n">
        <v>86.48</v>
      </c>
    </row>
    <row r="145" customFormat="false" ht="15" hidden="false" customHeight="true" outlineLevel="0" collapsed="false">
      <c r="A145" s="13" t="n">
        <v>2026</v>
      </c>
      <c r="B145" s="13" t="s">
        <v>267</v>
      </c>
      <c r="C145" s="13" t="s">
        <v>976</v>
      </c>
      <c r="D145" s="14" t="n">
        <v>3179</v>
      </c>
      <c r="E145" s="14" t="n">
        <v>3041</v>
      </c>
      <c r="F145" s="13" t="n">
        <v>95.66</v>
      </c>
    </row>
    <row r="146" customFormat="false" ht="15" hidden="false" customHeight="true" outlineLevel="0" collapsed="false">
      <c r="A146" s="13" t="n">
        <v>2026</v>
      </c>
      <c r="B146" s="13" t="s">
        <v>1011</v>
      </c>
      <c r="C146" s="13" t="s">
        <v>975</v>
      </c>
      <c r="D146" s="14" t="n">
        <v>1728</v>
      </c>
      <c r="E146" s="14" t="n">
        <v>1691</v>
      </c>
      <c r="F146" s="13" t="n">
        <v>97.86</v>
      </c>
    </row>
    <row r="147" customFormat="false" ht="15" hidden="false" customHeight="true" outlineLevel="0" collapsed="false">
      <c r="A147" s="13" t="n">
        <v>2026</v>
      </c>
      <c r="B147" s="13" t="s">
        <v>1012</v>
      </c>
      <c r="C147" s="13" t="s">
        <v>976</v>
      </c>
      <c r="D147" s="14" t="n">
        <v>1662</v>
      </c>
      <c r="E147" s="14" t="n">
        <v>1623</v>
      </c>
      <c r="F147" s="13" t="n">
        <v>97.65</v>
      </c>
    </row>
    <row r="148" customFormat="false" ht="15" hidden="false" customHeight="true" outlineLevel="0" collapsed="false">
      <c r="A148" s="13" t="n">
        <v>2026</v>
      </c>
      <c r="B148" s="13" t="s">
        <v>242</v>
      </c>
      <c r="C148" s="13" t="s">
        <v>975</v>
      </c>
      <c r="D148" s="14" t="n">
        <v>223</v>
      </c>
      <c r="E148" s="14" t="n">
        <v>176</v>
      </c>
      <c r="F148" s="13" t="n">
        <v>78.92</v>
      </c>
    </row>
    <row r="149" customFormat="false" ht="15" hidden="false" customHeight="true" outlineLevel="0" collapsed="false">
      <c r="A149" s="13" t="n">
        <v>2026</v>
      </c>
      <c r="B149" s="13" t="s">
        <v>243</v>
      </c>
      <c r="C149" s="13" t="s">
        <v>976</v>
      </c>
      <c r="D149" s="14" t="n">
        <v>128</v>
      </c>
      <c r="E149" s="14" t="n">
        <v>114</v>
      </c>
      <c r="F149" s="13" t="n">
        <v>89.06</v>
      </c>
    </row>
    <row r="150" customFormat="false" ht="15" hidden="false" customHeight="true" outlineLevel="0" collapsed="false">
      <c r="A150" s="13" t="n">
        <v>2026</v>
      </c>
      <c r="B150" s="13" t="s">
        <v>268</v>
      </c>
      <c r="C150" s="13" t="s">
        <v>975</v>
      </c>
      <c r="D150" s="14" t="n">
        <v>55</v>
      </c>
      <c r="E150" s="14" t="n">
        <v>48</v>
      </c>
      <c r="F150" s="13" t="n">
        <v>87.27</v>
      </c>
    </row>
    <row r="151" customFormat="false" ht="15" hidden="false" customHeight="true" outlineLevel="0" collapsed="false">
      <c r="A151" s="13" t="n">
        <v>2026</v>
      </c>
      <c r="B151" s="13" t="s">
        <v>269</v>
      </c>
      <c r="C151" s="13" t="s">
        <v>976</v>
      </c>
      <c r="D151" s="14" t="n">
        <v>51</v>
      </c>
      <c r="E151" s="14" t="n">
        <v>44</v>
      </c>
      <c r="F151" s="13" t="n">
        <v>86.27</v>
      </c>
    </row>
    <row r="152" customFormat="false" ht="15" hidden="false" customHeight="true" outlineLevel="0" collapsed="false">
      <c r="A152" s="13" t="n">
        <v>2026</v>
      </c>
      <c r="B152" s="13" t="s">
        <v>1013</v>
      </c>
      <c r="C152" s="13" t="s">
        <v>975</v>
      </c>
      <c r="D152" s="14" t="n">
        <v>32515</v>
      </c>
      <c r="E152" s="14" t="n">
        <v>31812</v>
      </c>
      <c r="F152" s="13" t="n">
        <v>97.84</v>
      </c>
    </row>
    <row r="153" customFormat="false" ht="15" hidden="false" customHeight="true" outlineLevel="0" collapsed="false">
      <c r="A153" s="13" t="n">
        <v>2026</v>
      </c>
      <c r="B153" s="13" t="s">
        <v>1014</v>
      </c>
      <c r="C153" s="13" t="s">
        <v>976</v>
      </c>
      <c r="D153" s="14" t="n">
        <v>30138</v>
      </c>
      <c r="E153" s="14" t="n">
        <v>29686</v>
      </c>
      <c r="F153" s="13" t="n">
        <v>98.5</v>
      </c>
    </row>
    <row r="154" customFormat="false" ht="15" hidden="false" customHeight="true" outlineLevel="0" collapsed="false">
      <c r="A154" s="13" t="n">
        <v>2026</v>
      </c>
      <c r="B154" s="13" t="s">
        <v>223</v>
      </c>
      <c r="C154" s="13" t="s">
        <v>975</v>
      </c>
      <c r="D154" s="14" t="n">
        <v>240</v>
      </c>
      <c r="E154" s="14" t="n">
        <v>225</v>
      </c>
      <c r="F154" s="13" t="n">
        <v>93.75</v>
      </c>
    </row>
    <row r="155" customFormat="false" ht="15" hidden="false" customHeight="true" outlineLevel="0" collapsed="false">
      <c r="A155" s="13" t="n">
        <v>2026</v>
      </c>
      <c r="B155" s="13" t="s">
        <v>224</v>
      </c>
      <c r="C155" s="13" t="s">
        <v>976</v>
      </c>
      <c r="D155" s="14" t="n">
        <v>238</v>
      </c>
      <c r="E155" s="14" t="n">
        <v>237</v>
      </c>
      <c r="F155" s="13" t="n">
        <v>99.58</v>
      </c>
    </row>
    <row r="156" customFormat="false" ht="15" hidden="false" customHeight="true" outlineLevel="0" collapsed="false">
      <c r="A156" s="13" t="n">
        <v>2026</v>
      </c>
      <c r="B156" s="13" t="s">
        <v>1015</v>
      </c>
      <c r="C156" s="13" t="s">
        <v>975</v>
      </c>
      <c r="D156" s="14" t="n">
        <v>2218</v>
      </c>
      <c r="E156" s="14" t="n">
        <v>2118</v>
      </c>
      <c r="F156" s="13" t="n">
        <v>95.49</v>
      </c>
    </row>
    <row r="157" customFormat="false" ht="15" hidden="false" customHeight="true" outlineLevel="0" collapsed="false">
      <c r="A157" s="13" t="n">
        <v>2026</v>
      </c>
      <c r="B157" s="13" t="s">
        <v>1016</v>
      </c>
      <c r="C157" s="13" t="s">
        <v>976</v>
      </c>
      <c r="D157" s="14" t="n">
        <v>1926</v>
      </c>
      <c r="E157" s="14" t="n">
        <v>1877</v>
      </c>
      <c r="F157" s="13" t="n">
        <v>97.46</v>
      </c>
    </row>
    <row r="158" customFormat="false" ht="15" hidden="false" customHeight="true" outlineLevel="0" collapsed="false">
      <c r="A158" s="13" t="n">
        <v>2026</v>
      </c>
      <c r="B158" s="13" t="s">
        <v>989</v>
      </c>
      <c r="C158" s="13" t="s">
        <v>975</v>
      </c>
      <c r="D158" s="14" t="n">
        <v>110</v>
      </c>
      <c r="E158" s="14" t="n">
        <v>33</v>
      </c>
      <c r="F158" s="13" t="n">
        <v>30</v>
      </c>
    </row>
    <row r="159" customFormat="false" ht="15" hidden="false" customHeight="true" outlineLevel="0" collapsed="false">
      <c r="A159" s="13" t="n">
        <v>2026</v>
      </c>
      <c r="B159" s="13" t="s">
        <v>990</v>
      </c>
      <c r="C159" s="13" t="s">
        <v>976</v>
      </c>
      <c r="D159" s="14" t="n">
        <v>37</v>
      </c>
      <c r="E159" s="14" t="n">
        <v>21</v>
      </c>
      <c r="F159" s="13" t="n">
        <v>56.76</v>
      </c>
    </row>
    <row r="160" customFormat="false" ht="15" hidden="false" customHeight="true" outlineLevel="0" collapsed="false">
      <c r="A160" s="13" t="n">
        <v>2026</v>
      </c>
      <c r="B160" s="13" t="s">
        <v>299</v>
      </c>
      <c r="C160" s="13" t="s">
        <v>975</v>
      </c>
      <c r="D160" s="14" t="n">
        <v>306</v>
      </c>
      <c r="E160" s="14" t="n">
        <v>121</v>
      </c>
      <c r="F160" s="13" t="n">
        <v>39.54</v>
      </c>
    </row>
    <row r="161" customFormat="false" ht="15" hidden="false" customHeight="true" outlineLevel="0" collapsed="false">
      <c r="A161" s="13" t="n">
        <v>2026</v>
      </c>
      <c r="B161" s="13" t="s">
        <v>300</v>
      </c>
      <c r="C161" s="13" t="s">
        <v>976</v>
      </c>
      <c r="D161" s="14" t="n">
        <v>187</v>
      </c>
      <c r="E161" s="14" t="n">
        <v>154</v>
      </c>
      <c r="F161" s="13" t="n">
        <v>82.35</v>
      </c>
    </row>
    <row r="162" customFormat="false" ht="15" hidden="false" customHeight="true" outlineLevel="0" collapsed="false">
      <c r="A162" s="13" t="n">
        <v>2026</v>
      </c>
      <c r="B162" s="13" t="s">
        <v>280</v>
      </c>
      <c r="C162" s="13" t="s">
        <v>975</v>
      </c>
      <c r="D162" s="14" t="n">
        <v>28470</v>
      </c>
      <c r="E162" s="14" t="n">
        <v>20815</v>
      </c>
      <c r="F162" s="13" t="n">
        <v>73.11</v>
      </c>
    </row>
    <row r="163" customFormat="false" ht="15" hidden="false" customHeight="true" outlineLevel="0" collapsed="false">
      <c r="A163" s="13" t="n">
        <v>2026</v>
      </c>
      <c r="B163" s="13" t="s">
        <v>281</v>
      </c>
      <c r="C163" s="13" t="s">
        <v>976</v>
      </c>
      <c r="D163" s="14" t="n">
        <v>25472</v>
      </c>
      <c r="E163" s="14" t="n">
        <v>22954</v>
      </c>
      <c r="F163" s="13" t="n">
        <v>90.11</v>
      </c>
    </row>
    <row r="164" customFormat="false" ht="15" hidden="false" customHeight="true" outlineLevel="0" collapsed="false">
      <c r="A164" s="13" t="n">
        <v>2026</v>
      </c>
      <c r="B164" s="13" t="s">
        <v>230</v>
      </c>
      <c r="C164" s="13" t="s">
        <v>975</v>
      </c>
      <c r="D164" s="14" t="n">
        <v>26351</v>
      </c>
      <c r="E164" s="14" t="n">
        <v>23181</v>
      </c>
      <c r="F164" s="13" t="n">
        <v>87.97</v>
      </c>
    </row>
    <row r="165" customFormat="false" ht="15" hidden="false" customHeight="true" outlineLevel="0" collapsed="false">
      <c r="A165" s="13" t="n">
        <v>2026</v>
      </c>
      <c r="B165" s="13" t="s">
        <v>231</v>
      </c>
      <c r="C165" s="13" t="s">
        <v>976</v>
      </c>
      <c r="D165" s="14" t="n">
        <v>24214</v>
      </c>
      <c r="E165" s="14" t="n">
        <v>22391</v>
      </c>
      <c r="F165" s="13" t="n">
        <v>92.47</v>
      </c>
    </row>
    <row r="166" customFormat="false" ht="15" hidden="false" customHeight="true" outlineLevel="0" collapsed="false">
      <c r="A166" s="13" t="n">
        <v>2026</v>
      </c>
      <c r="B166" s="13" t="s">
        <v>226</v>
      </c>
      <c r="C166" s="13" t="s">
        <v>975</v>
      </c>
      <c r="D166" s="14" t="n">
        <v>23034</v>
      </c>
      <c r="E166" s="14" t="n">
        <v>20832</v>
      </c>
      <c r="F166" s="13" t="n">
        <v>90.44</v>
      </c>
    </row>
    <row r="167" customFormat="false" ht="15" hidden="false" customHeight="true" outlineLevel="0" collapsed="false">
      <c r="A167" s="13" t="n">
        <v>2026</v>
      </c>
      <c r="B167" s="13" t="s">
        <v>227</v>
      </c>
      <c r="C167" s="13" t="s">
        <v>976</v>
      </c>
      <c r="D167" s="14" t="n">
        <v>22557</v>
      </c>
      <c r="E167" s="14" t="n">
        <v>21994</v>
      </c>
      <c r="F167" s="13" t="n">
        <v>97.5</v>
      </c>
    </row>
    <row r="168" customFormat="false" ht="15" hidden="false" customHeight="true" outlineLevel="0" collapsed="false">
      <c r="A168" s="13" t="n">
        <v>2026</v>
      </c>
      <c r="B168" s="13" t="s">
        <v>237</v>
      </c>
      <c r="C168" s="13" t="s">
        <v>975</v>
      </c>
      <c r="D168" s="14" t="n">
        <v>3148</v>
      </c>
      <c r="E168" s="14" t="n">
        <v>2722</v>
      </c>
      <c r="F168" s="13" t="n">
        <v>86.47</v>
      </c>
    </row>
    <row r="169" customFormat="false" ht="15" hidden="false" customHeight="true" outlineLevel="0" collapsed="false">
      <c r="A169" s="13" t="n">
        <v>2026</v>
      </c>
      <c r="B169" s="13" t="s">
        <v>238</v>
      </c>
      <c r="C169" s="13" t="s">
        <v>976</v>
      </c>
      <c r="D169" s="14" t="n">
        <v>2388</v>
      </c>
      <c r="E169" s="14" t="n">
        <v>2294</v>
      </c>
      <c r="F169" s="13" t="n">
        <v>96.06</v>
      </c>
    </row>
    <row r="170" customFormat="false" ht="15" hidden="false" customHeight="true" outlineLevel="0" collapsed="false">
      <c r="A170" s="13" t="n">
        <v>2026</v>
      </c>
      <c r="B170" s="13" t="s">
        <v>984</v>
      </c>
      <c r="C170" s="13" t="s">
        <v>975</v>
      </c>
      <c r="D170" s="14" t="n">
        <v>2</v>
      </c>
      <c r="E170" s="14" t="n">
        <v>2</v>
      </c>
      <c r="F170" s="13" t="n">
        <v>100</v>
      </c>
    </row>
    <row r="171" customFormat="false" ht="15" hidden="false" customHeight="true" outlineLevel="0" collapsed="false">
      <c r="A171" s="13" t="n">
        <v>2026</v>
      </c>
      <c r="B171" s="13" t="s">
        <v>985</v>
      </c>
      <c r="C171" s="13" t="s">
        <v>976</v>
      </c>
      <c r="D171" s="14" t="n">
        <v>10</v>
      </c>
      <c r="E171" s="14" t="n">
        <v>8</v>
      </c>
      <c r="F171" s="13" t="n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3" width="13"/>
  </cols>
  <sheetData>
    <row r="1" customFormat="false" ht="15" hidden="false" customHeight="true" outlineLevel="0" collapsed="false">
      <c r="A1" s="13" t="s">
        <v>3</v>
      </c>
      <c r="B1" s="13" t="s">
        <v>1019</v>
      </c>
      <c r="C1" s="13" t="s">
        <v>812</v>
      </c>
      <c r="D1" s="13" t="s">
        <v>109</v>
      </c>
      <c r="E1" s="13" t="s">
        <v>4</v>
      </c>
      <c r="F1" s="13" t="s">
        <v>479</v>
      </c>
      <c r="G1" s="13" t="s">
        <v>198</v>
      </c>
      <c r="H1" s="13" t="s">
        <v>480</v>
      </c>
      <c r="I1" s="13" t="s">
        <v>1020</v>
      </c>
    </row>
    <row r="2" customFormat="false" ht="15" hidden="false" customHeight="true" outlineLevel="0" collapsed="false">
      <c r="A2" s="13" t="n">
        <v>2024</v>
      </c>
      <c r="B2" s="13" t="s">
        <v>1021</v>
      </c>
      <c r="C2" s="13" t="n">
        <v>90518</v>
      </c>
      <c r="D2" s="13" t="n">
        <v>1257</v>
      </c>
      <c r="E2" s="13" t="n">
        <v>89261</v>
      </c>
      <c r="F2" s="13" t="n">
        <v>16573</v>
      </c>
      <c r="G2" s="13" t="n">
        <v>72653</v>
      </c>
      <c r="H2" s="13" t="n">
        <v>0.8258</v>
      </c>
      <c r="I2" s="13" t="n">
        <v>3.42</v>
      </c>
    </row>
    <row r="3" customFormat="false" ht="15" hidden="false" customHeight="true" outlineLevel="0" collapsed="false">
      <c r="A3" s="13" t="n">
        <v>2024</v>
      </c>
      <c r="B3" s="13" t="s">
        <v>1022</v>
      </c>
      <c r="C3" s="13" t="n">
        <v>29595</v>
      </c>
      <c r="D3" s="13" t="n">
        <v>450</v>
      </c>
      <c r="E3" s="13" t="n">
        <v>29145</v>
      </c>
      <c r="F3" s="13" t="n">
        <v>7500</v>
      </c>
      <c r="G3" s="13" t="n">
        <v>21631</v>
      </c>
      <c r="H3" s="13" t="n">
        <v>0.7516</v>
      </c>
      <c r="I3" s="13" t="n">
        <v>2.91</v>
      </c>
    </row>
    <row r="4" customFormat="false" ht="15" hidden="false" customHeight="true" outlineLevel="0" collapsed="false">
      <c r="A4" s="13" t="n">
        <v>2024</v>
      </c>
      <c r="B4" s="13" t="s">
        <v>1023</v>
      </c>
      <c r="C4" s="13" t="n">
        <v>39366</v>
      </c>
      <c r="D4" s="13" t="n">
        <v>551</v>
      </c>
      <c r="E4" s="13" t="n">
        <v>38815</v>
      </c>
      <c r="F4" s="13" t="n">
        <v>5840</v>
      </c>
      <c r="G4" s="13" t="n">
        <v>32970</v>
      </c>
      <c r="H4" s="13" t="n">
        <v>0.8627</v>
      </c>
      <c r="I4" s="13" t="n">
        <v>3.81</v>
      </c>
    </row>
    <row r="5" customFormat="false" ht="15" hidden="false" customHeight="true" outlineLevel="0" collapsed="false">
      <c r="A5" s="13" t="n">
        <v>2024</v>
      </c>
      <c r="B5" s="13" t="s">
        <v>1024</v>
      </c>
      <c r="C5" s="13" t="n">
        <v>2377</v>
      </c>
      <c r="D5" s="13" t="n">
        <v>25</v>
      </c>
      <c r="E5" s="13" t="n">
        <v>2352</v>
      </c>
      <c r="F5" s="13" t="n">
        <v>145</v>
      </c>
      <c r="G5" s="13" t="n">
        <v>2207</v>
      </c>
      <c r="H5" s="13" t="n">
        <v>0.9399</v>
      </c>
      <c r="I5" s="13" t="n">
        <v>4.43</v>
      </c>
    </row>
    <row r="6" customFormat="false" ht="15" hidden="false" customHeight="true" outlineLevel="0" collapsed="false">
      <c r="A6" s="13" t="n">
        <v>2024</v>
      </c>
      <c r="B6" s="13" t="s">
        <v>1025</v>
      </c>
      <c r="C6" s="13" t="n">
        <v>2706</v>
      </c>
      <c r="D6" s="13" t="n">
        <v>35</v>
      </c>
      <c r="E6" s="13" t="n">
        <v>2671</v>
      </c>
      <c r="F6" s="13" t="n">
        <v>201</v>
      </c>
      <c r="G6" s="13" t="n">
        <v>2463</v>
      </c>
      <c r="H6" s="13" t="n">
        <v>0.9312</v>
      </c>
      <c r="I6" s="13" t="n">
        <v>4.46</v>
      </c>
    </row>
    <row r="7" customFormat="false" ht="15" hidden="false" customHeight="true" outlineLevel="0" collapsed="false">
      <c r="A7" s="13" t="n">
        <v>2024</v>
      </c>
      <c r="B7" s="13" t="s">
        <v>1026</v>
      </c>
      <c r="C7" s="13" t="n">
        <v>834</v>
      </c>
      <c r="D7" s="13" t="n">
        <v>24</v>
      </c>
      <c r="E7" s="13" t="n">
        <v>810</v>
      </c>
      <c r="F7" s="13" t="n">
        <v>67</v>
      </c>
      <c r="G7" s="13" t="n">
        <v>742</v>
      </c>
      <c r="H7" s="13" t="n">
        <v>0.9183</v>
      </c>
      <c r="I7" s="13" t="n">
        <v>4.27</v>
      </c>
    </row>
    <row r="8" customFormat="false" ht="15" hidden="false" customHeight="true" outlineLevel="0" collapsed="false">
      <c r="A8" s="13" t="n">
        <v>2024</v>
      </c>
      <c r="B8" s="13" t="s">
        <v>1027</v>
      </c>
      <c r="C8" s="13" t="n">
        <v>12027</v>
      </c>
      <c r="D8" s="13" t="n">
        <v>131</v>
      </c>
      <c r="E8" s="13" t="n">
        <v>11896</v>
      </c>
      <c r="F8" s="13" t="n">
        <v>2351</v>
      </c>
      <c r="G8" s="13" t="n">
        <v>9538</v>
      </c>
      <c r="H8" s="13" t="n">
        <v>0.8208</v>
      </c>
      <c r="I8" s="13" t="n">
        <v>2.84</v>
      </c>
    </row>
    <row r="9" customFormat="false" ht="15" hidden="false" customHeight="true" outlineLevel="0" collapsed="false">
      <c r="A9" s="13" t="n">
        <v>2024</v>
      </c>
      <c r="B9" s="13" t="s">
        <v>1028</v>
      </c>
      <c r="C9" s="13" t="n">
        <v>2715</v>
      </c>
      <c r="D9" s="13" t="n">
        <v>35</v>
      </c>
      <c r="E9" s="13" t="n">
        <v>2680</v>
      </c>
      <c r="F9" s="13" t="n">
        <v>388</v>
      </c>
      <c r="G9" s="13" t="n">
        <v>2291</v>
      </c>
      <c r="H9" s="13" t="n">
        <v>0.8587</v>
      </c>
      <c r="I9" s="13" t="n">
        <v>3.31</v>
      </c>
    </row>
    <row r="10" customFormat="false" ht="15" hidden="false" customHeight="true" outlineLevel="0" collapsed="false">
      <c r="A10" s="13" t="n">
        <v>2024</v>
      </c>
      <c r="B10" s="13" t="s">
        <v>1029</v>
      </c>
      <c r="C10" s="13" t="n">
        <v>898</v>
      </c>
      <c r="D10" s="13" t="n">
        <v>6</v>
      </c>
      <c r="E10" s="13" t="n">
        <v>892</v>
      </c>
      <c r="F10" s="13" t="n">
        <v>81</v>
      </c>
      <c r="G10" s="13" t="n">
        <v>811</v>
      </c>
      <c r="H10" s="13" t="n">
        <v>0.9092</v>
      </c>
      <c r="I10" s="13" t="n">
        <v>4.15</v>
      </c>
    </row>
    <row r="11" customFormat="false" ht="15" hidden="false" customHeight="true" outlineLevel="0" collapsed="false">
      <c r="A11" s="13" t="n">
        <v>2025</v>
      </c>
      <c r="B11" s="13" t="s">
        <v>1021</v>
      </c>
      <c r="C11" s="13" t="n">
        <v>97925</v>
      </c>
      <c r="D11" s="13" t="n">
        <v>1404</v>
      </c>
      <c r="E11" s="13" t="n">
        <v>96521</v>
      </c>
      <c r="F11" s="13" t="n">
        <v>16589</v>
      </c>
      <c r="G11" s="13" t="n">
        <v>79881</v>
      </c>
      <c r="H11" s="13" t="n">
        <v>0.8319</v>
      </c>
      <c r="I11" s="13" t="n">
        <v>3.48</v>
      </c>
    </row>
    <row r="12" customFormat="false" ht="15" hidden="false" customHeight="true" outlineLevel="0" collapsed="false">
      <c r="A12" s="13" t="n">
        <v>2025</v>
      </c>
      <c r="B12" s="13" t="s">
        <v>1022</v>
      </c>
      <c r="C12" s="13" t="n">
        <v>30420</v>
      </c>
      <c r="D12" s="13" t="n">
        <v>515</v>
      </c>
      <c r="E12" s="13" t="n">
        <v>29905</v>
      </c>
      <c r="F12" s="13" t="n">
        <v>7308</v>
      </c>
      <c r="G12" s="13" t="n">
        <v>22575</v>
      </c>
      <c r="H12" s="13" t="n">
        <v>0.7561</v>
      </c>
      <c r="I12" s="13" t="n">
        <v>2.96</v>
      </c>
    </row>
    <row r="13" customFormat="false" ht="15" hidden="false" customHeight="true" outlineLevel="0" collapsed="false">
      <c r="A13" s="13" t="n">
        <v>2025</v>
      </c>
      <c r="B13" s="13" t="s">
        <v>1023</v>
      </c>
      <c r="C13" s="13" t="n">
        <v>43300</v>
      </c>
      <c r="D13" s="13" t="n">
        <v>607</v>
      </c>
      <c r="E13" s="13" t="n">
        <v>42693</v>
      </c>
      <c r="F13" s="13" t="n">
        <v>5945</v>
      </c>
      <c r="G13" s="13" t="n">
        <v>36743</v>
      </c>
      <c r="H13" s="13" t="n">
        <v>0.8622</v>
      </c>
      <c r="I13" s="13" t="n">
        <v>3.83</v>
      </c>
    </row>
    <row r="14" customFormat="false" ht="15" hidden="false" customHeight="true" outlineLevel="0" collapsed="false">
      <c r="A14" s="13" t="n">
        <v>2025</v>
      </c>
      <c r="B14" s="13" t="s">
        <v>1024</v>
      </c>
      <c r="C14" s="13" t="n">
        <v>2848</v>
      </c>
      <c r="D14" s="13" t="n">
        <v>47</v>
      </c>
      <c r="E14" s="13" t="n">
        <v>2801</v>
      </c>
      <c r="F14" s="13" t="n">
        <v>187</v>
      </c>
      <c r="G14" s="13" t="n">
        <v>2614</v>
      </c>
      <c r="H14" s="13" t="n">
        <v>0.9346</v>
      </c>
      <c r="I14" s="13" t="n">
        <v>4.4</v>
      </c>
    </row>
    <row r="15" customFormat="false" ht="15" hidden="false" customHeight="true" outlineLevel="0" collapsed="false">
      <c r="A15" s="13" t="n">
        <v>2025</v>
      </c>
      <c r="B15" s="13" t="s">
        <v>1025</v>
      </c>
      <c r="C15" s="13" t="n">
        <v>2904</v>
      </c>
      <c r="D15" s="13" t="n">
        <v>34</v>
      </c>
      <c r="E15" s="13" t="n">
        <v>2870</v>
      </c>
      <c r="F15" s="13" t="n">
        <v>163</v>
      </c>
      <c r="G15" s="13" t="n">
        <v>2707</v>
      </c>
      <c r="H15" s="13" t="n">
        <v>0.9559</v>
      </c>
      <c r="I15" s="13" t="n">
        <v>4.63</v>
      </c>
    </row>
    <row r="16" customFormat="false" ht="15" hidden="false" customHeight="true" outlineLevel="0" collapsed="false">
      <c r="A16" s="13" t="n">
        <v>2025</v>
      </c>
      <c r="B16" s="13" t="s">
        <v>1026</v>
      </c>
      <c r="C16" s="13" t="n">
        <v>782</v>
      </c>
      <c r="D16" s="13" t="n">
        <v>23</v>
      </c>
      <c r="E16" s="13" t="n">
        <v>759</v>
      </c>
      <c r="F16" s="13" t="n">
        <v>55</v>
      </c>
      <c r="G16" s="13" t="n">
        <v>704</v>
      </c>
      <c r="H16" s="13" t="n">
        <v>0.9337</v>
      </c>
      <c r="I16" s="13" t="n">
        <v>4.55</v>
      </c>
    </row>
    <row r="17" customFormat="false" ht="15" hidden="false" customHeight="true" outlineLevel="0" collapsed="false">
      <c r="A17" s="13" t="n">
        <v>2025</v>
      </c>
      <c r="B17" s="13" t="s">
        <v>1027</v>
      </c>
      <c r="C17" s="13" t="n">
        <v>13322</v>
      </c>
      <c r="D17" s="13" t="n">
        <v>147</v>
      </c>
      <c r="E17" s="13" t="n">
        <v>13175</v>
      </c>
      <c r="F17" s="13" t="n">
        <v>2418</v>
      </c>
      <c r="G17" s="13" t="n">
        <v>10733</v>
      </c>
      <c r="H17" s="13" t="n">
        <v>0.8298</v>
      </c>
      <c r="I17" s="13" t="n">
        <v>2.87</v>
      </c>
    </row>
    <row r="18" customFormat="false" ht="15" hidden="false" customHeight="true" outlineLevel="0" collapsed="false">
      <c r="A18" s="13" t="n">
        <v>2025</v>
      </c>
      <c r="B18" s="13" t="s">
        <v>1028</v>
      </c>
      <c r="C18" s="13" t="n">
        <v>2876</v>
      </c>
      <c r="D18" s="13" t="n">
        <v>19</v>
      </c>
      <c r="E18" s="13" t="n">
        <v>2857</v>
      </c>
      <c r="F18" s="13" t="n">
        <v>347</v>
      </c>
      <c r="G18" s="13" t="n">
        <v>2510</v>
      </c>
      <c r="H18" s="13" t="n">
        <v>0.9048</v>
      </c>
      <c r="I18" s="13" t="n">
        <v>3.64</v>
      </c>
    </row>
    <row r="19" customFormat="false" ht="15" hidden="false" customHeight="true" outlineLevel="0" collapsed="false">
      <c r="A19" s="13" t="n">
        <v>2025</v>
      </c>
      <c r="B19" s="13" t="s">
        <v>1029</v>
      </c>
      <c r="C19" s="13" t="n">
        <v>1473</v>
      </c>
      <c r="D19" s="13" t="n">
        <v>12</v>
      </c>
      <c r="E19" s="13" t="n">
        <v>1461</v>
      </c>
      <c r="F19" s="13" t="n">
        <v>166</v>
      </c>
      <c r="G19" s="13" t="n">
        <v>1295</v>
      </c>
      <c r="H19" s="13" t="n">
        <v>0.887</v>
      </c>
      <c r="I19" s="13" t="n">
        <v>3.99</v>
      </c>
    </row>
    <row r="20" customFormat="false" ht="15" hidden="false" customHeight="true" outlineLevel="0" collapsed="false">
      <c r="A20" s="13" t="n">
        <v>2026</v>
      </c>
      <c r="B20" s="13" t="s">
        <v>1021</v>
      </c>
      <c r="C20" s="13" t="n">
        <v>104838</v>
      </c>
      <c r="D20" s="13" t="n">
        <v>1660</v>
      </c>
      <c r="E20" s="13" t="n">
        <v>103178</v>
      </c>
      <c r="F20" s="13" t="n">
        <v>15391</v>
      </c>
      <c r="G20" s="13" t="n">
        <v>87364</v>
      </c>
      <c r="H20" s="13" t="n">
        <v>0.8595</v>
      </c>
      <c r="I20" s="13" t="n">
        <v>3.73</v>
      </c>
    </row>
    <row r="21" customFormat="false" ht="15" hidden="false" customHeight="true" outlineLevel="0" collapsed="false">
      <c r="A21" s="13" t="n">
        <v>2026</v>
      </c>
      <c r="B21" s="13" t="s">
        <v>1022</v>
      </c>
      <c r="C21" s="13" t="n">
        <v>33350</v>
      </c>
      <c r="D21" s="13" t="n">
        <v>612</v>
      </c>
      <c r="E21" s="13" t="n">
        <v>32738</v>
      </c>
      <c r="F21" s="13" t="n">
        <v>6972</v>
      </c>
      <c r="G21" s="13" t="n">
        <v>25736</v>
      </c>
      <c r="H21" s="13" t="n">
        <v>0.7932</v>
      </c>
      <c r="I21" s="13" t="n">
        <v>3.19</v>
      </c>
    </row>
    <row r="22" customFormat="false" ht="15" hidden="false" customHeight="true" outlineLevel="0" collapsed="false">
      <c r="A22" s="13" t="n">
        <v>2026</v>
      </c>
      <c r="B22" s="13" t="s">
        <v>1023</v>
      </c>
      <c r="C22" s="13" t="n">
        <v>47072</v>
      </c>
      <c r="D22" s="13" t="n">
        <v>761</v>
      </c>
      <c r="E22" s="13" t="n">
        <v>46311</v>
      </c>
      <c r="F22" s="13" t="n">
        <v>5679</v>
      </c>
      <c r="G22" s="13" t="n">
        <v>40296</v>
      </c>
      <c r="H22" s="13" t="n">
        <v>0.8798</v>
      </c>
      <c r="I22" s="13" t="n">
        <v>4.03</v>
      </c>
    </row>
    <row r="23" customFormat="false" ht="15" hidden="false" customHeight="true" outlineLevel="0" collapsed="false">
      <c r="A23" s="13" t="n">
        <v>2026</v>
      </c>
      <c r="B23" s="13" t="s">
        <v>1024</v>
      </c>
      <c r="C23" s="13" t="n">
        <v>3148</v>
      </c>
      <c r="D23" s="13" t="n">
        <v>43</v>
      </c>
      <c r="E23" s="13" t="n">
        <v>3105</v>
      </c>
      <c r="F23" s="13" t="n">
        <v>143</v>
      </c>
      <c r="G23" s="13" t="n">
        <v>2961</v>
      </c>
      <c r="H23" s="13" t="n">
        <v>0.9595</v>
      </c>
      <c r="I23" s="13" t="n">
        <v>4.78</v>
      </c>
    </row>
    <row r="24" customFormat="false" ht="15" hidden="false" customHeight="true" outlineLevel="0" collapsed="false">
      <c r="A24" s="13" t="n">
        <v>2026</v>
      </c>
      <c r="B24" s="13" t="s">
        <v>1025</v>
      </c>
      <c r="C24" s="13" t="n">
        <v>3305</v>
      </c>
      <c r="D24" s="13" t="n">
        <v>33</v>
      </c>
      <c r="E24" s="13" t="n">
        <v>3272</v>
      </c>
      <c r="F24" s="13" t="n">
        <v>168</v>
      </c>
      <c r="G24" s="13" t="n">
        <v>3101</v>
      </c>
      <c r="H24" s="13" t="n">
        <v>0.9539</v>
      </c>
      <c r="I24" s="13" t="n">
        <v>4.8</v>
      </c>
    </row>
    <row r="25" customFormat="false" ht="15" hidden="false" customHeight="true" outlineLevel="0" collapsed="false">
      <c r="A25" s="13" t="n">
        <v>2026</v>
      </c>
      <c r="B25" s="13" t="s">
        <v>1026</v>
      </c>
      <c r="C25" s="13" t="n">
        <v>780</v>
      </c>
      <c r="D25" s="13" t="n">
        <v>20</v>
      </c>
      <c r="E25" s="13" t="n">
        <v>760</v>
      </c>
      <c r="F25" s="13" t="n">
        <v>32</v>
      </c>
      <c r="G25" s="13" t="n">
        <v>728</v>
      </c>
      <c r="H25" s="13" t="n">
        <v>0.963</v>
      </c>
      <c r="I25" s="13" t="n">
        <v>4.79</v>
      </c>
    </row>
    <row r="26" customFormat="false" ht="15" hidden="false" customHeight="true" outlineLevel="0" collapsed="false">
      <c r="A26" s="13" t="n">
        <v>2026</v>
      </c>
      <c r="B26" s="13" t="s">
        <v>1027</v>
      </c>
      <c r="C26" s="13" t="n">
        <v>12755</v>
      </c>
      <c r="D26" s="13" t="n">
        <v>152</v>
      </c>
      <c r="E26" s="13" t="n">
        <v>12603</v>
      </c>
      <c r="F26" s="13" t="n">
        <v>1933</v>
      </c>
      <c r="G26" s="13" t="n">
        <v>10621</v>
      </c>
      <c r="H26" s="13" t="n">
        <v>0.8795</v>
      </c>
      <c r="I26" s="13" t="n">
        <v>3.27</v>
      </c>
    </row>
    <row r="27" customFormat="false" ht="15" hidden="false" customHeight="true" outlineLevel="0" collapsed="false">
      <c r="A27" s="13" t="n">
        <v>2026</v>
      </c>
      <c r="B27" s="13" t="s">
        <v>1028</v>
      </c>
      <c r="C27" s="13" t="n">
        <v>3044</v>
      </c>
      <c r="D27" s="13" t="n">
        <v>22</v>
      </c>
      <c r="E27" s="13" t="n">
        <v>3022</v>
      </c>
      <c r="F27" s="13" t="n">
        <v>319</v>
      </c>
      <c r="G27" s="13" t="n">
        <v>2699</v>
      </c>
      <c r="H27" s="13" t="n">
        <v>0.9391</v>
      </c>
      <c r="I27" s="13" t="n">
        <v>3.98</v>
      </c>
    </row>
    <row r="28" customFormat="false" ht="15" hidden="false" customHeight="true" outlineLevel="0" collapsed="false">
      <c r="A28" s="13" t="n">
        <v>2026</v>
      </c>
      <c r="B28" s="13" t="s">
        <v>1029</v>
      </c>
      <c r="C28" s="13" t="n">
        <v>1384</v>
      </c>
      <c r="D28" s="13" t="n">
        <v>17</v>
      </c>
      <c r="E28" s="13" t="n">
        <v>1367</v>
      </c>
      <c r="F28" s="13" t="n">
        <v>145</v>
      </c>
      <c r="G28" s="13" t="n">
        <v>1222</v>
      </c>
      <c r="H28" s="13" t="n">
        <v>0.9012</v>
      </c>
      <c r="I28" s="13" t="n">
        <v>4.29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13" width="13"/>
  </cols>
  <sheetData>
    <row r="1" customFormat="false" ht="15" hidden="false" customHeight="true" outlineLevel="0" collapsed="false">
      <c r="A1" s="13" t="s">
        <v>3</v>
      </c>
      <c r="B1" s="13" t="s">
        <v>1019</v>
      </c>
      <c r="C1" s="13" t="s">
        <v>482</v>
      </c>
      <c r="D1" s="13" t="s">
        <v>114</v>
      </c>
      <c r="E1" s="13" t="s">
        <v>113</v>
      </c>
      <c r="F1" s="13" t="s">
        <v>483</v>
      </c>
      <c r="G1" s="13" t="s">
        <v>812</v>
      </c>
      <c r="H1" s="13" t="s">
        <v>109</v>
      </c>
      <c r="I1" s="13" t="s">
        <v>4</v>
      </c>
      <c r="J1" s="13" t="s">
        <v>1030</v>
      </c>
      <c r="K1" s="13" t="s">
        <v>1031</v>
      </c>
      <c r="L1" s="13" t="s">
        <v>479</v>
      </c>
      <c r="M1" s="13" t="s">
        <v>198</v>
      </c>
      <c r="N1" s="13" t="s">
        <v>115</v>
      </c>
      <c r="O1" s="13" t="s">
        <v>116</v>
      </c>
      <c r="P1" s="13" t="s">
        <v>117</v>
      </c>
      <c r="Q1" s="13" t="s">
        <v>118</v>
      </c>
      <c r="R1" s="13" t="s">
        <v>119</v>
      </c>
      <c r="S1" s="13" t="s">
        <v>120</v>
      </c>
      <c r="T1" s="13" t="s">
        <v>480</v>
      </c>
      <c r="U1" s="13" t="s">
        <v>1020</v>
      </c>
      <c r="V1" s="13" t="s">
        <v>1032</v>
      </c>
    </row>
    <row r="2" customFormat="false" ht="15" hidden="false" customHeight="true" outlineLevel="0" collapsed="false">
      <c r="A2" s="13" t="n">
        <v>2024</v>
      </c>
      <c r="B2" s="13" t="s">
        <v>1021</v>
      </c>
      <c r="C2" s="13" t="s">
        <v>121</v>
      </c>
      <c r="D2" s="13" t="s">
        <v>128</v>
      </c>
      <c r="E2" s="13" t="s">
        <v>124</v>
      </c>
      <c r="F2" s="13" t="s">
        <v>357</v>
      </c>
      <c r="G2" s="13" t="n">
        <v>3328</v>
      </c>
      <c r="H2" s="13" t="n">
        <v>19</v>
      </c>
      <c r="I2" s="13" t="n">
        <v>3309</v>
      </c>
      <c r="J2" s="13" t="n">
        <v>92</v>
      </c>
      <c r="K2" s="13" t="n">
        <v>1</v>
      </c>
      <c r="L2" s="13" t="n">
        <v>651</v>
      </c>
      <c r="M2" s="13" t="n">
        <v>2657</v>
      </c>
      <c r="N2" s="13" t="n">
        <v>37</v>
      </c>
      <c r="O2" s="13" t="n">
        <v>145</v>
      </c>
      <c r="P2" s="13" t="n">
        <v>533</v>
      </c>
      <c r="Q2" s="13" t="n">
        <v>996</v>
      </c>
      <c r="R2" s="13" t="n">
        <v>903</v>
      </c>
      <c r="S2" s="13" t="n">
        <v>43</v>
      </c>
      <c r="T2" s="13" t="n">
        <v>0.803</v>
      </c>
      <c r="U2" s="13" t="n">
        <v>2.39</v>
      </c>
      <c r="V2" s="13" t="n">
        <f aca="false">M2-SUM(N2:S2)</f>
        <v>0</v>
      </c>
    </row>
    <row r="3" customFormat="false" ht="15" hidden="false" customHeight="true" outlineLevel="0" collapsed="false">
      <c r="A3" s="13" t="n">
        <v>2024</v>
      </c>
      <c r="B3" s="13" t="s">
        <v>1021</v>
      </c>
      <c r="C3" s="13" t="s">
        <v>121</v>
      </c>
      <c r="D3" s="13" t="s">
        <v>128</v>
      </c>
      <c r="E3" s="13" t="s">
        <v>122</v>
      </c>
      <c r="F3" s="13" t="s">
        <v>357</v>
      </c>
      <c r="G3" s="13" t="n">
        <v>9477</v>
      </c>
      <c r="H3" s="13" t="n">
        <v>45</v>
      </c>
      <c r="I3" s="13" t="n">
        <v>9432</v>
      </c>
      <c r="J3" s="13" t="n">
        <v>129</v>
      </c>
      <c r="K3" s="13" t="n">
        <v>1</v>
      </c>
      <c r="L3" s="13" t="n">
        <v>956</v>
      </c>
      <c r="M3" s="13" t="n">
        <v>8475</v>
      </c>
      <c r="N3" s="13" t="n">
        <v>183</v>
      </c>
      <c r="O3" s="13" t="n">
        <v>1062</v>
      </c>
      <c r="P3" s="13" t="n">
        <v>2662</v>
      </c>
      <c r="Q3" s="13" t="n">
        <v>3178</v>
      </c>
      <c r="R3" s="13" t="n">
        <v>1350</v>
      </c>
      <c r="S3" s="13" t="n">
        <v>40</v>
      </c>
      <c r="T3" s="13" t="n">
        <v>0.8985</v>
      </c>
      <c r="U3" s="13" t="n">
        <v>3.11</v>
      </c>
      <c r="V3" s="13" t="n">
        <f aca="false">M3-SUM(N3:S3)</f>
        <v>0</v>
      </c>
    </row>
    <row r="4" customFormat="false" ht="15" hidden="false" customHeight="true" outlineLevel="0" collapsed="false">
      <c r="A4" s="13" t="n">
        <v>2024</v>
      </c>
      <c r="B4" s="13" t="s">
        <v>1021</v>
      </c>
      <c r="C4" s="13" t="s">
        <v>121</v>
      </c>
      <c r="D4" s="13" t="s">
        <v>128</v>
      </c>
      <c r="E4" s="13" t="s">
        <v>192</v>
      </c>
      <c r="F4" s="13" t="s">
        <v>652</v>
      </c>
      <c r="G4" s="13" t="n">
        <v>12805</v>
      </c>
      <c r="H4" s="13" t="n">
        <v>64</v>
      </c>
      <c r="I4" s="13" t="n">
        <v>12741</v>
      </c>
      <c r="J4" s="13" t="n">
        <v>221</v>
      </c>
      <c r="K4" s="13" t="n">
        <v>2</v>
      </c>
      <c r="L4" s="13" t="n">
        <v>1607</v>
      </c>
      <c r="M4" s="13" t="n">
        <v>11132</v>
      </c>
      <c r="N4" s="13" t="n">
        <v>220</v>
      </c>
      <c r="O4" s="13" t="n">
        <v>1207</v>
      </c>
      <c r="P4" s="13" t="n">
        <v>3195</v>
      </c>
      <c r="Q4" s="13" t="n">
        <v>4174</v>
      </c>
      <c r="R4" s="13" t="n">
        <v>2253</v>
      </c>
      <c r="S4" s="13" t="n">
        <v>83</v>
      </c>
      <c r="T4" s="13" t="n">
        <v>0.8737</v>
      </c>
      <c r="U4" s="13" t="n">
        <v>2.92</v>
      </c>
      <c r="V4" s="13" t="n">
        <f aca="false">M4-SUM(N4:S4)</f>
        <v>0</v>
      </c>
    </row>
    <row r="5" customFormat="false" ht="15" hidden="false" customHeight="true" outlineLevel="0" collapsed="false">
      <c r="A5" s="13" t="n">
        <v>2024</v>
      </c>
      <c r="B5" s="13" t="s">
        <v>1021</v>
      </c>
      <c r="C5" s="13" t="s">
        <v>121</v>
      </c>
      <c r="D5" s="13" t="s">
        <v>1033</v>
      </c>
      <c r="E5" s="13" t="s">
        <v>124</v>
      </c>
      <c r="F5" s="13" t="s">
        <v>357</v>
      </c>
      <c r="G5" s="13" t="n">
        <v>7174</v>
      </c>
      <c r="H5" s="13" t="n">
        <v>37</v>
      </c>
      <c r="I5" s="13" t="n">
        <v>7137</v>
      </c>
      <c r="J5" s="13" t="n">
        <v>47</v>
      </c>
      <c r="K5" s="13" t="n">
        <v>7</v>
      </c>
      <c r="L5" s="13" t="n">
        <v>682</v>
      </c>
      <c r="M5" s="13" t="n">
        <v>6448</v>
      </c>
      <c r="N5" s="13" t="n">
        <v>1889</v>
      </c>
      <c r="O5" s="13" t="n">
        <v>1724</v>
      </c>
      <c r="P5" s="13" t="n">
        <v>1682</v>
      </c>
      <c r="Q5" s="13" t="n">
        <v>1013</v>
      </c>
      <c r="R5" s="13" t="n">
        <v>140</v>
      </c>
      <c r="S5" s="13" t="n">
        <v>0</v>
      </c>
      <c r="T5" s="13" t="n">
        <v>0.9035</v>
      </c>
      <c r="U5" s="13" t="n">
        <v>4.2</v>
      </c>
      <c r="V5" s="13" t="n">
        <f aca="false">M5-SUM(N5:S5)</f>
        <v>0</v>
      </c>
    </row>
    <row r="6" customFormat="false" ht="15" hidden="false" customHeight="true" outlineLevel="0" collapsed="false">
      <c r="A6" s="13" t="n">
        <v>2024</v>
      </c>
      <c r="B6" s="13" t="s">
        <v>1021</v>
      </c>
      <c r="C6" s="13" t="s">
        <v>121</v>
      </c>
      <c r="D6" s="13" t="s">
        <v>1033</v>
      </c>
      <c r="E6" s="13" t="s">
        <v>122</v>
      </c>
      <c r="F6" s="13" t="s">
        <v>357</v>
      </c>
      <c r="G6" s="13" t="n">
        <v>17296</v>
      </c>
      <c r="H6" s="13" t="n">
        <v>58</v>
      </c>
      <c r="I6" s="13" t="n">
        <v>17238</v>
      </c>
      <c r="J6" s="13" t="n">
        <v>110</v>
      </c>
      <c r="K6" s="13" t="n">
        <v>1</v>
      </c>
      <c r="L6" s="13" t="n">
        <v>847</v>
      </c>
      <c r="M6" s="13" t="n">
        <v>16389</v>
      </c>
      <c r="N6" s="13" t="n">
        <v>5763</v>
      </c>
      <c r="O6" s="13" t="n">
        <v>4724</v>
      </c>
      <c r="P6" s="13" t="n">
        <v>3940</v>
      </c>
      <c r="Q6" s="13" t="n">
        <v>1840</v>
      </c>
      <c r="R6" s="13" t="n">
        <v>122</v>
      </c>
      <c r="S6" s="13" t="n">
        <v>0</v>
      </c>
      <c r="T6" s="13" t="n">
        <v>0.9507</v>
      </c>
      <c r="U6" s="13" t="n">
        <v>4.62</v>
      </c>
      <c r="V6" s="13" t="n">
        <f aca="false">M6-SUM(N6:S6)</f>
        <v>0</v>
      </c>
    </row>
    <row r="7" customFormat="false" ht="15" hidden="false" customHeight="true" outlineLevel="0" collapsed="false">
      <c r="A7" s="13" t="n">
        <v>2024</v>
      </c>
      <c r="B7" s="13" t="s">
        <v>1021</v>
      </c>
      <c r="C7" s="13" t="s">
        <v>121</v>
      </c>
      <c r="D7" s="13" t="s">
        <v>1033</v>
      </c>
      <c r="E7" s="13" t="s">
        <v>192</v>
      </c>
      <c r="F7" s="13" t="s">
        <v>652</v>
      </c>
      <c r="G7" s="13" t="n">
        <v>24470</v>
      </c>
      <c r="H7" s="13" t="n">
        <v>95</v>
      </c>
      <c r="I7" s="13" t="n">
        <v>24375</v>
      </c>
      <c r="J7" s="13" t="n">
        <v>157</v>
      </c>
      <c r="K7" s="13" t="n">
        <v>8</v>
      </c>
      <c r="L7" s="13" t="n">
        <v>1529</v>
      </c>
      <c r="M7" s="13" t="n">
        <v>22837</v>
      </c>
      <c r="N7" s="13" t="n">
        <v>7652</v>
      </c>
      <c r="O7" s="13" t="n">
        <v>6448</v>
      </c>
      <c r="P7" s="13" t="n">
        <v>5622</v>
      </c>
      <c r="Q7" s="13" t="n">
        <v>2853</v>
      </c>
      <c r="R7" s="13" t="n">
        <v>262</v>
      </c>
      <c r="S7" s="13" t="n">
        <v>0</v>
      </c>
      <c r="T7" s="13" t="n">
        <v>0.9369</v>
      </c>
      <c r="U7" s="13" t="n">
        <v>4.5</v>
      </c>
      <c r="V7" s="13" t="n">
        <f aca="false">M7-SUM(N7:S7)</f>
        <v>0</v>
      </c>
    </row>
    <row r="8" customFormat="false" ht="15" hidden="false" customHeight="true" outlineLevel="0" collapsed="false">
      <c r="A8" s="13" t="n">
        <v>2024</v>
      </c>
      <c r="B8" s="13" t="s">
        <v>1021</v>
      </c>
      <c r="C8" s="13" t="s">
        <v>121</v>
      </c>
      <c r="D8" s="13" t="s">
        <v>1034</v>
      </c>
      <c r="E8" s="13" t="s">
        <v>124</v>
      </c>
      <c r="F8" s="13" t="s">
        <v>357</v>
      </c>
      <c r="G8" s="13" t="n">
        <v>7161</v>
      </c>
      <c r="H8" s="13" t="n">
        <v>25</v>
      </c>
      <c r="I8" s="13" t="n">
        <v>7136</v>
      </c>
      <c r="J8" s="13" t="n">
        <v>31</v>
      </c>
      <c r="K8" s="13" t="n">
        <v>2</v>
      </c>
      <c r="L8" s="13" t="n">
        <v>855</v>
      </c>
      <c r="M8" s="13" t="n">
        <v>6279</v>
      </c>
      <c r="N8" s="13" t="n">
        <v>946</v>
      </c>
      <c r="O8" s="13" t="n">
        <v>1775</v>
      </c>
      <c r="P8" s="13" t="n">
        <v>2146</v>
      </c>
      <c r="Q8" s="13" t="n">
        <v>1339</v>
      </c>
      <c r="R8" s="13" t="n">
        <v>73</v>
      </c>
      <c r="S8" s="13" t="n">
        <v>0</v>
      </c>
      <c r="T8" s="13" t="n">
        <v>0.8799</v>
      </c>
      <c r="U8" s="13" t="n">
        <v>3.83</v>
      </c>
      <c r="V8" s="13" t="n">
        <f aca="false">M8-SUM(N8:S8)</f>
        <v>0</v>
      </c>
    </row>
    <row r="9" customFormat="false" ht="15" hidden="false" customHeight="true" outlineLevel="0" collapsed="false">
      <c r="A9" s="13" t="n">
        <v>2024</v>
      </c>
      <c r="B9" s="13" t="s">
        <v>1021</v>
      </c>
      <c r="C9" s="13" t="s">
        <v>121</v>
      </c>
      <c r="D9" s="13" t="s">
        <v>1034</v>
      </c>
      <c r="E9" s="13" t="s">
        <v>122</v>
      </c>
      <c r="F9" s="13" t="s">
        <v>357</v>
      </c>
      <c r="G9" s="13" t="n">
        <v>3784</v>
      </c>
      <c r="H9" s="13" t="n">
        <v>11</v>
      </c>
      <c r="I9" s="13" t="n">
        <v>3773</v>
      </c>
      <c r="J9" s="13" t="n">
        <v>20</v>
      </c>
      <c r="K9" s="13" t="n">
        <v>0</v>
      </c>
      <c r="L9" s="13" t="n">
        <v>303</v>
      </c>
      <c r="M9" s="13" t="n">
        <v>3470</v>
      </c>
      <c r="N9" s="13" t="n">
        <v>549</v>
      </c>
      <c r="O9" s="13" t="n">
        <v>1070</v>
      </c>
      <c r="P9" s="13" t="n">
        <v>1219</v>
      </c>
      <c r="Q9" s="13" t="n">
        <v>606</v>
      </c>
      <c r="R9" s="13" t="n">
        <v>26</v>
      </c>
      <c r="S9" s="13" t="n">
        <v>0</v>
      </c>
      <c r="T9" s="13" t="n">
        <v>0.9197</v>
      </c>
      <c r="U9" s="13" t="n">
        <v>4.08</v>
      </c>
      <c r="V9" s="13" t="n">
        <f aca="false">M9-SUM(N9:S9)</f>
        <v>0</v>
      </c>
    </row>
    <row r="10" customFormat="false" ht="15" hidden="false" customHeight="true" outlineLevel="0" collapsed="false">
      <c r="A10" s="13" t="n">
        <v>2024</v>
      </c>
      <c r="B10" s="13" t="s">
        <v>1021</v>
      </c>
      <c r="C10" s="13" t="s">
        <v>121</v>
      </c>
      <c r="D10" s="13" t="s">
        <v>1034</v>
      </c>
      <c r="E10" s="13" t="s">
        <v>192</v>
      </c>
      <c r="F10" s="13" t="s">
        <v>652</v>
      </c>
      <c r="G10" s="13" t="n">
        <v>10945</v>
      </c>
      <c r="H10" s="13" t="n">
        <v>36</v>
      </c>
      <c r="I10" s="13" t="n">
        <v>10909</v>
      </c>
      <c r="J10" s="13" t="n">
        <v>51</v>
      </c>
      <c r="K10" s="13" t="n">
        <v>2</v>
      </c>
      <c r="L10" s="13" t="n">
        <v>1158</v>
      </c>
      <c r="M10" s="13" t="n">
        <v>9749</v>
      </c>
      <c r="N10" s="13" t="n">
        <v>1495</v>
      </c>
      <c r="O10" s="13" t="n">
        <v>2845</v>
      </c>
      <c r="P10" s="13" t="n">
        <v>3365</v>
      </c>
      <c r="Q10" s="13" t="n">
        <v>1945</v>
      </c>
      <c r="R10" s="13" t="n">
        <v>99</v>
      </c>
      <c r="S10" s="13" t="n">
        <v>0</v>
      </c>
      <c r="T10" s="13" t="n">
        <v>0.8937</v>
      </c>
      <c r="U10" s="13" t="n">
        <v>3.91</v>
      </c>
      <c r="V10" s="13" t="n">
        <f aca="false">M10-SUM(N10:S10)</f>
        <v>0</v>
      </c>
    </row>
    <row r="11" customFormat="false" ht="15" hidden="false" customHeight="true" outlineLevel="0" collapsed="false">
      <c r="A11" s="13" t="n">
        <v>2024</v>
      </c>
      <c r="B11" s="13" t="s">
        <v>1021</v>
      </c>
      <c r="C11" s="13" t="s">
        <v>121</v>
      </c>
      <c r="D11" s="13" t="s">
        <v>1035</v>
      </c>
      <c r="E11" s="13" t="s">
        <v>124</v>
      </c>
      <c r="F11" s="13" t="s">
        <v>357</v>
      </c>
      <c r="G11" s="13" t="n">
        <v>15725</v>
      </c>
      <c r="H11" s="13" t="n">
        <v>93</v>
      </c>
      <c r="I11" s="13" t="n">
        <v>15632</v>
      </c>
      <c r="J11" s="13" t="n">
        <v>261</v>
      </c>
      <c r="K11" s="13" t="n">
        <v>12</v>
      </c>
      <c r="L11" s="13" t="n">
        <v>4786</v>
      </c>
      <c r="M11" s="13" t="n">
        <v>10833</v>
      </c>
      <c r="N11" s="13" t="n">
        <v>488</v>
      </c>
      <c r="O11" s="13" t="n">
        <v>1890</v>
      </c>
      <c r="P11" s="13" t="n">
        <v>3917</v>
      </c>
      <c r="Q11" s="13" t="n">
        <v>3961</v>
      </c>
      <c r="R11" s="13" t="n">
        <v>577</v>
      </c>
      <c r="S11" s="13" t="n">
        <v>0</v>
      </c>
      <c r="T11" s="13" t="n">
        <v>0.693</v>
      </c>
      <c r="U11" s="13" t="n">
        <v>2.63</v>
      </c>
      <c r="V11" s="13" t="n">
        <f aca="false">M11-SUM(N11:S11)</f>
        <v>0</v>
      </c>
    </row>
    <row r="12" customFormat="false" ht="15" hidden="false" customHeight="true" outlineLevel="0" collapsed="false">
      <c r="A12" s="13" t="n">
        <v>2024</v>
      </c>
      <c r="B12" s="13" t="s">
        <v>1021</v>
      </c>
      <c r="C12" s="13" t="s">
        <v>121</v>
      </c>
      <c r="D12" s="13" t="s">
        <v>1035</v>
      </c>
      <c r="E12" s="13" t="s">
        <v>122</v>
      </c>
      <c r="F12" s="13" t="s">
        <v>357</v>
      </c>
      <c r="G12" s="13" t="n">
        <v>9280</v>
      </c>
      <c r="H12" s="13" t="n">
        <v>44</v>
      </c>
      <c r="I12" s="13" t="n">
        <v>9236</v>
      </c>
      <c r="J12" s="13" t="n">
        <v>117</v>
      </c>
      <c r="K12" s="13" t="n">
        <v>0</v>
      </c>
      <c r="L12" s="13" t="n">
        <v>1726</v>
      </c>
      <c r="M12" s="13" t="n">
        <v>7510</v>
      </c>
      <c r="N12" s="13" t="n">
        <v>543</v>
      </c>
      <c r="O12" s="13" t="n">
        <v>1746</v>
      </c>
      <c r="P12" s="13" t="n">
        <v>3048</v>
      </c>
      <c r="Q12" s="13" t="n">
        <v>2045</v>
      </c>
      <c r="R12" s="13" t="n">
        <v>128</v>
      </c>
      <c r="S12" s="13" t="n">
        <v>0</v>
      </c>
      <c r="T12" s="13" t="n">
        <v>0.8131</v>
      </c>
      <c r="U12" s="13" t="n">
        <v>3.31</v>
      </c>
      <c r="V12" s="13" t="n">
        <f aca="false">M12-SUM(N12:S12)</f>
        <v>0</v>
      </c>
    </row>
    <row r="13" customFormat="false" ht="15" hidden="false" customHeight="true" outlineLevel="0" collapsed="false">
      <c r="A13" s="13" t="n">
        <v>2024</v>
      </c>
      <c r="B13" s="13" t="s">
        <v>1021</v>
      </c>
      <c r="C13" s="13" t="s">
        <v>121</v>
      </c>
      <c r="D13" s="13" t="s">
        <v>1035</v>
      </c>
      <c r="E13" s="13" t="s">
        <v>192</v>
      </c>
      <c r="F13" s="13" t="s">
        <v>652</v>
      </c>
      <c r="G13" s="13" t="n">
        <v>25005</v>
      </c>
      <c r="H13" s="13" t="n">
        <v>137</v>
      </c>
      <c r="I13" s="13" t="n">
        <v>24868</v>
      </c>
      <c r="J13" s="13" t="n">
        <v>378</v>
      </c>
      <c r="K13" s="13" t="n">
        <v>12</v>
      </c>
      <c r="L13" s="13" t="n">
        <v>6512</v>
      </c>
      <c r="M13" s="13" t="n">
        <v>18343</v>
      </c>
      <c r="N13" s="13" t="n">
        <v>1031</v>
      </c>
      <c r="O13" s="13" t="n">
        <v>3636</v>
      </c>
      <c r="P13" s="13" t="n">
        <v>6965</v>
      </c>
      <c r="Q13" s="13" t="n">
        <v>6006</v>
      </c>
      <c r="R13" s="13" t="n">
        <v>705</v>
      </c>
      <c r="S13" s="13" t="n">
        <v>0</v>
      </c>
      <c r="T13" s="13" t="n">
        <v>0.7376</v>
      </c>
      <c r="U13" s="13" t="n">
        <v>2.88</v>
      </c>
      <c r="V13" s="13" t="n">
        <f aca="false">M13-SUM(N13:S13)</f>
        <v>0</v>
      </c>
    </row>
    <row r="14" customFormat="false" ht="15" hidden="false" customHeight="true" outlineLevel="0" collapsed="false">
      <c r="A14" s="13" t="n">
        <v>2024</v>
      </c>
      <c r="B14" s="13" t="s">
        <v>1021</v>
      </c>
      <c r="C14" s="13" t="s">
        <v>121</v>
      </c>
      <c r="D14" s="13" t="s">
        <v>203</v>
      </c>
      <c r="E14" s="13" t="s">
        <v>124</v>
      </c>
      <c r="F14" s="13" t="s">
        <v>357</v>
      </c>
      <c r="G14" s="13" t="n">
        <v>2186</v>
      </c>
      <c r="H14" s="13" t="n">
        <v>8</v>
      </c>
      <c r="I14" s="13" t="n">
        <v>2178</v>
      </c>
      <c r="J14" s="13" t="n">
        <v>72</v>
      </c>
      <c r="K14" s="13" t="n">
        <v>0</v>
      </c>
      <c r="L14" s="13" t="n">
        <v>586</v>
      </c>
      <c r="M14" s="13" t="n">
        <v>1591</v>
      </c>
      <c r="N14" s="13" t="n">
        <v>20</v>
      </c>
      <c r="O14" s="13" t="n">
        <v>76</v>
      </c>
      <c r="P14" s="13" t="n">
        <v>253</v>
      </c>
      <c r="Q14" s="13" t="n">
        <v>659</v>
      </c>
      <c r="R14" s="13" t="n">
        <v>570</v>
      </c>
      <c r="S14" s="13" t="n">
        <v>13</v>
      </c>
      <c r="T14" s="13" t="n">
        <v>0.7305</v>
      </c>
      <c r="U14" s="13" t="n">
        <v>2.13</v>
      </c>
      <c r="V14" s="13" t="n">
        <f aca="false">M14-SUM(N14:S14)</f>
        <v>0</v>
      </c>
    </row>
    <row r="15" customFormat="false" ht="15" hidden="false" customHeight="true" outlineLevel="0" collapsed="false">
      <c r="A15" s="13" t="n">
        <v>2024</v>
      </c>
      <c r="B15" s="13" t="s">
        <v>1021</v>
      </c>
      <c r="C15" s="13" t="s">
        <v>121</v>
      </c>
      <c r="D15" s="13" t="s">
        <v>203</v>
      </c>
      <c r="E15" s="13" t="s">
        <v>122</v>
      </c>
      <c r="F15" s="13" t="s">
        <v>357</v>
      </c>
      <c r="G15" s="13" t="n">
        <v>1240</v>
      </c>
      <c r="H15" s="13" t="n">
        <v>8</v>
      </c>
      <c r="I15" s="13" t="n">
        <v>1232</v>
      </c>
      <c r="J15" s="13" t="n">
        <v>28</v>
      </c>
      <c r="K15" s="13" t="n">
        <v>0</v>
      </c>
      <c r="L15" s="13" t="n">
        <v>155</v>
      </c>
      <c r="M15" s="13" t="n">
        <v>1077</v>
      </c>
      <c r="N15" s="13" t="n">
        <v>39</v>
      </c>
      <c r="O15" s="13" t="n">
        <v>150</v>
      </c>
      <c r="P15" s="13" t="n">
        <v>355</v>
      </c>
      <c r="Q15" s="13" t="n">
        <v>399</v>
      </c>
      <c r="R15" s="13" t="n">
        <v>133</v>
      </c>
      <c r="S15" s="13" t="n">
        <v>1</v>
      </c>
      <c r="T15" s="13" t="n">
        <v>0.8742</v>
      </c>
      <c r="U15" s="13" t="n">
        <v>3.14</v>
      </c>
      <c r="V15" s="13" t="n">
        <f aca="false">M15-SUM(N15:S15)</f>
        <v>0</v>
      </c>
    </row>
    <row r="16" customFormat="false" ht="15" hidden="false" customHeight="true" outlineLevel="0" collapsed="false">
      <c r="A16" s="13" t="n">
        <v>2024</v>
      </c>
      <c r="B16" s="13" t="s">
        <v>1021</v>
      </c>
      <c r="C16" s="13" t="s">
        <v>121</v>
      </c>
      <c r="D16" s="13" t="s">
        <v>203</v>
      </c>
      <c r="E16" s="13" t="s">
        <v>192</v>
      </c>
      <c r="F16" s="13" t="s">
        <v>652</v>
      </c>
      <c r="G16" s="13" t="n">
        <v>3426</v>
      </c>
      <c r="H16" s="13" t="n">
        <v>16</v>
      </c>
      <c r="I16" s="13" t="n">
        <v>3410</v>
      </c>
      <c r="J16" s="13" t="n">
        <v>100</v>
      </c>
      <c r="K16" s="13" t="n">
        <v>0</v>
      </c>
      <c r="L16" s="13" t="n">
        <v>741</v>
      </c>
      <c r="M16" s="13" t="n">
        <v>2668</v>
      </c>
      <c r="N16" s="13" t="n">
        <v>59</v>
      </c>
      <c r="O16" s="13" t="n">
        <v>226</v>
      </c>
      <c r="P16" s="13" t="n">
        <v>608</v>
      </c>
      <c r="Q16" s="13" t="n">
        <v>1058</v>
      </c>
      <c r="R16" s="13" t="n">
        <v>703</v>
      </c>
      <c r="S16" s="13" t="n">
        <v>14</v>
      </c>
      <c r="T16" s="13" t="n">
        <v>0.7824</v>
      </c>
      <c r="U16" s="13" t="n">
        <v>2.5</v>
      </c>
      <c r="V16" s="13" t="n">
        <f aca="false">M16-SUM(N16:S16)</f>
        <v>0</v>
      </c>
    </row>
    <row r="17" customFormat="false" ht="15" hidden="false" customHeight="true" outlineLevel="0" collapsed="false">
      <c r="A17" s="13" t="n">
        <v>2024</v>
      </c>
      <c r="B17" s="13" t="s">
        <v>1021</v>
      </c>
      <c r="C17" s="13" t="s">
        <v>121</v>
      </c>
      <c r="D17" s="13" t="s">
        <v>1036</v>
      </c>
      <c r="E17" s="13" t="s">
        <v>122</v>
      </c>
      <c r="F17" s="13" t="s">
        <v>357</v>
      </c>
      <c r="G17" s="13" t="n">
        <v>61</v>
      </c>
      <c r="H17" s="13" t="n">
        <v>0</v>
      </c>
      <c r="I17" s="13" t="n">
        <v>61</v>
      </c>
      <c r="J17" s="13" t="n">
        <v>0</v>
      </c>
      <c r="K17" s="13" t="n">
        <v>0</v>
      </c>
      <c r="L17" s="13" t="n">
        <v>9</v>
      </c>
      <c r="M17" s="13" t="n">
        <v>52</v>
      </c>
      <c r="N17" s="13" t="n">
        <v>3</v>
      </c>
      <c r="O17" s="13" t="n">
        <v>15</v>
      </c>
      <c r="P17" s="13" t="n">
        <v>18</v>
      </c>
      <c r="Q17" s="13" t="n">
        <v>14</v>
      </c>
      <c r="R17" s="13" t="n">
        <v>2</v>
      </c>
      <c r="S17" s="13" t="n">
        <v>0</v>
      </c>
      <c r="T17" s="13" t="n">
        <v>0.8525</v>
      </c>
      <c r="U17" s="13" t="n">
        <v>3.46</v>
      </c>
      <c r="V17" s="13" t="n">
        <f aca="false">M17-SUM(N17:S17)</f>
        <v>0</v>
      </c>
    </row>
    <row r="18" customFormat="false" ht="15" hidden="false" customHeight="true" outlineLevel="0" collapsed="false">
      <c r="A18" s="13" t="n">
        <v>2024</v>
      </c>
      <c r="B18" s="13" t="s">
        <v>1021</v>
      </c>
      <c r="C18" s="13" t="s">
        <v>121</v>
      </c>
      <c r="D18" s="13" t="s">
        <v>1036</v>
      </c>
      <c r="E18" s="13" t="s">
        <v>192</v>
      </c>
      <c r="F18" s="13" t="s">
        <v>652</v>
      </c>
      <c r="G18" s="13" t="n">
        <v>61</v>
      </c>
      <c r="H18" s="13" t="n">
        <v>0</v>
      </c>
      <c r="I18" s="13" t="n">
        <v>61</v>
      </c>
      <c r="J18" s="13" t="n">
        <v>0</v>
      </c>
      <c r="K18" s="13" t="n">
        <v>0</v>
      </c>
      <c r="L18" s="13" t="n">
        <v>9</v>
      </c>
      <c r="M18" s="13" t="n">
        <v>52</v>
      </c>
      <c r="N18" s="13" t="n">
        <v>3</v>
      </c>
      <c r="O18" s="13" t="n">
        <v>15</v>
      </c>
      <c r="P18" s="13" t="n">
        <v>18</v>
      </c>
      <c r="Q18" s="13" t="n">
        <v>14</v>
      </c>
      <c r="R18" s="13" t="n">
        <v>2</v>
      </c>
      <c r="S18" s="13" t="n">
        <v>0</v>
      </c>
      <c r="T18" s="13" t="n">
        <v>0.8525</v>
      </c>
      <c r="U18" s="13" t="n">
        <v>3.46</v>
      </c>
      <c r="V18" s="13" t="n">
        <f aca="false">M18-SUM(N18:S18)</f>
        <v>0</v>
      </c>
    </row>
    <row r="19" customFormat="false" ht="15" hidden="false" customHeight="true" outlineLevel="0" collapsed="false">
      <c r="A19" s="13" t="n">
        <v>2024</v>
      </c>
      <c r="B19" s="13" t="s">
        <v>1021</v>
      </c>
      <c r="C19" s="13" t="s">
        <v>121</v>
      </c>
      <c r="D19" s="13" t="s">
        <v>1037</v>
      </c>
      <c r="E19" s="13" t="s">
        <v>192</v>
      </c>
      <c r="F19" s="13" t="s">
        <v>1038</v>
      </c>
      <c r="G19" s="13" t="n">
        <v>76712</v>
      </c>
      <c r="H19" s="13" t="n">
        <v>348</v>
      </c>
      <c r="I19" s="13" t="n">
        <v>76364</v>
      </c>
      <c r="J19" s="13" t="n">
        <v>907</v>
      </c>
      <c r="K19" s="13" t="n">
        <v>24</v>
      </c>
      <c r="L19" s="13" t="n">
        <v>11556</v>
      </c>
      <c r="M19" s="13" t="n">
        <v>64781</v>
      </c>
      <c r="N19" s="13" t="n">
        <v>10460</v>
      </c>
      <c r="O19" s="13" t="n">
        <v>14377</v>
      </c>
      <c r="P19" s="13" t="n">
        <v>19773</v>
      </c>
      <c r="Q19" s="13" t="n">
        <v>16050</v>
      </c>
      <c r="R19" s="13" t="n">
        <v>4024</v>
      </c>
      <c r="S19" s="13" t="n">
        <v>97</v>
      </c>
      <c r="T19" s="13" t="n">
        <v>0.8483</v>
      </c>
      <c r="U19" s="13" t="n">
        <v>3.54</v>
      </c>
      <c r="V19" s="13" t="n">
        <f aca="false">M19-SUM(N19:S19)</f>
        <v>0</v>
      </c>
    </row>
    <row r="20" customFormat="false" ht="15" hidden="false" customHeight="true" outlineLevel="0" collapsed="false">
      <c r="A20" s="13" t="n">
        <v>2024</v>
      </c>
      <c r="B20" s="13" t="s">
        <v>1021</v>
      </c>
      <c r="C20" s="13" t="s">
        <v>125</v>
      </c>
      <c r="D20" s="13" t="s">
        <v>128</v>
      </c>
      <c r="E20" s="13" t="s">
        <v>124</v>
      </c>
      <c r="F20" s="13" t="s">
        <v>357</v>
      </c>
      <c r="G20" s="13" t="n">
        <v>1977</v>
      </c>
      <c r="H20" s="13" t="n">
        <v>112</v>
      </c>
      <c r="I20" s="13" t="n">
        <v>1865</v>
      </c>
      <c r="J20" s="13" t="n">
        <v>161</v>
      </c>
      <c r="K20" s="13" t="n">
        <v>1</v>
      </c>
      <c r="L20" s="13" t="n">
        <v>883</v>
      </c>
      <c r="M20" s="13" t="n">
        <v>981</v>
      </c>
      <c r="N20" s="13" t="n">
        <v>5</v>
      </c>
      <c r="O20" s="13" t="n">
        <v>24</v>
      </c>
      <c r="P20" s="13" t="n">
        <v>118</v>
      </c>
      <c r="Q20" s="13" t="n">
        <v>255</v>
      </c>
      <c r="R20" s="13" t="n">
        <v>442</v>
      </c>
      <c r="S20" s="13" t="n">
        <v>62</v>
      </c>
      <c r="T20" s="13" t="n">
        <v>0.526</v>
      </c>
      <c r="U20" s="13" t="n">
        <v>1.25</v>
      </c>
      <c r="V20" s="13" t="n">
        <f aca="false">M20-SUM(N20:S20)</f>
        <v>75</v>
      </c>
    </row>
    <row r="21" customFormat="false" ht="15" hidden="false" customHeight="true" outlineLevel="0" collapsed="false">
      <c r="A21" s="13" t="n">
        <v>2024</v>
      </c>
      <c r="B21" s="13" t="s">
        <v>1021</v>
      </c>
      <c r="C21" s="13" t="s">
        <v>125</v>
      </c>
      <c r="D21" s="13" t="s">
        <v>128</v>
      </c>
      <c r="E21" s="13" t="s">
        <v>122</v>
      </c>
      <c r="F21" s="13" t="s">
        <v>357</v>
      </c>
      <c r="G21" s="13" t="n">
        <v>2281</v>
      </c>
      <c r="H21" s="13" t="n">
        <v>83</v>
      </c>
      <c r="I21" s="13" t="n">
        <v>2198</v>
      </c>
      <c r="J21" s="13" t="n">
        <v>92</v>
      </c>
      <c r="K21" s="13" t="n">
        <v>1</v>
      </c>
      <c r="L21" s="13" t="n">
        <v>725</v>
      </c>
      <c r="M21" s="13" t="n">
        <v>1472</v>
      </c>
      <c r="N21" s="13" t="n">
        <v>7</v>
      </c>
      <c r="O21" s="13" t="n">
        <v>49</v>
      </c>
      <c r="P21" s="13" t="n">
        <v>197</v>
      </c>
      <c r="Q21" s="13" t="n">
        <v>463</v>
      </c>
      <c r="R21" s="13" t="n">
        <v>580</v>
      </c>
      <c r="S21" s="13" t="n">
        <v>51</v>
      </c>
      <c r="T21" s="13" t="n">
        <v>0.6697</v>
      </c>
      <c r="U21" s="13" t="n">
        <v>1.67</v>
      </c>
      <c r="V21" s="13" t="n">
        <f aca="false">M21-SUM(N21:S21)</f>
        <v>125</v>
      </c>
    </row>
    <row r="22" customFormat="false" ht="15" hidden="false" customHeight="true" outlineLevel="0" collapsed="false">
      <c r="A22" s="13" t="n">
        <v>2024</v>
      </c>
      <c r="B22" s="13" t="s">
        <v>1021</v>
      </c>
      <c r="C22" s="13" t="s">
        <v>125</v>
      </c>
      <c r="D22" s="13" t="s">
        <v>128</v>
      </c>
      <c r="E22" s="13" t="s">
        <v>192</v>
      </c>
      <c r="F22" s="13" t="s">
        <v>652</v>
      </c>
      <c r="G22" s="13" t="n">
        <v>4258</v>
      </c>
      <c r="H22" s="13" t="n">
        <v>195</v>
      </c>
      <c r="I22" s="13" t="n">
        <v>4063</v>
      </c>
      <c r="J22" s="13" t="n">
        <v>253</v>
      </c>
      <c r="K22" s="13" t="n">
        <v>2</v>
      </c>
      <c r="L22" s="13" t="n">
        <v>1608</v>
      </c>
      <c r="M22" s="13" t="n">
        <v>2453</v>
      </c>
      <c r="N22" s="13" t="n">
        <v>12</v>
      </c>
      <c r="O22" s="13" t="n">
        <v>73</v>
      </c>
      <c r="P22" s="13" t="n">
        <v>315</v>
      </c>
      <c r="Q22" s="13" t="n">
        <v>718</v>
      </c>
      <c r="R22" s="13" t="n">
        <v>1022</v>
      </c>
      <c r="S22" s="13" t="n">
        <v>113</v>
      </c>
      <c r="T22" s="13" t="n">
        <v>0.6037</v>
      </c>
      <c r="U22" s="13" t="n">
        <v>1.48</v>
      </c>
      <c r="V22" s="13" t="n">
        <f aca="false">M22-SUM(N22:S22)</f>
        <v>200</v>
      </c>
    </row>
    <row r="23" customFormat="false" ht="15" hidden="false" customHeight="true" outlineLevel="0" collapsed="false">
      <c r="A23" s="13" t="n">
        <v>2024</v>
      </c>
      <c r="B23" s="13" t="s">
        <v>1021</v>
      </c>
      <c r="C23" s="13" t="s">
        <v>125</v>
      </c>
      <c r="D23" s="13" t="s">
        <v>1033</v>
      </c>
      <c r="E23" s="13" t="s">
        <v>124</v>
      </c>
      <c r="F23" s="13" t="s">
        <v>357</v>
      </c>
      <c r="G23" s="13" t="n">
        <v>1339</v>
      </c>
      <c r="H23" s="13" t="n">
        <v>154</v>
      </c>
      <c r="I23" s="13" t="n">
        <v>1185</v>
      </c>
      <c r="J23" s="13" t="n">
        <v>19</v>
      </c>
      <c r="K23" s="13" t="n">
        <v>2</v>
      </c>
      <c r="L23" s="13" t="n">
        <v>147</v>
      </c>
      <c r="M23" s="13" t="n">
        <v>1036</v>
      </c>
      <c r="N23" s="13" t="n">
        <v>633</v>
      </c>
      <c r="O23" s="13" t="n">
        <v>163</v>
      </c>
      <c r="P23" s="13" t="n">
        <v>82</v>
      </c>
      <c r="Q23" s="13" t="n">
        <v>103</v>
      </c>
      <c r="R23" s="13" t="n">
        <v>55</v>
      </c>
      <c r="S23" s="13" t="n">
        <v>0</v>
      </c>
      <c r="T23" s="13" t="n">
        <v>0.8743</v>
      </c>
      <c r="U23" s="13" t="n">
        <v>4.52</v>
      </c>
      <c r="V23" s="13" t="n">
        <f aca="false">M23-SUM(N23:S23)</f>
        <v>0</v>
      </c>
    </row>
    <row r="24" customFormat="false" ht="15" hidden="false" customHeight="true" outlineLevel="0" collapsed="false">
      <c r="A24" s="13" t="n">
        <v>2024</v>
      </c>
      <c r="B24" s="13" t="s">
        <v>1021</v>
      </c>
      <c r="C24" s="13" t="s">
        <v>125</v>
      </c>
      <c r="D24" s="13" t="s">
        <v>1033</v>
      </c>
      <c r="E24" s="13" t="s">
        <v>122</v>
      </c>
      <c r="F24" s="13" t="s">
        <v>357</v>
      </c>
      <c r="G24" s="13" t="n">
        <v>2790</v>
      </c>
      <c r="H24" s="13" t="n">
        <v>204</v>
      </c>
      <c r="I24" s="13" t="n">
        <v>2586</v>
      </c>
      <c r="J24" s="13" t="n">
        <v>25</v>
      </c>
      <c r="K24" s="13" t="n">
        <v>1</v>
      </c>
      <c r="L24" s="13" t="n">
        <v>101</v>
      </c>
      <c r="M24" s="13" t="n">
        <v>2484</v>
      </c>
      <c r="N24" s="13" t="n">
        <v>1778</v>
      </c>
      <c r="O24" s="13" t="n">
        <v>404</v>
      </c>
      <c r="P24" s="13" t="n">
        <v>153</v>
      </c>
      <c r="Q24" s="13" t="n">
        <v>114</v>
      </c>
      <c r="R24" s="13" t="n">
        <v>34</v>
      </c>
      <c r="S24" s="13" t="n">
        <v>0</v>
      </c>
      <c r="T24" s="13" t="n">
        <v>0.9606</v>
      </c>
      <c r="U24" s="13" t="n">
        <v>5.3</v>
      </c>
      <c r="V24" s="13" t="n">
        <f aca="false">M24-SUM(N24:S24)</f>
        <v>1</v>
      </c>
    </row>
    <row r="25" customFormat="false" ht="15" hidden="false" customHeight="true" outlineLevel="0" collapsed="false">
      <c r="A25" s="13" t="n">
        <v>2024</v>
      </c>
      <c r="B25" s="13" t="s">
        <v>1021</v>
      </c>
      <c r="C25" s="13" t="s">
        <v>125</v>
      </c>
      <c r="D25" s="13" t="s">
        <v>1033</v>
      </c>
      <c r="E25" s="13" t="s">
        <v>192</v>
      </c>
      <c r="F25" s="13" t="s">
        <v>652</v>
      </c>
      <c r="G25" s="13" t="n">
        <v>4129</v>
      </c>
      <c r="H25" s="13" t="n">
        <v>358</v>
      </c>
      <c r="I25" s="13" t="n">
        <v>3771</v>
      </c>
      <c r="J25" s="13" t="n">
        <v>44</v>
      </c>
      <c r="K25" s="13" t="n">
        <v>3</v>
      </c>
      <c r="L25" s="13" t="n">
        <v>248</v>
      </c>
      <c r="M25" s="13" t="n">
        <v>3520</v>
      </c>
      <c r="N25" s="13" t="n">
        <v>2411</v>
      </c>
      <c r="O25" s="13" t="n">
        <v>567</v>
      </c>
      <c r="P25" s="13" t="n">
        <v>235</v>
      </c>
      <c r="Q25" s="13" t="n">
        <v>217</v>
      </c>
      <c r="R25" s="13" t="n">
        <v>89</v>
      </c>
      <c r="S25" s="13" t="n">
        <v>0</v>
      </c>
      <c r="T25" s="13" t="n">
        <v>0.9334</v>
      </c>
      <c r="U25" s="13" t="n">
        <v>5.06</v>
      </c>
      <c r="V25" s="13" t="n">
        <f aca="false">M25-SUM(N25:S25)</f>
        <v>1</v>
      </c>
    </row>
    <row r="26" customFormat="false" ht="15" hidden="false" customHeight="true" outlineLevel="0" collapsed="false">
      <c r="A26" s="13" t="n">
        <v>2024</v>
      </c>
      <c r="B26" s="13" t="s">
        <v>1021</v>
      </c>
      <c r="C26" s="13" t="s">
        <v>125</v>
      </c>
      <c r="D26" s="13" t="s">
        <v>1034</v>
      </c>
      <c r="E26" s="13" t="s">
        <v>124</v>
      </c>
      <c r="F26" s="13" t="s">
        <v>357</v>
      </c>
      <c r="G26" s="13" t="n">
        <v>715</v>
      </c>
      <c r="H26" s="13" t="n">
        <v>67</v>
      </c>
      <c r="I26" s="13" t="n">
        <v>648</v>
      </c>
      <c r="J26" s="13" t="n">
        <v>10</v>
      </c>
      <c r="K26" s="13" t="n">
        <v>1</v>
      </c>
      <c r="L26" s="13" t="n">
        <v>294</v>
      </c>
      <c r="M26" s="13" t="n">
        <v>353</v>
      </c>
      <c r="N26" s="13" t="n">
        <v>5</v>
      </c>
      <c r="O26" s="13" t="n">
        <v>28</v>
      </c>
      <c r="P26" s="13" t="n">
        <v>79</v>
      </c>
      <c r="Q26" s="13" t="n">
        <v>185</v>
      </c>
      <c r="R26" s="13" t="n">
        <v>54</v>
      </c>
      <c r="S26" s="13" t="n">
        <v>2</v>
      </c>
      <c r="T26" s="13" t="n">
        <v>0.5448</v>
      </c>
      <c r="U26" s="13" t="n">
        <v>1.78</v>
      </c>
      <c r="V26" s="13" t="n">
        <f aca="false">M26-SUM(N26:S26)</f>
        <v>0</v>
      </c>
    </row>
    <row r="27" customFormat="false" ht="15" hidden="false" customHeight="true" outlineLevel="0" collapsed="false">
      <c r="A27" s="13" t="n">
        <v>2024</v>
      </c>
      <c r="B27" s="13" t="s">
        <v>1021</v>
      </c>
      <c r="C27" s="13" t="s">
        <v>125</v>
      </c>
      <c r="D27" s="13" t="s">
        <v>1034</v>
      </c>
      <c r="E27" s="13" t="s">
        <v>122</v>
      </c>
      <c r="F27" s="13" t="s">
        <v>357</v>
      </c>
      <c r="G27" s="13" t="n">
        <v>186</v>
      </c>
      <c r="H27" s="13" t="n">
        <v>15</v>
      </c>
      <c r="I27" s="13" t="n">
        <v>171</v>
      </c>
      <c r="J27" s="13" t="n">
        <v>2</v>
      </c>
      <c r="K27" s="13" t="n">
        <v>0</v>
      </c>
      <c r="L27" s="13" t="n">
        <v>66</v>
      </c>
      <c r="M27" s="13" t="n">
        <v>105</v>
      </c>
      <c r="N27" s="13" t="n">
        <v>3</v>
      </c>
      <c r="O27" s="13" t="n">
        <v>21</v>
      </c>
      <c r="P27" s="13" t="n">
        <v>35</v>
      </c>
      <c r="Q27" s="13" t="n">
        <v>34</v>
      </c>
      <c r="R27" s="13" t="n">
        <v>12</v>
      </c>
      <c r="S27" s="13" t="n">
        <v>0</v>
      </c>
      <c r="T27" s="13" t="n">
        <v>0.614</v>
      </c>
      <c r="U27" s="13" t="n">
        <v>2.27</v>
      </c>
      <c r="V27" s="13" t="n">
        <f aca="false">M27-SUM(N27:S27)</f>
        <v>0</v>
      </c>
    </row>
    <row r="28" customFormat="false" ht="15" hidden="false" customHeight="true" outlineLevel="0" collapsed="false">
      <c r="A28" s="13" t="n">
        <v>2024</v>
      </c>
      <c r="B28" s="13" t="s">
        <v>1021</v>
      </c>
      <c r="C28" s="13" t="s">
        <v>125</v>
      </c>
      <c r="D28" s="13" t="s">
        <v>1034</v>
      </c>
      <c r="E28" s="13" t="s">
        <v>192</v>
      </c>
      <c r="F28" s="13" t="s">
        <v>652</v>
      </c>
      <c r="G28" s="13" t="n">
        <v>901</v>
      </c>
      <c r="H28" s="13" t="n">
        <v>82</v>
      </c>
      <c r="I28" s="13" t="n">
        <v>819</v>
      </c>
      <c r="J28" s="13" t="n">
        <v>12</v>
      </c>
      <c r="K28" s="13" t="n">
        <v>1</v>
      </c>
      <c r="L28" s="13" t="n">
        <v>360</v>
      </c>
      <c r="M28" s="13" t="n">
        <v>458</v>
      </c>
      <c r="N28" s="13" t="n">
        <v>8</v>
      </c>
      <c r="O28" s="13" t="n">
        <v>49</v>
      </c>
      <c r="P28" s="13" t="n">
        <v>114</v>
      </c>
      <c r="Q28" s="13" t="n">
        <v>219</v>
      </c>
      <c r="R28" s="13" t="n">
        <v>66</v>
      </c>
      <c r="S28" s="13" t="n">
        <v>2</v>
      </c>
      <c r="T28" s="13" t="n">
        <v>0.5592</v>
      </c>
      <c r="U28" s="13" t="n">
        <v>1.88</v>
      </c>
      <c r="V28" s="13" t="n">
        <f aca="false">M28-SUM(N28:S28)</f>
        <v>0</v>
      </c>
    </row>
    <row r="29" customFormat="false" ht="15" hidden="false" customHeight="true" outlineLevel="0" collapsed="false">
      <c r="A29" s="13" t="n">
        <v>2024</v>
      </c>
      <c r="B29" s="13" t="s">
        <v>1021</v>
      </c>
      <c r="C29" s="13" t="s">
        <v>125</v>
      </c>
      <c r="D29" s="13" t="s">
        <v>1035</v>
      </c>
      <c r="E29" s="13" t="s">
        <v>124</v>
      </c>
      <c r="F29" s="13" t="s">
        <v>357</v>
      </c>
      <c r="G29" s="13" t="n">
        <v>2800</v>
      </c>
      <c r="H29" s="13" t="n">
        <v>181</v>
      </c>
      <c r="I29" s="13" t="n">
        <v>2619</v>
      </c>
      <c r="J29" s="13" t="n">
        <v>49</v>
      </c>
      <c r="K29" s="13" t="n">
        <v>2</v>
      </c>
      <c r="L29" s="13" t="n">
        <v>1879</v>
      </c>
      <c r="M29" s="13" t="n">
        <v>738</v>
      </c>
      <c r="N29" s="13" t="n">
        <v>2</v>
      </c>
      <c r="O29" s="13" t="n">
        <v>22</v>
      </c>
      <c r="P29" s="13" t="n">
        <v>103</v>
      </c>
      <c r="Q29" s="13" t="n">
        <v>363</v>
      </c>
      <c r="R29" s="13" t="n">
        <v>245</v>
      </c>
      <c r="S29" s="13" t="n">
        <v>3</v>
      </c>
      <c r="T29" s="13" t="n">
        <v>0.2818</v>
      </c>
      <c r="U29" s="13" t="n">
        <v>0.81</v>
      </c>
      <c r="V29" s="13" t="n">
        <f aca="false">M29-SUM(N29:S29)</f>
        <v>0</v>
      </c>
    </row>
    <row r="30" customFormat="false" ht="15" hidden="false" customHeight="true" outlineLevel="0" collapsed="false">
      <c r="A30" s="13" t="n">
        <v>2024</v>
      </c>
      <c r="B30" s="13" t="s">
        <v>1021</v>
      </c>
      <c r="C30" s="13" t="s">
        <v>125</v>
      </c>
      <c r="D30" s="13" t="s">
        <v>1035</v>
      </c>
      <c r="E30" s="13" t="s">
        <v>122</v>
      </c>
      <c r="F30" s="13" t="s">
        <v>357</v>
      </c>
      <c r="G30" s="13" t="n">
        <v>653</v>
      </c>
      <c r="H30" s="13" t="n">
        <v>30</v>
      </c>
      <c r="I30" s="13" t="n">
        <v>623</v>
      </c>
      <c r="J30" s="13" t="n">
        <v>2</v>
      </c>
      <c r="K30" s="13" t="n">
        <v>0</v>
      </c>
      <c r="L30" s="13" t="n">
        <v>390</v>
      </c>
      <c r="M30" s="13" t="n">
        <v>233</v>
      </c>
      <c r="N30" s="13" t="n">
        <v>0</v>
      </c>
      <c r="O30" s="13" t="n">
        <v>20</v>
      </c>
      <c r="P30" s="13" t="n">
        <v>53</v>
      </c>
      <c r="Q30" s="13" t="n">
        <v>115</v>
      </c>
      <c r="R30" s="13" t="n">
        <v>45</v>
      </c>
      <c r="S30" s="13" t="n">
        <v>0</v>
      </c>
      <c r="T30" s="13" t="n">
        <v>0.374</v>
      </c>
      <c r="U30" s="13" t="n">
        <v>1.2</v>
      </c>
      <c r="V30" s="13" t="n">
        <f aca="false">M30-SUM(N30:S30)</f>
        <v>0</v>
      </c>
    </row>
    <row r="31" customFormat="false" ht="15" hidden="false" customHeight="true" outlineLevel="0" collapsed="false">
      <c r="A31" s="13" t="n">
        <v>2024</v>
      </c>
      <c r="B31" s="13" t="s">
        <v>1021</v>
      </c>
      <c r="C31" s="13" t="s">
        <v>125</v>
      </c>
      <c r="D31" s="13" t="s">
        <v>1035</v>
      </c>
      <c r="E31" s="13" t="s">
        <v>192</v>
      </c>
      <c r="F31" s="13" t="s">
        <v>652</v>
      </c>
      <c r="G31" s="13" t="n">
        <v>3453</v>
      </c>
      <c r="H31" s="13" t="n">
        <v>211</v>
      </c>
      <c r="I31" s="13" t="n">
        <v>3242</v>
      </c>
      <c r="J31" s="13" t="n">
        <v>51</v>
      </c>
      <c r="K31" s="13" t="n">
        <v>2</v>
      </c>
      <c r="L31" s="13" t="n">
        <v>2269</v>
      </c>
      <c r="M31" s="13" t="n">
        <v>971</v>
      </c>
      <c r="N31" s="13" t="n">
        <v>2</v>
      </c>
      <c r="O31" s="13" t="n">
        <v>42</v>
      </c>
      <c r="P31" s="13" t="n">
        <v>156</v>
      </c>
      <c r="Q31" s="13" t="n">
        <v>478</v>
      </c>
      <c r="R31" s="13" t="n">
        <v>290</v>
      </c>
      <c r="S31" s="13" t="n">
        <v>3</v>
      </c>
      <c r="T31" s="13" t="n">
        <v>0.2995</v>
      </c>
      <c r="U31" s="13" t="n">
        <v>0.88</v>
      </c>
      <c r="V31" s="13" t="n">
        <f aca="false">M31-SUM(N31:S31)</f>
        <v>0</v>
      </c>
    </row>
    <row r="32" customFormat="false" ht="15" hidden="false" customHeight="true" outlineLevel="0" collapsed="false">
      <c r="A32" s="13" t="n">
        <v>2024</v>
      </c>
      <c r="B32" s="13" t="s">
        <v>1021</v>
      </c>
      <c r="C32" s="13" t="s">
        <v>125</v>
      </c>
      <c r="D32" s="13" t="s">
        <v>203</v>
      </c>
      <c r="E32" s="13" t="s">
        <v>124</v>
      </c>
      <c r="F32" s="13" t="s">
        <v>357</v>
      </c>
      <c r="G32" s="13" t="n">
        <v>809</v>
      </c>
      <c r="H32" s="13" t="n">
        <v>47</v>
      </c>
      <c r="I32" s="13" t="n">
        <v>762</v>
      </c>
      <c r="J32" s="13" t="n">
        <v>10</v>
      </c>
      <c r="K32" s="13" t="n">
        <v>0</v>
      </c>
      <c r="L32" s="13" t="n">
        <v>415</v>
      </c>
      <c r="M32" s="13" t="n">
        <v>347</v>
      </c>
      <c r="N32" s="13" t="n">
        <v>0</v>
      </c>
      <c r="O32" s="13" t="n">
        <v>1</v>
      </c>
      <c r="P32" s="13" t="n">
        <v>19</v>
      </c>
      <c r="Q32" s="13" t="n">
        <v>78</v>
      </c>
      <c r="R32" s="13" t="n">
        <v>215</v>
      </c>
      <c r="S32" s="13" t="n">
        <v>34</v>
      </c>
      <c r="T32" s="13" t="n">
        <v>0.4554</v>
      </c>
      <c r="U32" s="13" t="n">
        <v>1.02</v>
      </c>
      <c r="V32" s="13" t="n">
        <f aca="false">M32-SUM(N32:S32)</f>
        <v>0</v>
      </c>
    </row>
    <row r="33" customFormat="false" ht="15" hidden="false" customHeight="true" outlineLevel="0" collapsed="false">
      <c r="A33" s="13" t="n">
        <v>2024</v>
      </c>
      <c r="B33" s="13" t="s">
        <v>1021</v>
      </c>
      <c r="C33" s="13" t="s">
        <v>125</v>
      </c>
      <c r="D33" s="13" t="s">
        <v>203</v>
      </c>
      <c r="E33" s="13" t="s">
        <v>122</v>
      </c>
      <c r="F33" s="13" t="s">
        <v>357</v>
      </c>
      <c r="G33" s="13" t="n">
        <v>252</v>
      </c>
      <c r="H33" s="13" t="n">
        <v>16</v>
      </c>
      <c r="I33" s="13" t="n">
        <v>236</v>
      </c>
      <c r="J33" s="13" t="n">
        <v>4</v>
      </c>
      <c r="K33" s="13" t="n">
        <v>0</v>
      </c>
      <c r="L33" s="13" t="n">
        <v>116</v>
      </c>
      <c r="M33" s="13" t="n">
        <v>120</v>
      </c>
      <c r="N33" s="13" t="n">
        <v>1</v>
      </c>
      <c r="O33" s="13" t="n">
        <v>9</v>
      </c>
      <c r="P33" s="13" t="n">
        <v>17</v>
      </c>
      <c r="Q33" s="13" t="n">
        <v>43</v>
      </c>
      <c r="R33" s="13" t="n">
        <v>46</v>
      </c>
      <c r="S33" s="13" t="n">
        <v>4</v>
      </c>
      <c r="T33" s="13" t="n">
        <v>0.5085</v>
      </c>
      <c r="U33" s="13" t="n">
        <v>1.46</v>
      </c>
      <c r="V33" s="13" t="n">
        <f aca="false">M33-SUM(N33:S33)</f>
        <v>0</v>
      </c>
    </row>
    <row r="34" customFormat="false" ht="15" hidden="false" customHeight="true" outlineLevel="0" collapsed="false">
      <c r="A34" s="13" t="n">
        <v>2024</v>
      </c>
      <c r="B34" s="13" t="s">
        <v>1021</v>
      </c>
      <c r="C34" s="13" t="s">
        <v>125</v>
      </c>
      <c r="D34" s="13" t="s">
        <v>203</v>
      </c>
      <c r="E34" s="13" t="s">
        <v>192</v>
      </c>
      <c r="F34" s="13" t="s">
        <v>652</v>
      </c>
      <c r="G34" s="13" t="n">
        <v>1061</v>
      </c>
      <c r="H34" s="13" t="n">
        <v>63</v>
      </c>
      <c r="I34" s="13" t="n">
        <v>998</v>
      </c>
      <c r="J34" s="13" t="n">
        <v>14</v>
      </c>
      <c r="K34" s="13" t="n">
        <v>0</v>
      </c>
      <c r="L34" s="13" t="n">
        <v>531</v>
      </c>
      <c r="M34" s="13" t="n">
        <v>467</v>
      </c>
      <c r="N34" s="13" t="n">
        <v>1</v>
      </c>
      <c r="O34" s="13" t="n">
        <v>10</v>
      </c>
      <c r="P34" s="13" t="n">
        <v>36</v>
      </c>
      <c r="Q34" s="13" t="n">
        <v>121</v>
      </c>
      <c r="R34" s="13" t="n">
        <v>261</v>
      </c>
      <c r="S34" s="13" t="n">
        <v>38</v>
      </c>
      <c r="T34" s="13" t="n">
        <v>0.4679</v>
      </c>
      <c r="U34" s="13" t="n">
        <v>1.13</v>
      </c>
      <c r="V34" s="13" t="n">
        <f aca="false">M34-SUM(N34:S34)</f>
        <v>0</v>
      </c>
    </row>
    <row r="35" customFormat="false" ht="15" hidden="false" customHeight="true" outlineLevel="0" collapsed="false">
      <c r="A35" s="13" t="n">
        <v>2024</v>
      </c>
      <c r="B35" s="13" t="s">
        <v>1021</v>
      </c>
      <c r="C35" s="13" t="s">
        <v>125</v>
      </c>
      <c r="D35" s="13" t="s">
        <v>1036</v>
      </c>
      <c r="E35" s="13" t="s">
        <v>122</v>
      </c>
      <c r="F35" s="13" t="s">
        <v>357</v>
      </c>
      <c r="G35" s="13" t="n">
        <v>4</v>
      </c>
      <c r="H35" s="13" t="n">
        <v>0</v>
      </c>
      <c r="I35" s="13" t="n">
        <v>4</v>
      </c>
      <c r="J35" s="13" t="n">
        <v>0</v>
      </c>
      <c r="K35" s="13" t="n">
        <v>0</v>
      </c>
      <c r="L35" s="13" t="n">
        <v>1</v>
      </c>
      <c r="M35" s="13" t="n">
        <v>3</v>
      </c>
      <c r="N35" s="13" t="n">
        <v>0</v>
      </c>
      <c r="O35" s="13" t="n">
        <v>0</v>
      </c>
      <c r="P35" s="13" t="n">
        <v>0</v>
      </c>
      <c r="Q35" s="13" t="n">
        <v>3</v>
      </c>
      <c r="R35" s="13" t="n">
        <v>0</v>
      </c>
      <c r="S35" s="13" t="n">
        <v>0</v>
      </c>
      <c r="T35" s="13" t="n">
        <v>0.75</v>
      </c>
      <c r="U35" s="13" t="n">
        <v>2.25</v>
      </c>
      <c r="V35" s="13" t="n">
        <f aca="false">M35-SUM(N35:S35)</f>
        <v>0</v>
      </c>
    </row>
    <row r="36" customFormat="false" ht="15" hidden="false" customHeight="true" outlineLevel="0" collapsed="false">
      <c r="A36" s="13" t="n">
        <v>2024</v>
      </c>
      <c r="B36" s="13" t="s">
        <v>1021</v>
      </c>
      <c r="C36" s="13" t="s">
        <v>125</v>
      </c>
      <c r="D36" s="13" t="s">
        <v>1036</v>
      </c>
      <c r="E36" s="13" t="s">
        <v>192</v>
      </c>
      <c r="F36" s="13" t="s">
        <v>652</v>
      </c>
      <c r="G36" s="13" t="n">
        <v>4</v>
      </c>
      <c r="H36" s="13" t="n">
        <v>0</v>
      </c>
      <c r="I36" s="13" t="n">
        <v>4</v>
      </c>
      <c r="J36" s="13" t="n">
        <v>0</v>
      </c>
      <c r="K36" s="13" t="n">
        <v>0</v>
      </c>
      <c r="L36" s="13" t="n">
        <v>1</v>
      </c>
      <c r="M36" s="13" t="n">
        <v>3</v>
      </c>
      <c r="N36" s="13" t="n">
        <v>0</v>
      </c>
      <c r="O36" s="13" t="n">
        <v>0</v>
      </c>
      <c r="P36" s="13" t="n">
        <v>0</v>
      </c>
      <c r="Q36" s="13" t="n">
        <v>3</v>
      </c>
      <c r="R36" s="13" t="n">
        <v>0</v>
      </c>
      <c r="S36" s="13" t="n">
        <v>0</v>
      </c>
      <c r="T36" s="13" t="n">
        <v>0.75</v>
      </c>
      <c r="U36" s="13" t="n">
        <v>2.25</v>
      </c>
      <c r="V36" s="13" t="n">
        <f aca="false">M36-SUM(N36:S36)</f>
        <v>0</v>
      </c>
    </row>
    <row r="37" customFormat="false" ht="15" hidden="false" customHeight="true" outlineLevel="0" collapsed="false">
      <c r="A37" s="13" t="n">
        <v>2024</v>
      </c>
      <c r="B37" s="13" t="s">
        <v>1021</v>
      </c>
      <c r="C37" s="13" t="s">
        <v>125</v>
      </c>
      <c r="D37" s="13" t="s">
        <v>1037</v>
      </c>
      <c r="E37" s="13" t="s">
        <v>192</v>
      </c>
      <c r="F37" s="13" t="s">
        <v>1038</v>
      </c>
      <c r="G37" s="13" t="n">
        <v>13806</v>
      </c>
      <c r="H37" s="13" t="n">
        <v>909</v>
      </c>
      <c r="I37" s="13" t="n">
        <v>12897</v>
      </c>
      <c r="J37" s="13" t="n">
        <v>374</v>
      </c>
      <c r="K37" s="13" t="n">
        <v>8</v>
      </c>
      <c r="L37" s="13" t="n">
        <v>5017</v>
      </c>
      <c r="M37" s="13" t="n">
        <v>7872</v>
      </c>
      <c r="N37" s="13" t="n">
        <v>2434</v>
      </c>
      <c r="O37" s="13" t="n">
        <v>741</v>
      </c>
      <c r="P37" s="13" t="n">
        <v>856</v>
      </c>
      <c r="Q37" s="13" t="n">
        <v>1756</v>
      </c>
      <c r="R37" s="13" t="n">
        <v>1728</v>
      </c>
      <c r="S37" s="13" t="n">
        <v>156</v>
      </c>
      <c r="T37" s="13" t="n">
        <v>0.6104</v>
      </c>
      <c r="U37" s="13" t="n">
        <v>2.37</v>
      </c>
      <c r="V37" s="13" t="n">
        <f aca="false">M37-SUM(N37:S37)</f>
        <v>201</v>
      </c>
    </row>
    <row r="38" customFormat="false" ht="15" hidden="false" customHeight="true" outlineLevel="0" collapsed="false">
      <c r="A38" s="13" t="n">
        <v>2024</v>
      </c>
      <c r="B38" s="13" t="s">
        <v>1021</v>
      </c>
      <c r="C38" s="13" t="s">
        <v>125</v>
      </c>
      <c r="D38" s="13" t="s">
        <v>1037</v>
      </c>
      <c r="E38" s="13" t="s">
        <v>192</v>
      </c>
      <c r="F38" s="13" t="s">
        <v>137</v>
      </c>
      <c r="G38" s="13" t="n">
        <v>90518</v>
      </c>
      <c r="H38" s="13" t="n">
        <v>1257</v>
      </c>
      <c r="I38" s="13" t="n">
        <v>89261</v>
      </c>
      <c r="J38" s="13" t="n">
        <v>1281</v>
      </c>
      <c r="K38" s="13" t="n">
        <v>32</v>
      </c>
      <c r="L38" s="13" t="n">
        <v>16573</v>
      </c>
      <c r="M38" s="13" t="n">
        <v>72653</v>
      </c>
      <c r="N38" s="13" t="n">
        <v>12894</v>
      </c>
      <c r="O38" s="13" t="n">
        <v>15118</v>
      </c>
      <c r="P38" s="13" t="n">
        <v>20629</v>
      </c>
      <c r="Q38" s="13" t="n">
        <v>17806</v>
      </c>
      <c r="R38" s="13" t="n">
        <v>5752</v>
      </c>
      <c r="S38" s="13" t="n">
        <v>253</v>
      </c>
      <c r="T38" s="13" t="n">
        <v>0.8258</v>
      </c>
      <c r="U38" s="13" t="n">
        <v>3.42</v>
      </c>
      <c r="V38" s="13" t="n">
        <f aca="false">M38-SUM(N38:S38)</f>
        <v>201</v>
      </c>
    </row>
    <row r="39" customFormat="false" ht="15" hidden="false" customHeight="true" outlineLevel="0" collapsed="false">
      <c r="A39" s="13" t="n">
        <v>2024</v>
      </c>
      <c r="B39" s="13" t="s">
        <v>1022</v>
      </c>
      <c r="C39" s="13" t="s">
        <v>121</v>
      </c>
      <c r="D39" s="13" t="s">
        <v>128</v>
      </c>
      <c r="E39" s="13" t="s">
        <v>124</v>
      </c>
      <c r="F39" s="13" t="s">
        <v>357</v>
      </c>
      <c r="G39" s="13" t="n">
        <v>953</v>
      </c>
      <c r="H39" s="13" t="n">
        <v>6</v>
      </c>
      <c r="I39" s="13" t="n">
        <v>947</v>
      </c>
      <c r="J39" s="13" t="n">
        <v>46</v>
      </c>
      <c r="K39" s="13" t="n">
        <v>0</v>
      </c>
      <c r="L39" s="13" t="n">
        <v>281</v>
      </c>
      <c r="M39" s="13" t="n">
        <v>666</v>
      </c>
      <c r="N39" s="13" t="n">
        <v>25</v>
      </c>
      <c r="O39" s="13" t="n">
        <v>71</v>
      </c>
      <c r="P39" s="13" t="n">
        <v>133</v>
      </c>
      <c r="Q39" s="13" t="n">
        <v>203</v>
      </c>
      <c r="R39" s="13" t="n">
        <v>226</v>
      </c>
      <c r="S39" s="13" t="n">
        <v>8</v>
      </c>
      <c r="T39" s="13" t="n">
        <v>0.7033</v>
      </c>
      <c r="U39" s="13" t="n">
        <v>2.22</v>
      </c>
      <c r="V39" s="13" t="n">
        <f aca="false">M39-SUM(N39:S39)</f>
        <v>0</v>
      </c>
    </row>
    <row r="40" customFormat="false" ht="15" hidden="false" customHeight="true" outlineLevel="0" collapsed="false">
      <c r="A40" s="13" t="n">
        <v>2024</v>
      </c>
      <c r="B40" s="13" t="s">
        <v>1022</v>
      </c>
      <c r="C40" s="13" t="s">
        <v>121</v>
      </c>
      <c r="D40" s="13" t="s">
        <v>128</v>
      </c>
      <c r="E40" s="13" t="s">
        <v>122</v>
      </c>
      <c r="F40" s="13" t="s">
        <v>357</v>
      </c>
      <c r="G40" s="13" t="n">
        <v>4627</v>
      </c>
      <c r="H40" s="13" t="n">
        <v>19</v>
      </c>
      <c r="I40" s="13" t="n">
        <v>4608</v>
      </c>
      <c r="J40" s="13" t="n">
        <v>78</v>
      </c>
      <c r="K40" s="13" t="n">
        <v>0</v>
      </c>
      <c r="L40" s="13" t="n">
        <v>603</v>
      </c>
      <c r="M40" s="13" t="n">
        <v>4005</v>
      </c>
      <c r="N40" s="13" t="n">
        <v>46</v>
      </c>
      <c r="O40" s="13" t="n">
        <v>392</v>
      </c>
      <c r="P40" s="13" t="n">
        <v>1174</v>
      </c>
      <c r="Q40" s="13" t="n">
        <v>1715</v>
      </c>
      <c r="R40" s="13" t="n">
        <v>672</v>
      </c>
      <c r="S40" s="13" t="n">
        <v>6</v>
      </c>
      <c r="T40" s="13" t="n">
        <v>0.8691</v>
      </c>
      <c r="U40" s="13" t="n">
        <v>2.91</v>
      </c>
      <c r="V40" s="13" t="n">
        <f aca="false">M40-SUM(N40:S40)</f>
        <v>0</v>
      </c>
    </row>
    <row r="41" customFormat="false" ht="15" hidden="false" customHeight="true" outlineLevel="0" collapsed="false">
      <c r="A41" s="13" t="n">
        <v>2024</v>
      </c>
      <c r="B41" s="13" t="s">
        <v>1022</v>
      </c>
      <c r="C41" s="13" t="s">
        <v>121</v>
      </c>
      <c r="D41" s="13" t="s">
        <v>128</v>
      </c>
      <c r="E41" s="13" t="s">
        <v>192</v>
      </c>
      <c r="F41" s="13" t="s">
        <v>652</v>
      </c>
      <c r="G41" s="13" t="n">
        <v>5580</v>
      </c>
      <c r="H41" s="13" t="n">
        <v>25</v>
      </c>
      <c r="I41" s="13" t="n">
        <v>5555</v>
      </c>
      <c r="J41" s="13" t="n">
        <v>124</v>
      </c>
      <c r="K41" s="13" t="n">
        <v>0</v>
      </c>
      <c r="L41" s="13" t="n">
        <v>884</v>
      </c>
      <c r="M41" s="13" t="n">
        <v>4671</v>
      </c>
      <c r="N41" s="13" t="n">
        <v>71</v>
      </c>
      <c r="O41" s="13" t="n">
        <v>463</v>
      </c>
      <c r="P41" s="13" t="n">
        <v>1307</v>
      </c>
      <c r="Q41" s="13" t="n">
        <v>1918</v>
      </c>
      <c r="R41" s="13" t="n">
        <v>898</v>
      </c>
      <c r="S41" s="13" t="n">
        <v>14</v>
      </c>
      <c r="T41" s="13" t="n">
        <v>0.8409</v>
      </c>
      <c r="U41" s="13" t="n">
        <v>2.8</v>
      </c>
      <c r="V41" s="13" t="n">
        <f aca="false">M41-SUM(N41:S41)</f>
        <v>0</v>
      </c>
    </row>
    <row r="42" customFormat="false" ht="15" hidden="false" customHeight="true" outlineLevel="0" collapsed="false">
      <c r="A42" s="13" t="n">
        <v>2024</v>
      </c>
      <c r="B42" s="13" t="s">
        <v>1022</v>
      </c>
      <c r="C42" s="13" t="s">
        <v>121</v>
      </c>
      <c r="D42" s="13" t="s">
        <v>1033</v>
      </c>
      <c r="E42" s="13" t="s">
        <v>124</v>
      </c>
      <c r="F42" s="13" t="s">
        <v>357</v>
      </c>
      <c r="G42" s="13" t="n">
        <v>1666</v>
      </c>
      <c r="H42" s="13" t="n">
        <v>10</v>
      </c>
      <c r="I42" s="13" t="n">
        <v>1656</v>
      </c>
      <c r="J42" s="13" t="n">
        <v>13</v>
      </c>
      <c r="K42" s="13" t="n">
        <v>2</v>
      </c>
      <c r="L42" s="13" t="n">
        <v>278</v>
      </c>
      <c r="M42" s="13" t="n">
        <v>1376</v>
      </c>
      <c r="N42" s="13" t="n">
        <v>380</v>
      </c>
      <c r="O42" s="13" t="n">
        <v>322</v>
      </c>
      <c r="P42" s="13" t="n">
        <v>359</v>
      </c>
      <c r="Q42" s="13" t="n">
        <v>289</v>
      </c>
      <c r="R42" s="13" t="n">
        <v>26</v>
      </c>
      <c r="S42" s="13" t="n">
        <v>0</v>
      </c>
      <c r="T42" s="13" t="n">
        <v>0.8309</v>
      </c>
      <c r="U42" s="13" t="n">
        <v>3.77</v>
      </c>
      <c r="V42" s="13" t="n">
        <f aca="false">M42-SUM(N42:S42)</f>
        <v>0</v>
      </c>
    </row>
    <row r="43" customFormat="false" ht="15" hidden="false" customHeight="true" outlineLevel="0" collapsed="false">
      <c r="A43" s="13" t="n">
        <v>2024</v>
      </c>
      <c r="B43" s="13" t="s">
        <v>1022</v>
      </c>
      <c r="C43" s="13" t="s">
        <v>121</v>
      </c>
      <c r="D43" s="13" t="s">
        <v>1033</v>
      </c>
      <c r="E43" s="13" t="s">
        <v>122</v>
      </c>
      <c r="F43" s="13" t="s">
        <v>357</v>
      </c>
      <c r="G43" s="13" t="n">
        <v>4218</v>
      </c>
      <c r="H43" s="13" t="n">
        <v>11</v>
      </c>
      <c r="I43" s="13" t="n">
        <v>4207</v>
      </c>
      <c r="J43" s="13" t="n">
        <v>50</v>
      </c>
      <c r="K43" s="13" t="n">
        <v>1</v>
      </c>
      <c r="L43" s="13" t="n">
        <v>333</v>
      </c>
      <c r="M43" s="13" t="n">
        <v>3873</v>
      </c>
      <c r="N43" s="13" t="n">
        <v>1194</v>
      </c>
      <c r="O43" s="13" t="n">
        <v>1070</v>
      </c>
      <c r="P43" s="13" t="n">
        <v>1069</v>
      </c>
      <c r="Q43" s="13" t="n">
        <v>527</v>
      </c>
      <c r="R43" s="13" t="n">
        <v>13</v>
      </c>
      <c r="S43" s="13" t="n">
        <v>0</v>
      </c>
      <c r="T43" s="13" t="n">
        <v>0.9206</v>
      </c>
      <c r="U43" s="13" t="n">
        <v>4.37</v>
      </c>
      <c r="V43" s="13" t="n">
        <f aca="false">M43-SUM(N43:S43)</f>
        <v>0</v>
      </c>
    </row>
    <row r="44" customFormat="false" ht="15" hidden="false" customHeight="true" outlineLevel="0" collapsed="false">
      <c r="A44" s="13" t="n">
        <v>2024</v>
      </c>
      <c r="B44" s="13" t="s">
        <v>1022</v>
      </c>
      <c r="C44" s="13" t="s">
        <v>121</v>
      </c>
      <c r="D44" s="13" t="s">
        <v>1033</v>
      </c>
      <c r="E44" s="13" t="s">
        <v>192</v>
      </c>
      <c r="F44" s="13" t="s">
        <v>652</v>
      </c>
      <c r="G44" s="13" t="n">
        <v>5884</v>
      </c>
      <c r="H44" s="13" t="n">
        <v>21</v>
      </c>
      <c r="I44" s="13" t="n">
        <v>5863</v>
      </c>
      <c r="J44" s="13" t="n">
        <v>63</v>
      </c>
      <c r="K44" s="13" t="n">
        <v>3</v>
      </c>
      <c r="L44" s="13" t="n">
        <v>611</v>
      </c>
      <c r="M44" s="13" t="n">
        <v>5249</v>
      </c>
      <c r="N44" s="13" t="n">
        <v>1574</v>
      </c>
      <c r="O44" s="13" t="n">
        <v>1392</v>
      </c>
      <c r="P44" s="13" t="n">
        <v>1428</v>
      </c>
      <c r="Q44" s="13" t="n">
        <v>816</v>
      </c>
      <c r="R44" s="13" t="n">
        <v>39</v>
      </c>
      <c r="S44" s="13" t="n">
        <v>0</v>
      </c>
      <c r="T44" s="13" t="n">
        <v>0.8953</v>
      </c>
      <c r="U44" s="13" t="n">
        <v>4.2</v>
      </c>
      <c r="V44" s="13" t="n">
        <f aca="false">M44-SUM(N44:S44)</f>
        <v>0</v>
      </c>
    </row>
    <row r="45" customFormat="false" ht="15" hidden="false" customHeight="true" outlineLevel="0" collapsed="false">
      <c r="A45" s="13" t="n">
        <v>2024</v>
      </c>
      <c r="B45" s="13" t="s">
        <v>1022</v>
      </c>
      <c r="C45" s="13" t="s">
        <v>121</v>
      </c>
      <c r="D45" s="13" t="s">
        <v>1034</v>
      </c>
      <c r="E45" s="13" t="s">
        <v>124</v>
      </c>
      <c r="F45" s="13" t="s">
        <v>357</v>
      </c>
      <c r="G45" s="13" t="n">
        <v>1721</v>
      </c>
      <c r="H45" s="13" t="n">
        <v>5</v>
      </c>
      <c r="I45" s="13" t="n">
        <v>1716</v>
      </c>
      <c r="J45" s="13" t="n">
        <v>4</v>
      </c>
      <c r="K45" s="13" t="n">
        <v>2</v>
      </c>
      <c r="L45" s="13" t="n">
        <v>371</v>
      </c>
      <c r="M45" s="13" t="n">
        <v>1343</v>
      </c>
      <c r="N45" s="13" t="n">
        <v>180</v>
      </c>
      <c r="O45" s="13" t="n">
        <v>314</v>
      </c>
      <c r="P45" s="13" t="n">
        <v>465</v>
      </c>
      <c r="Q45" s="13" t="n">
        <v>362</v>
      </c>
      <c r="R45" s="13" t="n">
        <v>22</v>
      </c>
      <c r="S45" s="13" t="n">
        <v>0</v>
      </c>
      <c r="T45" s="13" t="n">
        <v>0.7826</v>
      </c>
      <c r="U45" s="13" t="n">
        <v>3.29</v>
      </c>
      <c r="V45" s="13" t="n">
        <f aca="false">M45-SUM(N45:S45)</f>
        <v>0</v>
      </c>
    </row>
    <row r="46" customFormat="false" ht="15" hidden="false" customHeight="true" outlineLevel="0" collapsed="false">
      <c r="A46" s="13" t="n">
        <v>2024</v>
      </c>
      <c r="B46" s="13" t="s">
        <v>1022</v>
      </c>
      <c r="C46" s="13" t="s">
        <v>121</v>
      </c>
      <c r="D46" s="13" t="s">
        <v>1034</v>
      </c>
      <c r="E46" s="13" t="s">
        <v>122</v>
      </c>
      <c r="F46" s="13" t="s">
        <v>357</v>
      </c>
      <c r="G46" s="13" t="n">
        <v>1163</v>
      </c>
      <c r="H46" s="13" t="n">
        <v>5</v>
      </c>
      <c r="I46" s="13" t="n">
        <v>1158</v>
      </c>
      <c r="J46" s="13" t="n">
        <v>10</v>
      </c>
      <c r="K46" s="13" t="n">
        <v>0</v>
      </c>
      <c r="L46" s="13" t="n">
        <v>143</v>
      </c>
      <c r="M46" s="13" t="n">
        <v>1015</v>
      </c>
      <c r="N46" s="13" t="n">
        <v>140</v>
      </c>
      <c r="O46" s="13" t="n">
        <v>252</v>
      </c>
      <c r="P46" s="13" t="n">
        <v>335</v>
      </c>
      <c r="Q46" s="13" t="n">
        <v>273</v>
      </c>
      <c r="R46" s="13" t="n">
        <v>15</v>
      </c>
      <c r="S46" s="13" t="n">
        <v>0</v>
      </c>
      <c r="T46" s="13" t="n">
        <v>0.8765</v>
      </c>
      <c r="U46" s="13" t="n">
        <v>3.7</v>
      </c>
      <c r="V46" s="13" t="n">
        <f aca="false">M46-SUM(N46:S46)</f>
        <v>0</v>
      </c>
    </row>
    <row r="47" customFormat="false" ht="15" hidden="false" customHeight="true" outlineLevel="0" collapsed="false">
      <c r="A47" s="13" t="n">
        <v>2024</v>
      </c>
      <c r="B47" s="13" t="s">
        <v>1022</v>
      </c>
      <c r="C47" s="13" t="s">
        <v>121</v>
      </c>
      <c r="D47" s="13" t="s">
        <v>1034</v>
      </c>
      <c r="E47" s="13" t="s">
        <v>192</v>
      </c>
      <c r="F47" s="13" t="s">
        <v>652</v>
      </c>
      <c r="G47" s="13" t="n">
        <v>2884</v>
      </c>
      <c r="H47" s="13" t="n">
        <v>10</v>
      </c>
      <c r="I47" s="13" t="n">
        <v>2874</v>
      </c>
      <c r="J47" s="13" t="n">
        <v>14</v>
      </c>
      <c r="K47" s="13" t="n">
        <v>2</v>
      </c>
      <c r="L47" s="13" t="n">
        <v>514</v>
      </c>
      <c r="M47" s="13" t="n">
        <v>2358</v>
      </c>
      <c r="N47" s="13" t="n">
        <v>320</v>
      </c>
      <c r="O47" s="13" t="n">
        <v>566</v>
      </c>
      <c r="P47" s="13" t="n">
        <v>800</v>
      </c>
      <c r="Q47" s="13" t="n">
        <v>635</v>
      </c>
      <c r="R47" s="13" t="n">
        <v>37</v>
      </c>
      <c r="S47" s="13" t="n">
        <v>0</v>
      </c>
      <c r="T47" s="13" t="n">
        <v>0.8205</v>
      </c>
      <c r="U47" s="13" t="n">
        <v>3.45</v>
      </c>
      <c r="V47" s="13" t="n">
        <f aca="false">M47-SUM(N47:S47)</f>
        <v>0</v>
      </c>
    </row>
    <row r="48" customFormat="false" ht="15" hidden="false" customHeight="true" outlineLevel="0" collapsed="false">
      <c r="A48" s="13" t="n">
        <v>2024</v>
      </c>
      <c r="B48" s="13" t="s">
        <v>1022</v>
      </c>
      <c r="C48" s="13" t="s">
        <v>121</v>
      </c>
      <c r="D48" s="13" t="s">
        <v>1035</v>
      </c>
      <c r="E48" s="13" t="s">
        <v>124</v>
      </c>
      <c r="F48" s="13" t="s">
        <v>357</v>
      </c>
      <c r="G48" s="13" t="n">
        <v>4948</v>
      </c>
      <c r="H48" s="13" t="n">
        <v>21</v>
      </c>
      <c r="I48" s="13" t="n">
        <v>4927</v>
      </c>
      <c r="J48" s="13" t="n">
        <v>68</v>
      </c>
      <c r="K48" s="13" t="n">
        <v>5</v>
      </c>
      <c r="L48" s="13" t="n">
        <v>1933</v>
      </c>
      <c r="M48" s="13" t="n">
        <v>2989</v>
      </c>
      <c r="N48" s="13" t="n">
        <v>91</v>
      </c>
      <c r="O48" s="13" t="n">
        <v>350</v>
      </c>
      <c r="P48" s="13" t="n">
        <v>917</v>
      </c>
      <c r="Q48" s="13" t="n">
        <v>1343</v>
      </c>
      <c r="R48" s="13" t="n">
        <v>288</v>
      </c>
      <c r="S48" s="13" t="n">
        <v>0</v>
      </c>
      <c r="T48" s="13" t="n">
        <v>0.6067</v>
      </c>
      <c r="U48" s="13" t="n">
        <v>2.15</v>
      </c>
      <c r="V48" s="13" t="n">
        <f aca="false">M48-SUM(N48:S48)</f>
        <v>0</v>
      </c>
    </row>
    <row r="49" customFormat="false" ht="15" hidden="false" customHeight="true" outlineLevel="0" collapsed="false">
      <c r="A49" s="13" t="n">
        <v>2024</v>
      </c>
      <c r="B49" s="13" t="s">
        <v>1022</v>
      </c>
      <c r="C49" s="13" t="s">
        <v>121</v>
      </c>
      <c r="D49" s="13" t="s">
        <v>1035</v>
      </c>
      <c r="E49" s="13" t="s">
        <v>122</v>
      </c>
      <c r="F49" s="13" t="s">
        <v>357</v>
      </c>
      <c r="G49" s="13" t="n">
        <v>3311</v>
      </c>
      <c r="H49" s="13" t="n">
        <v>10</v>
      </c>
      <c r="I49" s="13" t="n">
        <v>3301</v>
      </c>
      <c r="J49" s="13" t="n">
        <v>36</v>
      </c>
      <c r="K49" s="13" t="n">
        <v>0</v>
      </c>
      <c r="L49" s="13" t="n">
        <v>794</v>
      </c>
      <c r="M49" s="13" t="n">
        <v>2507</v>
      </c>
      <c r="N49" s="13" t="n">
        <v>133</v>
      </c>
      <c r="O49" s="13" t="n">
        <v>459</v>
      </c>
      <c r="P49" s="13" t="n">
        <v>963</v>
      </c>
      <c r="Q49" s="13" t="n">
        <v>866</v>
      </c>
      <c r="R49" s="13" t="n">
        <v>86</v>
      </c>
      <c r="S49" s="13" t="n">
        <v>0</v>
      </c>
      <c r="T49" s="13" t="n">
        <v>0.7595</v>
      </c>
      <c r="U49" s="13" t="n">
        <v>2.94</v>
      </c>
      <c r="V49" s="13" t="n">
        <f aca="false">M49-SUM(N49:S49)</f>
        <v>0</v>
      </c>
    </row>
    <row r="50" customFormat="false" ht="15" hidden="false" customHeight="true" outlineLevel="0" collapsed="false">
      <c r="A50" s="13" t="n">
        <v>2024</v>
      </c>
      <c r="B50" s="13" t="s">
        <v>1022</v>
      </c>
      <c r="C50" s="13" t="s">
        <v>121</v>
      </c>
      <c r="D50" s="13" t="s">
        <v>1035</v>
      </c>
      <c r="E50" s="13" t="s">
        <v>192</v>
      </c>
      <c r="F50" s="13" t="s">
        <v>652</v>
      </c>
      <c r="G50" s="13" t="n">
        <v>8259</v>
      </c>
      <c r="H50" s="13" t="n">
        <v>31</v>
      </c>
      <c r="I50" s="13" t="n">
        <v>8228</v>
      </c>
      <c r="J50" s="13" t="n">
        <v>104</v>
      </c>
      <c r="K50" s="13" t="n">
        <v>5</v>
      </c>
      <c r="L50" s="13" t="n">
        <v>2727</v>
      </c>
      <c r="M50" s="13" t="n">
        <v>5496</v>
      </c>
      <c r="N50" s="13" t="n">
        <v>224</v>
      </c>
      <c r="O50" s="13" t="n">
        <v>809</v>
      </c>
      <c r="P50" s="13" t="n">
        <v>1880</v>
      </c>
      <c r="Q50" s="13" t="n">
        <v>2209</v>
      </c>
      <c r="R50" s="13" t="n">
        <v>374</v>
      </c>
      <c r="S50" s="13" t="n">
        <v>0</v>
      </c>
      <c r="T50" s="13" t="n">
        <v>0.668</v>
      </c>
      <c r="U50" s="13" t="n">
        <v>2.47</v>
      </c>
      <c r="V50" s="13" t="n">
        <f aca="false">M50-SUM(N50:S50)</f>
        <v>0</v>
      </c>
    </row>
    <row r="51" customFormat="false" ht="15" hidden="false" customHeight="true" outlineLevel="0" collapsed="false">
      <c r="A51" s="13" t="n">
        <v>2024</v>
      </c>
      <c r="B51" s="13" t="s">
        <v>1022</v>
      </c>
      <c r="C51" s="13" t="s">
        <v>121</v>
      </c>
      <c r="D51" s="13" t="s">
        <v>203</v>
      </c>
      <c r="E51" s="13" t="s">
        <v>124</v>
      </c>
      <c r="F51" s="13" t="s">
        <v>357</v>
      </c>
      <c r="G51" s="13" t="n">
        <v>1052</v>
      </c>
      <c r="H51" s="13" t="n">
        <v>3</v>
      </c>
      <c r="I51" s="13" t="n">
        <v>1049</v>
      </c>
      <c r="J51" s="13" t="n">
        <v>16</v>
      </c>
      <c r="K51" s="13" t="n">
        <v>0</v>
      </c>
      <c r="L51" s="13" t="n">
        <v>324</v>
      </c>
      <c r="M51" s="13" t="n">
        <v>725</v>
      </c>
      <c r="N51" s="13" t="n">
        <v>8</v>
      </c>
      <c r="O51" s="13" t="n">
        <v>31</v>
      </c>
      <c r="P51" s="13" t="n">
        <v>99</v>
      </c>
      <c r="Q51" s="13" t="n">
        <v>299</v>
      </c>
      <c r="R51" s="13" t="n">
        <v>284</v>
      </c>
      <c r="S51" s="13" t="n">
        <v>4</v>
      </c>
      <c r="T51" s="13" t="n">
        <v>0.6911</v>
      </c>
      <c r="U51" s="13" t="n">
        <v>1.97</v>
      </c>
      <c r="V51" s="13" t="n">
        <f aca="false">M51-SUM(N51:S51)</f>
        <v>0</v>
      </c>
    </row>
    <row r="52" customFormat="false" ht="15" hidden="false" customHeight="true" outlineLevel="0" collapsed="false">
      <c r="A52" s="13" t="n">
        <v>2024</v>
      </c>
      <c r="B52" s="13" t="s">
        <v>1022</v>
      </c>
      <c r="C52" s="13" t="s">
        <v>121</v>
      </c>
      <c r="D52" s="13" t="s">
        <v>203</v>
      </c>
      <c r="E52" s="13" t="s">
        <v>122</v>
      </c>
      <c r="F52" s="13" t="s">
        <v>357</v>
      </c>
      <c r="G52" s="13" t="n">
        <v>372</v>
      </c>
      <c r="H52" s="13" t="n">
        <v>0</v>
      </c>
      <c r="I52" s="13" t="n">
        <v>372</v>
      </c>
      <c r="J52" s="13" t="n">
        <v>5</v>
      </c>
      <c r="K52" s="13" t="n">
        <v>0</v>
      </c>
      <c r="L52" s="13" t="n">
        <v>48</v>
      </c>
      <c r="M52" s="13" t="n">
        <v>324</v>
      </c>
      <c r="N52" s="13" t="n">
        <v>8</v>
      </c>
      <c r="O52" s="13" t="n">
        <v>48</v>
      </c>
      <c r="P52" s="13" t="n">
        <v>87</v>
      </c>
      <c r="Q52" s="13" t="n">
        <v>133</v>
      </c>
      <c r="R52" s="13" t="n">
        <v>48</v>
      </c>
      <c r="S52" s="13" t="n">
        <v>0</v>
      </c>
      <c r="T52" s="13" t="n">
        <v>0.871</v>
      </c>
      <c r="U52" s="13" t="n">
        <v>3.04</v>
      </c>
      <c r="V52" s="13" t="n">
        <f aca="false">M52-SUM(N52:S52)</f>
        <v>0</v>
      </c>
    </row>
    <row r="53" customFormat="false" ht="15" hidden="false" customHeight="true" outlineLevel="0" collapsed="false">
      <c r="A53" s="13" t="n">
        <v>2024</v>
      </c>
      <c r="B53" s="13" t="s">
        <v>1022</v>
      </c>
      <c r="C53" s="13" t="s">
        <v>121</v>
      </c>
      <c r="D53" s="13" t="s">
        <v>203</v>
      </c>
      <c r="E53" s="13" t="s">
        <v>192</v>
      </c>
      <c r="F53" s="13" t="s">
        <v>652</v>
      </c>
      <c r="G53" s="13" t="n">
        <v>1424</v>
      </c>
      <c r="H53" s="13" t="n">
        <v>3</v>
      </c>
      <c r="I53" s="13" t="n">
        <v>1421</v>
      </c>
      <c r="J53" s="13" t="n">
        <v>21</v>
      </c>
      <c r="K53" s="13" t="n">
        <v>0</v>
      </c>
      <c r="L53" s="13" t="n">
        <v>372</v>
      </c>
      <c r="M53" s="13" t="n">
        <v>1049</v>
      </c>
      <c r="N53" s="13" t="n">
        <v>16</v>
      </c>
      <c r="O53" s="13" t="n">
        <v>79</v>
      </c>
      <c r="P53" s="13" t="n">
        <v>186</v>
      </c>
      <c r="Q53" s="13" t="n">
        <v>432</v>
      </c>
      <c r="R53" s="13" t="n">
        <v>332</v>
      </c>
      <c r="S53" s="13" t="n">
        <v>4</v>
      </c>
      <c r="T53" s="13" t="n">
        <v>0.7382</v>
      </c>
      <c r="U53" s="13" t="n">
        <v>2.25</v>
      </c>
      <c r="V53" s="13" t="n">
        <f aca="false">M53-SUM(N53:S53)</f>
        <v>0</v>
      </c>
    </row>
    <row r="54" customFormat="false" ht="15" hidden="false" customHeight="true" outlineLevel="0" collapsed="false">
      <c r="A54" s="13" t="n">
        <v>2024</v>
      </c>
      <c r="B54" s="13" t="s">
        <v>1022</v>
      </c>
      <c r="C54" s="13" t="s">
        <v>121</v>
      </c>
      <c r="D54" s="13" t="s">
        <v>1036</v>
      </c>
      <c r="E54" s="13" t="s">
        <v>122</v>
      </c>
      <c r="F54" s="13" t="s">
        <v>357</v>
      </c>
      <c r="G54" s="13" t="n">
        <v>61</v>
      </c>
      <c r="H54" s="13" t="n">
        <v>0</v>
      </c>
      <c r="I54" s="13" t="n">
        <v>61</v>
      </c>
      <c r="J54" s="13" t="n">
        <v>0</v>
      </c>
      <c r="K54" s="13" t="n">
        <v>0</v>
      </c>
      <c r="L54" s="13" t="n">
        <v>9</v>
      </c>
      <c r="M54" s="13" t="n">
        <v>52</v>
      </c>
      <c r="N54" s="13" t="n">
        <v>3</v>
      </c>
      <c r="O54" s="13" t="n">
        <v>15</v>
      </c>
      <c r="P54" s="13" t="n">
        <v>18</v>
      </c>
      <c r="Q54" s="13" t="n">
        <v>14</v>
      </c>
      <c r="R54" s="13" t="n">
        <v>2</v>
      </c>
      <c r="S54" s="13" t="n">
        <v>0</v>
      </c>
      <c r="T54" s="13" t="n">
        <v>0.8525</v>
      </c>
      <c r="U54" s="13" t="n">
        <v>3.46</v>
      </c>
      <c r="V54" s="13" t="n">
        <f aca="false">M54-SUM(N54:S54)</f>
        <v>0</v>
      </c>
    </row>
    <row r="55" customFormat="false" ht="15" hidden="false" customHeight="true" outlineLevel="0" collapsed="false">
      <c r="A55" s="13" t="n">
        <v>2024</v>
      </c>
      <c r="B55" s="13" t="s">
        <v>1022</v>
      </c>
      <c r="C55" s="13" t="s">
        <v>121</v>
      </c>
      <c r="D55" s="13" t="s">
        <v>1036</v>
      </c>
      <c r="E55" s="13" t="s">
        <v>192</v>
      </c>
      <c r="F55" s="13" t="s">
        <v>652</v>
      </c>
      <c r="G55" s="13" t="n">
        <v>61</v>
      </c>
      <c r="H55" s="13" t="n">
        <v>0</v>
      </c>
      <c r="I55" s="13" t="n">
        <v>61</v>
      </c>
      <c r="J55" s="13" t="n">
        <v>0</v>
      </c>
      <c r="K55" s="13" t="n">
        <v>0</v>
      </c>
      <c r="L55" s="13" t="n">
        <v>9</v>
      </c>
      <c r="M55" s="13" t="n">
        <v>52</v>
      </c>
      <c r="N55" s="13" t="n">
        <v>3</v>
      </c>
      <c r="O55" s="13" t="n">
        <v>15</v>
      </c>
      <c r="P55" s="13" t="n">
        <v>18</v>
      </c>
      <c r="Q55" s="13" t="n">
        <v>14</v>
      </c>
      <c r="R55" s="13" t="n">
        <v>2</v>
      </c>
      <c r="S55" s="13" t="n">
        <v>0</v>
      </c>
      <c r="T55" s="13" t="n">
        <v>0.8525</v>
      </c>
      <c r="U55" s="13" t="n">
        <v>3.46</v>
      </c>
      <c r="V55" s="13" t="n">
        <f aca="false">M55-SUM(N55:S55)</f>
        <v>0</v>
      </c>
    </row>
    <row r="56" customFormat="false" ht="15" hidden="false" customHeight="true" outlineLevel="0" collapsed="false">
      <c r="A56" s="13" t="n">
        <v>2024</v>
      </c>
      <c r="B56" s="13" t="s">
        <v>1022</v>
      </c>
      <c r="C56" s="13" t="s">
        <v>121</v>
      </c>
      <c r="D56" s="13" t="s">
        <v>1037</v>
      </c>
      <c r="E56" s="13" t="s">
        <v>192</v>
      </c>
      <c r="F56" s="13" t="s">
        <v>1038</v>
      </c>
      <c r="G56" s="13" t="n">
        <v>24092</v>
      </c>
      <c r="H56" s="13" t="n">
        <v>90</v>
      </c>
      <c r="I56" s="13" t="n">
        <v>24002</v>
      </c>
      <c r="J56" s="13" t="n">
        <v>326</v>
      </c>
      <c r="K56" s="13" t="n">
        <v>10</v>
      </c>
      <c r="L56" s="13" t="n">
        <v>5117</v>
      </c>
      <c r="M56" s="13" t="n">
        <v>18875</v>
      </c>
      <c r="N56" s="13" t="n">
        <v>2208</v>
      </c>
      <c r="O56" s="13" t="n">
        <v>3324</v>
      </c>
      <c r="P56" s="13" t="n">
        <v>5619</v>
      </c>
      <c r="Q56" s="13" t="n">
        <v>6024</v>
      </c>
      <c r="R56" s="13" t="n">
        <v>1682</v>
      </c>
      <c r="S56" s="13" t="n">
        <v>18</v>
      </c>
      <c r="T56" s="13" t="n">
        <v>0.7864</v>
      </c>
      <c r="U56" s="13" t="n">
        <v>3.07</v>
      </c>
      <c r="V56" s="13" t="n">
        <f aca="false">M56-SUM(N56:S56)</f>
        <v>0</v>
      </c>
    </row>
    <row r="57" customFormat="false" ht="15" hidden="false" customHeight="true" outlineLevel="0" collapsed="false">
      <c r="A57" s="13" t="n">
        <v>2024</v>
      </c>
      <c r="B57" s="13" t="s">
        <v>1022</v>
      </c>
      <c r="C57" s="13" t="s">
        <v>125</v>
      </c>
      <c r="D57" s="13" t="s">
        <v>128</v>
      </c>
      <c r="E57" s="13" t="s">
        <v>124</v>
      </c>
      <c r="F57" s="13" t="s">
        <v>357</v>
      </c>
      <c r="G57" s="13" t="n">
        <v>845</v>
      </c>
      <c r="H57" s="13" t="n">
        <v>49</v>
      </c>
      <c r="I57" s="13" t="n">
        <v>796</v>
      </c>
      <c r="J57" s="13" t="n">
        <v>13</v>
      </c>
      <c r="K57" s="13" t="n">
        <v>0</v>
      </c>
      <c r="L57" s="13" t="n">
        <v>376</v>
      </c>
      <c r="M57" s="13" t="n">
        <v>420</v>
      </c>
      <c r="N57" s="13" t="n">
        <v>4</v>
      </c>
      <c r="O57" s="13" t="n">
        <v>17</v>
      </c>
      <c r="P57" s="13" t="n">
        <v>74</v>
      </c>
      <c r="Q57" s="13" t="n">
        <v>102</v>
      </c>
      <c r="R57" s="13" t="n">
        <v>182</v>
      </c>
      <c r="S57" s="13" t="n">
        <v>21</v>
      </c>
      <c r="T57" s="13" t="n">
        <v>0.5276</v>
      </c>
      <c r="U57" s="13" t="n">
        <v>1.38</v>
      </c>
      <c r="V57" s="13" t="n">
        <f aca="false">M57-SUM(N57:S57)</f>
        <v>20</v>
      </c>
    </row>
    <row r="58" customFormat="false" ht="15" hidden="false" customHeight="true" outlineLevel="0" collapsed="false">
      <c r="A58" s="13" t="n">
        <v>2024</v>
      </c>
      <c r="B58" s="13" t="s">
        <v>1022</v>
      </c>
      <c r="C58" s="13" t="s">
        <v>125</v>
      </c>
      <c r="D58" s="13" t="s">
        <v>128</v>
      </c>
      <c r="E58" s="13" t="s">
        <v>122</v>
      </c>
      <c r="F58" s="13" t="s">
        <v>357</v>
      </c>
      <c r="G58" s="13" t="n">
        <v>956</v>
      </c>
      <c r="H58" s="13" t="n">
        <v>41</v>
      </c>
      <c r="I58" s="13" t="n">
        <v>915</v>
      </c>
      <c r="J58" s="13" t="n">
        <v>5</v>
      </c>
      <c r="K58" s="13" t="n">
        <v>0</v>
      </c>
      <c r="L58" s="13" t="n">
        <v>319</v>
      </c>
      <c r="M58" s="13" t="n">
        <v>596</v>
      </c>
      <c r="N58" s="13" t="n">
        <v>4</v>
      </c>
      <c r="O58" s="13" t="n">
        <v>29</v>
      </c>
      <c r="P58" s="13" t="n">
        <v>91</v>
      </c>
      <c r="Q58" s="13" t="n">
        <v>195</v>
      </c>
      <c r="R58" s="13" t="n">
        <v>215</v>
      </c>
      <c r="S58" s="13" t="n">
        <v>11</v>
      </c>
      <c r="T58" s="13" t="n">
        <v>0.6514</v>
      </c>
      <c r="U58" s="13" t="n">
        <v>1.7</v>
      </c>
      <c r="V58" s="13" t="n">
        <f aca="false">M58-SUM(N58:S58)</f>
        <v>51</v>
      </c>
    </row>
    <row r="59" customFormat="false" ht="15" hidden="false" customHeight="true" outlineLevel="0" collapsed="false">
      <c r="A59" s="13" t="n">
        <v>2024</v>
      </c>
      <c r="B59" s="13" t="s">
        <v>1022</v>
      </c>
      <c r="C59" s="13" t="s">
        <v>125</v>
      </c>
      <c r="D59" s="13" t="s">
        <v>128</v>
      </c>
      <c r="E59" s="13" t="s">
        <v>192</v>
      </c>
      <c r="F59" s="13" t="s">
        <v>652</v>
      </c>
      <c r="G59" s="13" t="n">
        <v>1801</v>
      </c>
      <c r="H59" s="13" t="n">
        <v>90</v>
      </c>
      <c r="I59" s="13" t="n">
        <v>1711</v>
      </c>
      <c r="J59" s="13" t="n">
        <v>18</v>
      </c>
      <c r="K59" s="13" t="n">
        <v>0</v>
      </c>
      <c r="L59" s="13" t="n">
        <v>695</v>
      </c>
      <c r="M59" s="13" t="n">
        <v>1016</v>
      </c>
      <c r="N59" s="13" t="n">
        <v>8</v>
      </c>
      <c r="O59" s="13" t="n">
        <v>46</v>
      </c>
      <c r="P59" s="13" t="n">
        <v>165</v>
      </c>
      <c r="Q59" s="13" t="n">
        <v>297</v>
      </c>
      <c r="R59" s="13" t="n">
        <v>397</v>
      </c>
      <c r="S59" s="13" t="n">
        <v>32</v>
      </c>
      <c r="T59" s="13" t="n">
        <v>0.5938</v>
      </c>
      <c r="U59" s="13" t="n">
        <v>1.55</v>
      </c>
      <c r="V59" s="13" t="n">
        <f aca="false">M59-SUM(N59:S59)</f>
        <v>71</v>
      </c>
    </row>
    <row r="60" customFormat="false" ht="15" hidden="false" customHeight="true" outlineLevel="0" collapsed="false">
      <c r="A60" s="13" t="n">
        <v>2024</v>
      </c>
      <c r="B60" s="13" t="s">
        <v>1022</v>
      </c>
      <c r="C60" s="13" t="s">
        <v>125</v>
      </c>
      <c r="D60" s="13" t="s">
        <v>1033</v>
      </c>
      <c r="E60" s="13" t="s">
        <v>124</v>
      </c>
      <c r="F60" s="13" t="s">
        <v>357</v>
      </c>
      <c r="G60" s="13" t="n">
        <v>423</v>
      </c>
      <c r="H60" s="13" t="n">
        <v>46</v>
      </c>
      <c r="I60" s="13" t="n">
        <v>377</v>
      </c>
      <c r="J60" s="13" t="n">
        <v>3</v>
      </c>
      <c r="K60" s="13" t="n">
        <v>1</v>
      </c>
      <c r="L60" s="13" t="n">
        <v>69</v>
      </c>
      <c r="M60" s="13" t="n">
        <v>307</v>
      </c>
      <c r="N60" s="13" t="n">
        <v>180</v>
      </c>
      <c r="O60" s="13" t="n">
        <v>41</v>
      </c>
      <c r="P60" s="13" t="n">
        <v>26</v>
      </c>
      <c r="Q60" s="13" t="n">
        <v>38</v>
      </c>
      <c r="R60" s="13" t="n">
        <v>22</v>
      </c>
      <c r="S60" s="13" t="n">
        <v>0</v>
      </c>
      <c r="T60" s="13" t="n">
        <v>0.8143</v>
      </c>
      <c r="U60" s="13" t="n">
        <v>4.1</v>
      </c>
      <c r="V60" s="13" t="n">
        <f aca="false">M60-SUM(N60:S60)</f>
        <v>0</v>
      </c>
    </row>
    <row r="61" customFormat="false" ht="15" hidden="false" customHeight="true" outlineLevel="0" collapsed="false">
      <c r="A61" s="13" t="n">
        <v>2024</v>
      </c>
      <c r="B61" s="13" t="s">
        <v>1022</v>
      </c>
      <c r="C61" s="13" t="s">
        <v>125</v>
      </c>
      <c r="D61" s="13" t="s">
        <v>1033</v>
      </c>
      <c r="E61" s="13" t="s">
        <v>122</v>
      </c>
      <c r="F61" s="13" t="s">
        <v>357</v>
      </c>
      <c r="G61" s="13" t="n">
        <v>804</v>
      </c>
      <c r="H61" s="13" t="n">
        <v>71</v>
      </c>
      <c r="I61" s="13" t="n">
        <v>733</v>
      </c>
      <c r="J61" s="13" t="n">
        <v>8</v>
      </c>
      <c r="K61" s="13" t="n">
        <v>0</v>
      </c>
      <c r="L61" s="13" t="n">
        <v>41</v>
      </c>
      <c r="M61" s="13" t="n">
        <v>692</v>
      </c>
      <c r="N61" s="13" t="n">
        <v>458</v>
      </c>
      <c r="O61" s="13" t="n">
        <v>123</v>
      </c>
      <c r="P61" s="13" t="n">
        <v>58</v>
      </c>
      <c r="Q61" s="13" t="n">
        <v>42</v>
      </c>
      <c r="R61" s="13" t="n">
        <v>11</v>
      </c>
      <c r="S61" s="13" t="n">
        <v>0</v>
      </c>
      <c r="T61" s="13" t="n">
        <v>0.9441</v>
      </c>
      <c r="U61" s="13" t="n">
        <v>5.11</v>
      </c>
      <c r="V61" s="13" t="n">
        <f aca="false">M61-SUM(N61:S61)</f>
        <v>0</v>
      </c>
    </row>
    <row r="62" customFormat="false" ht="15" hidden="false" customHeight="true" outlineLevel="0" collapsed="false">
      <c r="A62" s="13" t="n">
        <v>2024</v>
      </c>
      <c r="B62" s="13" t="s">
        <v>1022</v>
      </c>
      <c r="C62" s="13" t="s">
        <v>125</v>
      </c>
      <c r="D62" s="13" t="s">
        <v>1033</v>
      </c>
      <c r="E62" s="13" t="s">
        <v>192</v>
      </c>
      <c r="F62" s="13" t="s">
        <v>652</v>
      </c>
      <c r="G62" s="13" t="n">
        <v>1227</v>
      </c>
      <c r="H62" s="13" t="n">
        <v>117</v>
      </c>
      <c r="I62" s="13" t="n">
        <v>1110</v>
      </c>
      <c r="J62" s="13" t="n">
        <v>11</v>
      </c>
      <c r="K62" s="13" t="n">
        <v>1</v>
      </c>
      <c r="L62" s="13" t="n">
        <v>110</v>
      </c>
      <c r="M62" s="13" t="n">
        <v>999</v>
      </c>
      <c r="N62" s="13" t="n">
        <v>638</v>
      </c>
      <c r="O62" s="13" t="n">
        <v>164</v>
      </c>
      <c r="P62" s="13" t="n">
        <v>84</v>
      </c>
      <c r="Q62" s="13" t="n">
        <v>80</v>
      </c>
      <c r="R62" s="13" t="n">
        <v>33</v>
      </c>
      <c r="S62" s="13" t="n">
        <v>0</v>
      </c>
      <c r="T62" s="13" t="n">
        <v>0.9</v>
      </c>
      <c r="U62" s="13" t="n">
        <v>4.77</v>
      </c>
      <c r="V62" s="13" t="n">
        <f aca="false">M62-SUM(N62:S62)</f>
        <v>0</v>
      </c>
    </row>
    <row r="63" customFormat="false" ht="15" hidden="false" customHeight="true" outlineLevel="0" collapsed="false">
      <c r="A63" s="13" t="n">
        <v>2024</v>
      </c>
      <c r="B63" s="13" t="s">
        <v>1022</v>
      </c>
      <c r="C63" s="13" t="s">
        <v>125</v>
      </c>
      <c r="D63" s="13" t="s">
        <v>1034</v>
      </c>
      <c r="E63" s="13" t="s">
        <v>124</v>
      </c>
      <c r="F63" s="13" t="s">
        <v>357</v>
      </c>
      <c r="G63" s="13" t="n">
        <v>297</v>
      </c>
      <c r="H63" s="13" t="n">
        <v>20</v>
      </c>
      <c r="I63" s="13" t="n">
        <v>277</v>
      </c>
      <c r="J63" s="13" t="n">
        <v>1</v>
      </c>
      <c r="K63" s="13" t="n">
        <v>1</v>
      </c>
      <c r="L63" s="13" t="n">
        <v>153</v>
      </c>
      <c r="M63" s="13" t="n">
        <v>123</v>
      </c>
      <c r="N63" s="13" t="n">
        <v>2</v>
      </c>
      <c r="O63" s="13" t="n">
        <v>8</v>
      </c>
      <c r="P63" s="13" t="n">
        <v>18</v>
      </c>
      <c r="Q63" s="13" t="n">
        <v>66</v>
      </c>
      <c r="R63" s="13" t="n">
        <v>28</v>
      </c>
      <c r="S63" s="13" t="n">
        <v>1</v>
      </c>
      <c r="T63" s="13" t="n">
        <v>0.444</v>
      </c>
      <c r="U63" s="13" t="n">
        <v>1.37</v>
      </c>
      <c r="V63" s="13" t="n">
        <f aca="false">M63-SUM(N63:S63)</f>
        <v>0</v>
      </c>
    </row>
    <row r="64" customFormat="false" ht="15" hidden="false" customHeight="true" outlineLevel="0" collapsed="false">
      <c r="A64" s="13" t="n">
        <v>2024</v>
      </c>
      <c r="B64" s="13" t="s">
        <v>1022</v>
      </c>
      <c r="C64" s="13" t="s">
        <v>125</v>
      </c>
      <c r="D64" s="13" t="s">
        <v>1034</v>
      </c>
      <c r="E64" s="13" t="s">
        <v>122</v>
      </c>
      <c r="F64" s="13" t="s">
        <v>357</v>
      </c>
      <c r="G64" s="13" t="n">
        <v>66</v>
      </c>
      <c r="H64" s="13" t="n">
        <v>3</v>
      </c>
      <c r="I64" s="13" t="n">
        <v>63</v>
      </c>
      <c r="J64" s="13" t="n">
        <v>0</v>
      </c>
      <c r="K64" s="13" t="n">
        <v>0</v>
      </c>
      <c r="L64" s="13" t="n">
        <v>29</v>
      </c>
      <c r="M64" s="13" t="n">
        <v>34</v>
      </c>
      <c r="N64" s="13" t="n">
        <v>0</v>
      </c>
      <c r="O64" s="13" t="n">
        <v>5</v>
      </c>
      <c r="P64" s="13" t="n">
        <v>14</v>
      </c>
      <c r="Q64" s="13" t="n">
        <v>10</v>
      </c>
      <c r="R64" s="13" t="n">
        <v>5</v>
      </c>
      <c r="S64" s="13" t="n">
        <v>0</v>
      </c>
      <c r="T64" s="13" t="n">
        <v>0.5397</v>
      </c>
      <c r="U64" s="13" t="n">
        <v>1.92</v>
      </c>
      <c r="V64" s="13" t="n">
        <f aca="false">M64-SUM(N64:S64)</f>
        <v>0</v>
      </c>
    </row>
    <row r="65" customFormat="false" ht="15" hidden="false" customHeight="true" outlineLevel="0" collapsed="false">
      <c r="A65" s="13" t="n">
        <v>2024</v>
      </c>
      <c r="B65" s="13" t="s">
        <v>1022</v>
      </c>
      <c r="C65" s="13" t="s">
        <v>125</v>
      </c>
      <c r="D65" s="13" t="s">
        <v>1034</v>
      </c>
      <c r="E65" s="13" t="s">
        <v>192</v>
      </c>
      <c r="F65" s="13" t="s">
        <v>652</v>
      </c>
      <c r="G65" s="13" t="n">
        <v>363</v>
      </c>
      <c r="H65" s="13" t="n">
        <v>23</v>
      </c>
      <c r="I65" s="13" t="n">
        <v>340</v>
      </c>
      <c r="J65" s="13" t="n">
        <v>1</v>
      </c>
      <c r="K65" s="13" t="n">
        <v>1</v>
      </c>
      <c r="L65" s="13" t="n">
        <v>182</v>
      </c>
      <c r="M65" s="13" t="n">
        <v>157</v>
      </c>
      <c r="N65" s="13" t="n">
        <v>2</v>
      </c>
      <c r="O65" s="13" t="n">
        <v>13</v>
      </c>
      <c r="P65" s="13" t="n">
        <v>32</v>
      </c>
      <c r="Q65" s="13" t="n">
        <v>76</v>
      </c>
      <c r="R65" s="13" t="n">
        <v>33</v>
      </c>
      <c r="S65" s="13" t="n">
        <v>1</v>
      </c>
      <c r="T65" s="13" t="n">
        <v>0.4618</v>
      </c>
      <c r="U65" s="13" t="n">
        <v>1.47</v>
      </c>
      <c r="V65" s="13" t="n">
        <f aca="false">M65-SUM(N65:S65)</f>
        <v>0</v>
      </c>
    </row>
    <row r="66" customFormat="false" ht="15" hidden="false" customHeight="true" outlineLevel="0" collapsed="false">
      <c r="A66" s="13" t="n">
        <v>2024</v>
      </c>
      <c r="B66" s="13" t="s">
        <v>1022</v>
      </c>
      <c r="C66" s="13" t="s">
        <v>125</v>
      </c>
      <c r="D66" s="13" t="s">
        <v>1035</v>
      </c>
      <c r="E66" s="13" t="s">
        <v>124</v>
      </c>
      <c r="F66" s="13" t="s">
        <v>357</v>
      </c>
      <c r="G66" s="13" t="n">
        <v>1263</v>
      </c>
      <c r="H66" s="13" t="n">
        <v>74</v>
      </c>
      <c r="I66" s="13" t="n">
        <v>1189</v>
      </c>
      <c r="J66" s="13" t="n">
        <v>5</v>
      </c>
      <c r="K66" s="13" t="n">
        <v>2</v>
      </c>
      <c r="L66" s="13" t="n">
        <v>890</v>
      </c>
      <c r="M66" s="13" t="n">
        <v>297</v>
      </c>
      <c r="N66" s="13" t="n">
        <v>0</v>
      </c>
      <c r="O66" s="13" t="n">
        <v>7</v>
      </c>
      <c r="P66" s="13" t="n">
        <v>28</v>
      </c>
      <c r="Q66" s="13" t="n">
        <v>138</v>
      </c>
      <c r="R66" s="13" t="n">
        <v>121</v>
      </c>
      <c r="S66" s="13" t="n">
        <v>3</v>
      </c>
      <c r="T66" s="13" t="n">
        <v>0.2498</v>
      </c>
      <c r="U66" s="13" t="n">
        <v>0.68</v>
      </c>
      <c r="V66" s="13" t="n">
        <f aca="false">M66-SUM(N66:S66)</f>
        <v>0</v>
      </c>
    </row>
    <row r="67" customFormat="false" ht="15" hidden="false" customHeight="true" outlineLevel="0" collapsed="false">
      <c r="A67" s="13" t="n">
        <v>2024</v>
      </c>
      <c r="B67" s="13" t="s">
        <v>1022</v>
      </c>
      <c r="C67" s="13" t="s">
        <v>125</v>
      </c>
      <c r="D67" s="13" t="s">
        <v>1035</v>
      </c>
      <c r="E67" s="13" t="s">
        <v>122</v>
      </c>
      <c r="F67" s="13" t="s">
        <v>357</v>
      </c>
      <c r="G67" s="13" t="n">
        <v>303</v>
      </c>
      <c r="H67" s="13" t="n">
        <v>14</v>
      </c>
      <c r="I67" s="13" t="n">
        <v>289</v>
      </c>
      <c r="J67" s="13" t="n">
        <v>0</v>
      </c>
      <c r="K67" s="13" t="n">
        <v>0</v>
      </c>
      <c r="L67" s="13" t="n">
        <v>195</v>
      </c>
      <c r="M67" s="13" t="n">
        <v>94</v>
      </c>
      <c r="N67" s="13" t="n">
        <v>0</v>
      </c>
      <c r="O67" s="13" t="n">
        <v>5</v>
      </c>
      <c r="P67" s="13" t="n">
        <v>20</v>
      </c>
      <c r="Q67" s="13" t="n">
        <v>45</v>
      </c>
      <c r="R67" s="13" t="n">
        <v>24</v>
      </c>
      <c r="S67" s="13" t="n">
        <v>0</v>
      </c>
      <c r="T67" s="13" t="n">
        <v>0.3253</v>
      </c>
      <c r="U67" s="13" t="n">
        <v>1</v>
      </c>
      <c r="V67" s="13" t="n">
        <f aca="false">M67-SUM(N67:S67)</f>
        <v>0</v>
      </c>
    </row>
    <row r="68" customFormat="false" ht="15" hidden="false" customHeight="true" outlineLevel="0" collapsed="false">
      <c r="A68" s="13" t="n">
        <v>2024</v>
      </c>
      <c r="B68" s="13" t="s">
        <v>1022</v>
      </c>
      <c r="C68" s="13" t="s">
        <v>125</v>
      </c>
      <c r="D68" s="13" t="s">
        <v>1035</v>
      </c>
      <c r="E68" s="13" t="s">
        <v>192</v>
      </c>
      <c r="F68" s="13" t="s">
        <v>652</v>
      </c>
      <c r="G68" s="13" t="n">
        <v>1566</v>
      </c>
      <c r="H68" s="13" t="n">
        <v>88</v>
      </c>
      <c r="I68" s="13" t="n">
        <v>1478</v>
      </c>
      <c r="J68" s="13" t="n">
        <v>5</v>
      </c>
      <c r="K68" s="13" t="n">
        <v>2</v>
      </c>
      <c r="L68" s="13" t="n">
        <v>1085</v>
      </c>
      <c r="M68" s="13" t="n">
        <v>391</v>
      </c>
      <c r="N68" s="13" t="n">
        <v>0</v>
      </c>
      <c r="O68" s="13" t="n">
        <v>12</v>
      </c>
      <c r="P68" s="13" t="n">
        <v>48</v>
      </c>
      <c r="Q68" s="13" t="n">
        <v>183</v>
      </c>
      <c r="R68" s="13" t="n">
        <v>145</v>
      </c>
      <c r="S68" s="13" t="n">
        <v>3</v>
      </c>
      <c r="T68" s="13" t="n">
        <v>0.2645</v>
      </c>
      <c r="U68" s="13" t="n">
        <v>0.74</v>
      </c>
      <c r="V68" s="13" t="n">
        <f aca="false">M68-SUM(N68:S68)</f>
        <v>0</v>
      </c>
    </row>
    <row r="69" customFormat="false" ht="15" hidden="false" customHeight="true" outlineLevel="0" collapsed="false">
      <c r="A69" s="13" t="n">
        <v>2024</v>
      </c>
      <c r="B69" s="13" t="s">
        <v>1022</v>
      </c>
      <c r="C69" s="13" t="s">
        <v>125</v>
      </c>
      <c r="D69" s="13" t="s">
        <v>203</v>
      </c>
      <c r="E69" s="13" t="s">
        <v>124</v>
      </c>
      <c r="F69" s="13" t="s">
        <v>357</v>
      </c>
      <c r="G69" s="13" t="n">
        <v>455</v>
      </c>
      <c r="H69" s="13" t="n">
        <v>33</v>
      </c>
      <c r="I69" s="13" t="n">
        <v>422</v>
      </c>
      <c r="J69" s="13" t="n">
        <v>4</v>
      </c>
      <c r="K69" s="13" t="n">
        <v>0</v>
      </c>
      <c r="L69" s="13" t="n">
        <v>266</v>
      </c>
      <c r="M69" s="13" t="n">
        <v>156</v>
      </c>
      <c r="N69" s="13" t="n">
        <v>0</v>
      </c>
      <c r="O69" s="13" t="n">
        <v>0</v>
      </c>
      <c r="P69" s="13" t="n">
        <v>4</v>
      </c>
      <c r="Q69" s="13" t="n">
        <v>28</v>
      </c>
      <c r="R69" s="13" t="n">
        <v>110</v>
      </c>
      <c r="S69" s="13" t="n">
        <v>14</v>
      </c>
      <c r="T69" s="13" t="n">
        <v>0.3697</v>
      </c>
      <c r="U69" s="13" t="n">
        <v>0.79</v>
      </c>
      <c r="V69" s="13" t="n">
        <f aca="false">M69-SUM(N69:S69)</f>
        <v>0</v>
      </c>
    </row>
    <row r="70" customFormat="false" ht="15" hidden="false" customHeight="true" outlineLevel="0" collapsed="false">
      <c r="A70" s="13" t="n">
        <v>2024</v>
      </c>
      <c r="B70" s="13" t="s">
        <v>1022</v>
      </c>
      <c r="C70" s="13" t="s">
        <v>125</v>
      </c>
      <c r="D70" s="13" t="s">
        <v>203</v>
      </c>
      <c r="E70" s="13" t="s">
        <v>122</v>
      </c>
      <c r="F70" s="13" t="s">
        <v>357</v>
      </c>
      <c r="G70" s="13" t="n">
        <v>87</v>
      </c>
      <c r="H70" s="13" t="n">
        <v>9</v>
      </c>
      <c r="I70" s="13" t="n">
        <v>78</v>
      </c>
      <c r="J70" s="13" t="n">
        <v>0</v>
      </c>
      <c r="K70" s="13" t="n">
        <v>0</v>
      </c>
      <c r="L70" s="13" t="n">
        <v>44</v>
      </c>
      <c r="M70" s="13" t="n">
        <v>34</v>
      </c>
      <c r="N70" s="13" t="n">
        <v>1</v>
      </c>
      <c r="O70" s="13" t="n">
        <v>3</v>
      </c>
      <c r="P70" s="13" t="n">
        <v>6</v>
      </c>
      <c r="Q70" s="13" t="n">
        <v>13</v>
      </c>
      <c r="R70" s="13" t="n">
        <v>10</v>
      </c>
      <c r="S70" s="13" t="n">
        <v>1</v>
      </c>
      <c r="T70" s="13" t="n">
        <v>0.4359</v>
      </c>
      <c r="U70" s="13" t="n">
        <v>1.35</v>
      </c>
      <c r="V70" s="13" t="n">
        <f aca="false">M70-SUM(N70:S70)</f>
        <v>0</v>
      </c>
    </row>
    <row r="71" customFormat="false" ht="15" hidden="false" customHeight="true" outlineLevel="0" collapsed="false">
      <c r="A71" s="13" t="n">
        <v>2024</v>
      </c>
      <c r="B71" s="13" t="s">
        <v>1022</v>
      </c>
      <c r="C71" s="13" t="s">
        <v>125</v>
      </c>
      <c r="D71" s="13" t="s">
        <v>203</v>
      </c>
      <c r="E71" s="13" t="s">
        <v>192</v>
      </c>
      <c r="F71" s="13" t="s">
        <v>652</v>
      </c>
      <c r="G71" s="13" t="n">
        <v>542</v>
      </c>
      <c r="H71" s="13" t="n">
        <v>42</v>
      </c>
      <c r="I71" s="13" t="n">
        <v>500</v>
      </c>
      <c r="J71" s="13" t="n">
        <v>4</v>
      </c>
      <c r="K71" s="13" t="n">
        <v>0</v>
      </c>
      <c r="L71" s="13" t="n">
        <v>310</v>
      </c>
      <c r="M71" s="13" t="n">
        <v>190</v>
      </c>
      <c r="N71" s="13" t="n">
        <v>1</v>
      </c>
      <c r="O71" s="13" t="n">
        <v>3</v>
      </c>
      <c r="P71" s="13" t="n">
        <v>10</v>
      </c>
      <c r="Q71" s="13" t="n">
        <v>41</v>
      </c>
      <c r="R71" s="13" t="n">
        <v>120</v>
      </c>
      <c r="S71" s="13" t="n">
        <v>15</v>
      </c>
      <c r="T71" s="13" t="n">
        <v>0.38</v>
      </c>
      <c r="U71" s="13" t="n">
        <v>0.88</v>
      </c>
      <c r="V71" s="13" t="n">
        <f aca="false">M71-SUM(N71:S71)</f>
        <v>0</v>
      </c>
    </row>
    <row r="72" customFormat="false" ht="15" hidden="false" customHeight="true" outlineLevel="0" collapsed="false">
      <c r="A72" s="13" t="n">
        <v>2024</v>
      </c>
      <c r="B72" s="13" t="s">
        <v>1022</v>
      </c>
      <c r="C72" s="13" t="s">
        <v>125</v>
      </c>
      <c r="D72" s="13" t="s">
        <v>1036</v>
      </c>
      <c r="E72" s="13" t="s">
        <v>122</v>
      </c>
      <c r="F72" s="13" t="s">
        <v>357</v>
      </c>
      <c r="G72" s="13" t="n">
        <v>4</v>
      </c>
      <c r="H72" s="13" t="n">
        <v>0</v>
      </c>
      <c r="I72" s="13" t="n">
        <v>4</v>
      </c>
      <c r="J72" s="13" t="n">
        <v>0</v>
      </c>
      <c r="K72" s="13" t="n">
        <v>0</v>
      </c>
      <c r="L72" s="13" t="n">
        <v>1</v>
      </c>
      <c r="M72" s="13" t="n">
        <v>3</v>
      </c>
      <c r="N72" s="13" t="n">
        <v>0</v>
      </c>
      <c r="O72" s="13" t="n">
        <v>0</v>
      </c>
      <c r="P72" s="13" t="n">
        <v>0</v>
      </c>
      <c r="Q72" s="13" t="n">
        <v>3</v>
      </c>
      <c r="R72" s="13" t="n">
        <v>0</v>
      </c>
      <c r="S72" s="13" t="n">
        <v>0</v>
      </c>
      <c r="T72" s="13" t="n">
        <v>0.75</v>
      </c>
      <c r="U72" s="13" t="n">
        <v>2.25</v>
      </c>
      <c r="V72" s="13" t="n">
        <f aca="false">M72-SUM(N72:S72)</f>
        <v>0</v>
      </c>
    </row>
    <row r="73" customFormat="false" ht="15" hidden="false" customHeight="true" outlineLevel="0" collapsed="false">
      <c r="A73" s="13" t="n">
        <v>2024</v>
      </c>
      <c r="B73" s="13" t="s">
        <v>1022</v>
      </c>
      <c r="C73" s="13" t="s">
        <v>125</v>
      </c>
      <c r="D73" s="13" t="s">
        <v>1036</v>
      </c>
      <c r="E73" s="13" t="s">
        <v>192</v>
      </c>
      <c r="F73" s="13" t="s">
        <v>652</v>
      </c>
      <c r="G73" s="13" t="n">
        <v>4</v>
      </c>
      <c r="H73" s="13" t="n">
        <v>0</v>
      </c>
      <c r="I73" s="13" t="n">
        <v>4</v>
      </c>
      <c r="J73" s="13" t="n">
        <v>0</v>
      </c>
      <c r="K73" s="13" t="n">
        <v>0</v>
      </c>
      <c r="L73" s="13" t="n">
        <v>1</v>
      </c>
      <c r="M73" s="13" t="n">
        <v>3</v>
      </c>
      <c r="N73" s="13" t="n">
        <v>0</v>
      </c>
      <c r="O73" s="13" t="n">
        <v>0</v>
      </c>
      <c r="P73" s="13" t="n">
        <v>0</v>
      </c>
      <c r="Q73" s="13" t="n">
        <v>3</v>
      </c>
      <c r="R73" s="13" t="n">
        <v>0</v>
      </c>
      <c r="S73" s="13" t="n">
        <v>0</v>
      </c>
      <c r="T73" s="13" t="n">
        <v>0.75</v>
      </c>
      <c r="U73" s="13" t="n">
        <v>2.25</v>
      </c>
      <c r="V73" s="13" t="n">
        <f aca="false">M73-SUM(N73:S73)</f>
        <v>0</v>
      </c>
    </row>
    <row r="74" customFormat="false" ht="15" hidden="false" customHeight="true" outlineLevel="0" collapsed="false">
      <c r="A74" s="13" t="n">
        <v>2024</v>
      </c>
      <c r="B74" s="13" t="s">
        <v>1022</v>
      </c>
      <c r="C74" s="13" t="s">
        <v>125</v>
      </c>
      <c r="D74" s="13" t="s">
        <v>1037</v>
      </c>
      <c r="E74" s="13" t="s">
        <v>192</v>
      </c>
      <c r="F74" s="13" t="s">
        <v>1038</v>
      </c>
      <c r="G74" s="13" t="n">
        <v>5503</v>
      </c>
      <c r="H74" s="13" t="n">
        <v>360</v>
      </c>
      <c r="I74" s="13" t="n">
        <v>5143</v>
      </c>
      <c r="J74" s="13" t="n">
        <v>39</v>
      </c>
      <c r="K74" s="13" t="n">
        <v>4</v>
      </c>
      <c r="L74" s="13" t="n">
        <v>2383</v>
      </c>
      <c r="M74" s="13" t="n">
        <v>2756</v>
      </c>
      <c r="N74" s="13" t="n">
        <v>649</v>
      </c>
      <c r="O74" s="13" t="n">
        <v>238</v>
      </c>
      <c r="P74" s="13" t="n">
        <v>339</v>
      </c>
      <c r="Q74" s="13" t="n">
        <v>680</v>
      </c>
      <c r="R74" s="13" t="n">
        <v>728</v>
      </c>
      <c r="S74" s="13" t="n">
        <v>51</v>
      </c>
      <c r="T74" s="13" t="n">
        <v>0.5359</v>
      </c>
      <c r="U74" s="13" t="n">
        <v>1.94</v>
      </c>
      <c r="V74" s="13" t="n">
        <f aca="false">M74-SUM(N74:S74)</f>
        <v>71</v>
      </c>
    </row>
    <row r="75" customFormat="false" ht="15" hidden="false" customHeight="true" outlineLevel="0" collapsed="false">
      <c r="A75" s="13" t="n">
        <v>2024</v>
      </c>
      <c r="B75" s="13" t="s">
        <v>1022</v>
      </c>
      <c r="C75" s="13" t="s">
        <v>125</v>
      </c>
      <c r="D75" s="13" t="s">
        <v>1037</v>
      </c>
      <c r="E75" s="13" t="s">
        <v>192</v>
      </c>
      <c r="F75" s="13" t="s">
        <v>137</v>
      </c>
      <c r="G75" s="13" t="n">
        <v>29595</v>
      </c>
      <c r="H75" s="13" t="n">
        <v>450</v>
      </c>
      <c r="I75" s="13" t="n">
        <v>29145</v>
      </c>
      <c r="J75" s="13" t="n">
        <v>365</v>
      </c>
      <c r="K75" s="13" t="n">
        <v>14</v>
      </c>
      <c r="L75" s="13" t="n">
        <v>7500</v>
      </c>
      <c r="M75" s="13" t="n">
        <v>21631</v>
      </c>
      <c r="N75" s="13" t="n">
        <v>2857</v>
      </c>
      <c r="O75" s="13" t="n">
        <v>3562</v>
      </c>
      <c r="P75" s="13" t="n">
        <v>5958</v>
      </c>
      <c r="Q75" s="13" t="n">
        <v>6704</v>
      </c>
      <c r="R75" s="13" t="n">
        <v>2410</v>
      </c>
      <c r="S75" s="13" t="n">
        <v>69</v>
      </c>
      <c r="T75" s="13" t="n">
        <v>0.7516</v>
      </c>
      <c r="U75" s="13" t="n">
        <v>2.91</v>
      </c>
      <c r="V75" s="13" t="n">
        <f aca="false">M75-SUM(N75:S75)</f>
        <v>71</v>
      </c>
    </row>
    <row r="76" customFormat="false" ht="15" hidden="false" customHeight="true" outlineLevel="0" collapsed="false">
      <c r="A76" s="13" t="n">
        <v>2024</v>
      </c>
      <c r="B76" s="13" t="s">
        <v>1023</v>
      </c>
      <c r="C76" s="13" t="s">
        <v>121</v>
      </c>
      <c r="D76" s="13" t="s">
        <v>128</v>
      </c>
      <c r="E76" s="13" t="s">
        <v>124</v>
      </c>
      <c r="F76" s="13" t="s">
        <v>357</v>
      </c>
      <c r="G76" s="13" t="n">
        <v>592</v>
      </c>
      <c r="H76" s="13" t="n">
        <v>7</v>
      </c>
      <c r="I76" s="13" t="n">
        <v>585</v>
      </c>
      <c r="J76" s="13" t="n">
        <v>46</v>
      </c>
      <c r="K76" s="13" t="n">
        <v>0</v>
      </c>
      <c r="L76" s="13" t="n">
        <v>129</v>
      </c>
      <c r="M76" s="13" t="n">
        <v>456</v>
      </c>
      <c r="N76" s="13" t="n">
        <v>9</v>
      </c>
      <c r="O76" s="13" t="n">
        <v>44</v>
      </c>
      <c r="P76" s="13" t="n">
        <v>137</v>
      </c>
      <c r="Q76" s="13" t="n">
        <v>179</v>
      </c>
      <c r="R76" s="13" t="n">
        <v>86</v>
      </c>
      <c r="S76" s="13" t="n">
        <v>1</v>
      </c>
      <c r="T76" s="13" t="n">
        <v>0.7795</v>
      </c>
      <c r="U76" s="13" t="n">
        <v>2.62</v>
      </c>
      <c r="V76" s="13" t="n">
        <f aca="false">M76-SUM(N76:S76)</f>
        <v>0</v>
      </c>
    </row>
    <row r="77" customFormat="false" ht="15" hidden="false" customHeight="true" outlineLevel="0" collapsed="false">
      <c r="A77" s="13" t="n">
        <v>2024</v>
      </c>
      <c r="B77" s="13" t="s">
        <v>1023</v>
      </c>
      <c r="C77" s="13" t="s">
        <v>121</v>
      </c>
      <c r="D77" s="13" t="s">
        <v>128</v>
      </c>
      <c r="E77" s="13" t="s">
        <v>122</v>
      </c>
      <c r="F77" s="13" t="s">
        <v>357</v>
      </c>
      <c r="G77" s="13" t="n">
        <v>2154</v>
      </c>
      <c r="H77" s="13" t="n">
        <v>16</v>
      </c>
      <c r="I77" s="13" t="n">
        <v>2138</v>
      </c>
      <c r="J77" s="13" t="n">
        <v>51</v>
      </c>
      <c r="K77" s="13" t="n">
        <v>1</v>
      </c>
      <c r="L77" s="13" t="n">
        <v>165</v>
      </c>
      <c r="M77" s="13" t="n">
        <v>1972</v>
      </c>
      <c r="N77" s="13" t="n">
        <v>109</v>
      </c>
      <c r="O77" s="13" t="n">
        <v>485</v>
      </c>
      <c r="P77" s="13" t="n">
        <v>781</v>
      </c>
      <c r="Q77" s="13" t="n">
        <v>509</v>
      </c>
      <c r="R77" s="13" t="n">
        <v>86</v>
      </c>
      <c r="S77" s="13" t="n">
        <v>2</v>
      </c>
      <c r="T77" s="13" t="n">
        <v>0.9224</v>
      </c>
      <c r="U77" s="13" t="n">
        <v>3.7</v>
      </c>
      <c r="V77" s="13" t="n">
        <f aca="false">M77-SUM(N77:S77)</f>
        <v>0</v>
      </c>
    </row>
    <row r="78" customFormat="false" ht="15" hidden="false" customHeight="true" outlineLevel="0" collapsed="false">
      <c r="A78" s="13" t="n">
        <v>2024</v>
      </c>
      <c r="B78" s="13" t="s">
        <v>1023</v>
      </c>
      <c r="C78" s="13" t="s">
        <v>121</v>
      </c>
      <c r="D78" s="13" t="s">
        <v>128</v>
      </c>
      <c r="E78" s="13" t="s">
        <v>192</v>
      </c>
      <c r="F78" s="13" t="s">
        <v>652</v>
      </c>
      <c r="G78" s="13" t="n">
        <v>2746</v>
      </c>
      <c r="H78" s="13" t="n">
        <v>23</v>
      </c>
      <c r="I78" s="13" t="n">
        <v>2723</v>
      </c>
      <c r="J78" s="13" t="n">
        <v>97</v>
      </c>
      <c r="K78" s="13" t="n">
        <v>1</v>
      </c>
      <c r="L78" s="13" t="n">
        <v>294</v>
      </c>
      <c r="M78" s="13" t="n">
        <v>2428</v>
      </c>
      <c r="N78" s="13" t="n">
        <v>118</v>
      </c>
      <c r="O78" s="13" t="n">
        <v>529</v>
      </c>
      <c r="P78" s="13" t="n">
        <v>918</v>
      </c>
      <c r="Q78" s="13" t="n">
        <v>688</v>
      </c>
      <c r="R78" s="13" t="n">
        <v>172</v>
      </c>
      <c r="S78" s="13" t="n">
        <v>3</v>
      </c>
      <c r="T78" s="13" t="n">
        <v>0.8917</v>
      </c>
      <c r="U78" s="13" t="n">
        <v>3.47</v>
      </c>
      <c r="V78" s="13" t="n">
        <f aca="false">M78-SUM(N78:S78)</f>
        <v>0</v>
      </c>
    </row>
    <row r="79" customFormat="false" ht="15" hidden="false" customHeight="true" outlineLevel="0" collapsed="false">
      <c r="A79" s="13" t="n">
        <v>2024</v>
      </c>
      <c r="B79" s="13" t="s">
        <v>1023</v>
      </c>
      <c r="C79" s="13" t="s">
        <v>121</v>
      </c>
      <c r="D79" s="13" t="s">
        <v>1033</v>
      </c>
      <c r="E79" s="13" t="s">
        <v>124</v>
      </c>
      <c r="F79" s="13" t="s">
        <v>357</v>
      </c>
      <c r="G79" s="13" t="n">
        <v>3171</v>
      </c>
      <c r="H79" s="13" t="n">
        <v>15</v>
      </c>
      <c r="I79" s="13" t="n">
        <v>3156</v>
      </c>
      <c r="J79" s="13" t="n">
        <v>30</v>
      </c>
      <c r="K79" s="13" t="n">
        <v>0</v>
      </c>
      <c r="L79" s="13" t="n">
        <v>210</v>
      </c>
      <c r="M79" s="13" t="n">
        <v>2946</v>
      </c>
      <c r="N79" s="13" t="n">
        <v>1033</v>
      </c>
      <c r="O79" s="13" t="n">
        <v>868</v>
      </c>
      <c r="P79" s="13" t="n">
        <v>733</v>
      </c>
      <c r="Q79" s="13" t="n">
        <v>292</v>
      </c>
      <c r="R79" s="13" t="n">
        <v>20</v>
      </c>
      <c r="S79" s="13" t="n">
        <v>0</v>
      </c>
      <c r="T79" s="13" t="n">
        <v>0.9335</v>
      </c>
      <c r="U79" s="13" t="n">
        <v>4.56</v>
      </c>
      <c r="V79" s="13" t="n">
        <f aca="false">M79-SUM(N79:S79)</f>
        <v>0</v>
      </c>
    </row>
    <row r="80" customFormat="false" ht="15" hidden="false" customHeight="true" outlineLevel="0" collapsed="false">
      <c r="A80" s="13" t="n">
        <v>2024</v>
      </c>
      <c r="B80" s="13" t="s">
        <v>1023</v>
      </c>
      <c r="C80" s="13" t="s">
        <v>121</v>
      </c>
      <c r="D80" s="13" t="s">
        <v>1033</v>
      </c>
      <c r="E80" s="13" t="s">
        <v>122</v>
      </c>
      <c r="F80" s="13" t="s">
        <v>357</v>
      </c>
      <c r="G80" s="13" t="n">
        <v>8234</v>
      </c>
      <c r="H80" s="13" t="n">
        <v>31</v>
      </c>
      <c r="I80" s="13" t="n">
        <v>8203</v>
      </c>
      <c r="J80" s="13" t="n">
        <v>50</v>
      </c>
      <c r="K80" s="13" t="n">
        <v>0</v>
      </c>
      <c r="L80" s="13" t="n">
        <v>252</v>
      </c>
      <c r="M80" s="13" t="n">
        <v>7951</v>
      </c>
      <c r="N80" s="13" t="n">
        <v>3478</v>
      </c>
      <c r="O80" s="13" t="n">
        <v>2449</v>
      </c>
      <c r="P80" s="13" t="n">
        <v>1586</v>
      </c>
      <c r="Q80" s="13" t="n">
        <v>424</v>
      </c>
      <c r="R80" s="13" t="n">
        <v>14</v>
      </c>
      <c r="S80" s="13" t="n">
        <v>0</v>
      </c>
      <c r="T80" s="13" t="n">
        <v>0.9693</v>
      </c>
      <c r="U80" s="13" t="n">
        <v>4.97</v>
      </c>
      <c r="V80" s="13" t="n">
        <f aca="false">M80-SUM(N80:S80)</f>
        <v>0</v>
      </c>
    </row>
    <row r="81" customFormat="false" ht="15" hidden="false" customHeight="true" outlineLevel="0" collapsed="false">
      <c r="A81" s="13" t="n">
        <v>2024</v>
      </c>
      <c r="B81" s="13" t="s">
        <v>1023</v>
      </c>
      <c r="C81" s="13" t="s">
        <v>121</v>
      </c>
      <c r="D81" s="13" t="s">
        <v>1033</v>
      </c>
      <c r="E81" s="13" t="s">
        <v>192</v>
      </c>
      <c r="F81" s="13" t="s">
        <v>652</v>
      </c>
      <c r="G81" s="13" t="n">
        <v>11405</v>
      </c>
      <c r="H81" s="13" t="n">
        <v>46</v>
      </c>
      <c r="I81" s="13" t="n">
        <v>11359</v>
      </c>
      <c r="J81" s="13" t="n">
        <v>80</v>
      </c>
      <c r="K81" s="13" t="n">
        <v>0</v>
      </c>
      <c r="L81" s="13" t="n">
        <v>462</v>
      </c>
      <c r="M81" s="13" t="n">
        <v>10897</v>
      </c>
      <c r="N81" s="13" t="n">
        <v>4511</v>
      </c>
      <c r="O81" s="13" t="n">
        <v>3317</v>
      </c>
      <c r="P81" s="13" t="n">
        <v>2319</v>
      </c>
      <c r="Q81" s="13" t="n">
        <v>716</v>
      </c>
      <c r="R81" s="13" t="n">
        <v>34</v>
      </c>
      <c r="S81" s="13" t="n">
        <v>0</v>
      </c>
      <c r="T81" s="13" t="n">
        <v>0.9593</v>
      </c>
      <c r="U81" s="13" t="n">
        <v>4.85</v>
      </c>
      <c r="V81" s="13" t="n">
        <f aca="false">M81-SUM(N81:S81)</f>
        <v>0</v>
      </c>
    </row>
    <row r="82" customFormat="false" ht="15" hidden="false" customHeight="true" outlineLevel="0" collapsed="false">
      <c r="A82" s="13" t="n">
        <v>2024</v>
      </c>
      <c r="B82" s="13" t="s">
        <v>1023</v>
      </c>
      <c r="C82" s="13" t="s">
        <v>121</v>
      </c>
      <c r="D82" s="13" t="s">
        <v>1034</v>
      </c>
      <c r="E82" s="13" t="s">
        <v>124</v>
      </c>
      <c r="F82" s="13" t="s">
        <v>357</v>
      </c>
      <c r="G82" s="13" t="n">
        <v>4077</v>
      </c>
      <c r="H82" s="13" t="n">
        <v>13</v>
      </c>
      <c r="I82" s="13" t="n">
        <v>4064</v>
      </c>
      <c r="J82" s="13" t="n">
        <v>26</v>
      </c>
      <c r="K82" s="13" t="n">
        <v>0</v>
      </c>
      <c r="L82" s="13" t="n">
        <v>353</v>
      </c>
      <c r="M82" s="13" t="n">
        <v>3711</v>
      </c>
      <c r="N82" s="13" t="n">
        <v>570</v>
      </c>
      <c r="O82" s="13" t="n">
        <v>1088</v>
      </c>
      <c r="P82" s="13" t="n">
        <v>1268</v>
      </c>
      <c r="Q82" s="13" t="n">
        <v>755</v>
      </c>
      <c r="R82" s="13" t="n">
        <v>30</v>
      </c>
      <c r="S82" s="13" t="n">
        <v>0</v>
      </c>
      <c r="T82" s="13" t="n">
        <v>0.9131</v>
      </c>
      <c r="U82" s="13" t="n">
        <v>4</v>
      </c>
      <c r="V82" s="13" t="n">
        <f aca="false">M82-SUM(N82:S82)</f>
        <v>0</v>
      </c>
    </row>
    <row r="83" customFormat="false" ht="15" hidden="false" customHeight="true" outlineLevel="0" collapsed="false">
      <c r="A83" s="13" t="n">
        <v>2024</v>
      </c>
      <c r="B83" s="13" t="s">
        <v>1023</v>
      </c>
      <c r="C83" s="13" t="s">
        <v>121</v>
      </c>
      <c r="D83" s="13" t="s">
        <v>1034</v>
      </c>
      <c r="E83" s="13" t="s">
        <v>122</v>
      </c>
      <c r="F83" s="13" t="s">
        <v>357</v>
      </c>
      <c r="G83" s="13" t="n">
        <v>2100</v>
      </c>
      <c r="H83" s="13" t="n">
        <v>5</v>
      </c>
      <c r="I83" s="13" t="n">
        <v>2095</v>
      </c>
      <c r="J83" s="13" t="n">
        <v>9</v>
      </c>
      <c r="K83" s="13" t="n">
        <v>0</v>
      </c>
      <c r="L83" s="13" t="n">
        <v>106</v>
      </c>
      <c r="M83" s="13" t="n">
        <v>1989</v>
      </c>
      <c r="N83" s="13" t="n">
        <v>352</v>
      </c>
      <c r="O83" s="13" t="n">
        <v>677</v>
      </c>
      <c r="P83" s="13" t="n">
        <v>711</v>
      </c>
      <c r="Q83" s="13" t="n">
        <v>243</v>
      </c>
      <c r="R83" s="13" t="n">
        <v>6</v>
      </c>
      <c r="S83" s="13" t="n">
        <v>0</v>
      </c>
      <c r="T83" s="13" t="n">
        <v>0.9494</v>
      </c>
      <c r="U83" s="13" t="n">
        <v>4.34</v>
      </c>
      <c r="V83" s="13" t="n">
        <f aca="false">M83-SUM(N83:S83)</f>
        <v>0</v>
      </c>
    </row>
    <row r="84" customFormat="false" ht="15" hidden="false" customHeight="true" outlineLevel="0" collapsed="false">
      <c r="A84" s="13" t="n">
        <v>2024</v>
      </c>
      <c r="B84" s="13" t="s">
        <v>1023</v>
      </c>
      <c r="C84" s="13" t="s">
        <v>121</v>
      </c>
      <c r="D84" s="13" t="s">
        <v>1034</v>
      </c>
      <c r="E84" s="13" t="s">
        <v>192</v>
      </c>
      <c r="F84" s="13" t="s">
        <v>652</v>
      </c>
      <c r="G84" s="13" t="n">
        <v>6177</v>
      </c>
      <c r="H84" s="13" t="n">
        <v>18</v>
      </c>
      <c r="I84" s="13" t="n">
        <v>6159</v>
      </c>
      <c r="J84" s="13" t="n">
        <v>35</v>
      </c>
      <c r="K84" s="13" t="n">
        <v>0</v>
      </c>
      <c r="L84" s="13" t="n">
        <v>459</v>
      </c>
      <c r="M84" s="13" t="n">
        <v>5700</v>
      </c>
      <c r="N84" s="13" t="n">
        <v>922</v>
      </c>
      <c r="O84" s="13" t="n">
        <v>1765</v>
      </c>
      <c r="P84" s="13" t="n">
        <v>1979</v>
      </c>
      <c r="Q84" s="13" t="n">
        <v>998</v>
      </c>
      <c r="R84" s="13" t="n">
        <v>36</v>
      </c>
      <c r="S84" s="13" t="n">
        <v>0</v>
      </c>
      <c r="T84" s="13" t="n">
        <v>0.9255</v>
      </c>
      <c r="U84" s="13" t="n">
        <v>4.11</v>
      </c>
      <c r="V84" s="13" t="n">
        <f aca="false">M84-SUM(N84:S84)</f>
        <v>0</v>
      </c>
    </row>
    <row r="85" customFormat="false" ht="15" hidden="false" customHeight="true" outlineLevel="0" collapsed="false">
      <c r="A85" s="13" t="n">
        <v>2024</v>
      </c>
      <c r="B85" s="13" t="s">
        <v>1023</v>
      </c>
      <c r="C85" s="13" t="s">
        <v>121</v>
      </c>
      <c r="D85" s="13" t="s">
        <v>1035</v>
      </c>
      <c r="E85" s="13" t="s">
        <v>124</v>
      </c>
      <c r="F85" s="13" t="s">
        <v>357</v>
      </c>
      <c r="G85" s="13" t="n">
        <v>7967</v>
      </c>
      <c r="H85" s="13" t="n">
        <v>59</v>
      </c>
      <c r="I85" s="13" t="n">
        <v>7908</v>
      </c>
      <c r="J85" s="13" t="n">
        <v>186</v>
      </c>
      <c r="K85" s="13" t="n">
        <v>4</v>
      </c>
      <c r="L85" s="13" t="n">
        <v>2013</v>
      </c>
      <c r="M85" s="13" t="n">
        <v>5891</v>
      </c>
      <c r="N85" s="13" t="n">
        <v>308</v>
      </c>
      <c r="O85" s="13" t="n">
        <v>1145</v>
      </c>
      <c r="P85" s="13" t="n">
        <v>2247</v>
      </c>
      <c r="Q85" s="13" t="n">
        <v>1985</v>
      </c>
      <c r="R85" s="13" t="n">
        <v>206</v>
      </c>
      <c r="S85" s="13" t="n">
        <v>0</v>
      </c>
      <c r="T85" s="13" t="n">
        <v>0.7449</v>
      </c>
      <c r="U85" s="13" t="n">
        <v>2.9</v>
      </c>
      <c r="V85" s="13" t="n">
        <f aca="false">M85-SUM(N85:S85)</f>
        <v>0</v>
      </c>
    </row>
    <row r="86" customFormat="false" ht="15" hidden="false" customHeight="true" outlineLevel="0" collapsed="false">
      <c r="A86" s="13" t="n">
        <v>2024</v>
      </c>
      <c r="B86" s="13" t="s">
        <v>1023</v>
      </c>
      <c r="C86" s="13" t="s">
        <v>121</v>
      </c>
      <c r="D86" s="13" t="s">
        <v>1035</v>
      </c>
      <c r="E86" s="13" t="s">
        <v>122</v>
      </c>
      <c r="F86" s="13" t="s">
        <v>357</v>
      </c>
      <c r="G86" s="13" t="n">
        <v>4877</v>
      </c>
      <c r="H86" s="13" t="n">
        <v>26</v>
      </c>
      <c r="I86" s="13" t="n">
        <v>4851</v>
      </c>
      <c r="J86" s="13" t="n">
        <v>81</v>
      </c>
      <c r="K86" s="13" t="n">
        <v>0</v>
      </c>
      <c r="L86" s="13" t="n">
        <v>678</v>
      </c>
      <c r="M86" s="13" t="n">
        <v>4173</v>
      </c>
      <c r="N86" s="13" t="n">
        <v>370</v>
      </c>
      <c r="O86" s="13" t="n">
        <v>1092</v>
      </c>
      <c r="P86" s="13" t="n">
        <v>1718</v>
      </c>
      <c r="Q86" s="13" t="n">
        <v>956</v>
      </c>
      <c r="R86" s="13" t="n">
        <v>37</v>
      </c>
      <c r="S86" s="13" t="n">
        <v>0</v>
      </c>
      <c r="T86" s="13" t="n">
        <v>0.8602</v>
      </c>
      <c r="U86" s="13" t="n">
        <v>3.61</v>
      </c>
      <c r="V86" s="13" t="n">
        <f aca="false">M86-SUM(N86:S86)</f>
        <v>0</v>
      </c>
    </row>
    <row r="87" customFormat="false" ht="15" hidden="false" customHeight="true" outlineLevel="0" collapsed="false">
      <c r="A87" s="13" t="n">
        <v>2024</v>
      </c>
      <c r="B87" s="13" t="s">
        <v>1023</v>
      </c>
      <c r="C87" s="13" t="s">
        <v>121</v>
      </c>
      <c r="D87" s="13" t="s">
        <v>1035</v>
      </c>
      <c r="E87" s="13" t="s">
        <v>192</v>
      </c>
      <c r="F87" s="13" t="s">
        <v>652</v>
      </c>
      <c r="G87" s="13" t="n">
        <v>12844</v>
      </c>
      <c r="H87" s="13" t="n">
        <v>85</v>
      </c>
      <c r="I87" s="13" t="n">
        <v>12759</v>
      </c>
      <c r="J87" s="13" t="n">
        <v>267</v>
      </c>
      <c r="K87" s="13" t="n">
        <v>4</v>
      </c>
      <c r="L87" s="13" t="n">
        <v>2691</v>
      </c>
      <c r="M87" s="13" t="n">
        <v>10064</v>
      </c>
      <c r="N87" s="13" t="n">
        <v>678</v>
      </c>
      <c r="O87" s="13" t="n">
        <v>2237</v>
      </c>
      <c r="P87" s="13" t="n">
        <v>3965</v>
      </c>
      <c r="Q87" s="13" t="n">
        <v>2941</v>
      </c>
      <c r="R87" s="13" t="n">
        <v>243</v>
      </c>
      <c r="S87" s="13" t="n">
        <v>0</v>
      </c>
      <c r="T87" s="13" t="n">
        <v>0.7888</v>
      </c>
      <c r="U87" s="13" t="n">
        <v>3.17</v>
      </c>
      <c r="V87" s="13" t="n">
        <f aca="false">M87-SUM(N87:S87)</f>
        <v>0</v>
      </c>
    </row>
    <row r="88" customFormat="false" ht="15" hidden="false" customHeight="true" outlineLevel="0" collapsed="false">
      <c r="A88" s="13" t="n">
        <v>2024</v>
      </c>
      <c r="B88" s="13" t="s">
        <v>1023</v>
      </c>
      <c r="C88" s="13" t="s">
        <v>121</v>
      </c>
      <c r="D88" s="13" t="s">
        <v>203</v>
      </c>
      <c r="E88" s="13" t="s">
        <v>124</v>
      </c>
      <c r="F88" s="13" t="s">
        <v>357</v>
      </c>
      <c r="G88" s="13" t="n">
        <v>810</v>
      </c>
      <c r="H88" s="13" t="n">
        <v>3</v>
      </c>
      <c r="I88" s="13" t="n">
        <v>807</v>
      </c>
      <c r="J88" s="13" t="n">
        <v>55</v>
      </c>
      <c r="K88" s="13" t="n">
        <v>0</v>
      </c>
      <c r="L88" s="13" t="n">
        <v>245</v>
      </c>
      <c r="M88" s="13" t="n">
        <v>562</v>
      </c>
      <c r="N88" s="13" t="n">
        <v>9</v>
      </c>
      <c r="O88" s="13" t="n">
        <v>23</v>
      </c>
      <c r="P88" s="13" t="n">
        <v>88</v>
      </c>
      <c r="Q88" s="13" t="n">
        <v>252</v>
      </c>
      <c r="R88" s="13" t="n">
        <v>187</v>
      </c>
      <c r="S88" s="13" t="n">
        <v>3</v>
      </c>
      <c r="T88" s="13" t="n">
        <v>0.6964</v>
      </c>
      <c r="U88" s="13" t="n">
        <v>2.05</v>
      </c>
      <c r="V88" s="13" t="n">
        <f aca="false">M88-SUM(N88:S88)</f>
        <v>0</v>
      </c>
    </row>
    <row r="89" customFormat="false" ht="15" hidden="false" customHeight="true" outlineLevel="0" collapsed="false">
      <c r="A89" s="13" t="n">
        <v>2024</v>
      </c>
      <c r="B89" s="13" t="s">
        <v>1023</v>
      </c>
      <c r="C89" s="13" t="s">
        <v>121</v>
      </c>
      <c r="D89" s="13" t="s">
        <v>203</v>
      </c>
      <c r="E89" s="13" t="s">
        <v>122</v>
      </c>
      <c r="F89" s="13" t="s">
        <v>357</v>
      </c>
      <c r="G89" s="13" t="n">
        <v>605</v>
      </c>
      <c r="H89" s="13" t="n">
        <v>7</v>
      </c>
      <c r="I89" s="13" t="n">
        <v>598</v>
      </c>
      <c r="J89" s="13" t="n">
        <v>23</v>
      </c>
      <c r="K89" s="13" t="n">
        <v>0</v>
      </c>
      <c r="L89" s="13" t="n">
        <v>91</v>
      </c>
      <c r="M89" s="13" t="n">
        <v>507</v>
      </c>
      <c r="N89" s="13" t="n">
        <v>23</v>
      </c>
      <c r="O89" s="13" t="n">
        <v>72</v>
      </c>
      <c r="P89" s="13" t="n">
        <v>168</v>
      </c>
      <c r="Q89" s="13" t="n">
        <v>182</v>
      </c>
      <c r="R89" s="13" t="n">
        <v>61</v>
      </c>
      <c r="S89" s="13" t="n">
        <v>1</v>
      </c>
      <c r="T89" s="13" t="n">
        <v>0.8478</v>
      </c>
      <c r="U89" s="13" t="n">
        <v>3.08</v>
      </c>
      <c r="V89" s="13" t="n">
        <f aca="false">M89-SUM(N89:S89)</f>
        <v>0</v>
      </c>
    </row>
    <row r="90" customFormat="false" ht="15" hidden="false" customHeight="true" outlineLevel="0" collapsed="false">
      <c r="A90" s="13" t="n">
        <v>2024</v>
      </c>
      <c r="B90" s="13" t="s">
        <v>1023</v>
      </c>
      <c r="C90" s="13" t="s">
        <v>121</v>
      </c>
      <c r="D90" s="13" t="s">
        <v>203</v>
      </c>
      <c r="E90" s="13" t="s">
        <v>192</v>
      </c>
      <c r="F90" s="13" t="s">
        <v>652</v>
      </c>
      <c r="G90" s="13" t="n">
        <v>1415</v>
      </c>
      <c r="H90" s="13" t="n">
        <v>10</v>
      </c>
      <c r="I90" s="13" t="n">
        <v>1405</v>
      </c>
      <c r="J90" s="13" t="n">
        <v>78</v>
      </c>
      <c r="K90" s="13" t="n">
        <v>0</v>
      </c>
      <c r="L90" s="13" t="n">
        <v>336</v>
      </c>
      <c r="M90" s="13" t="n">
        <v>1069</v>
      </c>
      <c r="N90" s="13" t="n">
        <v>32</v>
      </c>
      <c r="O90" s="13" t="n">
        <v>95</v>
      </c>
      <c r="P90" s="13" t="n">
        <v>256</v>
      </c>
      <c r="Q90" s="13" t="n">
        <v>434</v>
      </c>
      <c r="R90" s="13" t="n">
        <v>248</v>
      </c>
      <c r="S90" s="13" t="n">
        <v>4</v>
      </c>
      <c r="T90" s="13" t="n">
        <v>0.7609</v>
      </c>
      <c r="U90" s="13" t="n">
        <v>2.49</v>
      </c>
      <c r="V90" s="13" t="n">
        <f aca="false">M90-SUM(N90:S90)</f>
        <v>0</v>
      </c>
    </row>
    <row r="91" customFormat="false" ht="15" hidden="false" customHeight="true" outlineLevel="0" collapsed="false">
      <c r="A91" s="13" t="n">
        <v>2024</v>
      </c>
      <c r="B91" s="13" t="s">
        <v>1023</v>
      </c>
      <c r="C91" s="13" t="s">
        <v>121</v>
      </c>
      <c r="D91" s="13" t="s">
        <v>1037</v>
      </c>
      <c r="E91" s="13" t="s">
        <v>192</v>
      </c>
      <c r="F91" s="13" t="s">
        <v>1038</v>
      </c>
      <c r="G91" s="13" t="n">
        <v>34587</v>
      </c>
      <c r="H91" s="13" t="n">
        <v>182</v>
      </c>
      <c r="I91" s="13" t="n">
        <v>34405</v>
      </c>
      <c r="J91" s="13" t="n">
        <v>557</v>
      </c>
      <c r="K91" s="13" t="n">
        <v>5</v>
      </c>
      <c r="L91" s="13" t="n">
        <v>4242</v>
      </c>
      <c r="M91" s="13" t="n">
        <v>30158</v>
      </c>
      <c r="N91" s="13" t="n">
        <v>6261</v>
      </c>
      <c r="O91" s="13" t="n">
        <v>7943</v>
      </c>
      <c r="P91" s="13" t="n">
        <v>9437</v>
      </c>
      <c r="Q91" s="13" t="n">
        <v>5777</v>
      </c>
      <c r="R91" s="13" t="n">
        <v>733</v>
      </c>
      <c r="S91" s="13" t="n">
        <v>7</v>
      </c>
      <c r="T91" s="13" t="n">
        <v>0.8766</v>
      </c>
      <c r="U91" s="13" t="n">
        <v>3.89</v>
      </c>
      <c r="V91" s="13" t="n">
        <f aca="false">M91-SUM(N91:S91)</f>
        <v>0</v>
      </c>
    </row>
    <row r="92" customFormat="false" ht="15" hidden="false" customHeight="true" outlineLevel="0" collapsed="false">
      <c r="A92" s="13" t="n">
        <v>2024</v>
      </c>
      <c r="B92" s="13" t="s">
        <v>1023</v>
      </c>
      <c r="C92" s="13" t="s">
        <v>125</v>
      </c>
      <c r="D92" s="13" t="s">
        <v>128</v>
      </c>
      <c r="E92" s="13" t="s">
        <v>124</v>
      </c>
      <c r="F92" s="13" t="s">
        <v>357</v>
      </c>
      <c r="G92" s="13" t="n">
        <v>455</v>
      </c>
      <c r="H92" s="13" t="n">
        <v>36</v>
      </c>
      <c r="I92" s="13" t="n">
        <v>419</v>
      </c>
      <c r="J92" s="13" t="n">
        <v>6</v>
      </c>
      <c r="K92" s="13" t="n">
        <v>0</v>
      </c>
      <c r="L92" s="13" t="n">
        <v>184</v>
      </c>
      <c r="M92" s="13" t="n">
        <v>235</v>
      </c>
      <c r="N92" s="13" t="n">
        <v>1</v>
      </c>
      <c r="O92" s="13" t="n">
        <v>4</v>
      </c>
      <c r="P92" s="13" t="n">
        <v>26</v>
      </c>
      <c r="Q92" s="13" t="n">
        <v>67</v>
      </c>
      <c r="R92" s="13" t="n">
        <v>92</v>
      </c>
      <c r="S92" s="13" t="n">
        <v>5</v>
      </c>
      <c r="T92" s="13" t="n">
        <v>0.5609</v>
      </c>
      <c r="U92" s="13" t="n">
        <v>1.24</v>
      </c>
      <c r="V92" s="13" t="n">
        <f aca="false">M92-SUM(N92:S92)</f>
        <v>40</v>
      </c>
    </row>
    <row r="93" customFormat="false" ht="15" hidden="false" customHeight="true" outlineLevel="0" collapsed="false">
      <c r="A93" s="13" t="n">
        <v>2024</v>
      </c>
      <c r="B93" s="13" t="s">
        <v>1023</v>
      </c>
      <c r="C93" s="13" t="s">
        <v>125</v>
      </c>
      <c r="D93" s="13" t="s">
        <v>128</v>
      </c>
      <c r="E93" s="13" t="s">
        <v>122</v>
      </c>
      <c r="F93" s="13" t="s">
        <v>357</v>
      </c>
      <c r="G93" s="13" t="n">
        <v>494</v>
      </c>
      <c r="H93" s="13" t="n">
        <v>21</v>
      </c>
      <c r="I93" s="13" t="n">
        <v>473</v>
      </c>
      <c r="J93" s="13" t="n">
        <v>4</v>
      </c>
      <c r="K93" s="13" t="n">
        <v>0</v>
      </c>
      <c r="L93" s="13" t="n">
        <v>130</v>
      </c>
      <c r="M93" s="13" t="n">
        <v>343</v>
      </c>
      <c r="N93" s="13" t="n">
        <v>1</v>
      </c>
      <c r="O93" s="13" t="n">
        <v>13</v>
      </c>
      <c r="P93" s="13" t="n">
        <v>60</v>
      </c>
      <c r="Q93" s="13" t="n">
        <v>122</v>
      </c>
      <c r="R93" s="13" t="n">
        <v>84</v>
      </c>
      <c r="S93" s="13" t="n">
        <v>5</v>
      </c>
      <c r="T93" s="13" t="n">
        <v>0.7252</v>
      </c>
      <c r="U93" s="13" t="n">
        <v>1.8</v>
      </c>
      <c r="V93" s="13" t="n">
        <f aca="false">M93-SUM(N93:S93)</f>
        <v>58</v>
      </c>
    </row>
    <row r="94" customFormat="false" ht="15" hidden="false" customHeight="true" outlineLevel="0" collapsed="false">
      <c r="A94" s="13" t="n">
        <v>2024</v>
      </c>
      <c r="B94" s="13" t="s">
        <v>1023</v>
      </c>
      <c r="C94" s="13" t="s">
        <v>125</v>
      </c>
      <c r="D94" s="13" t="s">
        <v>128</v>
      </c>
      <c r="E94" s="13" t="s">
        <v>192</v>
      </c>
      <c r="F94" s="13" t="s">
        <v>652</v>
      </c>
      <c r="G94" s="13" t="n">
        <v>949</v>
      </c>
      <c r="H94" s="13" t="n">
        <v>57</v>
      </c>
      <c r="I94" s="13" t="n">
        <v>892</v>
      </c>
      <c r="J94" s="13" t="n">
        <v>10</v>
      </c>
      <c r="K94" s="13" t="n">
        <v>0</v>
      </c>
      <c r="L94" s="13" t="n">
        <v>314</v>
      </c>
      <c r="M94" s="13" t="n">
        <v>578</v>
      </c>
      <c r="N94" s="13" t="n">
        <v>2</v>
      </c>
      <c r="O94" s="13" t="n">
        <v>17</v>
      </c>
      <c r="P94" s="13" t="n">
        <v>86</v>
      </c>
      <c r="Q94" s="13" t="n">
        <v>189</v>
      </c>
      <c r="R94" s="13" t="n">
        <v>176</v>
      </c>
      <c r="S94" s="13" t="n">
        <v>10</v>
      </c>
      <c r="T94" s="13" t="n">
        <v>0.648</v>
      </c>
      <c r="U94" s="13" t="n">
        <v>1.54</v>
      </c>
      <c r="V94" s="13" t="n">
        <f aca="false">M94-SUM(N94:S94)</f>
        <v>98</v>
      </c>
    </row>
    <row r="95" customFormat="false" ht="15" hidden="false" customHeight="true" outlineLevel="0" collapsed="false">
      <c r="A95" s="13" t="n">
        <v>2024</v>
      </c>
      <c r="B95" s="13" t="s">
        <v>1023</v>
      </c>
      <c r="C95" s="13" t="s">
        <v>125</v>
      </c>
      <c r="D95" s="13" t="s">
        <v>1033</v>
      </c>
      <c r="E95" s="13" t="s">
        <v>124</v>
      </c>
      <c r="F95" s="13" t="s">
        <v>357</v>
      </c>
      <c r="G95" s="13" t="n">
        <v>478</v>
      </c>
      <c r="H95" s="13" t="n">
        <v>65</v>
      </c>
      <c r="I95" s="13" t="n">
        <v>413</v>
      </c>
      <c r="J95" s="13" t="n">
        <v>4</v>
      </c>
      <c r="K95" s="13" t="n">
        <v>0</v>
      </c>
      <c r="L95" s="13" t="n">
        <v>39</v>
      </c>
      <c r="M95" s="13" t="n">
        <v>374</v>
      </c>
      <c r="N95" s="13" t="n">
        <v>262</v>
      </c>
      <c r="O95" s="13" t="n">
        <v>46</v>
      </c>
      <c r="P95" s="13" t="n">
        <v>24</v>
      </c>
      <c r="Q95" s="13" t="n">
        <v>33</v>
      </c>
      <c r="R95" s="13" t="n">
        <v>9</v>
      </c>
      <c r="S95" s="13" t="n">
        <v>0</v>
      </c>
      <c r="T95" s="13" t="n">
        <v>0.9056</v>
      </c>
      <c r="U95" s="13" t="n">
        <v>4.88</v>
      </c>
      <c r="V95" s="13" t="n">
        <f aca="false">M95-SUM(N95:S95)</f>
        <v>0</v>
      </c>
    </row>
    <row r="96" customFormat="false" ht="15" hidden="false" customHeight="true" outlineLevel="0" collapsed="false">
      <c r="A96" s="13" t="n">
        <v>2024</v>
      </c>
      <c r="B96" s="13" t="s">
        <v>1023</v>
      </c>
      <c r="C96" s="13" t="s">
        <v>125</v>
      </c>
      <c r="D96" s="13" t="s">
        <v>1033</v>
      </c>
      <c r="E96" s="13" t="s">
        <v>122</v>
      </c>
      <c r="F96" s="13" t="s">
        <v>357</v>
      </c>
      <c r="G96" s="13" t="n">
        <v>1210</v>
      </c>
      <c r="H96" s="13" t="n">
        <v>94</v>
      </c>
      <c r="I96" s="13" t="n">
        <v>1116</v>
      </c>
      <c r="J96" s="13" t="n">
        <v>3</v>
      </c>
      <c r="K96" s="13" t="n">
        <v>0</v>
      </c>
      <c r="L96" s="13" t="n">
        <v>26</v>
      </c>
      <c r="M96" s="13" t="n">
        <v>1090</v>
      </c>
      <c r="N96" s="13" t="n">
        <v>869</v>
      </c>
      <c r="O96" s="13" t="n">
        <v>132</v>
      </c>
      <c r="P96" s="13" t="n">
        <v>53</v>
      </c>
      <c r="Q96" s="13" t="n">
        <v>31</v>
      </c>
      <c r="R96" s="13" t="n">
        <v>4</v>
      </c>
      <c r="S96" s="13" t="n">
        <v>0</v>
      </c>
      <c r="T96" s="13" t="n">
        <v>0.9767</v>
      </c>
      <c r="U96" s="13" t="n">
        <v>5.54</v>
      </c>
      <c r="V96" s="13" t="n">
        <f aca="false">M96-SUM(N96:S96)</f>
        <v>1</v>
      </c>
    </row>
    <row r="97" customFormat="false" ht="15" hidden="false" customHeight="true" outlineLevel="0" collapsed="false">
      <c r="A97" s="13" t="n">
        <v>2024</v>
      </c>
      <c r="B97" s="13" t="s">
        <v>1023</v>
      </c>
      <c r="C97" s="13" t="s">
        <v>125</v>
      </c>
      <c r="D97" s="13" t="s">
        <v>1033</v>
      </c>
      <c r="E97" s="13" t="s">
        <v>192</v>
      </c>
      <c r="F97" s="13" t="s">
        <v>652</v>
      </c>
      <c r="G97" s="13" t="n">
        <v>1688</v>
      </c>
      <c r="H97" s="13" t="n">
        <v>159</v>
      </c>
      <c r="I97" s="13" t="n">
        <v>1529</v>
      </c>
      <c r="J97" s="13" t="n">
        <v>7</v>
      </c>
      <c r="K97" s="13" t="n">
        <v>0</v>
      </c>
      <c r="L97" s="13" t="n">
        <v>65</v>
      </c>
      <c r="M97" s="13" t="n">
        <v>1464</v>
      </c>
      <c r="N97" s="13" t="n">
        <v>1131</v>
      </c>
      <c r="O97" s="13" t="n">
        <v>178</v>
      </c>
      <c r="P97" s="13" t="n">
        <v>77</v>
      </c>
      <c r="Q97" s="13" t="n">
        <v>64</v>
      </c>
      <c r="R97" s="13" t="n">
        <v>13</v>
      </c>
      <c r="S97" s="13" t="n">
        <v>0</v>
      </c>
      <c r="T97" s="13" t="n">
        <v>0.9575</v>
      </c>
      <c r="U97" s="13" t="n">
        <v>5.36</v>
      </c>
      <c r="V97" s="13" t="n">
        <f aca="false">M97-SUM(N97:S97)</f>
        <v>1</v>
      </c>
    </row>
    <row r="98" customFormat="false" ht="15" hidden="false" customHeight="true" outlineLevel="0" collapsed="false">
      <c r="A98" s="13" t="n">
        <v>2024</v>
      </c>
      <c r="B98" s="13" t="s">
        <v>1023</v>
      </c>
      <c r="C98" s="13" t="s">
        <v>125</v>
      </c>
      <c r="D98" s="13" t="s">
        <v>1034</v>
      </c>
      <c r="E98" s="13" t="s">
        <v>124</v>
      </c>
      <c r="F98" s="13" t="s">
        <v>357</v>
      </c>
      <c r="G98" s="13" t="n">
        <v>293</v>
      </c>
      <c r="H98" s="13" t="n">
        <v>39</v>
      </c>
      <c r="I98" s="13" t="n">
        <v>254</v>
      </c>
      <c r="J98" s="13" t="n">
        <v>3</v>
      </c>
      <c r="K98" s="13" t="n">
        <v>0</v>
      </c>
      <c r="L98" s="13" t="n">
        <v>100</v>
      </c>
      <c r="M98" s="13" t="n">
        <v>154</v>
      </c>
      <c r="N98" s="13" t="n">
        <v>2</v>
      </c>
      <c r="O98" s="13" t="n">
        <v>13</v>
      </c>
      <c r="P98" s="13" t="n">
        <v>38</v>
      </c>
      <c r="Q98" s="13" t="n">
        <v>86</v>
      </c>
      <c r="R98" s="13" t="n">
        <v>15</v>
      </c>
      <c r="S98" s="13" t="n">
        <v>0</v>
      </c>
      <c r="T98" s="13" t="n">
        <v>0.6063</v>
      </c>
      <c r="U98" s="13" t="n">
        <v>2.04</v>
      </c>
      <c r="V98" s="13" t="n">
        <f aca="false">M98-SUM(N98:S98)</f>
        <v>0</v>
      </c>
    </row>
    <row r="99" customFormat="false" ht="15" hidden="false" customHeight="true" outlineLevel="0" collapsed="false">
      <c r="A99" s="13" t="n">
        <v>2024</v>
      </c>
      <c r="B99" s="13" t="s">
        <v>1023</v>
      </c>
      <c r="C99" s="13" t="s">
        <v>125</v>
      </c>
      <c r="D99" s="13" t="s">
        <v>1034</v>
      </c>
      <c r="E99" s="13" t="s">
        <v>122</v>
      </c>
      <c r="F99" s="13" t="s">
        <v>357</v>
      </c>
      <c r="G99" s="13" t="n">
        <v>85</v>
      </c>
      <c r="H99" s="13" t="n">
        <v>9</v>
      </c>
      <c r="I99" s="13" t="n">
        <v>76</v>
      </c>
      <c r="J99" s="13" t="n">
        <v>1</v>
      </c>
      <c r="K99" s="13" t="n">
        <v>0</v>
      </c>
      <c r="L99" s="13" t="n">
        <v>25</v>
      </c>
      <c r="M99" s="13" t="n">
        <v>51</v>
      </c>
      <c r="N99" s="13" t="n">
        <v>2</v>
      </c>
      <c r="O99" s="13" t="n">
        <v>12</v>
      </c>
      <c r="P99" s="13" t="n">
        <v>15</v>
      </c>
      <c r="Q99" s="13" t="n">
        <v>17</v>
      </c>
      <c r="R99" s="13" t="n">
        <v>5</v>
      </c>
      <c r="S99" s="13" t="n">
        <v>0</v>
      </c>
      <c r="T99" s="13" t="n">
        <v>0.6711</v>
      </c>
      <c r="U99" s="13" t="n">
        <v>2.54</v>
      </c>
      <c r="V99" s="13" t="n">
        <f aca="false">M99-SUM(N99:S99)</f>
        <v>0</v>
      </c>
    </row>
    <row r="100" customFormat="false" ht="15" hidden="false" customHeight="true" outlineLevel="0" collapsed="false">
      <c r="A100" s="13" t="n">
        <v>2024</v>
      </c>
      <c r="B100" s="13" t="s">
        <v>1023</v>
      </c>
      <c r="C100" s="13" t="s">
        <v>125</v>
      </c>
      <c r="D100" s="13" t="s">
        <v>1034</v>
      </c>
      <c r="E100" s="13" t="s">
        <v>192</v>
      </c>
      <c r="F100" s="13" t="s">
        <v>652</v>
      </c>
      <c r="G100" s="13" t="n">
        <v>378</v>
      </c>
      <c r="H100" s="13" t="n">
        <v>48</v>
      </c>
      <c r="I100" s="13" t="n">
        <v>330</v>
      </c>
      <c r="J100" s="13" t="n">
        <v>4</v>
      </c>
      <c r="K100" s="13" t="n">
        <v>0</v>
      </c>
      <c r="L100" s="13" t="n">
        <v>125</v>
      </c>
      <c r="M100" s="13" t="n">
        <v>205</v>
      </c>
      <c r="N100" s="13" t="n">
        <v>4</v>
      </c>
      <c r="O100" s="13" t="n">
        <v>25</v>
      </c>
      <c r="P100" s="13" t="n">
        <v>53</v>
      </c>
      <c r="Q100" s="13" t="n">
        <v>103</v>
      </c>
      <c r="R100" s="13" t="n">
        <v>20</v>
      </c>
      <c r="S100" s="13" t="n">
        <v>0</v>
      </c>
      <c r="T100" s="13" t="n">
        <v>0.6212</v>
      </c>
      <c r="U100" s="13" t="n">
        <v>2.15</v>
      </c>
      <c r="V100" s="13" t="n">
        <f aca="false">M100-SUM(N100:S100)</f>
        <v>0</v>
      </c>
    </row>
    <row r="101" customFormat="false" ht="15" hidden="false" customHeight="true" outlineLevel="0" collapsed="false">
      <c r="A101" s="13" t="n">
        <v>2024</v>
      </c>
      <c r="B101" s="13" t="s">
        <v>1023</v>
      </c>
      <c r="C101" s="13" t="s">
        <v>125</v>
      </c>
      <c r="D101" s="13" t="s">
        <v>1035</v>
      </c>
      <c r="E101" s="13" t="s">
        <v>124</v>
      </c>
      <c r="F101" s="13" t="s">
        <v>357</v>
      </c>
      <c r="G101" s="13" t="n">
        <v>1150</v>
      </c>
      <c r="H101" s="13" t="n">
        <v>79</v>
      </c>
      <c r="I101" s="13" t="n">
        <v>1071</v>
      </c>
      <c r="J101" s="13" t="n">
        <v>12</v>
      </c>
      <c r="K101" s="13" t="n">
        <v>0</v>
      </c>
      <c r="L101" s="13" t="n">
        <v>772</v>
      </c>
      <c r="M101" s="13" t="n">
        <v>299</v>
      </c>
      <c r="N101" s="13" t="n">
        <v>0</v>
      </c>
      <c r="O101" s="13" t="n">
        <v>6</v>
      </c>
      <c r="P101" s="13" t="n">
        <v>47</v>
      </c>
      <c r="Q101" s="13" t="n">
        <v>164</v>
      </c>
      <c r="R101" s="13" t="n">
        <v>82</v>
      </c>
      <c r="S101" s="13" t="n">
        <v>0</v>
      </c>
      <c r="T101" s="13" t="n">
        <v>0.2792</v>
      </c>
      <c r="U101" s="13" t="n">
        <v>0.82</v>
      </c>
      <c r="V101" s="13" t="n">
        <f aca="false">M101-SUM(N101:S101)</f>
        <v>0</v>
      </c>
    </row>
    <row r="102" customFormat="false" ht="15" hidden="false" customHeight="true" outlineLevel="0" collapsed="false">
      <c r="A102" s="13" t="n">
        <v>2024</v>
      </c>
      <c r="B102" s="13" t="s">
        <v>1023</v>
      </c>
      <c r="C102" s="13" t="s">
        <v>125</v>
      </c>
      <c r="D102" s="13" t="s">
        <v>1035</v>
      </c>
      <c r="E102" s="13" t="s">
        <v>122</v>
      </c>
      <c r="F102" s="13" t="s">
        <v>357</v>
      </c>
      <c r="G102" s="13" t="n">
        <v>270</v>
      </c>
      <c r="H102" s="13" t="n">
        <v>13</v>
      </c>
      <c r="I102" s="13" t="n">
        <v>257</v>
      </c>
      <c r="J102" s="13" t="n">
        <v>1</v>
      </c>
      <c r="K102" s="13" t="n">
        <v>0</v>
      </c>
      <c r="L102" s="13" t="n">
        <v>152</v>
      </c>
      <c r="M102" s="13" t="n">
        <v>105</v>
      </c>
      <c r="N102" s="13" t="n">
        <v>0</v>
      </c>
      <c r="O102" s="13" t="n">
        <v>9</v>
      </c>
      <c r="P102" s="13" t="n">
        <v>26</v>
      </c>
      <c r="Q102" s="13" t="n">
        <v>56</v>
      </c>
      <c r="R102" s="13" t="n">
        <v>14</v>
      </c>
      <c r="S102" s="13" t="n">
        <v>0</v>
      </c>
      <c r="T102" s="13" t="n">
        <v>0.4086</v>
      </c>
      <c r="U102" s="13" t="n">
        <v>1.34</v>
      </c>
      <c r="V102" s="13" t="n">
        <f aca="false">M102-SUM(N102:S102)</f>
        <v>0</v>
      </c>
    </row>
    <row r="103" customFormat="false" ht="15" hidden="false" customHeight="true" outlineLevel="0" collapsed="false">
      <c r="A103" s="13" t="n">
        <v>2024</v>
      </c>
      <c r="B103" s="13" t="s">
        <v>1023</v>
      </c>
      <c r="C103" s="13" t="s">
        <v>125</v>
      </c>
      <c r="D103" s="13" t="s">
        <v>1035</v>
      </c>
      <c r="E103" s="13" t="s">
        <v>192</v>
      </c>
      <c r="F103" s="13" t="s">
        <v>652</v>
      </c>
      <c r="G103" s="13" t="n">
        <v>1420</v>
      </c>
      <c r="H103" s="13" t="n">
        <v>92</v>
      </c>
      <c r="I103" s="13" t="n">
        <v>1328</v>
      </c>
      <c r="J103" s="13" t="n">
        <v>13</v>
      </c>
      <c r="K103" s="13" t="n">
        <v>0</v>
      </c>
      <c r="L103" s="13" t="n">
        <v>924</v>
      </c>
      <c r="M103" s="13" t="n">
        <v>404</v>
      </c>
      <c r="N103" s="13" t="n">
        <v>0</v>
      </c>
      <c r="O103" s="13" t="n">
        <v>15</v>
      </c>
      <c r="P103" s="13" t="n">
        <v>73</v>
      </c>
      <c r="Q103" s="13" t="n">
        <v>220</v>
      </c>
      <c r="R103" s="13" t="n">
        <v>96</v>
      </c>
      <c r="S103" s="13" t="n">
        <v>0</v>
      </c>
      <c r="T103" s="13" t="n">
        <v>0.3042</v>
      </c>
      <c r="U103" s="13" t="n">
        <v>0.92</v>
      </c>
      <c r="V103" s="13" t="n">
        <f aca="false">M103-SUM(N103:S103)</f>
        <v>0</v>
      </c>
    </row>
    <row r="104" customFormat="false" ht="15" hidden="false" customHeight="true" outlineLevel="0" collapsed="false">
      <c r="A104" s="13" t="n">
        <v>2024</v>
      </c>
      <c r="B104" s="13" t="s">
        <v>1023</v>
      </c>
      <c r="C104" s="13" t="s">
        <v>125</v>
      </c>
      <c r="D104" s="13" t="s">
        <v>203</v>
      </c>
      <c r="E104" s="13" t="s">
        <v>124</v>
      </c>
      <c r="F104" s="13" t="s">
        <v>357</v>
      </c>
      <c r="G104" s="13" t="n">
        <v>247</v>
      </c>
      <c r="H104" s="13" t="n">
        <v>7</v>
      </c>
      <c r="I104" s="13" t="n">
        <v>240</v>
      </c>
      <c r="J104" s="13" t="n">
        <v>4</v>
      </c>
      <c r="K104" s="13" t="n">
        <v>0</v>
      </c>
      <c r="L104" s="13" t="n">
        <v>124</v>
      </c>
      <c r="M104" s="13" t="n">
        <v>116</v>
      </c>
      <c r="N104" s="13" t="n">
        <v>0</v>
      </c>
      <c r="O104" s="13" t="n">
        <v>0</v>
      </c>
      <c r="P104" s="13" t="n">
        <v>3</v>
      </c>
      <c r="Q104" s="13" t="n">
        <v>29</v>
      </c>
      <c r="R104" s="13" t="n">
        <v>68</v>
      </c>
      <c r="S104" s="13" t="n">
        <v>16</v>
      </c>
      <c r="T104" s="13" t="n">
        <v>0.4833</v>
      </c>
      <c r="U104" s="13" t="n">
        <v>1.05</v>
      </c>
      <c r="V104" s="13" t="n">
        <f aca="false">M104-SUM(N104:S104)</f>
        <v>0</v>
      </c>
    </row>
    <row r="105" customFormat="false" ht="15" hidden="false" customHeight="true" outlineLevel="0" collapsed="false">
      <c r="A105" s="13" t="n">
        <v>2024</v>
      </c>
      <c r="B105" s="13" t="s">
        <v>1023</v>
      </c>
      <c r="C105" s="13" t="s">
        <v>125</v>
      </c>
      <c r="D105" s="13" t="s">
        <v>203</v>
      </c>
      <c r="E105" s="13" t="s">
        <v>122</v>
      </c>
      <c r="F105" s="13" t="s">
        <v>357</v>
      </c>
      <c r="G105" s="13" t="n">
        <v>97</v>
      </c>
      <c r="H105" s="13" t="n">
        <v>6</v>
      </c>
      <c r="I105" s="13" t="n">
        <v>91</v>
      </c>
      <c r="J105" s="13" t="n">
        <v>2</v>
      </c>
      <c r="K105" s="13" t="n">
        <v>0</v>
      </c>
      <c r="L105" s="13" t="n">
        <v>46</v>
      </c>
      <c r="M105" s="13" t="n">
        <v>45</v>
      </c>
      <c r="N105" s="13" t="n">
        <v>0</v>
      </c>
      <c r="O105" s="13" t="n">
        <v>1</v>
      </c>
      <c r="P105" s="13" t="n">
        <v>5</v>
      </c>
      <c r="Q105" s="13" t="n">
        <v>17</v>
      </c>
      <c r="R105" s="13" t="n">
        <v>21</v>
      </c>
      <c r="S105" s="13" t="n">
        <v>1</v>
      </c>
      <c r="T105" s="13" t="n">
        <v>0.4945</v>
      </c>
      <c r="U105" s="13" t="n">
        <v>1.31</v>
      </c>
      <c r="V105" s="13" t="n">
        <f aca="false">M105-SUM(N105:S105)</f>
        <v>0</v>
      </c>
    </row>
    <row r="106" customFormat="false" ht="15" hidden="false" customHeight="true" outlineLevel="0" collapsed="false">
      <c r="A106" s="13" t="n">
        <v>2024</v>
      </c>
      <c r="B106" s="13" t="s">
        <v>1023</v>
      </c>
      <c r="C106" s="13" t="s">
        <v>125</v>
      </c>
      <c r="D106" s="13" t="s">
        <v>203</v>
      </c>
      <c r="E106" s="13" t="s">
        <v>192</v>
      </c>
      <c r="F106" s="13" t="s">
        <v>652</v>
      </c>
      <c r="G106" s="13" t="n">
        <v>344</v>
      </c>
      <c r="H106" s="13" t="n">
        <v>13</v>
      </c>
      <c r="I106" s="13" t="n">
        <v>331</v>
      </c>
      <c r="J106" s="13" t="n">
        <v>6</v>
      </c>
      <c r="K106" s="13" t="n">
        <v>0</v>
      </c>
      <c r="L106" s="13" t="n">
        <v>170</v>
      </c>
      <c r="M106" s="13" t="n">
        <v>161</v>
      </c>
      <c r="N106" s="13" t="n">
        <v>0</v>
      </c>
      <c r="O106" s="13" t="n">
        <v>1</v>
      </c>
      <c r="P106" s="13" t="n">
        <v>8</v>
      </c>
      <c r="Q106" s="13" t="n">
        <v>46</v>
      </c>
      <c r="R106" s="13" t="n">
        <v>89</v>
      </c>
      <c r="S106" s="13" t="n">
        <v>17</v>
      </c>
      <c r="T106" s="13" t="n">
        <v>0.4864</v>
      </c>
      <c r="U106" s="13" t="n">
        <v>1.12</v>
      </c>
      <c r="V106" s="13" t="n">
        <f aca="false">M106-SUM(N106:S106)</f>
        <v>0</v>
      </c>
    </row>
    <row r="107" customFormat="false" ht="15" hidden="false" customHeight="true" outlineLevel="0" collapsed="false">
      <c r="A107" s="13" t="n">
        <v>2024</v>
      </c>
      <c r="B107" s="13" t="s">
        <v>1023</v>
      </c>
      <c r="C107" s="13" t="s">
        <v>125</v>
      </c>
      <c r="D107" s="13" t="s">
        <v>1037</v>
      </c>
      <c r="E107" s="13" t="s">
        <v>192</v>
      </c>
      <c r="F107" s="13" t="s">
        <v>1038</v>
      </c>
      <c r="G107" s="13" t="n">
        <v>4779</v>
      </c>
      <c r="H107" s="13" t="n">
        <v>369</v>
      </c>
      <c r="I107" s="13" t="n">
        <v>4410</v>
      </c>
      <c r="J107" s="13" t="n">
        <v>40</v>
      </c>
      <c r="K107" s="13" t="n">
        <v>0</v>
      </c>
      <c r="L107" s="13" t="n">
        <v>1598</v>
      </c>
      <c r="M107" s="13" t="n">
        <v>2812</v>
      </c>
      <c r="N107" s="13" t="n">
        <v>1137</v>
      </c>
      <c r="O107" s="13" t="n">
        <v>236</v>
      </c>
      <c r="P107" s="13" t="n">
        <v>297</v>
      </c>
      <c r="Q107" s="13" t="n">
        <v>622</v>
      </c>
      <c r="R107" s="13" t="n">
        <v>394</v>
      </c>
      <c r="S107" s="13" t="n">
        <v>27</v>
      </c>
      <c r="T107" s="13" t="n">
        <v>0.6376</v>
      </c>
      <c r="U107" s="13" t="n">
        <v>2.69</v>
      </c>
      <c r="V107" s="13" t="n">
        <f aca="false">M107-SUM(N107:S107)</f>
        <v>99</v>
      </c>
    </row>
    <row r="108" customFormat="false" ht="15" hidden="false" customHeight="true" outlineLevel="0" collapsed="false">
      <c r="A108" s="13" t="n">
        <v>2024</v>
      </c>
      <c r="B108" s="13" t="s">
        <v>1023</v>
      </c>
      <c r="C108" s="13" t="s">
        <v>125</v>
      </c>
      <c r="D108" s="13" t="s">
        <v>1037</v>
      </c>
      <c r="E108" s="13" t="s">
        <v>192</v>
      </c>
      <c r="F108" s="13" t="s">
        <v>137</v>
      </c>
      <c r="G108" s="13" t="n">
        <v>39366</v>
      </c>
      <c r="H108" s="13" t="n">
        <v>551</v>
      </c>
      <c r="I108" s="13" t="n">
        <v>38815</v>
      </c>
      <c r="J108" s="13" t="n">
        <v>597</v>
      </c>
      <c r="K108" s="13" t="n">
        <v>5</v>
      </c>
      <c r="L108" s="13" t="n">
        <v>5840</v>
      </c>
      <c r="M108" s="13" t="n">
        <v>32970</v>
      </c>
      <c r="N108" s="13" t="n">
        <v>7398</v>
      </c>
      <c r="O108" s="13" t="n">
        <v>8179</v>
      </c>
      <c r="P108" s="13" t="n">
        <v>9734</v>
      </c>
      <c r="Q108" s="13" t="n">
        <v>6399</v>
      </c>
      <c r="R108" s="13" t="n">
        <v>1127</v>
      </c>
      <c r="S108" s="13" t="n">
        <v>34</v>
      </c>
      <c r="T108" s="13" t="n">
        <v>0.8627</v>
      </c>
      <c r="U108" s="13" t="n">
        <v>3.81</v>
      </c>
      <c r="V108" s="13" t="n">
        <f aca="false">M108-SUM(N108:S108)</f>
        <v>99</v>
      </c>
    </row>
    <row r="109" customFormat="false" ht="15" hidden="false" customHeight="true" outlineLevel="0" collapsed="false">
      <c r="A109" s="13" t="n">
        <v>2024</v>
      </c>
      <c r="B109" s="13" t="s">
        <v>1024</v>
      </c>
      <c r="C109" s="13" t="s">
        <v>121</v>
      </c>
      <c r="D109" s="13" t="s">
        <v>128</v>
      </c>
      <c r="E109" s="13" t="s">
        <v>124</v>
      </c>
      <c r="F109" s="13" t="s">
        <v>357</v>
      </c>
      <c r="G109" s="13" t="n">
        <v>9</v>
      </c>
      <c r="H109" s="13" t="n">
        <v>0</v>
      </c>
      <c r="I109" s="13" t="n">
        <v>9</v>
      </c>
      <c r="J109" s="13" t="n">
        <v>0</v>
      </c>
      <c r="K109" s="13" t="n">
        <v>0</v>
      </c>
      <c r="L109" s="13" t="n">
        <v>1</v>
      </c>
      <c r="M109" s="13" t="n">
        <v>8</v>
      </c>
      <c r="N109" s="13" t="n">
        <v>1</v>
      </c>
      <c r="O109" s="13" t="n">
        <v>1</v>
      </c>
      <c r="P109" s="13" t="n">
        <v>3</v>
      </c>
      <c r="Q109" s="13" t="n">
        <v>2</v>
      </c>
      <c r="R109" s="13" t="n">
        <v>1</v>
      </c>
      <c r="S109" s="13" t="n">
        <v>0</v>
      </c>
      <c r="T109" s="13" t="n">
        <v>0.8889</v>
      </c>
      <c r="U109" s="13" t="n">
        <v>3.44</v>
      </c>
      <c r="V109" s="13" t="n">
        <f aca="false">M109-SUM(N109:S109)</f>
        <v>0</v>
      </c>
    </row>
    <row r="110" customFormat="false" ht="15" hidden="false" customHeight="true" outlineLevel="0" collapsed="false">
      <c r="A110" s="13" t="n">
        <v>2024</v>
      </c>
      <c r="B110" s="13" t="s">
        <v>1024</v>
      </c>
      <c r="C110" s="13" t="s">
        <v>121</v>
      </c>
      <c r="D110" s="13" t="s">
        <v>128</v>
      </c>
      <c r="E110" s="13" t="s">
        <v>122</v>
      </c>
      <c r="F110" s="13" t="s">
        <v>357</v>
      </c>
      <c r="G110" s="13" t="n">
        <v>45</v>
      </c>
      <c r="H110" s="13" t="n">
        <v>0</v>
      </c>
      <c r="I110" s="13" t="n">
        <v>45</v>
      </c>
      <c r="J110" s="13" t="n">
        <v>0</v>
      </c>
      <c r="K110" s="13" t="n">
        <v>0</v>
      </c>
      <c r="L110" s="13" t="n">
        <v>0</v>
      </c>
      <c r="M110" s="13" t="n">
        <v>45</v>
      </c>
      <c r="N110" s="13" t="n">
        <v>8</v>
      </c>
      <c r="O110" s="13" t="n">
        <v>17</v>
      </c>
      <c r="P110" s="13" t="n">
        <v>17</v>
      </c>
      <c r="Q110" s="13" t="n">
        <v>3</v>
      </c>
      <c r="R110" s="13" t="n">
        <v>0</v>
      </c>
      <c r="S110" s="13" t="n">
        <v>0</v>
      </c>
      <c r="T110" s="13" t="n">
        <v>1</v>
      </c>
      <c r="U110" s="13" t="n">
        <v>4.67</v>
      </c>
      <c r="V110" s="13" t="n">
        <f aca="false">M110-SUM(N110:S110)</f>
        <v>0</v>
      </c>
    </row>
    <row r="111" customFormat="false" ht="15" hidden="false" customHeight="true" outlineLevel="0" collapsed="false">
      <c r="A111" s="13" t="n">
        <v>2024</v>
      </c>
      <c r="B111" s="13" t="s">
        <v>1024</v>
      </c>
      <c r="C111" s="13" t="s">
        <v>121</v>
      </c>
      <c r="D111" s="13" t="s">
        <v>128</v>
      </c>
      <c r="E111" s="13" t="s">
        <v>192</v>
      </c>
      <c r="F111" s="13" t="s">
        <v>652</v>
      </c>
      <c r="G111" s="13" t="n">
        <v>54</v>
      </c>
      <c r="H111" s="13" t="n">
        <v>0</v>
      </c>
      <c r="I111" s="13" t="n">
        <v>54</v>
      </c>
      <c r="J111" s="13" t="n">
        <v>0</v>
      </c>
      <c r="K111" s="13" t="n">
        <v>0</v>
      </c>
      <c r="L111" s="13" t="n">
        <v>1</v>
      </c>
      <c r="M111" s="13" t="n">
        <v>53</v>
      </c>
      <c r="N111" s="13" t="n">
        <v>9</v>
      </c>
      <c r="O111" s="13" t="n">
        <v>18</v>
      </c>
      <c r="P111" s="13" t="n">
        <v>20</v>
      </c>
      <c r="Q111" s="13" t="n">
        <v>5</v>
      </c>
      <c r="R111" s="13" t="n">
        <v>1</v>
      </c>
      <c r="S111" s="13" t="n">
        <v>0</v>
      </c>
      <c r="T111" s="13" t="n">
        <v>0.9815</v>
      </c>
      <c r="U111" s="13" t="n">
        <v>4.46</v>
      </c>
      <c r="V111" s="13" t="n">
        <f aca="false">M111-SUM(N111:S111)</f>
        <v>0</v>
      </c>
    </row>
    <row r="112" customFormat="false" ht="15" hidden="false" customHeight="true" outlineLevel="0" collapsed="false">
      <c r="A112" s="13" t="n">
        <v>2024</v>
      </c>
      <c r="B112" s="13" t="s">
        <v>1024</v>
      </c>
      <c r="C112" s="13" t="s">
        <v>121</v>
      </c>
      <c r="D112" s="13" t="s">
        <v>1033</v>
      </c>
      <c r="E112" s="13" t="s">
        <v>124</v>
      </c>
      <c r="F112" s="13" t="s">
        <v>357</v>
      </c>
      <c r="G112" s="13" t="n">
        <v>238</v>
      </c>
      <c r="H112" s="13" t="n">
        <v>0</v>
      </c>
      <c r="I112" s="13" t="n">
        <v>238</v>
      </c>
      <c r="J112" s="13" t="n">
        <v>0</v>
      </c>
      <c r="K112" s="13" t="n">
        <v>0</v>
      </c>
      <c r="L112" s="13" t="n">
        <v>3</v>
      </c>
      <c r="M112" s="13" t="n">
        <v>235</v>
      </c>
      <c r="N112" s="13" t="n">
        <v>86</v>
      </c>
      <c r="O112" s="13" t="n">
        <v>80</v>
      </c>
      <c r="P112" s="13" t="n">
        <v>57</v>
      </c>
      <c r="Q112" s="13" t="n">
        <v>12</v>
      </c>
      <c r="R112" s="13" t="n">
        <v>0</v>
      </c>
      <c r="S112" s="13" t="n">
        <v>0</v>
      </c>
      <c r="T112" s="13" t="n">
        <v>0.9874</v>
      </c>
      <c r="U112" s="13" t="n">
        <v>4.96</v>
      </c>
      <c r="V112" s="13" t="n">
        <f aca="false">M112-SUM(N112:S112)</f>
        <v>0</v>
      </c>
    </row>
    <row r="113" customFormat="false" ht="15" hidden="false" customHeight="true" outlineLevel="0" collapsed="false">
      <c r="A113" s="13" t="n">
        <v>2024</v>
      </c>
      <c r="B113" s="13" t="s">
        <v>1024</v>
      </c>
      <c r="C113" s="13" t="s">
        <v>121</v>
      </c>
      <c r="D113" s="13" t="s">
        <v>1033</v>
      </c>
      <c r="E113" s="13" t="s">
        <v>122</v>
      </c>
      <c r="F113" s="13" t="s">
        <v>357</v>
      </c>
      <c r="G113" s="13" t="n">
        <v>668</v>
      </c>
      <c r="H113" s="13" t="n">
        <v>1</v>
      </c>
      <c r="I113" s="13" t="n">
        <v>667</v>
      </c>
      <c r="J113" s="13" t="n">
        <v>0</v>
      </c>
      <c r="K113" s="13" t="n">
        <v>0</v>
      </c>
      <c r="L113" s="13" t="n">
        <v>5</v>
      </c>
      <c r="M113" s="13" t="n">
        <v>662</v>
      </c>
      <c r="N113" s="13" t="n">
        <v>293</v>
      </c>
      <c r="O113" s="13" t="n">
        <v>227</v>
      </c>
      <c r="P113" s="13" t="n">
        <v>121</v>
      </c>
      <c r="Q113" s="13" t="n">
        <v>19</v>
      </c>
      <c r="R113" s="13" t="n">
        <v>2</v>
      </c>
      <c r="S113" s="13" t="n">
        <v>0</v>
      </c>
      <c r="T113" s="13" t="n">
        <v>0.9925</v>
      </c>
      <c r="U113" s="13" t="n">
        <v>5.15</v>
      </c>
      <c r="V113" s="13" t="n">
        <f aca="false">M113-SUM(N113:S113)</f>
        <v>0</v>
      </c>
    </row>
    <row r="114" customFormat="false" ht="15" hidden="false" customHeight="true" outlineLevel="0" collapsed="false">
      <c r="A114" s="13" t="n">
        <v>2024</v>
      </c>
      <c r="B114" s="13" t="s">
        <v>1024</v>
      </c>
      <c r="C114" s="13" t="s">
        <v>121</v>
      </c>
      <c r="D114" s="13" t="s">
        <v>1033</v>
      </c>
      <c r="E114" s="13" t="s">
        <v>192</v>
      </c>
      <c r="F114" s="13" t="s">
        <v>652</v>
      </c>
      <c r="G114" s="13" t="n">
        <v>906</v>
      </c>
      <c r="H114" s="13" t="n">
        <v>1</v>
      </c>
      <c r="I114" s="13" t="n">
        <v>905</v>
      </c>
      <c r="J114" s="13" t="n">
        <v>0</v>
      </c>
      <c r="K114" s="13" t="n">
        <v>0</v>
      </c>
      <c r="L114" s="13" t="n">
        <v>8</v>
      </c>
      <c r="M114" s="13" t="n">
        <v>897</v>
      </c>
      <c r="N114" s="13" t="n">
        <v>379</v>
      </c>
      <c r="O114" s="13" t="n">
        <v>307</v>
      </c>
      <c r="P114" s="13" t="n">
        <v>178</v>
      </c>
      <c r="Q114" s="13" t="n">
        <v>31</v>
      </c>
      <c r="R114" s="13" t="n">
        <v>2</v>
      </c>
      <c r="S114" s="13" t="n">
        <v>0</v>
      </c>
      <c r="T114" s="13" t="n">
        <v>0.9912</v>
      </c>
      <c r="U114" s="13" t="n">
        <v>5.1</v>
      </c>
      <c r="V114" s="13" t="n">
        <f aca="false">M114-SUM(N114:S114)</f>
        <v>0</v>
      </c>
    </row>
    <row r="115" customFormat="false" ht="15" hidden="false" customHeight="true" outlineLevel="0" collapsed="false">
      <c r="A115" s="13" t="n">
        <v>2024</v>
      </c>
      <c r="B115" s="13" t="s">
        <v>1024</v>
      </c>
      <c r="C115" s="13" t="s">
        <v>121</v>
      </c>
      <c r="D115" s="13" t="s">
        <v>1034</v>
      </c>
      <c r="E115" s="13" t="s">
        <v>124</v>
      </c>
      <c r="F115" s="13" t="s">
        <v>357</v>
      </c>
      <c r="G115" s="13" t="n">
        <v>445</v>
      </c>
      <c r="H115" s="13" t="n">
        <v>0</v>
      </c>
      <c r="I115" s="13" t="n">
        <v>445</v>
      </c>
      <c r="J115" s="13" t="n">
        <v>0</v>
      </c>
      <c r="K115" s="13" t="n">
        <v>0</v>
      </c>
      <c r="L115" s="13" t="n">
        <v>18</v>
      </c>
      <c r="M115" s="13" t="n">
        <v>427</v>
      </c>
      <c r="N115" s="13" t="n">
        <v>58</v>
      </c>
      <c r="O115" s="13" t="n">
        <v>173</v>
      </c>
      <c r="P115" s="13" t="n">
        <v>145</v>
      </c>
      <c r="Q115" s="13" t="n">
        <v>47</v>
      </c>
      <c r="R115" s="13" t="n">
        <v>4</v>
      </c>
      <c r="S115" s="13" t="n">
        <v>0</v>
      </c>
      <c r="T115" s="13" t="n">
        <v>0.9596</v>
      </c>
      <c r="U115" s="13" t="n">
        <v>4.36</v>
      </c>
      <c r="V115" s="13" t="n">
        <f aca="false">M115-SUM(N115:S115)</f>
        <v>0</v>
      </c>
    </row>
    <row r="116" customFormat="false" ht="15" hidden="false" customHeight="true" outlineLevel="0" collapsed="false">
      <c r="A116" s="13" t="n">
        <v>2024</v>
      </c>
      <c r="B116" s="13" t="s">
        <v>1024</v>
      </c>
      <c r="C116" s="13" t="s">
        <v>121</v>
      </c>
      <c r="D116" s="13" t="s">
        <v>1034</v>
      </c>
      <c r="E116" s="13" t="s">
        <v>122</v>
      </c>
      <c r="F116" s="13" t="s">
        <v>357</v>
      </c>
      <c r="G116" s="13" t="n">
        <v>152</v>
      </c>
      <c r="H116" s="13" t="n">
        <v>0</v>
      </c>
      <c r="I116" s="13" t="n">
        <v>152</v>
      </c>
      <c r="J116" s="13" t="n">
        <v>0</v>
      </c>
      <c r="K116" s="13" t="n">
        <v>0</v>
      </c>
      <c r="L116" s="13" t="n">
        <v>8</v>
      </c>
      <c r="M116" s="13" t="n">
        <v>144</v>
      </c>
      <c r="N116" s="13" t="n">
        <v>18</v>
      </c>
      <c r="O116" s="13" t="n">
        <v>59</v>
      </c>
      <c r="P116" s="13" t="n">
        <v>50</v>
      </c>
      <c r="Q116" s="13" t="n">
        <v>16</v>
      </c>
      <c r="R116" s="13" t="n">
        <v>1</v>
      </c>
      <c r="S116" s="13" t="n">
        <v>0</v>
      </c>
      <c r="T116" s="13" t="n">
        <v>0.9474</v>
      </c>
      <c r="U116" s="13" t="n">
        <v>4.3</v>
      </c>
      <c r="V116" s="13" t="n">
        <f aca="false">M116-SUM(N116:S116)</f>
        <v>0</v>
      </c>
    </row>
    <row r="117" customFormat="false" ht="15" hidden="false" customHeight="true" outlineLevel="0" collapsed="false">
      <c r="A117" s="13" t="n">
        <v>2024</v>
      </c>
      <c r="B117" s="13" t="s">
        <v>1024</v>
      </c>
      <c r="C117" s="13" t="s">
        <v>121</v>
      </c>
      <c r="D117" s="13" t="s">
        <v>1034</v>
      </c>
      <c r="E117" s="13" t="s">
        <v>192</v>
      </c>
      <c r="F117" s="13" t="s">
        <v>652</v>
      </c>
      <c r="G117" s="13" t="n">
        <v>597</v>
      </c>
      <c r="H117" s="13" t="n">
        <v>0</v>
      </c>
      <c r="I117" s="13" t="n">
        <v>597</v>
      </c>
      <c r="J117" s="13" t="n">
        <v>0</v>
      </c>
      <c r="K117" s="13" t="n">
        <v>0</v>
      </c>
      <c r="L117" s="13" t="n">
        <v>26</v>
      </c>
      <c r="M117" s="13" t="n">
        <v>571</v>
      </c>
      <c r="N117" s="13" t="n">
        <v>76</v>
      </c>
      <c r="O117" s="13" t="n">
        <v>232</v>
      </c>
      <c r="P117" s="13" t="n">
        <v>195</v>
      </c>
      <c r="Q117" s="13" t="n">
        <v>63</v>
      </c>
      <c r="R117" s="13" t="n">
        <v>5</v>
      </c>
      <c r="S117" s="13" t="n">
        <v>0</v>
      </c>
      <c r="T117" s="13" t="n">
        <v>0.9564</v>
      </c>
      <c r="U117" s="13" t="n">
        <v>4.35</v>
      </c>
      <c r="V117" s="13" t="n">
        <f aca="false">M117-SUM(N117:S117)</f>
        <v>0</v>
      </c>
    </row>
    <row r="118" customFormat="false" ht="15" hidden="false" customHeight="true" outlineLevel="0" collapsed="false">
      <c r="A118" s="13" t="n">
        <v>2024</v>
      </c>
      <c r="B118" s="13" t="s">
        <v>1024</v>
      </c>
      <c r="C118" s="13" t="s">
        <v>121</v>
      </c>
      <c r="D118" s="13" t="s">
        <v>1035</v>
      </c>
      <c r="E118" s="13" t="s">
        <v>124</v>
      </c>
      <c r="F118" s="13" t="s">
        <v>357</v>
      </c>
      <c r="G118" s="13" t="n">
        <v>364</v>
      </c>
      <c r="H118" s="13" t="n">
        <v>1</v>
      </c>
      <c r="I118" s="13" t="n">
        <v>363</v>
      </c>
      <c r="J118" s="13" t="n">
        <v>0</v>
      </c>
      <c r="K118" s="13" t="n">
        <v>0</v>
      </c>
      <c r="L118" s="13" t="n">
        <v>41</v>
      </c>
      <c r="M118" s="13" t="n">
        <v>322</v>
      </c>
      <c r="N118" s="13" t="n">
        <v>22</v>
      </c>
      <c r="O118" s="13" t="n">
        <v>98</v>
      </c>
      <c r="P118" s="13" t="n">
        <v>154</v>
      </c>
      <c r="Q118" s="13" t="n">
        <v>46</v>
      </c>
      <c r="R118" s="13" t="n">
        <v>2</v>
      </c>
      <c r="S118" s="13" t="n">
        <v>0</v>
      </c>
      <c r="T118" s="13" t="n">
        <v>0.8871</v>
      </c>
      <c r="U118" s="13" t="n">
        <v>3.8</v>
      </c>
      <c r="V118" s="13" t="n">
        <f aca="false">M118-SUM(N118:S118)</f>
        <v>0</v>
      </c>
    </row>
    <row r="119" customFormat="false" ht="15" hidden="false" customHeight="true" outlineLevel="0" collapsed="false">
      <c r="A119" s="13" t="n">
        <v>2024</v>
      </c>
      <c r="B119" s="13" t="s">
        <v>1024</v>
      </c>
      <c r="C119" s="13" t="s">
        <v>121</v>
      </c>
      <c r="D119" s="13" t="s">
        <v>1035</v>
      </c>
      <c r="E119" s="13" t="s">
        <v>122</v>
      </c>
      <c r="F119" s="13" t="s">
        <v>357</v>
      </c>
      <c r="G119" s="13" t="n">
        <v>201</v>
      </c>
      <c r="H119" s="13" t="n">
        <v>1</v>
      </c>
      <c r="I119" s="13" t="n">
        <v>200</v>
      </c>
      <c r="J119" s="13" t="n">
        <v>0</v>
      </c>
      <c r="K119" s="13" t="n">
        <v>0</v>
      </c>
      <c r="L119" s="13" t="n">
        <v>28</v>
      </c>
      <c r="M119" s="13" t="n">
        <v>172</v>
      </c>
      <c r="N119" s="13" t="n">
        <v>13</v>
      </c>
      <c r="O119" s="13" t="n">
        <v>55</v>
      </c>
      <c r="P119" s="13" t="n">
        <v>78</v>
      </c>
      <c r="Q119" s="13" t="n">
        <v>25</v>
      </c>
      <c r="R119" s="13" t="n">
        <v>1</v>
      </c>
      <c r="S119" s="13" t="n">
        <v>0</v>
      </c>
      <c r="T119" s="13" t="n">
        <v>0.86</v>
      </c>
      <c r="U119" s="13" t="n">
        <v>3.71</v>
      </c>
      <c r="V119" s="13" t="n">
        <f aca="false">M119-SUM(N119:S119)</f>
        <v>0</v>
      </c>
    </row>
    <row r="120" customFormat="false" ht="15" hidden="false" customHeight="true" outlineLevel="0" collapsed="false">
      <c r="A120" s="13" t="n">
        <v>2024</v>
      </c>
      <c r="B120" s="13" t="s">
        <v>1024</v>
      </c>
      <c r="C120" s="13" t="s">
        <v>121</v>
      </c>
      <c r="D120" s="13" t="s">
        <v>1035</v>
      </c>
      <c r="E120" s="13" t="s">
        <v>192</v>
      </c>
      <c r="F120" s="13" t="s">
        <v>652</v>
      </c>
      <c r="G120" s="13" t="n">
        <v>565</v>
      </c>
      <c r="H120" s="13" t="n">
        <v>2</v>
      </c>
      <c r="I120" s="13" t="n">
        <v>563</v>
      </c>
      <c r="J120" s="13" t="n">
        <v>0</v>
      </c>
      <c r="K120" s="13" t="n">
        <v>0</v>
      </c>
      <c r="L120" s="13" t="n">
        <v>69</v>
      </c>
      <c r="M120" s="13" t="n">
        <v>494</v>
      </c>
      <c r="N120" s="13" t="n">
        <v>35</v>
      </c>
      <c r="O120" s="13" t="n">
        <v>153</v>
      </c>
      <c r="P120" s="13" t="n">
        <v>232</v>
      </c>
      <c r="Q120" s="13" t="n">
        <v>71</v>
      </c>
      <c r="R120" s="13" t="n">
        <v>3</v>
      </c>
      <c r="S120" s="13" t="n">
        <v>0</v>
      </c>
      <c r="T120" s="13" t="n">
        <v>0.8774</v>
      </c>
      <c r="U120" s="13" t="n">
        <v>3.77</v>
      </c>
      <c r="V120" s="13" t="n">
        <f aca="false">M120-SUM(N120:S120)</f>
        <v>0</v>
      </c>
    </row>
    <row r="121" customFormat="false" ht="15" hidden="false" customHeight="true" outlineLevel="0" collapsed="false">
      <c r="A121" s="13" t="n">
        <v>2024</v>
      </c>
      <c r="B121" s="13" t="s">
        <v>1024</v>
      </c>
      <c r="C121" s="13" t="s">
        <v>121</v>
      </c>
      <c r="D121" s="13" t="s">
        <v>203</v>
      </c>
      <c r="E121" s="13" t="s">
        <v>124</v>
      </c>
      <c r="F121" s="13" t="s">
        <v>357</v>
      </c>
      <c r="G121" s="13" t="n">
        <v>22</v>
      </c>
      <c r="H121" s="13" t="n">
        <v>0</v>
      </c>
      <c r="I121" s="13" t="n">
        <v>22</v>
      </c>
      <c r="J121" s="13" t="n">
        <v>0</v>
      </c>
      <c r="K121" s="13" t="n">
        <v>0</v>
      </c>
      <c r="L121" s="13" t="n">
        <v>1</v>
      </c>
      <c r="M121" s="13" t="n">
        <v>21</v>
      </c>
      <c r="N121" s="13" t="n">
        <v>0</v>
      </c>
      <c r="O121" s="13" t="n">
        <v>3</v>
      </c>
      <c r="P121" s="13" t="n">
        <v>8</v>
      </c>
      <c r="Q121" s="13" t="n">
        <v>8</v>
      </c>
      <c r="R121" s="13" t="n">
        <v>2</v>
      </c>
      <c r="S121" s="13" t="n">
        <v>0</v>
      </c>
      <c r="T121" s="13" t="n">
        <v>0.9545</v>
      </c>
      <c r="U121" s="13" t="n">
        <v>3.41</v>
      </c>
      <c r="V121" s="13" t="n">
        <f aca="false">M121-SUM(N121:S121)</f>
        <v>0</v>
      </c>
    </row>
    <row r="122" customFormat="false" ht="15" hidden="false" customHeight="true" outlineLevel="0" collapsed="false">
      <c r="A122" s="13" t="n">
        <v>2024</v>
      </c>
      <c r="B122" s="13" t="s">
        <v>1024</v>
      </c>
      <c r="C122" s="13" t="s">
        <v>121</v>
      </c>
      <c r="D122" s="13" t="s">
        <v>203</v>
      </c>
      <c r="E122" s="13" t="s">
        <v>122</v>
      </c>
      <c r="F122" s="13" t="s">
        <v>357</v>
      </c>
      <c r="G122" s="13" t="n">
        <v>15</v>
      </c>
      <c r="H122" s="13" t="n">
        <v>0</v>
      </c>
      <c r="I122" s="13" t="n">
        <v>15</v>
      </c>
      <c r="J122" s="13" t="n">
        <v>0</v>
      </c>
      <c r="K122" s="13" t="n">
        <v>0</v>
      </c>
      <c r="L122" s="13" t="n">
        <v>1</v>
      </c>
      <c r="M122" s="13" t="n">
        <v>14</v>
      </c>
      <c r="N122" s="13" t="n">
        <v>1</v>
      </c>
      <c r="O122" s="13" t="n">
        <v>3</v>
      </c>
      <c r="P122" s="13" t="n">
        <v>8</v>
      </c>
      <c r="Q122" s="13" t="n">
        <v>2</v>
      </c>
      <c r="R122" s="13" t="n">
        <v>0</v>
      </c>
      <c r="S122" s="13" t="n">
        <v>0</v>
      </c>
      <c r="T122" s="13" t="n">
        <v>0.9333</v>
      </c>
      <c r="U122" s="13" t="n">
        <v>3.93</v>
      </c>
      <c r="V122" s="13" t="n">
        <f aca="false">M122-SUM(N122:S122)</f>
        <v>0</v>
      </c>
    </row>
    <row r="123" customFormat="false" ht="15" hidden="false" customHeight="true" outlineLevel="0" collapsed="false">
      <c r="A123" s="13" t="n">
        <v>2024</v>
      </c>
      <c r="B123" s="13" t="s">
        <v>1024</v>
      </c>
      <c r="C123" s="13" t="s">
        <v>121</v>
      </c>
      <c r="D123" s="13" t="s">
        <v>203</v>
      </c>
      <c r="E123" s="13" t="s">
        <v>192</v>
      </c>
      <c r="F123" s="13" t="s">
        <v>652</v>
      </c>
      <c r="G123" s="13" t="n">
        <v>37</v>
      </c>
      <c r="H123" s="13" t="n">
        <v>0</v>
      </c>
      <c r="I123" s="13" t="n">
        <v>37</v>
      </c>
      <c r="J123" s="13" t="n">
        <v>0</v>
      </c>
      <c r="K123" s="13" t="n">
        <v>0</v>
      </c>
      <c r="L123" s="13" t="n">
        <v>2</v>
      </c>
      <c r="M123" s="13" t="n">
        <v>35</v>
      </c>
      <c r="N123" s="13" t="n">
        <v>1</v>
      </c>
      <c r="O123" s="13" t="n">
        <v>6</v>
      </c>
      <c r="P123" s="13" t="n">
        <v>16</v>
      </c>
      <c r="Q123" s="13" t="n">
        <v>10</v>
      </c>
      <c r="R123" s="13" t="n">
        <v>2</v>
      </c>
      <c r="S123" s="13" t="n">
        <v>0</v>
      </c>
      <c r="T123" s="13" t="n">
        <v>0.9459</v>
      </c>
      <c r="U123" s="13" t="n">
        <v>3.62</v>
      </c>
      <c r="V123" s="13" t="n">
        <f aca="false">M123-SUM(N123:S123)</f>
        <v>0</v>
      </c>
    </row>
    <row r="124" customFormat="false" ht="15" hidden="false" customHeight="true" outlineLevel="0" collapsed="false">
      <c r="A124" s="13" t="n">
        <v>2024</v>
      </c>
      <c r="B124" s="13" t="s">
        <v>1024</v>
      </c>
      <c r="C124" s="13" t="s">
        <v>121</v>
      </c>
      <c r="D124" s="13" t="s">
        <v>1037</v>
      </c>
      <c r="E124" s="13" t="s">
        <v>192</v>
      </c>
      <c r="F124" s="13" t="s">
        <v>1038</v>
      </c>
      <c r="G124" s="13" t="n">
        <v>2159</v>
      </c>
      <c r="H124" s="13" t="n">
        <v>3</v>
      </c>
      <c r="I124" s="13" t="n">
        <v>2156</v>
      </c>
      <c r="J124" s="13" t="n">
        <v>0</v>
      </c>
      <c r="K124" s="13" t="n">
        <v>0</v>
      </c>
      <c r="L124" s="13" t="n">
        <v>106</v>
      </c>
      <c r="M124" s="13" t="n">
        <v>2050</v>
      </c>
      <c r="N124" s="13" t="n">
        <v>500</v>
      </c>
      <c r="O124" s="13" t="n">
        <v>716</v>
      </c>
      <c r="P124" s="13" t="n">
        <v>641</v>
      </c>
      <c r="Q124" s="13" t="n">
        <v>180</v>
      </c>
      <c r="R124" s="13" t="n">
        <v>13</v>
      </c>
      <c r="S124" s="13" t="n">
        <v>0</v>
      </c>
      <c r="T124" s="13" t="n">
        <v>0.9508</v>
      </c>
      <c r="U124" s="13" t="n">
        <v>4.5</v>
      </c>
      <c r="V124" s="13" t="n">
        <f aca="false">M124-SUM(N124:S124)</f>
        <v>0</v>
      </c>
    </row>
    <row r="125" customFormat="false" ht="15" hidden="false" customHeight="true" outlineLevel="0" collapsed="false">
      <c r="A125" s="13" t="n">
        <v>2024</v>
      </c>
      <c r="B125" s="13" t="s">
        <v>1024</v>
      </c>
      <c r="C125" s="13" t="s">
        <v>125</v>
      </c>
      <c r="D125" s="13" t="s">
        <v>128</v>
      </c>
      <c r="E125" s="13" t="s">
        <v>124</v>
      </c>
      <c r="F125" s="13" t="s">
        <v>357</v>
      </c>
      <c r="G125" s="13" t="n">
        <v>18</v>
      </c>
      <c r="H125" s="13" t="n">
        <v>0</v>
      </c>
      <c r="I125" s="13" t="n">
        <v>18</v>
      </c>
      <c r="J125" s="13" t="n">
        <v>1</v>
      </c>
      <c r="K125" s="13" t="n">
        <v>0</v>
      </c>
      <c r="L125" s="13" t="n">
        <v>5</v>
      </c>
      <c r="M125" s="13" t="n">
        <v>13</v>
      </c>
      <c r="N125" s="13" t="n">
        <v>0</v>
      </c>
      <c r="O125" s="13" t="n">
        <v>1</v>
      </c>
      <c r="P125" s="13" t="n">
        <v>0</v>
      </c>
      <c r="Q125" s="13" t="n">
        <v>8</v>
      </c>
      <c r="R125" s="13" t="n">
        <v>1</v>
      </c>
      <c r="S125" s="13" t="n">
        <v>0</v>
      </c>
      <c r="T125" s="13" t="n">
        <v>0.7222</v>
      </c>
      <c r="U125" s="13" t="n">
        <v>1.72</v>
      </c>
      <c r="V125" s="13" t="n">
        <f aca="false">M125-SUM(N125:S125)</f>
        <v>3</v>
      </c>
    </row>
    <row r="126" customFormat="false" ht="15" hidden="false" customHeight="true" outlineLevel="0" collapsed="false">
      <c r="A126" s="13" t="n">
        <v>2024</v>
      </c>
      <c r="B126" s="13" t="s">
        <v>1024</v>
      </c>
      <c r="C126" s="13" t="s">
        <v>125</v>
      </c>
      <c r="D126" s="13" t="s">
        <v>128</v>
      </c>
      <c r="E126" s="13" t="s">
        <v>122</v>
      </c>
      <c r="F126" s="13" t="s">
        <v>357</v>
      </c>
      <c r="G126" s="13" t="n">
        <v>12</v>
      </c>
      <c r="H126" s="13" t="n">
        <v>0</v>
      </c>
      <c r="I126" s="13" t="n">
        <v>12</v>
      </c>
      <c r="J126" s="13" t="n">
        <v>1</v>
      </c>
      <c r="K126" s="13" t="n">
        <v>0</v>
      </c>
      <c r="L126" s="13" t="n">
        <v>4</v>
      </c>
      <c r="M126" s="13" t="n">
        <v>8</v>
      </c>
      <c r="N126" s="13" t="n">
        <v>0</v>
      </c>
      <c r="O126" s="13" t="n">
        <v>1</v>
      </c>
      <c r="P126" s="13" t="n">
        <v>1</v>
      </c>
      <c r="Q126" s="13" t="n">
        <v>3</v>
      </c>
      <c r="R126" s="13" t="n">
        <v>2</v>
      </c>
      <c r="S126" s="13" t="n">
        <v>0</v>
      </c>
      <c r="T126" s="13" t="n">
        <v>0.6667</v>
      </c>
      <c r="U126" s="13" t="n">
        <v>1.83</v>
      </c>
      <c r="V126" s="13" t="n">
        <f aca="false">M126-SUM(N126:S126)</f>
        <v>1</v>
      </c>
    </row>
    <row r="127" customFormat="false" ht="15" hidden="false" customHeight="true" outlineLevel="0" collapsed="false">
      <c r="A127" s="13" t="n">
        <v>2024</v>
      </c>
      <c r="B127" s="13" t="s">
        <v>1024</v>
      </c>
      <c r="C127" s="13" t="s">
        <v>125</v>
      </c>
      <c r="D127" s="13" t="s">
        <v>128</v>
      </c>
      <c r="E127" s="13" t="s">
        <v>192</v>
      </c>
      <c r="F127" s="13" t="s">
        <v>652</v>
      </c>
      <c r="G127" s="13" t="n">
        <v>30</v>
      </c>
      <c r="H127" s="13" t="n">
        <v>0</v>
      </c>
      <c r="I127" s="13" t="n">
        <v>30</v>
      </c>
      <c r="J127" s="13" t="n">
        <v>2</v>
      </c>
      <c r="K127" s="13" t="n">
        <v>0</v>
      </c>
      <c r="L127" s="13" t="n">
        <v>9</v>
      </c>
      <c r="M127" s="13" t="n">
        <v>21</v>
      </c>
      <c r="N127" s="13" t="n">
        <v>0</v>
      </c>
      <c r="O127" s="13" t="n">
        <v>2</v>
      </c>
      <c r="P127" s="13" t="n">
        <v>1</v>
      </c>
      <c r="Q127" s="13" t="n">
        <v>11</v>
      </c>
      <c r="R127" s="13" t="n">
        <v>3</v>
      </c>
      <c r="S127" s="13" t="n">
        <v>0</v>
      </c>
      <c r="T127" s="13" t="n">
        <v>0.7</v>
      </c>
      <c r="U127" s="13" t="n">
        <v>1.77</v>
      </c>
      <c r="V127" s="13" t="n">
        <f aca="false">M127-SUM(N127:S127)</f>
        <v>4</v>
      </c>
    </row>
    <row r="128" customFormat="false" ht="15" hidden="false" customHeight="true" outlineLevel="0" collapsed="false">
      <c r="A128" s="13" t="n">
        <v>2024</v>
      </c>
      <c r="B128" s="13" t="s">
        <v>1024</v>
      </c>
      <c r="C128" s="13" t="s">
        <v>125</v>
      </c>
      <c r="D128" s="13" t="s">
        <v>1033</v>
      </c>
      <c r="E128" s="13" t="s">
        <v>124</v>
      </c>
      <c r="F128" s="13" t="s">
        <v>357</v>
      </c>
      <c r="G128" s="13" t="n">
        <v>44</v>
      </c>
      <c r="H128" s="13" t="n">
        <v>5</v>
      </c>
      <c r="I128" s="13" t="n">
        <v>39</v>
      </c>
      <c r="J128" s="13" t="n">
        <v>1</v>
      </c>
      <c r="K128" s="13" t="n">
        <v>0</v>
      </c>
      <c r="L128" s="13" t="n">
        <v>1</v>
      </c>
      <c r="M128" s="13" t="n">
        <v>38</v>
      </c>
      <c r="N128" s="13" t="n">
        <v>19</v>
      </c>
      <c r="O128" s="13" t="n">
        <v>13</v>
      </c>
      <c r="P128" s="13" t="n">
        <v>4</v>
      </c>
      <c r="Q128" s="13" t="n">
        <v>1</v>
      </c>
      <c r="R128" s="13" t="n">
        <v>1</v>
      </c>
      <c r="S128" s="13" t="n">
        <v>0</v>
      </c>
      <c r="T128" s="13" t="n">
        <v>0.9744</v>
      </c>
      <c r="U128" s="13" t="n">
        <v>5.13</v>
      </c>
      <c r="V128" s="13" t="n">
        <f aca="false">M128-SUM(N128:S128)</f>
        <v>0</v>
      </c>
    </row>
    <row r="129" customFormat="false" ht="15" hidden="false" customHeight="true" outlineLevel="0" collapsed="false">
      <c r="A129" s="13" t="n">
        <v>2024</v>
      </c>
      <c r="B129" s="13" t="s">
        <v>1024</v>
      </c>
      <c r="C129" s="13" t="s">
        <v>125</v>
      </c>
      <c r="D129" s="13" t="s">
        <v>1033</v>
      </c>
      <c r="E129" s="13" t="s">
        <v>122</v>
      </c>
      <c r="F129" s="13" t="s">
        <v>357</v>
      </c>
      <c r="G129" s="13" t="n">
        <v>69</v>
      </c>
      <c r="H129" s="13" t="n">
        <v>6</v>
      </c>
      <c r="I129" s="13" t="n">
        <v>63</v>
      </c>
      <c r="J129" s="13" t="n">
        <v>0</v>
      </c>
      <c r="K129" s="13" t="n">
        <v>0</v>
      </c>
      <c r="L129" s="13" t="n">
        <v>1</v>
      </c>
      <c r="M129" s="13" t="n">
        <v>62</v>
      </c>
      <c r="N129" s="13" t="n">
        <v>31</v>
      </c>
      <c r="O129" s="13" t="n">
        <v>22</v>
      </c>
      <c r="P129" s="13" t="n">
        <v>5</v>
      </c>
      <c r="Q129" s="13" t="n">
        <v>4</v>
      </c>
      <c r="R129" s="13" t="n">
        <v>0</v>
      </c>
      <c r="S129" s="13" t="n">
        <v>0</v>
      </c>
      <c r="T129" s="13" t="n">
        <v>0.9841</v>
      </c>
      <c r="U129" s="13" t="n">
        <v>5.21</v>
      </c>
      <c r="V129" s="13" t="n">
        <f aca="false">M129-SUM(N129:S129)</f>
        <v>0</v>
      </c>
    </row>
    <row r="130" customFormat="false" ht="15" hidden="false" customHeight="true" outlineLevel="0" collapsed="false">
      <c r="A130" s="13" t="n">
        <v>2024</v>
      </c>
      <c r="B130" s="13" t="s">
        <v>1024</v>
      </c>
      <c r="C130" s="13" t="s">
        <v>125</v>
      </c>
      <c r="D130" s="13" t="s">
        <v>1033</v>
      </c>
      <c r="E130" s="13" t="s">
        <v>192</v>
      </c>
      <c r="F130" s="13" t="s">
        <v>652</v>
      </c>
      <c r="G130" s="13" t="n">
        <v>113</v>
      </c>
      <c r="H130" s="13" t="n">
        <v>11</v>
      </c>
      <c r="I130" s="13" t="n">
        <v>102</v>
      </c>
      <c r="J130" s="13" t="n">
        <v>1</v>
      </c>
      <c r="K130" s="13" t="n">
        <v>0</v>
      </c>
      <c r="L130" s="13" t="n">
        <v>2</v>
      </c>
      <c r="M130" s="13" t="n">
        <v>100</v>
      </c>
      <c r="N130" s="13" t="n">
        <v>50</v>
      </c>
      <c r="O130" s="13" t="n">
        <v>35</v>
      </c>
      <c r="P130" s="13" t="n">
        <v>9</v>
      </c>
      <c r="Q130" s="13" t="n">
        <v>5</v>
      </c>
      <c r="R130" s="13" t="n">
        <v>1</v>
      </c>
      <c r="S130" s="13" t="n">
        <v>0</v>
      </c>
      <c r="T130" s="13" t="n">
        <v>0.9804</v>
      </c>
      <c r="U130" s="13" t="n">
        <v>5.18</v>
      </c>
      <c r="V130" s="13" t="n">
        <f aca="false">M130-SUM(N130:S130)</f>
        <v>0</v>
      </c>
    </row>
    <row r="131" customFormat="false" ht="15" hidden="false" customHeight="true" outlineLevel="0" collapsed="false">
      <c r="A131" s="13" t="n">
        <v>2024</v>
      </c>
      <c r="B131" s="13" t="s">
        <v>1024</v>
      </c>
      <c r="C131" s="13" t="s">
        <v>125</v>
      </c>
      <c r="D131" s="13" t="s">
        <v>1034</v>
      </c>
      <c r="E131" s="13" t="s">
        <v>124</v>
      </c>
      <c r="F131" s="13" t="s">
        <v>357</v>
      </c>
      <c r="G131" s="13" t="n">
        <v>24</v>
      </c>
      <c r="H131" s="13" t="n">
        <v>3</v>
      </c>
      <c r="I131" s="13" t="n">
        <v>21</v>
      </c>
      <c r="J131" s="13" t="n">
        <v>0</v>
      </c>
      <c r="K131" s="13" t="n">
        <v>0</v>
      </c>
      <c r="L131" s="13" t="n">
        <v>6</v>
      </c>
      <c r="M131" s="13" t="n">
        <v>15</v>
      </c>
      <c r="N131" s="13" t="n">
        <v>0</v>
      </c>
      <c r="O131" s="13" t="n">
        <v>0</v>
      </c>
      <c r="P131" s="13" t="n">
        <v>2</v>
      </c>
      <c r="Q131" s="13" t="n">
        <v>10</v>
      </c>
      <c r="R131" s="13" t="n">
        <v>3</v>
      </c>
      <c r="S131" s="13" t="n">
        <v>0</v>
      </c>
      <c r="T131" s="13" t="n">
        <v>0.7143</v>
      </c>
      <c r="U131" s="13" t="n">
        <v>2.1</v>
      </c>
      <c r="V131" s="13" t="n">
        <f aca="false">M131-SUM(N131:S131)</f>
        <v>0</v>
      </c>
    </row>
    <row r="132" customFormat="false" ht="15" hidden="false" customHeight="true" outlineLevel="0" collapsed="false">
      <c r="A132" s="13" t="n">
        <v>2024</v>
      </c>
      <c r="B132" s="13" t="s">
        <v>1024</v>
      </c>
      <c r="C132" s="13" t="s">
        <v>125</v>
      </c>
      <c r="D132" s="13" t="s">
        <v>1034</v>
      </c>
      <c r="E132" s="13" t="s">
        <v>122</v>
      </c>
      <c r="F132" s="13" t="s">
        <v>357</v>
      </c>
      <c r="G132" s="13" t="n">
        <v>2</v>
      </c>
      <c r="H132" s="13" t="n">
        <v>0</v>
      </c>
      <c r="I132" s="13" t="n">
        <v>2</v>
      </c>
      <c r="J132" s="13" t="n">
        <v>0</v>
      </c>
      <c r="K132" s="13" t="n">
        <v>0</v>
      </c>
      <c r="L132" s="13" t="n">
        <v>1</v>
      </c>
      <c r="M132" s="13" t="n">
        <v>1</v>
      </c>
      <c r="N132" s="13" t="n">
        <v>0</v>
      </c>
      <c r="O132" s="13" t="n">
        <v>0</v>
      </c>
      <c r="P132" s="13" t="n">
        <v>0</v>
      </c>
      <c r="Q132" s="13" t="n">
        <v>1</v>
      </c>
      <c r="R132" s="13" t="n">
        <v>0</v>
      </c>
      <c r="S132" s="13" t="n">
        <v>0</v>
      </c>
      <c r="T132" s="13" t="n">
        <v>0.5</v>
      </c>
      <c r="U132" s="13" t="n">
        <v>1.5</v>
      </c>
      <c r="V132" s="13" t="n">
        <f aca="false">M132-SUM(N132:S132)</f>
        <v>0</v>
      </c>
    </row>
    <row r="133" customFormat="false" ht="15" hidden="false" customHeight="true" outlineLevel="0" collapsed="false">
      <c r="A133" s="13" t="n">
        <v>2024</v>
      </c>
      <c r="B133" s="13" t="s">
        <v>1024</v>
      </c>
      <c r="C133" s="13" t="s">
        <v>125</v>
      </c>
      <c r="D133" s="13" t="s">
        <v>1034</v>
      </c>
      <c r="E133" s="13" t="s">
        <v>192</v>
      </c>
      <c r="F133" s="13" t="s">
        <v>652</v>
      </c>
      <c r="G133" s="13" t="n">
        <v>26</v>
      </c>
      <c r="H133" s="13" t="n">
        <v>3</v>
      </c>
      <c r="I133" s="13" t="n">
        <v>23</v>
      </c>
      <c r="J133" s="13" t="n">
        <v>0</v>
      </c>
      <c r="K133" s="13" t="n">
        <v>0</v>
      </c>
      <c r="L133" s="13" t="n">
        <v>7</v>
      </c>
      <c r="M133" s="13" t="n">
        <v>16</v>
      </c>
      <c r="N133" s="13" t="n">
        <v>0</v>
      </c>
      <c r="O133" s="13" t="n">
        <v>0</v>
      </c>
      <c r="P133" s="13" t="n">
        <v>2</v>
      </c>
      <c r="Q133" s="13" t="n">
        <v>11</v>
      </c>
      <c r="R133" s="13" t="n">
        <v>3</v>
      </c>
      <c r="S133" s="13" t="n">
        <v>0</v>
      </c>
      <c r="T133" s="13" t="n">
        <v>0.6957</v>
      </c>
      <c r="U133" s="13" t="n">
        <v>2.04</v>
      </c>
      <c r="V133" s="13" t="n">
        <f aca="false">M133-SUM(N133:S133)</f>
        <v>0</v>
      </c>
    </row>
    <row r="134" customFormat="false" ht="15" hidden="false" customHeight="true" outlineLevel="0" collapsed="false">
      <c r="A134" s="13" t="n">
        <v>2024</v>
      </c>
      <c r="B134" s="13" t="s">
        <v>1024</v>
      </c>
      <c r="C134" s="13" t="s">
        <v>125</v>
      </c>
      <c r="D134" s="13" t="s">
        <v>1035</v>
      </c>
      <c r="E134" s="13" t="s">
        <v>124</v>
      </c>
      <c r="F134" s="13" t="s">
        <v>357</v>
      </c>
      <c r="G134" s="13" t="n">
        <v>39</v>
      </c>
      <c r="H134" s="13" t="n">
        <v>7</v>
      </c>
      <c r="I134" s="13" t="n">
        <v>32</v>
      </c>
      <c r="J134" s="13" t="n">
        <v>1</v>
      </c>
      <c r="K134" s="13" t="n">
        <v>0</v>
      </c>
      <c r="L134" s="13" t="n">
        <v>16</v>
      </c>
      <c r="M134" s="13" t="n">
        <v>16</v>
      </c>
      <c r="N134" s="13" t="n">
        <v>1</v>
      </c>
      <c r="O134" s="13" t="n">
        <v>0</v>
      </c>
      <c r="P134" s="13" t="n">
        <v>3</v>
      </c>
      <c r="Q134" s="13" t="n">
        <v>10</v>
      </c>
      <c r="R134" s="13" t="n">
        <v>2</v>
      </c>
      <c r="S134" s="13" t="n">
        <v>0</v>
      </c>
      <c r="T134" s="13" t="n">
        <v>0.5</v>
      </c>
      <c r="U134" s="13" t="n">
        <v>1.63</v>
      </c>
      <c r="V134" s="13" t="n">
        <f aca="false">M134-SUM(N134:S134)</f>
        <v>0</v>
      </c>
    </row>
    <row r="135" customFormat="false" ht="15" hidden="false" customHeight="true" outlineLevel="0" collapsed="false">
      <c r="A135" s="13" t="n">
        <v>2024</v>
      </c>
      <c r="B135" s="13" t="s">
        <v>1024</v>
      </c>
      <c r="C135" s="13" t="s">
        <v>125</v>
      </c>
      <c r="D135" s="13" t="s">
        <v>1035</v>
      </c>
      <c r="E135" s="13" t="s">
        <v>122</v>
      </c>
      <c r="F135" s="13" t="s">
        <v>357</v>
      </c>
      <c r="G135" s="13" t="n">
        <v>7</v>
      </c>
      <c r="H135" s="13" t="n">
        <v>1</v>
      </c>
      <c r="I135" s="13" t="n">
        <v>6</v>
      </c>
      <c r="J135" s="13" t="n">
        <v>0</v>
      </c>
      <c r="K135" s="13" t="n">
        <v>0</v>
      </c>
      <c r="L135" s="13" t="n">
        <v>4</v>
      </c>
      <c r="M135" s="13" t="n">
        <v>2</v>
      </c>
      <c r="N135" s="13" t="n">
        <v>0</v>
      </c>
      <c r="O135" s="13" t="n">
        <v>0</v>
      </c>
      <c r="P135" s="13" t="n">
        <v>1</v>
      </c>
      <c r="Q135" s="13" t="n">
        <v>1</v>
      </c>
      <c r="R135" s="13" t="n">
        <v>0</v>
      </c>
      <c r="S135" s="13" t="n">
        <v>0</v>
      </c>
      <c r="T135" s="13" t="n">
        <v>0.3333</v>
      </c>
      <c r="U135" s="13" t="n">
        <v>1.17</v>
      </c>
      <c r="V135" s="13" t="n">
        <f aca="false">M135-SUM(N135:S135)</f>
        <v>0</v>
      </c>
    </row>
    <row r="136" customFormat="false" ht="15" hidden="false" customHeight="true" outlineLevel="0" collapsed="false">
      <c r="A136" s="13" t="n">
        <v>2024</v>
      </c>
      <c r="B136" s="13" t="s">
        <v>1024</v>
      </c>
      <c r="C136" s="13" t="s">
        <v>125</v>
      </c>
      <c r="D136" s="13" t="s">
        <v>1035</v>
      </c>
      <c r="E136" s="13" t="s">
        <v>192</v>
      </c>
      <c r="F136" s="13" t="s">
        <v>652</v>
      </c>
      <c r="G136" s="13" t="n">
        <v>46</v>
      </c>
      <c r="H136" s="13" t="n">
        <v>8</v>
      </c>
      <c r="I136" s="13" t="n">
        <v>38</v>
      </c>
      <c r="J136" s="13" t="n">
        <v>1</v>
      </c>
      <c r="K136" s="13" t="n">
        <v>0</v>
      </c>
      <c r="L136" s="13" t="n">
        <v>20</v>
      </c>
      <c r="M136" s="13" t="n">
        <v>18</v>
      </c>
      <c r="N136" s="13" t="n">
        <v>1</v>
      </c>
      <c r="O136" s="13" t="n">
        <v>0</v>
      </c>
      <c r="P136" s="13" t="n">
        <v>4</v>
      </c>
      <c r="Q136" s="13" t="n">
        <v>11</v>
      </c>
      <c r="R136" s="13" t="n">
        <v>2</v>
      </c>
      <c r="S136" s="13" t="n">
        <v>0</v>
      </c>
      <c r="T136" s="13" t="n">
        <v>0.4737</v>
      </c>
      <c r="U136" s="13" t="n">
        <v>1.55</v>
      </c>
      <c r="V136" s="13" t="n">
        <f aca="false">M136-SUM(N136:S136)</f>
        <v>0</v>
      </c>
    </row>
    <row r="137" customFormat="false" ht="15" hidden="false" customHeight="true" outlineLevel="0" collapsed="false">
      <c r="A137" s="13" t="n">
        <v>2024</v>
      </c>
      <c r="B137" s="13" t="s">
        <v>1024</v>
      </c>
      <c r="C137" s="13" t="s">
        <v>125</v>
      </c>
      <c r="D137" s="13" t="s">
        <v>203</v>
      </c>
      <c r="E137" s="13" t="s">
        <v>124</v>
      </c>
      <c r="F137" s="13" t="s">
        <v>357</v>
      </c>
      <c r="G137" s="13" t="n">
        <v>2</v>
      </c>
      <c r="H137" s="13" t="n">
        <v>0</v>
      </c>
      <c r="I137" s="13" t="n">
        <v>2</v>
      </c>
      <c r="J137" s="13" t="n">
        <v>0</v>
      </c>
      <c r="K137" s="13" t="n">
        <v>0</v>
      </c>
      <c r="L137" s="13" t="n">
        <v>1</v>
      </c>
      <c r="M137" s="13" t="n">
        <v>1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1</v>
      </c>
      <c r="S137" s="13" t="n">
        <v>0</v>
      </c>
      <c r="T137" s="13" t="n">
        <v>0.5</v>
      </c>
      <c r="U137" s="13" t="n">
        <v>1</v>
      </c>
      <c r="V137" s="13" t="n">
        <f aca="false">M137-SUM(N137:S137)</f>
        <v>0</v>
      </c>
    </row>
    <row r="138" customFormat="false" ht="15" hidden="false" customHeight="true" outlineLevel="0" collapsed="false">
      <c r="A138" s="13" t="n">
        <v>2024</v>
      </c>
      <c r="B138" s="13" t="s">
        <v>1024</v>
      </c>
      <c r="C138" s="13" t="s">
        <v>125</v>
      </c>
      <c r="D138" s="13" t="s">
        <v>203</v>
      </c>
      <c r="E138" s="13" t="s">
        <v>122</v>
      </c>
      <c r="F138" s="13" t="s">
        <v>357</v>
      </c>
      <c r="G138" s="13" t="n">
        <v>1</v>
      </c>
      <c r="H138" s="13" t="n">
        <v>0</v>
      </c>
      <c r="I138" s="13" t="n">
        <v>1</v>
      </c>
      <c r="J138" s="13" t="n">
        <v>0</v>
      </c>
      <c r="K138" s="13" t="n">
        <v>0</v>
      </c>
      <c r="L138" s="13" t="n">
        <v>0</v>
      </c>
      <c r="M138" s="13" t="n">
        <v>1</v>
      </c>
      <c r="N138" s="13" t="n">
        <v>0</v>
      </c>
      <c r="O138" s="13" t="n">
        <v>1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1</v>
      </c>
      <c r="U138" s="13" t="n">
        <v>5</v>
      </c>
      <c r="V138" s="13" t="n">
        <f aca="false">M138-SUM(N138:S138)</f>
        <v>0</v>
      </c>
    </row>
    <row r="139" customFormat="false" ht="15" hidden="false" customHeight="true" outlineLevel="0" collapsed="false">
      <c r="A139" s="13" t="n">
        <v>2024</v>
      </c>
      <c r="B139" s="13" t="s">
        <v>1024</v>
      </c>
      <c r="C139" s="13" t="s">
        <v>125</v>
      </c>
      <c r="D139" s="13" t="s">
        <v>203</v>
      </c>
      <c r="E139" s="13" t="s">
        <v>192</v>
      </c>
      <c r="F139" s="13" t="s">
        <v>652</v>
      </c>
      <c r="G139" s="13" t="n">
        <v>3</v>
      </c>
      <c r="H139" s="13" t="n">
        <v>0</v>
      </c>
      <c r="I139" s="13" t="n">
        <v>3</v>
      </c>
      <c r="J139" s="13" t="n">
        <v>0</v>
      </c>
      <c r="K139" s="13" t="n">
        <v>0</v>
      </c>
      <c r="L139" s="13" t="n">
        <v>1</v>
      </c>
      <c r="M139" s="13" t="n">
        <v>2</v>
      </c>
      <c r="N139" s="13" t="n">
        <v>0</v>
      </c>
      <c r="O139" s="13" t="n">
        <v>1</v>
      </c>
      <c r="P139" s="13" t="n">
        <v>0</v>
      </c>
      <c r="Q139" s="13" t="n">
        <v>0</v>
      </c>
      <c r="R139" s="13" t="n">
        <v>1</v>
      </c>
      <c r="S139" s="13" t="n">
        <v>0</v>
      </c>
      <c r="T139" s="13" t="n">
        <v>0.6667</v>
      </c>
      <c r="U139" s="13" t="n">
        <v>2.33</v>
      </c>
      <c r="V139" s="13" t="n">
        <f aca="false">M139-SUM(N139:S139)</f>
        <v>0</v>
      </c>
    </row>
    <row r="140" customFormat="false" ht="15" hidden="false" customHeight="true" outlineLevel="0" collapsed="false">
      <c r="A140" s="13" t="n">
        <v>2024</v>
      </c>
      <c r="B140" s="13" t="s">
        <v>1024</v>
      </c>
      <c r="C140" s="13" t="s">
        <v>125</v>
      </c>
      <c r="D140" s="13" t="s">
        <v>1037</v>
      </c>
      <c r="E140" s="13" t="s">
        <v>192</v>
      </c>
      <c r="F140" s="13" t="s">
        <v>1038</v>
      </c>
      <c r="G140" s="13" t="n">
        <v>218</v>
      </c>
      <c r="H140" s="13" t="n">
        <v>22</v>
      </c>
      <c r="I140" s="13" t="n">
        <v>196</v>
      </c>
      <c r="J140" s="13" t="n">
        <v>4</v>
      </c>
      <c r="K140" s="13" t="n">
        <v>0</v>
      </c>
      <c r="L140" s="13" t="n">
        <v>39</v>
      </c>
      <c r="M140" s="13" t="n">
        <v>157</v>
      </c>
      <c r="N140" s="13" t="n">
        <v>51</v>
      </c>
      <c r="O140" s="13" t="n">
        <v>38</v>
      </c>
      <c r="P140" s="13" t="n">
        <v>16</v>
      </c>
      <c r="Q140" s="13" t="n">
        <v>38</v>
      </c>
      <c r="R140" s="13" t="n">
        <v>10</v>
      </c>
      <c r="S140" s="13" t="n">
        <v>0</v>
      </c>
      <c r="T140" s="13" t="n">
        <v>0.801</v>
      </c>
      <c r="U140" s="13" t="n">
        <v>3.54</v>
      </c>
      <c r="V140" s="13" t="n">
        <f aca="false">M140-SUM(N140:S140)</f>
        <v>4</v>
      </c>
    </row>
    <row r="141" customFormat="false" ht="15" hidden="false" customHeight="true" outlineLevel="0" collapsed="false">
      <c r="A141" s="13" t="n">
        <v>2024</v>
      </c>
      <c r="B141" s="13" t="s">
        <v>1024</v>
      </c>
      <c r="C141" s="13" t="s">
        <v>125</v>
      </c>
      <c r="D141" s="13" t="s">
        <v>1037</v>
      </c>
      <c r="E141" s="13" t="s">
        <v>192</v>
      </c>
      <c r="F141" s="13" t="s">
        <v>137</v>
      </c>
      <c r="G141" s="13" t="n">
        <v>2377</v>
      </c>
      <c r="H141" s="13" t="n">
        <v>25</v>
      </c>
      <c r="I141" s="13" t="n">
        <v>2352</v>
      </c>
      <c r="J141" s="13" t="n">
        <v>4</v>
      </c>
      <c r="K141" s="13" t="n">
        <v>0</v>
      </c>
      <c r="L141" s="13" t="n">
        <v>145</v>
      </c>
      <c r="M141" s="13" t="n">
        <v>2207</v>
      </c>
      <c r="N141" s="13" t="n">
        <v>551</v>
      </c>
      <c r="O141" s="13" t="n">
        <v>754</v>
      </c>
      <c r="P141" s="13" t="n">
        <v>657</v>
      </c>
      <c r="Q141" s="13" t="n">
        <v>218</v>
      </c>
      <c r="R141" s="13" t="n">
        <v>23</v>
      </c>
      <c r="S141" s="13" t="n">
        <v>0</v>
      </c>
      <c r="T141" s="13" t="n">
        <v>0.9399</v>
      </c>
      <c r="U141" s="13" t="n">
        <v>4.43</v>
      </c>
      <c r="V141" s="13" t="n">
        <f aca="false">M141-SUM(N141:S141)</f>
        <v>4</v>
      </c>
    </row>
    <row r="142" customFormat="false" ht="15" hidden="false" customHeight="true" outlineLevel="0" collapsed="false">
      <c r="A142" s="13" t="n">
        <v>2024</v>
      </c>
      <c r="B142" s="13" t="s">
        <v>1025</v>
      </c>
      <c r="C142" s="13" t="s">
        <v>121</v>
      </c>
      <c r="D142" s="13" t="s">
        <v>128</v>
      </c>
      <c r="E142" s="13" t="s">
        <v>124</v>
      </c>
      <c r="F142" s="13" t="s">
        <v>357</v>
      </c>
      <c r="G142" s="13" t="n">
        <v>18</v>
      </c>
      <c r="H142" s="13" t="n">
        <v>0</v>
      </c>
      <c r="I142" s="13" t="n">
        <v>18</v>
      </c>
      <c r="J142" s="13" t="n">
        <v>0</v>
      </c>
      <c r="K142" s="13" t="n">
        <v>0</v>
      </c>
      <c r="L142" s="13" t="n">
        <v>4</v>
      </c>
      <c r="M142" s="13" t="n">
        <v>14</v>
      </c>
      <c r="N142" s="13" t="n">
        <v>0</v>
      </c>
      <c r="O142" s="13" t="n">
        <v>0</v>
      </c>
      <c r="P142" s="13" t="n">
        <v>5</v>
      </c>
      <c r="Q142" s="13" t="n">
        <v>7</v>
      </c>
      <c r="R142" s="13" t="n">
        <v>2</v>
      </c>
      <c r="S142" s="13" t="n">
        <v>0</v>
      </c>
      <c r="T142" s="13" t="n">
        <v>0.7778</v>
      </c>
      <c r="U142" s="13" t="n">
        <v>2.5</v>
      </c>
      <c r="V142" s="13" t="n">
        <f aca="false">M142-SUM(N142:S142)</f>
        <v>0</v>
      </c>
    </row>
    <row r="143" customFormat="false" ht="15" hidden="false" customHeight="true" outlineLevel="0" collapsed="false">
      <c r="A143" s="13" t="n">
        <v>2024</v>
      </c>
      <c r="B143" s="13" t="s">
        <v>1025</v>
      </c>
      <c r="C143" s="13" t="s">
        <v>121</v>
      </c>
      <c r="D143" s="13" t="s">
        <v>128</v>
      </c>
      <c r="E143" s="13" t="s">
        <v>122</v>
      </c>
      <c r="F143" s="13" t="s">
        <v>357</v>
      </c>
      <c r="G143" s="13" t="n">
        <v>101</v>
      </c>
      <c r="H143" s="13" t="n">
        <v>0</v>
      </c>
      <c r="I143" s="13" t="n">
        <v>101</v>
      </c>
      <c r="J143" s="13" t="n">
        <v>0</v>
      </c>
      <c r="K143" s="13" t="n">
        <v>0</v>
      </c>
      <c r="L143" s="13" t="n">
        <v>2</v>
      </c>
      <c r="M143" s="13" t="n">
        <v>99</v>
      </c>
      <c r="N143" s="13" t="n">
        <v>10</v>
      </c>
      <c r="O143" s="13" t="n">
        <v>34</v>
      </c>
      <c r="P143" s="13" t="n">
        <v>33</v>
      </c>
      <c r="Q143" s="13" t="n">
        <v>20</v>
      </c>
      <c r="R143" s="13" t="n">
        <v>2</v>
      </c>
      <c r="S143" s="13" t="n">
        <v>0</v>
      </c>
      <c r="T143" s="13" t="n">
        <v>0.9802</v>
      </c>
      <c r="U143" s="13" t="n">
        <v>4.22</v>
      </c>
      <c r="V143" s="13" t="n">
        <f aca="false">M143-SUM(N143:S143)</f>
        <v>0</v>
      </c>
    </row>
    <row r="144" customFormat="false" ht="15" hidden="false" customHeight="true" outlineLevel="0" collapsed="false">
      <c r="A144" s="13" t="n">
        <v>2024</v>
      </c>
      <c r="B144" s="13" t="s">
        <v>1025</v>
      </c>
      <c r="C144" s="13" t="s">
        <v>121</v>
      </c>
      <c r="D144" s="13" t="s">
        <v>128</v>
      </c>
      <c r="E144" s="13" t="s">
        <v>192</v>
      </c>
      <c r="F144" s="13" t="s">
        <v>652</v>
      </c>
      <c r="G144" s="13" t="n">
        <v>119</v>
      </c>
      <c r="H144" s="13" t="n">
        <v>0</v>
      </c>
      <c r="I144" s="13" t="n">
        <v>119</v>
      </c>
      <c r="J144" s="13" t="n">
        <v>0</v>
      </c>
      <c r="K144" s="13" t="n">
        <v>0</v>
      </c>
      <c r="L144" s="13" t="n">
        <v>6</v>
      </c>
      <c r="M144" s="13" t="n">
        <v>113</v>
      </c>
      <c r="N144" s="13" t="n">
        <v>10</v>
      </c>
      <c r="O144" s="13" t="n">
        <v>34</v>
      </c>
      <c r="P144" s="13" t="n">
        <v>38</v>
      </c>
      <c r="Q144" s="13" t="n">
        <v>27</v>
      </c>
      <c r="R144" s="13" t="n">
        <v>4</v>
      </c>
      <c r="S144" s="13" t="n">
        <v>0</v>
      </c>
      <c r="T144" s="13" t="n">
        <v>0.9496</v>
      </c>
      <c r="U144" s="13" t="n">
        <v>3.96</v>
      </c>
      <c r="V144" s="13" t="n">
        <f aca="false">M144-SUM(N144:S144)</f>
        <v>0</v>
      </c>
    </row>
    <row r="145" customFormat="false" ht="15" hidden="false" customHeight="true" outlineLevel="0" collapsed="false">
      <c r="A145" s="13" t="n">
        <v>2024</v>
      </c>
      <c r="B145" s="13" t="s">
        <v>1025</v>
      </c>
      <c r="C145" s="13" t="s">
        <v>121</v>
      </c>
      <c r="D145" s="13" t="s">
        <v>1033</v>
      </c>
      <c r="E145" s="13" t="s">
        <v>124</v>
      </c>
      <c r="F145" s="13" t="s">
        <v>357</v>
      </c>
      <c r="G145" s="13" t="n">
        <v>451</v>
      </c>
      <c r="H145" s="13" t="n">
        <v>2</v>
      </c>
      <c r="I145" s="13" t="n">
        <v>449</v>
      </c>
      <c r="J145" s="13" t="n">
        <v>4</v>
      </c>
      <c r="K145" s="13" t="n">
        <v>3</v>
      </c>
      <c r="L145" s="13" t="n">
        <v>16</v>
      </c>
      <c r="M145" s="13" t="n">
        <v>430</v>
      </c>
      <c r="N145" s="13" t="n">
        <v>167</v>
      </c>
      <c r="O145" s="13" t="n">
        <v>134</v>
      </c>
      <c r="P145" s="13" t="n">
        <v>96</v>
      </c>
      <c r="Q145" s="13" t="n">
        <v>31</v>
      </c>
      <c r="R145" s="13" t="n">
        <v>2</v>
      </c>
      <c r="S145" s="13" t="n">
        <v>0</v>
      </c>
      <c r="T145" s="13" t="n">
        <v>0.9577</v>
      </c>
      <c r="U145" s="13" t="n">
        <v>4.8</v>
      </c>
      <c r="V145" s="13" t="n">
        <f aca="false">M145-SUM(N145:S145)</f>
        <v>0</v>
      </c>
    </row>
    <row r="146" customFormat="false" ht="15" hidden="false" customHeight="true" outlineLevel="0" collapsed="false">
      <c r="A146" s="13" t="n">
        <v>2024</v>
      </c>
      <c r="B146" s="13" t="s">
        <v>1025</v>
      </c>
      <c r="C146" s="13" t="s">
        <v>121</v>
      </c>
      <c r="D146" s="13" t="s">
        <v>1033</v>
      </c>
      <c r="E146" s="13" t="s">
        <v>122</v>
      </c>
      <c r="F146" s="13" t="s">
        <v>357</v>
      </c>
      <c r="G146" s="13" t="n">
        <v>760</v>
      </c>
      <c r="H146" s="13" t="n">
        <v>1</v>
      </c>
      <c r="I146" s="13" t="n">
        <v>759</v>
      </c>
      <c r="J146" s="13" t="n">
        <v>8</v>
      </c>
      <c r="K146" s="13" t="n">
        <v>0</v>
      </c>
      <c r="L146" s="13" t="n">
        <v>16</v>
      </c>
      <c r="M146" s="13" t="n">
        <v>743</v>
      </c>
      <c r="N146" s="13" t="n">
        <v>295</v>
      </c>
      <c r="O146" s="13" t="n">
        <v>257</v>
      </c>
      <c r="P146" s="13" t="n">
        <v>152</v>
      </c>
      <c r="Q146" s="13" t="n">
        <v>36</v>
      </c>
      <c r="R146" s="13" t="n">
        <v>3</v>
      </c>
      <c r="S146" s="13" t="n">
        <v>0</v>
      </c>
      <c r="T146" s="13" t="n">
        <v>0.9789</v>
      </c>
      <c r="U146" s="13" t="n">
        <v>4.98</v>
      </c>
      <c r="V146" s="13" t="n">
        <f aca="false">M146-SUM(N146:S146)</f>
        <v>0</v>
      </c>
    </row>
    <row r="147" customFormat="false" ht="15" hidden="false" customHeight="true" outlineLevel="0" collapsed="false">
      <c r="A147" s="13" t="n">
        <v>2024</v>
      </c>
      <c r="B147" s="13" t="s">
        <v>1025</v>
      </c>
      <c r="C147" s="13" t="s">
        <v>121</v>
      </c>
      <c r="D147" s="13" t="s">
        <v>1033</v>
      </c>
      <c r="E147" s="13" t="s">
        <v>192</v>
      </c>
      <c r="F147" s="13" t="s">
        <v>652</v>
      </c>
      <c r="G147" s="13" t="n">
        <v>1211</v>
      </c>
      <c r="H147" s="13" t="n">
        <v>3</v>
      </c>
      <c r="I147" s="13" t="n">
        <v>1208</v>
      </c>
      <c r="J147" s="13" t="n">
        <v>12</v>
      </c>
      <c r="K147" s="13" t="n">
        <v>3</v>
      </c>
      <c r="L147" s="13" t="n">
        <v>32</v>
      </c>
      <c r="M147" s="13" t="n">
        <v>1173</v>
      </c>
      <c r="N147" s="13" t="n">
        <v>462</v>
      </c>
      <c r="O147" s="13" t="n">
        <v>391</v>
      </c>
      <c r="P147" s="13" t="n">
        <v>248</v>
      </c>
      <c r="Q147" s="13" t="n">
        <v>67</v>
      </c>
      <c r="R147" s="13" t="n">
        <v>5</v>
      </c>
      <c r="S147" s="13" t="n">
        <v>0</v>
      </c>
      <c r="T147" s="13" t="n">
        <v>0.971</v>
      </c>
      <c r="U147" s="13" t="n">
        <v>4.91</v>
      </c>
      <c r="V147" s="13" t="n">
        <f aca="false">M147-SUM(N147:S147)</f>
        <v>0</v>
      </c>
    </row>
    <row r="148" customFormat="false" ht="15" hidden="false" customHeight="true" outlineLevel="0" collapsed="false">
      <c r="A148" s="13" t="n">
        <v>2024</v>
      </c>
      <c r="B148" s="13" t="s">
        <v>1025</v>
      </c>
      <c r="C148" s="13" t="s">
        <v>121</v>
      </c>
      <c r="D148" s="13" t="s">
        <v>1034</v>
      </c>
      <c r="E148" s="13" t="s">
        <v>124</v>
      </c>
      <c r="F148" s="13" t="s">
        <v>357</v>
      </c>
      <c r="G148" s="13" t="n">
        <v>335</v>
      </c>
      <c r="H148" s="13" t="n">
        <v>2</v>
      </c>
      <c r="I148" s="13" t="n">
        <v>333</v>
      </c>
      <c r="J148" s="13" t="n">
        <v>1</v>
      </c>
      <c r="K148" s="13" t="n">
        <v>0</v>
      </c>
      <c r="L148" s="13" t="n">
        <v>15</v>
      </c>
      <c r="M148" s="13" t="n">
        <v>318</v>
      </c>
      <c r="N148" s="13" t="n">
        <v>95</v>
      </c>
      <c r="O148" s="13" t="n">
        <v>83</v>
      </c>
      <c r="P148" s="13" t="n">
        <v>102</v>
      </c>
      <c r="Q148" s="13" t="n">
        <v>38</v>
      </c>
      <c r="R148" s="13" t="n">
        <v>0</v>
      </c>
      <c r="S148" s="13" t="n">
        <v>0</v>
      </c>
      <c r="T148" s="13" t="n">
        <v>0.955</v>
      </c>
      <c r="U148" s="13" t="n">
        <v>4.53</v>
      </c>
      <c r="V148" s="13" t="n">
        <f aca="false">M148-SUM(N148:S148)</f>
        <v>0</v>
      </c>
    </row>
    <row r="149" customFormat="false" ht="15" hidden="false" customHeight="true" outlineLevel="0" collapsed="false">
      <c r="A149" s="13" t="n">
        <v>2024</v>
      </c>
      <c r="B149" s="13" t="s">
        <v>1025</v>
      </c>
      <c r="C149" s="13" t="s">
        <v>121</v>
      </c>
      <c r="D149" s="13" t="s">
        <v>1034</v>
      </c>
      <c r="E149" s="13" t="s">
        <v>122</v>
      </c>
      <c r="F149" s="13" t="s">
        <v>357</v>
      </c>
      <c r="G149" s="13" t="n">
        <v>101</v>
      </c>
      <c r="H149" s="13" t="n">
        <v>0</v>
      </c>
      <c r="I149" s="13" t="n">
        <v>101</v>
      </c>
      <c r="J149" s="13" t="n">
        <v>1</v>
      </c>
      <c r="K149" s="13" t="n">
        <v>0</v>
      </c>
      <c r="L149" s="13" t="n">
        <v>6</v>
      </c>
      <c r="M149" s="13" t="n">
        <v>95</v>
      </c>
      <c r="N149" s="13" t="n">
        <v>18</v>
      </c>
      <c r="O149" s="13" t="n">
        <v>28</v>
      </c>
      <c r="P149" s="13" t="n">
        <v>36</v>
      </c>
      <c r="Q149" s="13" t="n">
        <v>13</v>
      </c>
      <c r="R149" s="13" t="n">
        <v>0</v>
      </c>
      <c r="S149" s="13" t="n">
        <v>0</v>
      </c>
      <c r="T149" s="13" t="n">
        <v>0.9406</v>
      </c>
      <c r="U149" s="13" t="n">
        <v>4.27</v>
      </c>
      <c r="V149" s="13" t="n">
        <f aca="false">M149-SUM(N149:S149)</f>
        <v>0</v>
      </c>
    </row>
    <row r="150" customFormat="false" ht="15" hidden="false" customHeight="true" outlineLevel="0" collapsed="false">
      <c r="A150" s="13" t="n">
        <v>2024</v>
      </c>
      <c r="B150" s="13" t="s">
        <v>1025</v>
      </c>
      <c r="C150" s="13" t="s">
        <v>121</v>
      </c>
      <c r="D150" s="13" t="s">
        <v>1034</v>
      </c>
      <c r="E150" s="13" t="s">
        <v>192</v>
      </c>
      <c r="F150" s="13" t="s">
        <v>652</v>
      </c>
      <c r="G150" s="13" t="n">
        <v>436</v>
      </c>
      <c r="H150" s="13" t="n">
        <v>2</v>
      </c>
      <c r="I150" s="13" t="n">
        <v>434</v>
      </c>
      <c r="J150" s="13" t="n">
        <v>2</v>
      </c>
      <c r="K150" s="13" t="n">
        <v>0</v>
      </c>
      <c r="L150" s="13" t="n">
        <v>21</v>
      </c>
      <c r="M150" s="13" t="n">
        <v>413</v>
      </c>
      <c r="N150" s="13" t="n">
        <v>113</v>
      </c>
      <c r="O150" s="13" t="n">
        <v>111</v>
      </c>
      <c r="P150" s="13" t="n">
        <v>138</v>
      </c>
      <c r="Q150" s="13" t="n">
        <v>51</v>
      </c>
      <c r="R150" s="13" t="n">
        <v>0</v>
      </c>
      <c r="S150" s="13" t="n">
        <v>0</v>
      </c>
      <c r="T150" s="13" t="n">
        <v>0.9516</v>
      </c>
      <c r="U150" s="13" t="n">
        <v>4.47</v>
      </c>
      <c r="V150" s="13" t="n">
        <f aca="false">M150-SUM(N150:S150)</f>
        <v>0</v>
      </c>
    </row>
    <row r="151" customFormat="false" ht="15" hidden="false" customHeight="true" outlineLevel="0" collapsed="false">
      <c r="A151" s="13" t="n">
        <v>2024</v>
      </c>
      <c r="B151" s="13" t="s">
        <v>1025</v>
      </c>
      <c r="C151" s="13" t="s">
        <v>121</v>
      </c>
      <c r="D151" s="13" t="s">
        <v>1035</v>
      </c>
      <c r="E151" s="13" t="s">
        <v>124</v>
      </c>
      <c r="F151" s="13" t="s">
        <v>357</v>
      </c>
      <c r="G151" s="13" t="n">
        <v>380</v>
      </c>
      <c r="H151" s="13" t="n">
        <v>0</v>
      </c>
      <c r="I151" s="13" t="n">
        <v>380</v>
      </c>
      <c r="J151" s="13" t="n">
        <v>7</v>
      </c>
      <c r="K151" s="13" t="n">
        <v>2</v>
      </c>
      <c r="L151" s="13" t="n">
        <v>74</v>
      </c>
      <c r="M151" s="13" t="n">
        <v>303</v>
      </c>
      <c r="N151" s="13" t="n">
        <v>32</v>
      </c>
      <c r="O151" s="13" t="n">
        <v>88</v>
      </c>
      <c r="P151" s="13" t="n">
        <v>127</v>
      </c>
      <c r="Q151" s="13" t="n">
        <v>55</v>
      </c>
      <c r="R151" s="13" t="n">
        <v>1</v>
      </c>
      <c r="S151" s="13" t="n">
        <v>0</v>
      </c>
      <c r="T151" s="13" t="n">
        <v>0.7974</v>
      </c>
      <c r="U151" s="13" t="n">
        <v>3.44</v>
      </c>
      <c r="V151" s="13" t="n">
        <f aca="false">M151-SUM(N151:S151)</f>
        <v>0</v>
      </c>
    </row>
    <row r="152" customFormat="false" ht="15" hidden="false" customHeight="true" outlineLevel="0" collapsed="false">
      <c r="A152" s="13" t="n">
        <v>2024</v>
      </c>
      <c r="B152" s="13" t="s">
        <v>1025</v>
      </c>
      <c r="C152" s="13" t="s">
        <v>121</v>
      </c>
      <c r="D152" s="13" t="s">
        <v>1035</v>
      </c>
      <c r="E152" s="13" t="s">
        <v>122</v>
      </c>
      <c r="F152" s="13" t="s">
        <v>357</v>
      </c>
      <c r="G152" s="13" t="n">
        <v>177</v>
      </c>
      <c r="H152" s="13" t="n">
        <v>0</v>
      </c>
      <c r="I152" s="13" t="n">
        <v>177</v>
      </c>
      <c r="J152" s="13" t="n">
        <v>0</v>
      </c>
      <c r="K152" s="13" t="n">
        <v>0</v>
      </c>
      <c r="L152" s="13" t="n">
        <v>19</v>
      </c>
      <c r="M152" s="13" t="n">
        <v>158</v>
      </c>
      <c r="N152" s="13" t="n">
        <v>9</v>
      </c>
      <c r="O152" s="13" t="n">
        <v>49</v>
      </c>
      <c r="P152" s="13" t="n">
        <v>68</v>
      </c>
      <c r="Q152" s="13" t="n">
        <v>31</v>
      </c>
      <c r="R152" s="13" t="n">
        <v>1</v>
      </c>
      <c r="S152" s="13" t="n">
        <v>0</v>
      </c>
      <c r="T152" s="13" t="n">
        <v>0.8927</v>
      </c>
      <c r="U152" s="13" t="n">
        <v>3.76</v>
      </c>
      <c r="V152" s="13" t="n">
        <f aca="false">M152-SUM(N152:S152)</f>
        <v>0</v>
      </c>
    </row>
    <row r="153" customFormat="false" ht="15" hidden="false" customHeight="true" outlineLevel="0" collapsed="false">
      <c r="A153" s="13" t="n">
        <v>2024</v>
      </c>
      <c r="B153" s="13" t="s">
        <v>1025</v>
      </c>
      <c r="C153" s="13" t="s">
        <v>121</v>
      </c>
      <c r="D153" s="13" t="s">
        <v>1035</v>
      </c>
      <c r="E153" s="13" t="s">
        <v>192</v>
      </c>
      <c r="F153" s="13" t="s">
        <v>652</v>
      </c>
      <c r="G153" s="13" t="n">
        <v>557</v>
      </c>
      <c r="H153" s="13" t="n">
        <v>0</v>
      </c>
      <c r="I153" s="13" t="n">
        <v>557</v>
      </c>
      <c r="J153" s="13" t="n">
        <v>7</v>
      </c>
      <c r="K153" s="13" t="n">
        <v>2</v>
      </c>
      <c r="L153" s="13" t="n">
        <v>93</v>
      </c>
      <c r="M153" s="13" t="n">
        <v>461</v>
      </c>
      <c r="N153" s="13" t="n">
        <v>41</v>
      </c>
      <c r="O153" s="13" t="n">
        <v>137</v>
      </c>
      <c r="P153" s="13" t="n">
        <v>195</v>
      </c>
      <c r="Q153" s="13" t="n">
        <v>86</v>
      </c>
      <c r="R153" s="13" t="n">
        <v>2</v>
      </c>
      <c r="S153" s="13" t="n">
        <v>0</v>
      </c>
      <c r="T153" s="13" t="n">
        <v>0.8276</v>
      </c>
      <c r="U153" s="13" t="n">
        <v>3.54</v>
      </c>
      <c r="V153" s="13" t="n">
        <f aca="false">M153-SUM(N153:S153)</f>
        <v>0</v>
      </c>
    </row>
    <row r="154" customFormat="false" ht="15" hidden="false" customHeight="true" outlineLevel="0" collapsed="false">
      <c r="A154" s="13" t="n">
        <v>2024</v>
      </c>
      <c r="B154" s="13" t="s">
        <v>1025</v>
      </c>
      <c r="C154" s="13" t="s">
        <v>121</v>
      </c>
      <c r="D154" s="13" t="s">
        <v>1037</v>
      </c>
      <c r="E154" s="13" t="s">
        <v>192</v>
      </c>
      <c r="F154" s="13" t="s">
        <v>1038</v>
      </c>
      <c r="G154" s="13" t="n">
        <v>2323</v>
      </c>
      <c r="H154" s="13" t="n">
        <v>5</v>
      </c>
      <c r="I154" s="13" t="n">
        <v>2318</v>
      </c>
      <c r="J154" s="13" t="n">
        <v>21</v>
      </c>
      <c r="K154" s="13" t="n">
        <v>5</v>
      </c>
      <c r="L154" s="13" t="n">
        <v>152</v>
      </c>
      <c r="M154" s="13" t="n">
        <v>2160</v>
      </c>
      <c r="N154" s="13" t="n">
        <v>626</v>
      </c>
      <c r="O154" s="13" t="n">
        <v>673</v>
      </c>
      <c r="P154" s="13" t="n">
        <v>619</v>
      </c>
      <c r="Q154" s="13" t="n">
        <v>231</v>
      </c>
      <c r="R154" s="13" t="n">
        <v>11</v>
      </c>
      <c r="S154" s="13" t="n">
        <v>0</v>
      </c>
      <c r="T154" s="13" t="n">
        <v>0.9318</v>
      </c>
      <c r="U154" s="13" t="n">
        <v>4.45</v>
      </c>
      <c r="V154" s="13" t="n">
        <f aca="false">M154-SUM(N154:S154)</f>
        <v>0</v>
      </c>
    </row>
    <row r="155" customFormat="false" ht="15" hidden="false" customHeight="true" outlineLevel="0" collapsed="false">
      <c r="A155" s="13" t="n">
        <v>2024</v>
      </c>
      <c r="B155" s="13" t="s">
        <v>1025</v>
      </c>
      <c r="C155" s="13" t="s">
        <v>125</v>
      </c>
      <c r="D155" s="13" t="s">
        <v>128</v>
      </c>
      <c r="E155" s="13" t="s">
        <v>124</v>
      </c>
      <c r="F155" s="13" t="s">
        <v>357</v>
      </c>
      <c r="G155" s="13" t="n">
        <v>20</v>
      </c>
      <c r="H155" s="13" t="n">
        <v>2</v>
      </c>
      <c r="I155" s="13" t="n">
        <v>18</v>
      </c>
      <c r="J155" s="13" t="n">
        <v>1</v>
      </c>
      <c r="K155" s="13" t="n">
        <v>0</v>
      </c>
      <c r="L155" s="13" t="n">
        <v>10</v>
      </c>
      <c r="M155" s="13" t="n">
        <v>8</v>
      </c>
      <c r="N155" s="13" t="n">
        <v>0</v>
      </c>
      <c r="O155" s="13" t="n">
        <v>0</v>
      </c>
      <c r="P155" s="13" t="n">
        <v>0</v>
      </c>
      <c r="Q155" s="13" t="n">
        <v>1</v>
      </c>
      <c r="R155" s="13" t="n">
        <v>0</v>
      </c>
      <c r="S155" s="13" t="n">
        <v>0</v>
      </c>
      <c r="T155" s="13" t="n">
        <v>0.4444</v>
      </c>
      <c r="U155" s="13" t="n">
        <v>0.17</v>
      </c>
      <c r="V155" s="13" t="n">
        <f aca="false">M155-SUM(N155:S155)</f>
        <v>7</v>
      </c>
    </row>
    <row r="156" customFormat="false" ht="15" hidden="false" customHeight="true" outlineLevel="0" collapsed="false">
      <c r="A156" s="13" t="n">
        <v>2024</v>
      </c>
      <c r="B156" s="13" t="s">
        <v>1025</v>
      </c>
      <c r="C156" s="13" t="s">
        <v>125</v>
      </c>
      <c r="D156" s="13" t="s">
        <v>128</v>
      </c>
      <c r="E156" s="13" t="s">
        <v>122</v>
      </c>
      <c r="F156" s="13" t="s">
        <v>357</v>
      </c>
      <c r="G156" s="13" t="n">
        <v>32</v>
      </c>
      <c r="H156" s="13" t="n">
        <v>2</v>
      </c>
      <c r="I156" s="13" t="n">
        <v>30</v>
      </c>
      <c r="J156" s="13" t="n">
        <v>2</v>
      </c>
      <c r="K156" s="13" t="n">
        <v>0</v>
      </c>
      <c r="L156" s="13" t="n">
        <v>6</v>
      </c>
      <c r="M156" s="13" t="n">
        <v>24</v>
      </c>
      <c r="N156" s="13" t="n">
        <v>0</v>
      </c>
      <c r="O156" s="13" t="n">
        <v>0</v>
      </c>
      <c r="P156" s="13" t="n">
        <v>3</v>
      </c>
      <c r="Q156" s="13" t="n">
        <v>3</v>
      </c>
      <c r="R156" s="13" t="n">
        <v>7</v>
      </c>
      <c r="S156" s="13" t="n">
        <v>0</v>
      </c>
      <c r="T156" s="13" t="n">
        <v>0.8</v>
      </c>
      <c r="U156" s="13" t="n">
        <v>1.17</v>
      </c>
      <c r="V156" s="13" t="n">
        <f aca="false">M156-SUM(N156:S156)</f>
        <v>11</v>
      </c>
    </row>
    <row r="157" customFormat="false" ht="15" hidden="false" customHeight="true" outlineLevel="0" collapsed="false">
      <c r="A157" s="13" t="n">
        <v>2024</v>
      </c>
      <c r="B157" s="13" t="s">
        <v>1025</v>
      </c>
      <c r="C157" s="13" t="s">
        <v>125</v>
      </c>
      <c r="D157" s="13" t="s">
        <v>128</v>
      </c>
      <c r="E157" s="13" t="s">
        <v>192</v>
      </c>
      <c r="F157" s="13" t="s">
        <v>652</v>
      </c>
      <c r="G157" s="13" t="n">
        <v>52</v>
      </c>
      <c r="H157" s="13" t="n">
        <v>4</v>
      </c>
      <c r="I157" s="13" t="n">
        <v>48</v>
      </c>
      <c r="J157" s="13" t="n">
        <v>3</v>
      </c>
      <c r="K157" s="13" t="n">
        <v>0</v>
      </c>
      <c r="L157" s="13" t="n">
        <v>16</v>
      </c>
      <c r="M157" s="13" t="n">
        <v>32</v>
      </c>
      <c r="N157" s="13" t="n">
        <v>0</v>
      </c>
      <c r="O157" s="13" t="n">
        <v>0</v>
      </c>
      <c r="P157" s="13" t="n">
        <v>3</v>
      </c>
      <c r="Q157" s="13" t="n">
        <v>4</v>
      </c>
      <c r="R157" s="13" t="n">
        <v>7</v>
      </c>
      <c r="S157" s="13" t="n">
        <v>0</v>
      </c>
      <c r="T157" s="13" t="n">
        <v>0.6667</v>
      </c>
      <c r="U157" s="13" t="n">
        <v>0.79</v>
      </c>
      <c r="V157" s="13" t="n">
        <f aca="false">M157-SUM(N157:S157)</f>
        <v>18</v>
      </c>
    </row>
    <row r="158" customFormat="false" ht="15" hidden="false" customHeight="true" outlineLevel="0" collapsed="false">
      <c r="A158" s="13" t="n">
        <v>2024</v>
      </c>
      <c r="B158" s="13" t="s">
        <v>1025</v>
      </c>
      <c r="C158" s="13" t="s">
        <v>125</v>
      </c>
      <c r="D158" s="13" t="s">
        <v>1033</v>
      </c>
      <c r="E158" s="13" t="s">
        <v>124</v>
      </c>
      <c r="F158" s="13" t="s">
        <v>357</v>
      </c>
      <c r="G158" s="13" t="n">
        <v>88</v>
      </c>
      <c r="H158" s="13" t="n">
        <v>9</v>
      </c>
      <c r="I158" s="13" t="n">
        <v>79</v>
      </c>
      <c r="J158" s="13" t="n">
        <v>1</v>
      </c>
      <c r="K158" s="13" t="n">
        <v>1</v>
      </c>
      <c r="L158" s="13" t="n">
        <v>4</v>
      </c>
      <c r="M158" s="13" t="n">
        <v>74</v>
      </c>
      <c r="N158" s="13" t="n">
        <v>49</v>
      </c>
      <c r="O158" s="13" t="n">
        <v>16</v>
      </c>
      <c r="P158" s="13" t="n">
        <v>1</v>
      </c>
      <c r="Q158" s="13" t="n">
        <v>5</v>
      </c>
      <c r="R158" s="13" t="n">
        <v>3</v>
      </c>
      <c r="S158" s="13" t="n">
        <v>0</v>
      </c>
      <c r="T158" s="13" t="n">
        <v>0.9367</v>
      </c>
      <c r="U158" s="13" t="n">
        <v>5.05</v>
      </c>
      <c r="V158" s="13" t="n">
        <f aca="false">M158-SUM(N158:S158)</f>
        <v>0</v>
      </c>
    </row>
    <row r="159" customFormat="false" ht="15" hidden="false" customHeight="true" outlineLevel="0" collapsed="false">
      <c r="A159" s="13" t="n">
        <v>2024</v>
      </c>
      <c r="B159" s="13" t="s">
        <v>1025</v>
      </c>
      <c r="C159" s="13" t="s">
        <v>125</v>
      </c>
      <c r="D159" s="13" t="s">
        <v>1033</v>
      </c>
      <c r="E159" s="13" t="s">
        <v>122</v>
      </c>
      <c r="F159" s="13" t="s">
        <v>357</v>
      </c>
      <c r="G159" s="13" t="n">
        <v>171</v>
      </c>
      <c r="H159" s="13" t="n">
        <v>12</v>
      </c>
      <c r="I159" s="13" t="n">
        <v>159</v>
      </c>
      <c r="J159" s="13" t="n">
        <v>1</v>
      </c>
      <c r="K159" s="13" t="n">
        <v>0</v>
      </c>
      <c r="L159" s="13" t="n">
        <v>1</v>
      </c>
      <c r="M159" s="13" t="n">
        <v>158</v>
      </c>
      <c r="N159" s="13" t="n">
        <v>133</v>
      </c>
      <c r="O159" s="13" t="n">
        <v>19</v>
      </c>
      <c r="P159" s="13" t="n">
        <v>4</v>
      </c>
      <c r="Q159" s="13" t="n">
        <v>2</v>
      </c>
      <c r="R159" s="13" t="n">
        <v>0</v>
      </c>
      <c r="S159" s="13" t="n">
        <v>0</v>
      </c>
      <c r="T159" s="13" t="n">
        <v>0.9937</v>
      </c>
      <c r="U159" s="13" t="n">
        <v>5.75</v>
      </c>
      <c r="V159" s="13" t="n">
        <f aca="false">M159-SUM(N159:S159)</f>
        <v>0</v>
      </c>
    </row>
    <row r="160" customFormat="false" ht="15" hidden="false" customHeight="true" outlineLevel="0" collapsed="false">
      <c r="A160" s="13" t="n">
        <v>2024</v>
      </c>
      <c r="B160" s="13" t="s">
        <v>1025</v>
      </c>
      <c r="C160" s="13" t="s">
        <v>125</v>
      </c>
      <c r="D160" s="13" t="s">
        <v>1033</v>
      </c>
      <c r="E160" s="13" t="s">
        <v>192</v>
      </c>
      <c r="F160" s="13" t="s">
        <v>652</v>
      </c>
      <c r="G160" s="13" t="n">
        <v>259</v>
      </c>
      <c r="H160" s="13" t="n">
        <v>21</v>
      </c>
      <c r="I160" s="13" t="n">
        <v>238</v>
      </c>
      <c r="J160" s="13" t="n">
        <v>2</v>
      </c>
      <c r="K160" s="13" t="n">
        <v>1</v>
      </c>
      <c r="L160" s="13" t="n">
        <v>5</v>
      </c>
      <c r="M160" s="13" t="n">
        <v>232</v>
      </c>
      <c r="N160" s="13" t="n">
        <v>182</v>
      </c>
      <c r="O160" s="13" t="n">
        <v>35</v>
      </c>
      <c r="P160" s="13" t="n">
        <v>5</v>
      </c>
      <c r="Q160" s="13" t="n">
        <v>7</v>
      </c>
      <c r="R160" s="13" t="n">
        <v>3</v>
      </c>
      <c r="S160" s="13" t="n">
        <v>0</v>
      </c>
      <c r="T160" s="13" t="n">
        <v>0.9748</v>
      </c>
      <c r="U160" s="13" t="n">
        <v>5.52</v>
      </c>
      <c r="V160" s="13" t="n">
        <f aca="false">M160-SUM(N160:S160)</f>
        <v>0</v>
      </c>
    </row>
    <row r="161" customFormat="false" ht="15" hidden="false" customHeight="true" outlineLevel="0" collapsed="false">
      <c r="A161" s="13" t="n">
        <v>2024</v>
      </c>
      <c r="B161" s="13" t="s">
        <v>1025</v>
      </c>
      <c r="C161" s="13" t="s">
        <v>125</v>
      </c>
      <c r="D161" s="13" t="s">
        <v>1034</v>
      </c>
      <c r="E161" s="13" t="s">
        <v>124</v>
      </c>
      <c r="F161" s="13" t="s">
        <v>357</v>
      </c>
      <c r="G161" s="13" t="n">
        <v>17</v>
      </c>
      <c r="H161" s="13" t="n">
        <v>0</v>
      </c>
      <c r="I161" s="13" t="n">
        <v>17</v>
      </c>
      <c r="J161" s="13" t="n">
        <v>0</v>
      </c>
      <c r="K161" s="13" t="n">
        <v>0</v>
      </c>
      <c r="L161" s="13" t="n">
        <v>4</v>
      </c>
      <c r="M161" s="13" t="n">
        <v>13</v>
      </c>
      <c r="N161" s="13" t="n">
        <v>0</v>
      </c>
      <c r="O161" s="13" t="n">
        <v>4</v>
      </c>
      <c r="P161" s="13" t="n">
        <v>6</v>
      </c>
      <c r="Q161" s="13" t="n">
        <v>3</v>
      </c>
      <c r="R161" s="13" t="n">
        <v>0</v>
      </c>
      <c r="S161" s="13" t="n">
        <v>0</v>
      </c>
      <c r="T161" s="13" t="n">
        <v>0.7647</v>
      </c>
      <c r="U161" s="13" t="n">
        <v>3.12</v>
      </c>
      <c r="V161" s="13" t="n">
        <f aca="false">M161-SUM(N161:S161)</f>
        <v>0</v>
      </c>
    </row>
    <row r="162" customFormat="false" ht="15" hidden="false" customHeight="true" outlineLevel="0" collapsed="false">
      <c r="A162" s="13" t="n">
        <v>2024</v>
      </c>
      <c r="B162" s="13" t="s">
        <v>1025</v>
      </c>
      <c r="C162" s="13" t="s">
        <v>125</v>
      </c>
      <c r="D162" s="13" t="s">
        <v>1034</v>
      </c>
      <c r="E162" s="13" t="s">
        <v>122</v>
      </c>
      <c r="F162" s="13" t="s">
        <v>357</v>
      </c>
      <c r="G162" s="13" t="n">
        <v>5</v>
      </c>
      <c r="H162" s="13" t="n">
        <v>0</v>
      </c>
      <c r="I162" s="13" t="n">
        <v>5</v>
      </c>
      <c r="J162" s="13" t="n">
        <v>0</v>
      </c>
      <c r="K162" s="13" t="n">
        <v>0</v>
      </c>
      <c r="L162" s="13" t="n">
        <v>2</v>
      </c>
      <c r="M162" s="13" t="n">
        <v>3</v>
      </c>
      <c r="N162" s="13" t="n">
        <v>0</v>
      </c>
      <c r="O162" s="13" t="n">
        <v>1</v>
      </c>
      <c r="P162" s="13" t="n">
        <v>2</v>
      </c>
      <c r="Q162" s="13" t="n">
        <v>0</v>
      </c>
      <c r="R162" s="13" t="n">
        <v>0</v>
      </c>
      <c r="S162" s="13" t="n">
        <v>0</v>
      </c>
      <c r="T162" s="13" t="n">
        <v>0.6</v>
      </c>
      <c r="U162" s="13" t="n">
        <v>2.6</v>
      </c>
      <c r="V162" s="13" t="n">
        <f aca="false">M162-SUM(N162:S162)</f>
        <v>0</v>
      </c>
    </row>
    <row r="163" customFormat="false" ht="15" hidden="false" customHeight="true" outlineLevel="0" collapsed="false">
      <c r="A163" s="13" t="n">
        <v>2024</v>
      </c>
      <c r="B163" s="13" t="s">
        <v>1025</v>
      </c>
      <c r="C163" s="13" t="s">
        <v>125</v>
      </c>
      <c r="D163" s="13" t="s">
        <v>1034</v>
      </c>
      <c r="E163" s="13" t="s">
        <v>192</v>
      </c>
      <c r="F163" s="13" t="s">
        <v>652</v>
      </c>
      <c r="G163" s="13" t="n">
        <v>22</v>
      </c>
      <c r="H163" s="13" t="n">
        <v>0</v>
      </c>
      <c r="I163" s="13" t="n">
        <v>22</v>
      </c>
      <c r="J163" s="13" t="n">
        <v>0</v>
      </c>
      <c r="K163" s="13" t="n">
        <v>0</v>
      </c>
      <c r="L163" s="13" t="n">
        <v>6</v>
      </c>
      <c r="M163" s="13" t="n">
        <v>16</v>
      </c>
      <c r="N163" s="13" t="n">
        <v>0</v>
      </c>
      <c r="O163" s="13" t="n">
        <v>5</v>
      </c>
      <c r="P163" s="13" t="n">
        <v>8</v>
      </c>
      <c r="Q163" s="13" t="n">
        <v>3</v>
      </c>
      <c r="R163" s="13" t="n">
        <v>0</v>
      </c>
      <c r="S163" s="13" t="n">
        <v>0</v>
      </c>
      <c r="T163" s="13" t="n">
        <v>0.7273</v>
      </c>
      <c r="U163" s="13" t="n">
        <v>3</v>
      </c>
      <c r="V163" s="13" t="n">
        <f aca="false">M163-SUM(N163:S163)</f>
        <v>0</v>
      </c>
    </row>
    <row r="164" customFormat="false" ht="15" hidden="false" customHeight="true" outlineLevel="0" collapsed="false">
      <c r="A164" s="13" t="n">
        <v>2024</v>
      </c>
      <c r="B164" s="13" t="s">
        <v>1025</v>
      </c>
      <c r="C164" s="13" t="s">
        <v>125</v>
      </c>
      <c r="D164" s="13" t="s">
        <v>1035</v>
      </c>
      <c r="E164" s="13" t="s">
        <v>124</v>
      </c>
      <c r="F164" s="13" t="s">
        <v>357</v>
      </c>
      <c r="G164" s="13" t="n">
        <v>30</v>
      </c>
      <c r="H164" s="13" t="n">
        <v>4</v>
      </c>
      <c r="I164" s="13" t="n">
        <v>26</v>
      </c>
      <c r="J164" s="13" t="n">
        <v>0</v>
      </c>
      <c r="K164" s="13" t="n">
        <v>0</v>
      </c>
      <c r="L164" s="13" t="n">
        <v>13</v>
      </c>
      <c r="M164" s="13" t="n">
        <v>13</v>
      </c>
      <c r="N164" s="13" t="n">
        <v>0</v>
      </c>
      <c r="O164" s="13" t="n">
        <v>1</v>
      </c>
      <c r="P164" s="13" t="n">
        <v>4</v>
      </c>
      <c r="Q164" s="13" t="n">
        <v>2</v>
      </c>
      <c r="R164" s="13" t="n">
        <v>6</v>
      </c>
      <c r="S164" s="13" t="n">
        <v>0</v>
      </c>
      <c r="T164" s="13" t="n">
        <v>0.5</v>
      </c>
      <c r="U164" s="13" t="n">
        <v>1.5</v>
      </c>
      <c r="V164" s="13" t="n">
        <f aca="false">M164-SUM(N164:S164)</f>
        <v>0</v>
      </c>
    </row>
    <row r="165" customFormat="false" ht="15" hidden="false" customHeight="true" outlineLevel="0" collapsed="false">
      <c r="A165" s="13" t="n">
        <v>2024</v>
      </c>
      <c r="B165" s="13" t="s">
        <v>1025</v>
      </c>
      <c r="C165" s="13" t="s">
        <v>125</v>
      </c>
      <c r="D165" s="13" t="s">
        <v>1035</v>
      </c>
      <c r="E165" s="13" t="s">
        <v>122</v>
      </c>
      <c r="F165" s="13" t="s">
        <v>357</v>
      </c>
      <c r="G165" s="13" t="n">
        <v>15</v>
      </c>
      <c r="H165" s="13" t="n">
        <v>1</v>
      </c>
      <c r="I165" s="13" t="n">
        <v>14</v>
      </c>
      <c r="J165" s="13" t="n">
        <v>0</v>
      </c>
      <c r="K165" s="13" t="n">
        <v>0</v>
      </c>
      <c r="L165" s="13" t="n">
        <v>6</v>
      </c>
      <c r="M165" s="13" t="n">
        <v>8</v>
      </c>
      <c r="N165" s="13" t="n">
        <v>0</v>
      </c>
      <c r="O165" s="13" t="n">
        <v>1</v>
      </c>
      <c r="P165" s="13" t="n">
        <v>2</v>
      </c>
      <c r="Q165" s="13" t="n">
        <v>2</v>
      </c>
      <c r="R165" s="13" t="n">
        <v>3</v>
      </c>
      <c r="S165" s="13" t="n">
        <v>0</v>
      </c>
      <c r="T165" s="13" t="n">
        <v>0.5714</v>
      </c>
      <c r="U165" s="13" t="n">
        <v>1.79</v>
      </c>
      <c r="V165" s="13" t="n">
        <f aca="false">M165-SUM(N165:S165)</f>
        <v>0</v>
      </c>
    </row>
    <row r="166" customFormat="false" ht="15" hidden="false" customHeight="true" outlineLevel="0" collapsed="false">
      <c r="A166" s="13" t="n">
        <v>2024</v>
      </c>
      <c r="B166" s="13" t="s">
        <v>1025</v>
      </c>
      <c r="C166" s="13" t="s">
        <v>125</v>
      </c>
      <c r="D166" s="13" t="s">
        <v>1035</v>
      </c>
      <c r="E166" s="13" t="s">
        <v>192</v>
      </c>
      <c r="F166" s="13" t="s">
        <v>652</v>
      </c>
      <c r="G166" s="13" t="n">
        <v>45</v>
      </c>
      <c r="H166" s="13" t="n">
        <v>5</v>
      </c>
      <c r="I166" s="13" t="n">
        <v>40</v>
      </c>
      <c r="J166" s="13" t="n">
        <v>0</v>
      </c>
      <c r="K166" s="13" t="n">
        <v>0</v>
      </c>
      <c r="L166" s="13" t="n">
        <v>19</v>
      </c>
      <c r="M166" s="13" t="n">
        <v>21</v>
      </c>
      <c r="N166" s="13" t="n">
        <v>0</v>
      </c>
      <c r="O166" s="13" t="n">
        <v>2</v>
      </c>
      <c r="P166" s="13" t="n">
        <v>6</v>
      </c>
      <c r="Q166" s="13" t="n">
        <v>4</v>
      </c>
      <c r="R166" s="13" t="n">
        <v>9</v>
      </c>
      <c r="S166" s="13" t="n">
        <v>0</v>
      </c>
      <c r="T166" s="13" t="n">
        <v>0.525</v>
      </c>
      <c r="U166" s="13" t="n">
        <v>1.6</v>
      </c>
      <c r="V166" s="13" t="n">
        <f aca="false">M166-SUM(N166:S166)</f>
        <v>0</v>
      </c>
    </row>
    <row r="167" customFormat="false" ht="15" hidden="false" customHeight="true" outlineLevel="0" collapsed="false">
      <c r="A167" s="13" t="n">
        <v>2024</v>
      </c>
      <c r="B167" s="13" t="s">
        <v>1025</v>
      </c>
      <c r="C167" s="13" t="s">
        <v>125</v>
      </c>
      <c r="D167" s="13" t="s">
        <v>203</v>
      </c>
      <c r="E167" s="13" t="s">
        <v>124</v>
      </c>
      <c r="F167" s="13" t="s">
        <v>357</v>
      </c>
      <c r="G167" s="13" t="n">
        <v>1</v>
      </c>
      <c r="H167" s="13" t="n">
        <v>0</v>
      </c>
      <c r="I167" s="13" t="n">
        <v>1</v>
      </c>
      <c r="J167" s="13" t="n">
        <v>0</v>
      </c>
      <c r="K167" s="13" t="n">
        <v>0</v>
      </c>
      <c r="L167" s="13" t="n">
        <v>1</v>
      </c>
      <c r="M167" s="13" t="n">
        <v>0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0</v>
      </c>
      <c r="T167" s="13" t="n">
        <v>0</v>
      </c>
      <c r="U167" s="13" t="n">
        <v>0</v>
      </c>
      <c r="V167" s="13" t="n">
        <f aca="false">M167-SUM(N167:S167)</f>
        <v>0</v>
      </c>
    </row>
    <row r="168" customFormat="false" ht="15" hidden="false" customHeight="true" outlineLevel="0" collapsed="false">
      <c r="A168" s="13" t="n">
        <v>2024</v>
      </c>
      <c r="B168" s="13" t="s">
        <v>1025</v>
      </c>
      <c r="C168" s="13" t="s">
        <v>125</v>
      </c>
      <c r="D168" s="13" t="s">
        <v>203</v>
      </c>
      <c r="E168" s="13" t="s">
        <v>122</v>
      </c>
      <c r="F168" s="13" t="s">
        <v>357</v>
      </c>
      <c r="G168" s="13" t="n">
        <v>4</v>
      </c>
      <c r="H168" s="13" t="n">
        <v>0</v>
      </c>
      <c r="I168" s="13" t="n">
        <v>4</v>
      </c>
      <c r="J168" s="13" t="n">
        <v>0</v>
      </c>
      <c r="K168" s="13" t="n">
        <v>0</v>
      </c>
      <c r="L168" s="13" t="n">
        <v>2</v>
      </c>
      <c r="M168" s="13" t="n">
        <v>2</v>
      </c>
      <c r="N168" s="13" t="n">
        <v>0</v>
      </c>
      <c r="O168" s="13" t="n">
        <v>0</v>
      </c>
      <c r="P168" s="13" t="n">
        <v>0</v>
      </c>
      <c r="Q168" s="13" t="n">
        <v>1</v>
      </c>
      <c r="R168" s="13" t="n">
        <v>1</v>
      </c>
      <c r="S168" s="13" t="n">
        <v>0</v>
      </c>
      <c r="T168" s="13" t="n">
        <v>0.5</v>
      </c>
      <c r="U168" s="13" t="n">
        <v>1.25</v>
      </c>
      <c r="V168" s="13" t="n">
        <f aca="false">M168-SUM(N168:S168)</f>
        <v>0</v>
      </c>
    </row>
    <row r="169" customFormat="false" ht="15" hidden="false" customHeight="true" outlineLevel="0" collapsed="false">
      <c r="A169" s="13" t="n">
        <v>2024</v>
      </c>
      <c r="B169" s="13" t="s">
        <v>1025</v>
      </c>
      <c r="C169" s="13" t="s">
        <v>125</v>
      </c>
      <c r="D169" s="13" t="s">
        <v>203</v>
      </c>
      <c r="E169" s="13" t="s">
        <v>192</v>
      </c>
      <c r="F169" s="13" t="s">
        <v>652</v>
      </c>
      <c r="G169" s="13" t="n">
        <v>5</v>
      </c>
      <c r="H169" s="13" t="n">
        <v>0</v>
      </c>
      <c r="I169" s="13" t="n">
        <v>5</v>
      </c>
      <c r="J169" s="13" t="n">
        <v>0</v>
      </c>
      <c r="K169" s="13" t="n">
        <v>0</v>
      </c>
      <c r="L169" s="13" t="n">
        <v>3</v>
      </c>
      <c r="M169" s="13" t="n">
        <v>2</v>
      </c>
      <c r="N169" s="13" t="n">
        <v>0</v>
      </c>
      <c r="O169" s="13" t="n">
        <v>0</v>
      </c>
      <c r="P169" s="13" t="n">
        <v>0</v>
      </c>
      <c r="Q169" s="13" t="n">
        <v>1</v>
      </c>
      <c r="R169" s="13" t="n">
        <v>1</v>
      </c>
      <c r="S169" s="13" t="n">
        <v>0</v>
      </c>
      <c r="T169" s="13" t="n">
        <v>0.4</v>
      </c>
      <c r="U169" s="13" t="n">
        <v>1</v>
      </c>
      <c r="V169" s="13" t="n">
        <f aca="false">M169-SUM(N169:S169)</f>
        <v>0</v>
      </c>
    </row>
    <row r="170" customFormat="false" ht="15" hidden="false" customHeight="true" outlineLevel="0" collapsed="false">
      <c r="A170" s="13" t="n">
        <v>2024</v>
      </c>
      <c r="B170" s="13" t="s">
        <v>1025</v>
      </c>
      <c r="C170" s="13" t="s">
        <v>125</v>
      </c>
      <c r="D170" s="13" t="s">
        <v>1037</v>
      </c>
      <c r="E170" s="13" t="s">
        <v>192</v>
      </c>
      <c r="F170" s="13" t="s">
        <v>1038</v>
      </c>
      <c r="G170" s="13" t="n">
        <v>383</v>
      </c>
      <c r="H170" s="13" t="n">
        <v>30</v>
      </c>
      <c r="I170" s="13" t="n">
        <v>353</v>
      </c>
      <c r="J170" s="13" t="n">
        <v>5</v>
      </c>
      <c r="K170" s="13" t="n">
        <v>1</v>
      </c>
      <c r="L170" s="13" t="n">
        <v>49</v>
      </c>
      <c r="M170" s="13" t="n">
        <v>303</v>
      </c>
      <c r="N170" s="13" t="n">
        <v>182</v>
      </c>
      <c r="O170" s="13" t="n">
        <v>42</v>
      </c>
      <c r="P170" s="13" t="n">
        <v>22</v>
      </c>
      <c r="Q170" s="13" t="n">
        <v>19</v>
      </c>
      <c r="R170" s="13" t="n">
        <v>20</v>
      </c>
      <c r="S170" s="13" t="n">
        <v>0</v>
      </c>
      <c r="T170" s="13" t="n">
        <v>0.8584</v>
      </c>
      <c r="U170" s="13" t="n">
        <v>4.21</v>
      </c>
      <c r="V170" s="13" t="n">
        <f aca="false">M170-SUM(N170:S170)</f>
        <v>18</v>
      </c>
    </row>
    <row r="171" customFormat="false" ht="15" hidden="false" customHeight="true" outlineLevel="0" collapsed="false">
      <c r="A171" s="13" t="n">
        <v>2024</v>
      </c>
      <c r="B171" s="13" t="s">
        <v>1025</v>
      </c>
      <c r="C171" s="13" t="s">
        <v>125</v>
      </c>
      <c r="D171" s="13" t="s">
        <v>1037</v>
      </c>
      <c r="E171" s="13" t="s">
        <v>192</v>
      </c>
      <c r="F171" s="13" t="s">
        <v>137</v>
      </c>
      <c r="G171" s="13" t="n">
        <v>2706</v>
      </c>
      <c r="H171" s="13" t="n">
        <v>35</v>
      </c>
      <c r="I171" s="13" t="n">
        <v>2671</v>
      </c>
      <c r="J171" s="13" t="n">
        <v>26</v>
      </c>
      <c r="K171" s="13" t="n">
        <v>6</v>
      </c>
      <c r="L171" s="13" t="n">
        <v>201</v>
      </c>
      <c r="M171" s="13" t="n">
        <v>2463</v>
      </c>
      <c r="N171" s="13" t="n">
        <v>808</v>
      </c>
      <c r="O171" s="13" t="n">
        <v>715</v>
      </c>
      <c r="P171" s="13" t="n">
        <v>641</v>
      </c>
      <c r="Q171" s="13" t="n">
        <v>250</v>
      </c>
      <c r="R171" s="13" t="n">
        <v>31</v>
      </c>
      <c r="S171" s="13" t="n">
        <v>0</v>
      </c>
      <c r="T171" s="13" t="n">
        <v>0.9312</v>
      </c>
      <c r="U171" s="13" t="n">
        <v>4.46</v>
      </c>
      <c r="V171" s="13" t="n">
        <f aca="false">M171-SUM(N171:S171)</f>
        <v>18</v>
      </c>
    </row>
    <row r="172" customFormat="false" ht="15" hidden="false" customHeight="true" outlineLevel="0" collapsed="false">
      <c r="A172" s="13" t="n">
        <v>2024</v>
      </c>
      <c r="B172" s="13" t="s">
        <v>1026</v>
      </c>
      <c r="C172" s="13" t="s">
        <v>121</v>
      </c>
      <c r="D172" s="13" t="s">
        <v>128</v>
      </c>
      <c r="E172" s="13" t="s">
        <v>124</v>
      </c>
      <c r="F172" s="13" t="s">
        <v>357</v>
      </c>
      <c r="G172" s="13" t="n">
        <v>19</v>
      </c>
      <c r="H172" s="13" t="n">
        <v>0</v>
      </c>
      <c r="I172" s="13" t="n">
        <v>19</v>
      </c>
      <c r="J172" s="13" t="n">
        <v>0</v>
      </c>
      <c r="K172" s="13" t="n">
        <v>0</v>
      </c>
      <c r="L172" s="13" t="n">
        <v>1</v>
      </c>
      <c r="M172" s="13" t="n">
        <v>18</v>
      </c>
      <c r="N172" s="13" t="n">
        <v>0</v>
      </c>
      <c r="O172" s="13" t="n">
        <v>7</v>
      </c>
      <c r="P172" s="13" t="n">
        <v>6</v>
      </c>
      <c r="Q172" s="13" t="n">
        <v>5</v>
      </c>
      <c r="R172" s="13" t="n">
        <v>0</v>
      </c>
      <c r="S172" s="13" t="n">
        <v>0</v>
      </c>
      <c r="T172" s="13" t="n">
        <v>0.9474</v>
      </c>
      <c r="U172" s="13" t="n">
        <v>3.89</v>
      </c>
      <c r="V172" s="13" t="n">
        <f aca="false">M172-SUM(N172:S172)</f>
        <v>0</v>
      </c>
    </row>
    <row r="173" customFormat="false" ht="15" hidden="false" customHeight="true" outlineLevel="0" collapsed="false">
      <c r="A173" s="13" t="n">
        <v>2024</v>
      </c>
      <c r="B173" s="13" t="s">
        <v>1026</v>
      </c>
      <c r="C173" s="13" t="s">
        <v>121</v>
      </c>
      <c r="D173" s="13" t="s">
        <v>128</v>
      </c>
      <c r="E173" s="13" t="s">
        <v>122</v>
      </c>
      <c r="F173" s="13" t="s">
        <v>357</v>
      </c>
      <c r="G173" s="13" t="n">
        <v>22</v>
      </c>
      <c r="H173" s="13" t="n">
        <v>0</v>
      </c>
      <c r="I173" s="13" t="n">
        <v>22</v>
      </c>
      <c r="J173" s="13" t="n">
        <v>0</v>
      </c>
      <c r="K173" s="13" t="n">
        <v>0</v>
      </c>
      <c r="L173" s="13" t="n">
        <v>0</v>
      </c>
      <c r="M173" s="13" t="n">
        <v>22</v>
      </c>
      <c r="N173" s="13" t="n">
        <v>0</v>
      </c>
      <c r="O173" s="13" t="n">
        <v>1</v>
      </c>
      <c r="P173" s="13" t="n">
        <v>9</v>
      </c>
      <c r="Q173" s="13" t="n">
        <v>11</v>
      </c>
      <c r="R173" s="13" t="n">
        <v>1</v>
      </c>
      <c r="S173" s="13" t="n">
        <v>0</v>
      </c>
      <c r="T173" s="13" t="n">
        <v>1</v>
      </c>
      <c r="U173" s="13" t="n">
        <v>3.45</v>
      </c>
      <c r="V173" s="13" t="n">
        <f aca="false">M173-SUM(N173:S173)</f>
        <v>0</v>
      </c>
    </row>
    <row r="174" customFormat="false" ht="15" hidden="false" customHeight="true" outlineLevel="0" collapsed="false">
      <c r="A174" s="13" t="n">
        <v>2024</v>
      </c>
      <c r="B174" s="13" t="s">
        <v>1026</v>
      </c>
      <c r="C174" s="13" t="s">
        <v>121</v>
      </c>
      <c r="D174" s="13" t="s">
        <v>128</v>
      </c>
      <c r="E174" s="13" t="s">
        <v>192</v>
      </c>
      <c r="F174" s="13" t="s">
        <v>652</v>
      </c>
      <c r="G174" s="13" t="n">
        <v>41</v>
      </c>
      <c r="H174" s="13" t="n">
        <v>0</v>
      </c>
      <c r="I174" s="13" t="n">
        <v>41</v>
      </c>
      <c r="J174" s="13" t="n">
        <v>0</v>
      </c>
      <c r="K174" s="13" t="n">
        <v>0</v>
      </c>
      <c r="L174" s="13" t="n">
        <v>1</v>
      </c>
      <c r="M174" s="13" t="n">
        <v>40</v>
      </c>
      <c r="N174" s="13" t="n">
        <v>0</v>
      </c>
      <c r="O174" s="13" t="n">
        <v>8</v>
      </c>
      <c r="P174" s="13" t="n">
        <v>15</v>
      </c>
      <c r="Q174" s="13" t="n">
        <v>16</v>
      </c>
      <c r="R174" s="13" t="n">
        <v>1</v>
      </c>
      <c r="S174" s="13" t="n">
        <v>0</v>
      </c>
      <c r="T174" s="13" t="n">
        <v>0.9756</v>
      </c>
      <c r="U174" s="13" t="n">
        <v>3.66</v>
      </c>
      <c r="V174" s="13" t="n">
        <f aca="false">M174-SUM(N174:S174)</f>
        <v>0</v>
      </c>
    </row>
    <row r="175" customFormat="false" ht="15" hidden="false" customHeight="true" outlineLevel="0" collapsed="false">
      <c r="A175" s="13" t="n">
        <v>2024</v>
      </c>
      <c r="B175" s="13" t="s">
        <v>1026</v>
      </c>
      <c r="C175" s="13" t="s">
        <v>121</v>
      </c>
      <c r="D175" s="13" t="s">
        <v>1033</v>
      </c>
      <c r="E175" s="13" t="s">
        <v>124</v>
      </c>
      <c r="F175" s="13" t="s">
        <v>357</v>
      </c>
      <c r="G175" s="13" t="n">
        <v>122</v>
      </c>
      <c r="H175" s="13" t="n">
        <v>0</v>
      </c>
      <c r="I175" s="13" t="n">
        <v>122</v>
      </c>
      <c r="J175" s="13" t="n">
        <v>0</v>
      </c>
      <c r="K175" s="13" t="n">
        <v>1</v>
      </c>
      <c r="L175" s="13" t="n">
        <v>9</v>
      </c>
      <c r="M175" s="13" t="n">
        <v>112</v>
      </c>
      <c r="N175" s="13" t="n">
        <v>25</v>
      </c>
      <c r="O175" s="13" t="n">
        <v>39</v>
      </c>
      <c r="P175" s="13" t="n">
        <v>36</v>
      </c>
      <c r="Q175" s="13" t="n">
        <v>11</v>
      </c>
      <c r="R175" s="13" t="n">
        <v>1</v>
      </c>
      <c r="S175" s="13" t="n">
        <v>0</v>
      </c>
      <c r="T175" s="13" t="n">
        <v>0.918</v>
      </c>
      <c r="U175" s="13" t="n">
        <v>4.3</v>
      </c>
      <c r="V175" s="13" t="n">
        <f aca="false">M175-SUM(N175:S175)</f>
        <v>0</v>
      </c>
    </row>
    <row r="176" customFormat="false" ht="15" hidden="false" customHeight="true" outlineLevel="0" collapsed="false">
      <c r="A176" s="13" t="n">
        <v>2024</v>
      </c>
      <c r="B176" s="13" t="s">
        <v>1026</v>
      </c>
      <c r="C176" s="13" t="s">
        <v>121</v>
      </c>
      <c r="D176" s="13" t="s">
        <v>1033</v>
      </c>
      <c r="E176" s="13" t="s">
        <v>122</v>
      </c>
      <c r="F176" s="13" t="s">
        <v>357</v>
      </c>
      <c r="G176" s="13" t="n">
        <v>181</v>
      </c>
      <c r="H176" s="13" t="n">
        <v>3</v>
      </c>
      <c r="I176" s="13" t="n">
        <v>178</v>
      </c>
      <c r="J176" s="13" t="n">
        <v>0</v>
      </c>
      <c r="K176" s="13" t="n">
        <v>0</v>
      </c>
      <c r="L176" s="13" t="n">
        <v>3</v>
      </c>
      <c r="M176" s="13" t="n">
        <v>175</v>
      </c>
      <c r="N176" s="13" t="n">
        <v>70</v>
      </c>
      <c r="O176" s="13" t="n">
        <v>54</v>
      </c>
      <c r="P176" s="13" t="n">
        <v>45</v>
      </c>
      <c r="Q176" s="13" t="n">
        <v>6</v>
      </c>
      <c r="R176" s="13" t="n">
        <v>0</v>
      </c>
      <c r="S176" s="13" t="n">
        <v>0</v>
      </c>
      <c r="T176" s="13" t="n">
        <v>0.9831</v>
      </c>
      <c r="U176" s="13" t="n">
        <v>4.99</v>
      </c>
      <c r="V176" s="13" t="n">
        <f aca="false">M176-SUM(N176:S176)</f>
        <v>0</v>
      </c>
    </row>
    <row r="177" customFormat="false" ht="15" hidden="false" customHeight="true" outlineLevel="0" collapsed="false">
      <c r="A177" s="13" t="n">
        <v>2024</v>
      </c>
      <c r="B177" s="13" t="s">
        <v>1026</v>
      </c>
      <c r="C177" s="13" t="s">
        <v>121</v>
      </c>
      <c r="D177" s="13" t="s">
        <v>1033</v>
      </c>
      <c r="E177" s="13" t="s">
        <v>192</v>
      </c>
      <c r="F177" s="13" t="s">
        <v>652</v>
      </c>
      <c r="G177" s="13" t="n">
        <v>303</v>
      </c>
      <c r="H177" s="13" t="n">
        <v>3</v>
      </c>
      <c r="I177" s="13" t="n">
        <v>300</v>
      </c>
      <c r="J177" s="13" t="n">
        <v>0</v>
      </c>
      <c r="K177" s="13" t="n">
        <v>1</v>
      </c>
      <c r="L177" s="13" t="n">
        <v>12</v>
      </c>
      <c r="M177" s="13" t="n">
        <v>287</v>
      </c>
      <c r="N177" s="13" t="n">
        <v>95</v>
      </c>
      <c r="O177" s="13" t="n">
        <v>93</v>
      </c>
      <c r="P177" s="13" t="n">
        <v>81</v>
      </c>
      <c r="Q177" s="13" t="n">
        <v>17</v>
      </c>
      <c r="R177" s="13" t="n">
        <v>1</v>
      </c>
      <c r="S177" s="13" t="n">
        <v>0</v>
      </c>
      <c r="T177" s="13" t="n">
        <v>0.9567</v>
      </c>
      <c r="U177" s="13" t="n">
        <v>4.71</v>
      </c>
      <c r="V177" s="13" t="n">
        <f aca="false">M177-SUM(N177:S177)</f>
        <v>0</v>
      </c>
    </row>
    <row r="178" customFormat="false" ht="15" hidden="false" customHeight="true" outlineLevel="0" collapsed="false">
      <c r="A178" s="13" t="n">
        <v>2024</v>
      </c>
      <c r="B178" s="13" t="s">
        <v>1026</v>
      </c>
      <c r="C178" s="13" t="s">
        <v>121</v>
      </c>
      <c r="D178" s="13" t="s">
        <v>1034</v>
      </c>
      <c r="E178" s="13" t="s">
        <v>124</v>
      </c>
      <c r="F178" s="13" t="s">
        <v>357</v>
      </c>
      <c r="G178" s="13" t="n">
        <v>95</v>
      </c>
      <c r="H178" s="13" t="n">
        <v>0</v>
      </c>
      <c r="I178" s="13" t="n">
        <v>95</v>
      </c>
      <c r="J178" s="13" t="n">
        <v>0</v>
      </c>
      <c r="K178" s="13" t="n">
        <v>0</v>
      </c>
      <c r="L178" s="13" t="n">
        <v>5</v>
      </c>
      <c r="M178" s="13" t="n">
        <v>90</v>
      </c>
      <c r="N178" s="13" t="n">
        <v>13</v>
      </c>
      <c r="O178" s="13" t="n">
        <v>36</v>
      </c>
      <c r="P178" s="13" t="n">
        <v>26</v>
      </c>
      <c r="Q178" s="13" t="n">
        <v>14</v>
      </c>
      <c r="R178" s="13" t="n">
        <v>1</v>
      </c>
      <c r="S178" s="13" t="n">
        <v>0</v>
      </c>
      <c r="T178" s="13" t="n">
        <v>0.9474</v>
      </c>
      <c r="U178" s="13" t="n">
        <v>4.27</v>
      </c>
      <c r="V178" s="13" t="n">
        <f aca="false">M178-SUM(N178:S178)</f>
        <v>0</v>
      </c>
    </row>
    <row r="179" customFormat="false" ht="15" hidden="false" customHeight="true" outlineLevel="0" collapsed="false">
      <c r="A179" s="13" t="n">
        <v>2024</v>
      </c>
      <c r="B179" s="13" t="s">
        <v>1026</v>
      </c>
      <c r="C179" s="13" t="s">
        <v>121</v>
      </c>
      <c r="D179" s="13" t="s">
        <v>1034</v>
      </c>
      <c r="E179" s="13" t="s">
        <v>122</v>
      </c>
      <c r="F179" s="13" t="s">
        <v>357</v>
      </c>
      <c r="G179" s="13" t="n">
        <v>53</v>
      </c>
      <c r="H179" s="13" t="n">
        <v>0</v>
      </c>
      <c r="I179" s="13" t="n">
        <v>53</v>
      </c>
      <c r="J179" s="13" t="n">
        <v>0</v>
      </c>
      <c r="K179" s="13" t="n">
        <v>0</v>
      </c>
      <c r="L179" s="13" t="n">
        <v>10</v>
      </c>
      <c r="M179" s="13" t="n">
        <v>43</v>
      </c>
      <c r="N179" s="13" t="n">
        <v>4</v>
      </c>
      <c r="O179" s="13" t="n">
        <v>14</v>
      </c>
      <c r="P179" s="13" t="n">
        <v>15</v>
      </c>
      <c r="Q179" s="13" t="n">
        <v>10</v>
      </c>
      <c r="R179" s="13" t="n">
        <v>0</v>
      </c>
      <c r="S179" s="13" t="n">
        <v>0</v>
      </c>
      <c r="T179" s="13" t="n">
        <v>0.8113</v>
      </c>
      <c r="U179" s="13" t="n">
        <v>3.47</v>
      </c>
      <c r="V179" s="13" t="n">
        <f aca="false">M179-SUM(N179:S179)</f>
        <v>0</v>
      </c>
    </row>
    <row r="180" customFormat="false" ht="15" hidden="false" customHeight="true" outlineLevel="0" collapsed="false">
      <c r="A180" s="13" t="n">
        <v>2024</v>
      </c>
      <c r="B180" s="13" t="s">
        <v>1026</v>
      </c>
      <c r="C180" s="13" t="s">
        <v>121</v>
      </c>
      <c r="D180" s="13" t="s">
        <v>1034</v>
      </c>
      <c r="E180" s="13" t="s">
        <v>192</v>
      </c>
      <c r="F180" s="13" t="s">
        <v>652</v>
      </c>
      <c r="G180" s="13" t="n">
        <v>148</v>
      </c>
      <c r="H180" s="13" t="n">
        <v>0</v>
      </c>
      <c r="I180" s="13" t="n">
        <v>148</v>
      </c>
      <c r="J180" s="13" t="n">
        <v>0</v>
      </c>
      <c r="K180" s="13" t="n">
        <v>0</v>
      </c>
      <c r="L180" s="13" t="n">
        <v>15</v>
      </c>
      <c r="M180" s="13" t="n">
        <v>133</v>
      </c>
      <c r="N180" s="13" t="n">
        <v>17</v>
      </c>
      <c r="O180" s="13" t="n">
        <v>50</v>
      </c>
      <c r="P180" s="13" t="n">
        <v>41</v>
      </c>
      <c r="Q180" s="13" t="n">
        <v>24</v>
      </c>
      <c r="R180" s="13" t="n">
        <v>1</v>
      </c>
      <c r="S180" s="13" t="n">
        <v>0</v>
      </c>
      <c r="T180" s="13" t="n">
        <v>0.8986</v>
      </c>
      <c r="U180" s="13" t="n">
        <v>3.99</v>
      </c>
      <c r="V180" s="13" t="n">
        <f aca="false">M180-SUM(N180:S180)</f>
        <v>0</v>
      </c>
    </row>
    <row r="181" customFormat="false" ht="15" hidden="false" customHeight="true" outlineLevel="0" collapsed="false">
      <c r="A181" s="13" t="n">
        <v>2024</v>
      </c>
      <c r="B181" s="13" t="s">
        <v>1026</v>
      </c>
      <c r="C181" s="13" t="s">
        <v>121</v>
      </c>
      <c r="D181" s="13" t="s">
        <v>1035</v>
      </c>
      <c r="E181" s="13" t="s">
        <v>124</v>
      </c>
      <c r="F181" s="13" t="s">
        <v>357</v>
      </c>
      <c r="G181" s="13" t="n">
        <v>179</v>
      </c>
      <c r="H181" s="13" t="n">
        <v>2</v>
      </c>
      <c r="I181" s="13" t="n">
        <v>177</v>
      </c>
      <c r="J181" s="13" t="n">
        <v>0</v>
      </c>
      <c r="K181" s="13" t="n">
        <v>0</v>
      </c>
      <c r="L181" s="13" t="n">
        <v>12</v>
      </c>
      <c r="M181" s="13" t="n">
        <v>165</v>
      </c>
      <c r="N181" s="13" t="n">
        <v>18</v>
      </c>
      <c r="O181" s="13" t="n">
        <v>78</v>
      </c>
      <c r="P181" s="13" t="n">
        <v>46</v>
      </c>
      <c r="Q181" s="13" t="n">
        <v>21</v>
      </c>
      <c r="R181" s="13" t="n">
        <v>2</v>
      </c>
      <c r="S181" s="13" t="n">
        <v>0</v>
      </c>
      <c r="T181" s="13" t="n">
        <v>0.9322</v>
      </c>
      <c r="U181" s="13" t="n">
        <v>4.23</v>
      </c>
      <c r="V181" s="13" t="n">
        <f aca="false">M181-SUM(N181:S181)</f>
        <v>0</v>
      </c>
    </row>
    <row r="182" customFormat="false" ht="15" hidden="false" customHeight="true" outlineLevel="0" collapsed="false">
      <c r="A182" s="13" t="n">
        <v>2024</v>
      </c>
      <c r="B182" s="13" t="s">
        <v>1026</v>
      </c>
      <c r="C182" s="13" t="s">
        <v>121</v>
      </c>
      <c r="D182" s="13" t="s">
        <v>1035</v>
      </c>
      <c r="E182" s="13" t="s">
        <v>122</v>
      </c>
      <c r="F182" s="13" t="s">
        <v>357</v>
      </c>
      <c r="G182" s="13" t="n">
        <v>44</v>
      </c>
      <c r="H182" s="13" t="n">
        <v>2</v>
      </c>
      <c r="I182" s="13" t="n">
        <v>42</v>
      </c>
      <c r="J182" s="13" t="n">
        <v>0</v>
      </c>
      <c r="K182" s="13" t="n">
        <v>0</v>
      </c>
      <c r="L182" s="13" t="n">
        <v>14</v>
      </c>
      <c r="M182" s="13" t="n">
        <v>28</v>
      </c>
      <c r="N182" s="13" t="n">
        <v>0</v>
      </c>
      <c r="O182" s="13" t="n">
        <v>8</v>
      </c>
      <c r="P182" s="13" t="n">
        <v>13</v>
      </c>
      <c r="Q182" s="13" t="n">
        <v>7</v>
      </c>
      <c r="R182" s="13" t="n">
        <v>0</v>
      </c>
      <c r="S182" s="13" t="n">
        <v>0</v>
      </c>
      <c r="T182" s="13" t="n">
        <v>0.6667</v>
      </c>
      <c r="U182" s="13" t="n">
        <v>2.69</v>
      </c>
      <c r="V182" s="13" t="n">
        <f aca="false">M182-SUM(N182:S182)</f>
        <v>0</v>
      </c>
    </row>
    <row r="183" customFormat="false" ht="15" hidden="false" customHeight="true" outlineLevel="0" collapsed="false">
      <c r="A183" s="13" t="n">
        <v>2024</v>
      </c>
      <c r="B183" s="13" t="s">
        <v>1026</v>
      </c>
      <c r="C183" s="13" t="s">
        <v>121</v>
      </c>
      <c r="D183" s="13" t="s">
        <v>1035</v>
      </c>
      <c r="E183" s="13" t="s">
        <v>192</v>
      </c>
      <c r="F183" s="13" t="s">
        <v>652</v>
      </c>
      <c r="G183" s="13" t="n">
        <v>223</v>
      </c>
      <c r="H183" s="13" t="n">
        <v>4</v>
      </c>
      <c r="I183" s="13" t="n">
        <v>219</v>
      </c>
      <c r="J183" s="13" t="n">
        <v>0</v>
      </c>
      <c r="K183" s="13" t="n">
        <v>0</v>
      </c>
      <c r="L183" s="13" t="n">
        <v>26</v>
      </c>
      <c r="M183" s="13" t="n">
        <v>193</v>
      </c>
      <c r="N183" s="13" t="n">
        <v>18</v>
      </c>
      <c r="O183" s="13" t="n">
        <v>86</v>
      </c>
      <c r="P183" s="13" t="n">
        <v>59</v>
      </c>
      <c r="Q183" s="13" t="n">
        <v>28</v>
      </c>
      <c r="R183" s="13" t="n">
        <v>2</v>
      </c>
      <c r="S183" s="13" t="n">
        <v>0</v>
      </c>
      <c r="T183" s="13" t="n">
        <v>0.8813</v>
      </c>
      <c r="U183" s="13" t="n">
        <v>3.94</v>
      </c>
      <c r="V183" s="13" t="n">
        <f aca="false">M183-SUM(N183:S183)</f>
        <v>0</v>
      </c>
    </row>
    <row r="184" customFormat="false" ht="15" hidden="false" customHeight="true" outlineLevel="0" collapsed="false">
      <c r="A184" s="13" t="n">
        <v>2024</v>
      </c>
      <c r="B184" s="13" t="s">
        <v>1026</v>
      </c>
      <c r="C184" s="13" t="s">
        <v>121</v>
      </c>
      <c r="D184" s="13" t="s">
        <v>1037</v>
      </c>
      <c r="E184" s="13" t="s">
        <v>192</v>
      </c>
      <c r="F184" s="13" t="s">
        <v>1038</v>
      </c>
      <c r="G184" s="13" t="n">
        <v>715</v>
      </c>
      <c r="H184" s="13" t="n">
        <v>7</v>
      </c>
      <c r="I184" s="13" t="n">
        <v>708</v>
      </c>
      <c r="J184" s="13" t="n">
        <v>0</v>
      </c>
      <c r="K184" s="13" t="n">
        <v>1</v>
      </c>
      <c r="L184" s="13" t="n">
        <v>54</v>
      </c>
      <c r="M184" s="13" t="n">
        <v>653</v>
      </c>
      <c r="N184" s="13" t="n">
        <v>130</v>
      </c>
      <c r="O184" s="13" t="n">
        <v>237</v>
      </c>
      <c r="P184" s="13" t="n">
        <v>196</v>
      </c>
      <c r="Q184" s="13" t="n">
        <v>85</v>
      </c>
      <c r="R184" s="13" t="n">
        <v>5</v>
      </c>
      <c r="S184" s="13" t="n">
        <v>0</v>
      </c>
      <c r="T184" s="13" t="n">
        <v>0.9223</v>
      </c>
      <c r="U184" s="13" t="n">
        <v>4.26</v>
      </c>
      <c r="V184" s="13" t="n">
        <f aca="false">M184-SUM(N184:S184)</f>
        <v>0</v>
      </c>
    </row>
    <row r="185" customFormat="false" ht="15" hidden="false" customHeight="true" outlineLevel="0" collapsed="false">
      <c r="A185" s="13" t="n">
        <v>2024</v>
      </c>
      <c r="B185" s="13" t="s">
        <v>1026</v>
      </c>
      <c r="C185" s="13" t="s">
        <v>125</v>
      </c>
      <c r="D185" s="13" t="s">
        <v>128</v>
      </c>
      <c r="E185" s="13" t="s">
        <v>124</v>
      </c>
      <c r="F185" s="13" t="s">
        <v>357</v>
      </c>
      <c r="G185" s="13" t="n">
        <v>4</v>
      </c>
      <c r="H185" s="13" t="n">
        <v>1</v>
      </c>
      <c r="I185" s="13" t="n">
        <v>3</v>
      </c>
      <c r="J185" s="13" t="n">
        <v>1</v>
      </c>
      <c r="K185" s="13" t="n">
        <v>0</v>
      </c>
      <c r="L185" s="13" t="n">
        <v>1</v>
      </c>
      <c r="M185" s="13" t="n">
        <v>2</v>
      </c>
      <c r="N185" s="13" t="n">
        <v>0</v>
      </c>
      <c r="O185" s="13" t="n">
        <v>0</v>
      </c>
      <c r="P185" s="13" t="n">
        <v>1</v>
      </c>
      <c r="Q185" s="13" t="n">
        <v>0</v>
      </c>
      <c r="R185" s="13" t="n">
        <v>1</v>
      </c>
      <c r="S185" s="13" t="n">
        <v>0</v>
      </c>
      <c r="T185" s="13" t="n">
        <v>0.6667</v>
      </c>
      <c r="U185" s="13" t="n">
        <v>2</v>
      </c>
      <c r="V185" s="13" t="n">
        <f aca="false">M185-SUM(N185:S185)</f>
        <v>0</v>
      </c>
    </row>
    <row r="186" customFormat="false" ht="15" hidden="false" customHeight="true" outlineLevel="0" collapsed="false">
      <c r="A186" s="13" t="n">
        <v>2024</v>
      </c>
      <c r="B186" s="13" t="s">
        <v>1026</v>
      </c>
      <c r="C186" s="13" t="s">
        <v>125</v>
      </c>
      <c r="D186" s="13" t="s">
        <v>128</v>
      </c>
      <c r="E186" s="13" t="s">
        <v>122</v>
      </c>
      <c r="F186" s="13" t="s">
        <v>357</v>
      </c>
      <c r="G186" s="13" t="n">
        <v>4</v>
      </c>
      <c r="H186" s="13" t="n">
        <v>0</v>
      </c>
      <c r="I186" s="13" t="n">
        <v>4</v>
      </c>
      <c r="J186" s="13" t="n">
        <v>0</v>
      </c>
      <c r="K186" s="13" t="n">
        <v>0</v>
      </c>
      <c r="L186" s="13" t="n">
        <v>2</v>
      </c>
      <c r="M186" s="13" t="n">
        <v>2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1</v>
      </c>
      <c r="S186" s="13" t="n">
        <v>0</v>
      </c>
      <c r="T186" s="13" t="n">
        <v>0.5</v>
      </c>
      <c r="U186" s="13" t="n">
        <v>0.5</v>
      </c>
      <c r="V186" s="13" t="n">
        <f aca="false">M186-SUM(N186:S186)</f>
        <v>1</v>
      </c>
    </row>
    <row r="187" customFormat="false" ht="15" hidden="false" customHeight="true" outlineLevel="0" collapsed="false">
      <c r="A187" s="13" t="n">
        <v>2024</v>
      </c>
      <c r="B187" s="13" t="s">
        <v>1026</v>
      </c>
      <c r="C187" s="13" t="s">
        <v>125</v>
      </c>
      <c r="D187" s="13" t="s">
        <v>128</v>
      </c>
      <c r="E187" s="13" t="s">
        <v>192</v>
      </c>
      <c r="F187" s="13" t="s">
        <v>652</v>
      </c>
      <c r="G187" s="13" t="n">
        <v>8</v>
      </c>
      <c r="H187" s="13" t="n">
        <v>1</v>
      </c>
      <c r="I187" s="13" t="n">
        <v>7</v>
      </c>
      <c r="J187" s="13" t="n">
        <v>1</v>
      </c>
      <c r="K187" s="13" t="n">
        <v>0</v>
      </c>
      <c r="L187" s="13" t="n">
        <v>3</v>
      </c>
      <c r="M187" s="13" t="n">
        <v>4</v>
      </c>
      <c r="N187" s="13" t="n">
        <v>0</v>
      </c>
      <c r="O187" s="13" t="n">
        <v>0</v>
      </c>
      <c r="P187" s="13" t="n">
        <v>1</v>
      </c>
      <c r="Q187" s="13" t="n">
        <v>0</v>
      </c>
      <c r="R187" s="13" t="n">
        <v>2</v>
      </c>
      <c r="S187" s="13" t="n">
        <v>0</v>
      </c>
      <c r="T187" s="13" t="n">
        <v>0.5714</v>
      </c>
      <c r="U187" s="13" t="n">
        <v>1.14</v>
      </c>
      <c r="V187" s="13" t="n">
        <f aca="false">M187-SUM(N187:S187)</f>
        <v>1</v>
      </c>
    </row>
    <row r="188" customFormat="false" ht="15" hidden="false" customHeight="true" outlineLevel="0" collapsed="false">
      <c r="A188" s="13" t="n">
        <v>2024</v>
      </c>
      <c r="B188" s="13" t="s">
        <v>1026</v>
      </c>
      <c r="C188" s="13" t="s">
        <v>125</v>
      </c>
      <c r="D188" s="13" t="s">
        <v>1033</v>
      </c>
      <c r="E188" s="13" t="s">
        <v>124</v>
      </c>
      <c r="F188" s="13" t="s">
        <v>357</v>
      </c>
      <c r="G188" s="13" t="n">
        <v>33</v>
      </c>
      <c r="H188" s="13" t="n">
        <v>5</v>
      </c>
      <c r="I188" s="13" t="n">
        <v>28</v>
      </c>
      <c r="J188" s="13" t="n">
        <v>0</v>
      </c>
      <c r="K188" s="13" t="n">
        <v>0</v>
      </c>
      <c r="L188" s="13" t="n">
        <v>1</v>
      </c>
      <c r="M188" s="13" t="n">
        <v>27</v>
      </c>
      <c r="N188" s="13" t="n">
        <v>14</v>
      </c>
      <c r="O188" s="13" t="n">
        <v>8</v>
      </c>
      <c r="P188" s="13" t="n">
        <v>3</v>
      </c>
      <c r="Q188" s="13" t="n">
        <v>1</v>
      </c>
      <c r="R188" s="13" t="n">
        <v>1</v>
      </c>
      <c r="S188" s="13" t="n">
        <v>0</v>
      </c>
      <c r="T188" s="13" t="n">
        <v>0.9643</v>
      </c>
      <c r="U188" s="13" t="n">
        <v>5.04</v>
      </c>
      <c r="V188" s="13" t="n">
        <f aca="false">M188-SUM(N188:S188)</f>
        <v>0</v>
      </c>
    </row>
    <row r="189" customFormat="false" ht="15" hidden="false" customHeight="true" outlineLevel="0" collapsed="false">
      <c r="A189" s="13" t="n">
        <v>2024</v>
      </c>
      <c r="B189" s="13" t="s">
        <v>1026</v>
      </c>
      <c r="C189" s="13" t="s">
        <v>125</v>
      </c>
      <c r="D189" s="13" t="s">
        <v>1033</v>
      </c>
      <c r="E189" s="13" t="s">
        <v>122</v>
      </c>
      <c r="F189" s="13" t="s">
        <v>357</v>
      </c>
      <c r="G189" s="13" t="n">
        <v>52</v>
      </c>
      <c r="H189" s="13" t="n">
        <v>6</v>
      </c>
      <c r="I189" s="13" t="n">
        <v>46</v>
      </c>
      <c r="J189" s="13" t="n">
        <v>0</v>
      </c>
      <c r="K189" s="13" t="n">
        <v>0</v>
      </c>
      <c r="L189" s="13" t="n">
        <v>1</v>
      </c>
      <c r="M189" s="13" t="n">
        <v>45</v>
      </c>
      <c r="N189" s="13" t="n">
        <v>24</v>
      </c>
      <c r="O189" s="13" t="n">
        <v>16</v>
      </c>
      <c r="P189" s="13" t="n">
        <v>4</v>
      </c>
      <c r="Q189" s="13" t="n">
        <v>1</v>
      </c>
      <c r="R189" s="13" t="n">
        <v>0</v>
      </c>
      <c r="S189" s="13" t="n">
        <v>0</v>
      </c>
      <c r="T189" s="13" t="n">
        <v>0.9783</v>
      </c>
      <c r="U189" s="13" t="n">
        <v>5.28</v>
      </c>
      <c r="V189" s="13" t="n">
        <f aca="false">M189-SUM(N189:S189)</f>
        <v>0</v>
      </c>
    </row>
    <row r="190" customFormat="false" ht="15" hidden="false" customHeight="true" outlineLevel="0" collapsed="false">
      <c r="A190" s="13" t="n">
        <v>2024</v>
      </c>
      <c r="B190" s="13" t="s">
        <v>1026</v>
      </c>
      <c r="C190" s="13" t="s">
        <v>125</v>
      </c>
      <c r="D190" s="13" t="s">
        <v>1033</v>
      </c>
      <c r="E190" s="13" t="s">
        <v>192</v>
      </c>
      <c r="F190" s="13" t="s">
        <v>652</v>
      </c>
      <c r="G190" s="13" t="n">
        <v>85</v>
      </c>
      <c r="H190" s="13" t="n">
        <v>11</v>
      </c>
      <c r="I190" s="13" t="n">
        <v>74</v>
      </c>
      <c r="J190" s="13" t="n">
        <v>0</v>
      </c>
      <c r="K190" s="13" t="n">
        <v>0</v>
      </c>
      <c r="L190" s="13" t="n">
        <v>2</v>
      </c>
      <c r="M190" s="13" t="n">
        <v>72</v>
      </c>
      <c r="N190" s="13" t="n">
        <v>38</v>
      </c>
      <c r="O190" s="13" t="n">
        <v>24</v>
      </c>
      <c r="P190" s="13" t="n">
        <v>7</v>
      </c>
      <c r="Q190" s="13" t="n">
        <v>2</v>
      </c>
      <c r="R190" s="13" t="n">
        <v>1</v>
      </c>
      <c r="S190" s="13" t="n">
        <v>0</v>
      </c>
      <c r="T190" s="13" t="n">
        <v>0.973</v>
      </c>
      <c r="U190" s="13" t="n">
        <v>5.19</v>
      </c>
      <c r="V190" s="13" t="n">
        <f aca="false">M190-SUM(N190:S190)</f>
        <v>0</v>
      </c>
    </row>
    <row r="191" customFormat="false" ht="15" hidden="false" customHeight="true" outlineLevel="0" collapsed="false">
      <c r="A191" s="13" t="n">
        <v>2024</v>
      </c>
      <c r="B191" s="13" t="s">
        <v>1026</v>
      </c>
      <c r="C191" s="13" t="s">
        <v>125</v>
      </c>
      <c r="D191" s="13" t="s">
        <v>1034</v>
      </c>
      <c r="E191" s="13" t="s">
        <v>124</v>
      </c>
      <c r="F191" s="13" t="s">
        <v>357</v>
      </c>
      <c r="G191" s="13" t="n">
        <v>6</v>
      </c>
      <c r="H191" s="13" t="n">
        <v>0</v>
      </c>
      <c r="I191" s="13" t="n">
        <v>6</v>
      </c>
      <c r="J191" s="13" t="n">
        <v>0</v>
      </c>
      <c r="K191" s="13" t="n">
        <v>0</v>
      </c>
      <c r="L191" s="13" t="n">
        <v>3</v>
      </c>
      <c r="M191" s="13" t="n">
        <v>3</v>
      </c>
      <c r="N191" s="13" t="n">
        <v>0</v>
      </c>
      <c r="O191" s="13" t="n">
        <v>0</v>
      </c>
      <c r="P191" s="13" t="n">
        <v>0</v>
      </c>
      <c r="Q191" s="13" t="n">
        <v>3</v>
      </c>
      <c r="R191" s="13" t="n">
        <v>0</v>
      </c>
      <c r="S191" s="13" t="n">
        <v>0</v>
      </c>
      <c r="T191" s="13" t="n">
        <v>0.5</v>
      </c>
      <c r="U191" s="13" t="n">
        <v>1.5</v>
      </c>
      <c r="V191" s="13" t="n">
        <f aca="false">M191-SUM(N191:S191)</f>
        <v>0</v>
      </c>
    </row>
    <row r="192" customFormat="false" ht="15" hidden="false" customHeight="true" outlineLevel="0" collapsed="false">
      <c r="A192" s="13" t="n">
        <v>2024</v>
      </c>
      <c r="B192" s="13" t="s">
        <v>1026</v>
      </c>
      <c r="C192" s="13" t="s">
        <v>125</v>
      </c>
      <c r="D192" s="13" t="s">
        <v>1034</v>
      </c>
      <c r="E192" s="13" t="s">
        <v>122</v>
      </c>
      <c r="F192" s="13" t="s">
        <v>357</v>
      </c>
      <c r="G192" s="13" t="n">
        <v>2</v>
      </c>
      <c r="H192" s="13" t="n">
        <v>2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f aca="false">M192-SUM(N192:S192)</f>
        <v>0</v>
      </c>
    </row>
    <row r="193" customFormat="false" ht="15" hidden="false" customHeight="true" outlineLevel="0" collapsed="false">
      <c r="A193" s="13" t="n">
        <v>2024</v>
      </c>
      <c r="B193" s="13" t="s">
        <v>1026</v>
      </c>
      <c r="C193" s="13" t="s">
        <v>125</v>
      </c>
      <c r="D193" s="13" t="s">
        <v>1034</v>
      </c>
      <c r="E193" s="13" t="s">
        <v>192</v>
      </c>
      <c r="F193" s="13" t="s">
        <v>652</v>
      </c>
      <c r="G193" s="13" t="n">
        <v>8</v>
      </c>
      <c r="H193" s="13" t="n">
        <v>2</v>
      </c>
      <c r="I193" s="13" t="n">
        <v>6</v>
      </c>
      <c r="J193" s="13" t="n">
        <v>0</v>
      </c>
      <c r="K193" s="13" t="n">
        <v>0</v>
      </c>
      <c r="L193" s="13" t="n">
        <v>3</v>
      </c>
      <c r="M193" s="13" t="n">
        <v>3</v>
      </c>
      <c r="N193" s="13" t="n">
        <v>0</v>
      </c>
      <c r="O193" s="13" t="n">
        <v>0</v>
      </c>
      <c r="P193" s="13" t="n">
        <v>0</v>
      </c>
      <c r="Q193" s="13" t="n">
        <v>3</v>
      </c>
      <c r="R193" s="13" t="n">
        <v>0</v>
      </c>
      <c r="S193" s="13" t="n">
        <v>0</v>
      </c>
      <c r="T193" s="13" t="n">
        <v>0.5</v>
      </c>
      <c r="U193" s="13" t="n">
        <v>1.5</v>
      </c>
      <c r="V193" s="13" t="n">
        <f aca="false">M193-SUM(N193:S193)</f>
        <v>0</v>
      </c>
    </row>
    <row r="194" customFormat="false" ht="15" hidden="false" customHeight="true" outlineLevel="0" collapsed="false">
      <c r="A194" s="13" t="n">
        <v>2024</v>
      </c>
      <c r="B194" s="13" t="s">
        <v>1026</v>
      </c>
      <c r="C194" s="13" t="s">
        <v>125</v>
      </c>
      <c r="D194" s="13" t="s">
        <v>1035</v>
      </c>
      <c r="E194" s="13" t="s">
        <v>124</v>
      </c>
      <c r="F194" s="13" t="s">
        <v>357</v>
      </c>
      <c r="G194" s="13" t="n">
        <v>11</v>
      </c>
      <c r="H194" s="13" t="n">
        <v>3</v>
      </c>
      <c r="I194" s="13" t="n">
        <v>8</v>
      </c>
      <c r="J194" s="13" t="n">
        <v>1</v>
      </c>
      <c r="K194" s="13" t="n">
        <v>0</v>
      </c>
      <c r="L194" s="13" t="n">
        <v>4</v>
      </c>
      <c r="M194" s="13" t="n">
        <v>4</v>
      </c>
      <c r="N194" s="13" t="n">
        <v>0</v>
      </c>
      <c r="O194" s="13" t="n">
        <v>0</v>
      </c>
      <c r="P194" s="13" t="n">
        <v>1</v>
      </c>
      <c r="Q194" s="13" t="n">
        <v>2</v>
      </c>
      <c r="R194" s="13" t="n">
        <v>1</v>
      </c>
      <c r="S194" s="13" t="n">
        <v>0</v>
      </c>
      <c r="T194" s="13" t="n">
        <v>0.5</v>
      </c>
      <c r="U194" s="13" t="n">
        <v>1.5</v>
      </c>
      <c r="V194" s="13" t="n">
        <f aca="false">M194-SUM(N194:S194)</f>
        <v>0</v>
      </c>
    </row>
    <row r="195" customFormat="false" ht="15" hidden="false" customHeight="true" outlineLevel="0" collapsed="false">
      <c r="A195" s="13" t="n">
        <v>2024</v>
      </c>
      <c r="B195" s="13" t="s">
        <v>1026</v>
      </c>
      <c r="C195" s="13" t="s">
        <v>125</v>
      </c>
      <c r="D195" s="13" t="s">
        <v>1035</v>
      </c>
      <c r="E195" s="13" t="s">
        <v>122</v>
      </c>
      <c r="F195" s="13" t="s">
        <v>357</v>
      </c>
      <c r="G195" s="13" t="n">
        <v>7</v>
      </c>
      <c r="H195" s="13" t="n">
        <v>0</v>
      </c>
      <c r="I195" s="13" t="n">
        <v>7</v>
      </c>
      <c r="J195" s="13" t="n">
        <v>0</v>
      </c>
      <c r="K195" s="13" t="n">
        <v>0</v>
      </c>
      <c r="L195" s="13" t="n">
        <v>1</v>
      </c>
      <c r="M195" s="13" t="n">
        <v>6</v>
      </c>
      <c r="N195" s="13" t="n">
        <v>0</v>
      </c>
      <c r="O195" s="13" t="n">
        <v>1</v>
      </c>
      <c r="P195" s="13" t="n">
        <v>1</v>
      </c>
      <c r="Q195" s="13" t="n">
        <v>3</v>
      </c>
      <c r="R195" s="13" t="n">
        <v>1</v>
      </c>
      <c r="S195" s="13" t="n">
        <v>0</v>
      </c>
      <c r="T195" s="13" t="n">
        <v>0.8571</v>
      </c>
      <c r="U195" s="13" t="n">
        <v>2.86</v>
      </c>
      <c r="V195" s="13" t="n">
        <f aca="false">M195-SUM(N195:S195)</f>
        <v>0</v>
      </c>
    </row>
    <row r="196" customFormat="false" ht="15" hidden="false" customHeight="true" outlineLevel="0" collapsed="false">
      <c r="A196" s="13" t="n">
        <v>2024</v>
      </c>
      <c r="B196" s="13" t="s">
        <v>1026</v>
      </c>
      <c r="C196" s="13" t="s">
        <v>125</v>
      </c>
      <c r="D196" s="13" t="s">
        <v>1035</v>
      </c>
      <c r="E196" s="13" t="s">
        <v>192</v>
      </c>
      <c r="F196" s="13" t="s">
        <v>652</v>
      </c>
      <c r="G196" s="13" t="n">
        <v>18</v>
      </c>
      <c r="H196" s="13" t="n">
        <v>3</v>
      </c>
      <c r="I196" s="13" t="n">
        <v>15</v>
      </c>
      <c r="J196" s="13" t="n">
        <v>1</v>
      </c>
      <c r="K196" s="13" t="n">
        <v>0</v>
      </c>
      <c r="L196" s="13" t="n">
        <v>5</v>
      </c>
      <c r="M196" s="13" t="n">
        <v>10</v>
      </c>
      <c r="N196" s="13" t="n">
        <v>0</v>
      </c>
      <c r="O196" s="13" t="n">
        <v>1</v>
      </c>
      <c r="P196" s="13" t="n">
        <v>2</v>
      </c>
      <c r="Q196" s="13" t="n">
        <v>5</v>
      </c>
      <c r="R196" s="13" t="n">
        <v>2</v>
      </c>
      <c r="S196" s="13" t="n">
        <v>0</v>
      </c>
      <c r="T196" s="13" t="n">
        <v>0.6667</v>
      </c>
      <c r="U196" s="13" t="n">
        <v>2.13</v>
      </c>
      <c r="V196" s="13" t="n">
        <f aca="false">M196-SUM(N196:S196)</f>
        <v>0</v>
      </c>
    </row>
    <row r="197" customFormat="false" ht="15" hidden="false" customHeight="true" outlineLevel="0" collapsed="false">
      <c r="A197" s="13" t="n">
        <v>2024</v>
      </c>
      <c r="B197" s="13" t="s">
        <v>1026</v>
      </c>
      <c r="C197" s="13" t="s">
        <v>125</v>
      </c>
      <c r="D197" s="13" t="s">
        <v>1037</v>
      </c>
      <c r="E197" s="13" t="s">
        <v>192</v>
      </c>
      <c r="F197" s="13" t="s">
        <v>1038</v>
      </c>
      <c r="G197" s="13" t="n">
        <v>119</v>
      </c>
      <c r="H197" s="13" t="n">
        <v>17</v>
      </c>
      <c r="I197" s="13" t="n">
        <v>102</v>
      </c>
      <c r="J197" s="13" t="n">
        <v>2</v>
      </c>
      <c r="K197" s="13" t="n">
        <v>0</v>
      </c>
      <c r="L197" s="13" t="n">
        <v>13</v>
      </c>
      <c r="M197" s="13" t="n">
        <v>89</v>
      </c>
      <c r="N197" s="13" t="n">
        <v>38</v>
      </c>
      <c r="O197" s="13" t="n">
        <v>25</v>
      </c>
      <c r="P197" s="13" t="n">
        <v>10</v>
      </c>
      <c r="Q197" s="13" t="n">
        <v>10</v>
      </c>
      <c r="R197" s="13" t="n">
        <v>5</v>
      </c>
      <c r="S197" s="13" t="n">
        <v>0</v>
      </c>
      <c r="T197" s="13" t="n">
        <v>0.8725</v>
      </c>
      <c r="U197" s="13" t="n">
        <v>4.25</v>
      </c>
      <c r="V197" s="13" t="n">
        <f aca="false">M197-SUM(N197:S197)</f>
        <v>1</v>
      </c>
    </row>
    <row r="198" customFormat="false" ht="15" hidden="false" customHeight="true" outlineLevel="0" collapsed="false">
      <c r="A198" s="13" t="n">
        <v>2024</v>
      </c>
      <c r="B198" s="13" t="s">
        <v>1026</v>
      </c>
      <c r="C198" s="13" t="s">
        <v>125</v>
      </c>
      <c r="D198" s="13" t="s">
        <v>1037</v>
      </c>
      <c r="E198" s="13" t="s">
        <v>192</v>
      </c>
      <c r="F198" s="13" t="s">
        <v>137</v>
      </c>
      <c r="G198" s="13" t="n">
        <v>834</v>
      </c>
      <c r="H198" s="13" t="n">
        <v>24</v>
      </c>
      <c r="I198" s="13" t="n">
        <v>810</v>
      </c>
      <c r="J198" s="13" t="n">
        <v>2</v>
      </c>
      <c r="K198" s="13" t="n">
        <v>1</v>
      </c>
      <c r="L198" s="13" t="n">
        <v>67</v>
      </c>
      <c r="M198" s="13" t="n">
        <v>742</v>
      </c>
      <c r="N198" s="13" t="n">
        <v>168</v>
      </c>
      <c r="O198" s="13" t="n">
        <v>262</v>
      </c>
      <c r="P198" s="13" t="n">
        <v>206</v>
      </c>
      <c r="Q198" s="13" t="n">
        <v>95</v>
      </c>
      <c r="R198" s="13" t="n">
        <v>10</v>
      </c>
      <c r="S198" s="13" t="n">
        <v>0</v>
      </c>
      <c r="T198" s="13" t="n">
        <v>0.9183</v>
      </c>
      <c r="U198" s="13" t="n">
        <v>4.27</v>
      </c>
      <c r="V198" s="13" t="n">
        <f aca="false">M198-SUM(N198:S198)</f>
        <v>1</v>
      </c>
    </row>
    <row r="199" customFormat="false" ht="15" hidden="false" customHeight="true" outlineLevel="0" collapsed="false">
      <c r="A199" s="13" t="n">
        <v>2024</v>
      </c>
      <c r="B199" s="13" t="s">
        <v>1027</v>
      </c>
      <c r="C199" s="13" t="s">
        <v>121</v>
      </c>
      <c r="D199" s="13" t="s">
        <v>128</v>
      </c>
      <c r="E199" s="13" t="s">
        <v>124</v>
      </c>
      <c r="F199" s="13" t="s">
        <v>357</v>
      </c>
      <c r="G199" s="13" t="n">
        <v>1691</v>
      </c>
      <c r="H199" s="13" t="n">
        <v>6</v>
      </c>
      <c r="I199" s="13" t="n">
        <v>1685</v>
      </c>
      <c r="J199" s="13" t="n">
        <v>0</v>
      </c>
      <c r="K199" s="13" t="n">
        <v>1</v>
      </c>
      <c r="L199" s="13" t="n">
        <v>233</v>
      </c>
      <c r="M199" s="13" t="n">
        <v>1451</v>
      </c>
      <c r="N199" s="13" t="n">
        <v>2</v>
      </c>
      <c r="O199" s="13" t="n">
        <v>22</v>
      </c>
      <c r="P199" s="13" t="n">
        <v>237</v>
      </c>
      <c r="Q199" s="13" t="n">
        <v>580</v>
      </c>
      <c r="R199" s="13" t="n">
        <v>576</v>
      </c>
      <c r="S199" s="13" t="n">
        <v>34</v>
      </c>
      <c r="T199" s="13" t="n">
        <v>0.8611</v>
      </c>
      <c r="U199" s="13" t="n">
        <v>2.37</v>
      </c>
      <c r="V199" s="13" t="n">
        <f aca="false">M199-SUM(N199:S199)</f>
        <v>0</v>
      </c>
    </row>
    <row r="200" customFormat="false" ht="15" hidden="false" customHeight="true" outlineLevel="0" collapsed="false">
      <c r="A200" s="13" t="n">
        <v>2024</v>
      </c>
      <c r="B200" s="13" t="s">
        <v>1027</v>
      </c>
      <c r="C200" s="13" t="s">
        <v>121</v>
      </c>
      <c r="D200" s="13" t="s">
        <v>128</v>
      </c>
      <c r="E200" s="13" t="s">
        <v>122</v>
      </c>
      <c r="F200" s="13" t="s">
        <v>357</v>
      </c>
      <c r="G200" s="13" t="n">
        <v>2371</v>
      </c>
      <c r="H200" s="13" t="n">
        <v>8</v>
      </c>
      <c r="I200" s="13" t="n">
        <v>2363</v>
      </c>
      <c r="J200" s="13" t="n">
        <v>0</v>
      </c>
      <c r="K200" s="13" t="n">
        <v>0</v>
      </c>
      <c r="L200" s="13" t="n">
        <v>180</v>
      </c>
      <c r="M200" s="13" t="n">
        <v>2183</v>
      </c>
      <c r="N200" s="13" t="n">
        <v>3</v>
      </c>
      <c r="O200" s="13" t="n">
        <v>100</v>
      </c>
      <c r="P200" s="13" t="n">
        <v>584</v>
      </c>
      <c r="Q200" s="13" t="n">
        <v>884</v>
      </c>
      <c r="R200" s="13" t="n">
        <v>580</v>
      </c>
      <c r="S200" s="13" t="n">
        <v>32</v>
      </c>
      <c r="T200" s="13" t="n">
        <v>0.9238</v>
      </c>
      <c r="U200" s="13" t="n">
        <v>2.83</v>
      </c>
      <c r="V200" s="13" t="n">
        <f aca="false">M200-SUM(N200:S200)</f>
        <v>0</v>
      </c>
    </row>
    <row r="201" customFormat="false" ht="15" hidden="false" customHeight="true" outlineLevel="0" collapsed="false">
      <c r="A201" s="13" t="n">
        <v>2024</v>
      </c>
      <c r="B201" s="13" t="s">
        <v>1027</v>
      </c>
      <c r="C201" s="13" t="s">
        <v>121</v>
      </c>
      <c r="D201" s="13" t="s">
        <v>128</v>
      </c>
      <c r="E201" s="13" t="s">
        <v>192</v>
      </c>
      <c r="F201" s="13" t="s">
        <v>652</v>
      </c>
      <c r="G201" s="13" t="n">
        <v>4062</v>
      </c>
      <c r="H201" s="13" t="n">
        <v>14</v>
      </c>
      <c r="I201" s="13" t="n">
        <v>4048</v>
      </c>
      <c r="J201" s="13" t="n">
        <v>0</v>
      </c>
      <c r="K201" s="13" t="n">
        <v>1</v>
      </c>
      <c r="L201" s="13" t="n">
        <v>413</v>
      </c>
      <c r="M201" s="13" t="n">
        <v>3634</v>
      </c>
      <c r="N201" s="13" t="n">
        <v>5</v>
      </c>
      <c r="O201" s="13" t="n">
        <v>122</v>
      </c>
      <c r="P201" s="13" t="n">
        <v>821</v>
      </c>
      <c r="Q201" s="13" t="n">
        <v>1464</v>
      </c>
      <c r="R201" s="13" t="n">
        <v>1156</v>
      </c>
      <c r="S201" s="13" t="n">
        <v>66</v>
      </c>
      <c r="T201" s="13" t="n">
        <v>0.8977</v>
      </c>
      <c r="U201" s="13" t="n">
        <v>2.64</v>
      </c>
      <c r="V201" s="13" t="n">
        <f aca="false">M201-SUM(N201:S201)</f>
        <v>0</v>
      </c>
    </row>
    <row r="202" customFormat="false" ht="15" hidden="false" customHeight="true" outlineLevel="0" collapsed="false">
      <c r="A202" s="13" t="n">
        <v>2024</v>
      </c>
      <c r="B202" s="13" t="s">
        <v>1027</v>
      </c>
      <c r="C202" s="13" t="s">
        <v>121</v>
      </c>
      <c r="D202" s="13" t="s">
        <v>1033</v>
      </c>
      <c r="E202" s="13" t="s">
        <v>124</v>
      </c>
      <c r="F202" s="13" t="s">
        <v>357</v>
      </c>
      <c r="G202" s="13" t="n">
        <v>1216</v>
      </c>
      <c r="H202" s="13" t="n">
        <v>8</v>
      </c>
      <c r="I202" s="13" t="n">
        <v>1208</v>
      </c>
      <c r="J202" s="13" t="n">
        <v>0</v>
      </c>
      <c r="K202" s="13" t="n">
        <v>1</v>
      </c>
      <c r="L202" s="13" t="n">
        <v>142</v>
      </c>
      <c r="M202" s="13" t="n">
        <v>1065</v>
      </c>
      <c r="N202" s="13" t="n">
        <v>150</v>
      </c>
      <c r="O202" s="13" t="n">
        <v>212</v>
      </c>
      <c r="P202" s="13" t="n">
        <v>308</v>
      </c>
      <c r="Q202" s="13" t="n">
        <v>314</v>
      </c>
      <c r="R202" s="13" t="n">
        <v>81</v>
      </c>
      <c r="S202" s="13" t="n">
        <v>0</v>
      </c>
      <c r="T202" s="13" t="n">
        <v>0.8816</v>
      </c>
      <c r="U202" s="13" t="n">
        <v>3.56</v>
      </c>
      <c r="V202" s="13" t="n">
        <f aca="false">M202-SUM(N202:S202)</f>
        <v>0</v>
      </c>
    </row>
    <row r="203" customFormat="false" ht="15" hidden="false" customHeight="true" outlineLevel="0" collapsed="false">
      <c r="A203" s="13" t="n">
        <v>2024</v>
      </c>
      <c r="B203" s="13" t="s">
        <v>1027</v>
      </c>
      <c r="C203" s="13" t="s">
        <v>121</v>
      </c>
      <c r="D203" s="13" t="s">
        <v>1033</v>
      </c>
      <c r="E203" s="13" t="s">
        <v>122</v>
      </c>
      <c r="F203" s="13" t="s">
        <v>357</v>
      </c>
      <c r="G203" s="13" t="n">
        <v>2267</v>
      </c>
      <c r="H203" s="13" t="n">
        <v>6</v>
      </c>
      <c r="I203" s="13" t="n">
        <v>2261</v>
      </c>
      <c r="J203" s="13" t="n">
        <v>2</v>
      </c>
      <c r="K203" s="13" t="n">
        <v>0</v>
      </c>
      <c r="L203" s="13" t="n">
        <v>215</v>
      </c>
      <c r="M203" s="13" t="n">
        <v>2045</v>
      </c>
      <c r="N203" s="13" t="n">
        <v>206</v>
      </c>
      <c r="O203" s="13" t="n">
        <v>355</v>
      </c>
      <c r="P203" s="13" t="n">
        <v>688</v>
      </c>
      <c r="Q203" s="13" t="n">
        <v>711</v>
      </c>
      <c r="R203" s="13" t="n">
        <v>85</v>
      </c>
      <c r="S203" s="13" t="n">
        <v>0</v>
      </c>
      <c r="T203" s="13" t="n">
        <v>0.9045</v>
      </c>
      <c r="U203" s="13" t="n">
        <v>3.57</v>
      </c>
      <c r="V203" s="13" t="n">
        <f aca="false">M203-SUM(N203:S203)</f>
        <v>0</v>
      </c>
    </row>
    <row r="204" customFormat="false" ht="15" hidden="false" customHeight="true" outlineLevel="0" collapsed="false">
      <c r="A204" s="13" t="n">
        <v>2024</v>
      </c>
      <c r="B204" s="13" t="s">
        <v>1027</v>
      </c>
      <c r="C204" s="13" t="s">
        <v>121</v>
      </c>
      <c r="D204" s="13" t="s">
        <v>1033</v>
      </c>
      <c r="E204" s="13" t="s">
        <v>192</v>
      </c>
      <c r="F204" s="13" t="s">
        <v>652</v>
      </c>
      <c r="G204" s="13" t="n">
        <v>3483</v>
      </c>
      <c r="H204" s="13" t="n">
        <v>14</v>
      </c>
      <c r="I204" s="13" t="n">
        <v>3469</v>
      </c>
      <c r="J204" s="13" t="n">
        <v>2</v>
      </c>
      <c r="K204" s="13" t="n">
        <v>1</v>
      </c>
      <c r="L204" s="13" t="n">
        <v>357</v>
      </c>
      <c r="M204" s="13" t="n">
        <v>3110</v>
      </c>
      <c r="N204" s="13" t="n">
        <v>356</v>
      </c>
      <c r="O204" s="13" t="n">
        <v>567</v>
      </c>
      <c r="P204" s="13" t="n">
        <v>996</v>
      </c>
      <c r="Q204" s="13" t="n">
        <v>1025</v>
      </c>
      <c r="R204" s="13" t="n">
        <v>166</v>
      </c>
      <c r="S204" s="13" t="n">
        <v>0</v>
      </c>
      <c r="T204" s="13" t="n">
        <v>0.8965</v>
      </c>
      <c r="U204" s="13" t="n">
        <v>3.56</v>
      </c>
      <c r="V204" s="13" t="n">
        <f aca="false">M204-SUM(N204:S204)</f>
        <v>0</v>
      </c>
    </row>
    <row r="205" customFormat="false" ht="15" hidden="false" customHeight="true" outlineLevel="0" collapsed="false">
      <c r="A205" s="13" t="n">
        <v>2024</v>
      </c>
      <c r="B205" s="13" t="s">
        <v>1027</v>
      </c>
      <c r="C205" s="13" t="s">
        <v>121</v>
      </c>
      <c r="D205" s="13" t="s">
        <v>1034</v>
      </c>
      <c r="E205" s="13" t="s">
        <v>124</v>
      </c>
      <c r="F205" s="13" t="s">
        <v>357</v>
      </c>
      <c r="G205" s="13" t="n">
        <v>297</v>
      </c>
      <c r="H205" s="13" t="n">
        <v>3</v>
      </c>
      <c r="I205" s="13" t="n">
        <v>294</v>
      </c>
      <c r="J205" s="13" t="n">
        <v>0</v>
      </c>
      <c r="K205" s="13" t="n">
        <v>0</v>
      </c>
      <c r="L205" s="13" t="n">
        <v>71</v>
      </c>
      <c r="M205" s="13" t="n">
        <v>223</v>
      </c>
      <c r="N205" s="13" t="n">
        <v>18</v>
      </c>
      <c r="O205" s="13" t="n">
        <v>40</v>
      </c>
      <c r="P205" s="13" t="n">
        <v>77</v>
      </c>
      <c r="Q205" s="13" t="n">
        <v>77</v>
      </c>
      <c r="R205" s="13" t="n">
        <v>11</v>
      </c>
      <c r="S205" s="13" t="n">
        <v>0</v>
      </c>
      <c r="T205" s="13" t="n">
        <v>0.7585</v>
      </c>
      <c r="U205" s="13" t="n">
        <v>2.96</v>
      </c>
      <c r="V205" s="13" t="n">
        <f aca="false">M205-SUM(N205:S205)</f>
        <v>0</v>
      </c>
    </row>
    <row r="206" customFormat="false" ht="15" hidden="false" customHeight="true" outlineLevel="0" collapsed="false">
      <c r="A206" s="13" t="n">
        <v>2024</v>
      </c>
      <c r="B206" s="13" t="s">
        <v>1027</v>
      </c>
      <c r="C206" s="13" t="s">
        <v>121</v>
      </c>
      <c r="D206" s="13" t="s">
        <v>1034</v>
      </c>
      <c r="E206" s="13" t="s">
        <v>122</v>
      </c>
      <c r="F206" s="13" t="s">
        <v>357</v>
      </c>
      <c r="G206" s="13" t="n">
        <v>137</v>
      </c>
      <c r="H206" s="13" t="n">
        <v>1</v>
      </c>
      <c r="I206" s="13" t="n">
        <v>136</v>
      </c>
      <c r="J206" s="13" t="n">
        <v>0</v>
      </c>
      <c r="K206" s="13" t="n">
        <v>0</v>
      </c>
      <c r="L206" s="13" t="n">
        <v>26</v>
      </c>
      <c r="M206" s="13" t="n">
        <v>110</v>
      </c>
      <c r="N206" s="13" t="n">
        <v>6</v>
      </c>
      <c r="O206" s="13" t="n">
        <v>16</v>
      </c>
      <c r="P206" s="13" t="n">
        <v>49</v>
      </c>
      <c r="Q206" s="13" t="n">
        <v>35</v>
      </c>
      <c r="R206" s="13" t="n">
        <v>4</v>
      </c>
      <c r="S206" s="13" t="n">
        <v>0</v>
      </c>
      <c r="T206" s="13" t="n">
        <v>0.8088</v>
      </c>
      <c r="U206" s="13" t="n">
        <v>3.13</v>
      </c>
      <c r="V206" s="13" t="n">
        <f aca="false">M206-SUM(N206:S206)</f>
        <v>0</v>
      </c>
    </row>
    <row r="207" customFormat="false" ht="15" hidden="false" customHeight="true" outlineLevel="0" collapsed="false">
      <c r="A207" s="13" t="n">
        <v>2024</v>
      </c>
      <c r="B207" s="13" t="s">
        <v>1027</v>
      </c>
      <c r="C207" s="13" t="s">
        <v>121</v>
      </c>
      <c r="D207" s="13" t="s">
        <v>1034</v>
      </c>
      <c r="E207" s="13" t="s">
        <v>192</v>
      </c>
      <c r="F207" s="13" t="s">
        <v>652</v>
      </c>
      <c r="G207" s="13" t="n">
        <v>434</v>
      </c>
      <c r="H207" s="13" t="n">
        <v>4</v>
      </c>
      <c r="I207" s="13" t="n">
        <v>430</v>
      </c>
      <c r="J207" s="13" t="n">
        <v>0</v>
      </c>
      <c r="K207" s="13" t="n">
        <v>0</v>
      </c>
      <c r="L207" s="13" t="n">
        <v>97</v>
      </c>
      <c r="M207" s="13" t="n">
        <v>333</v>
      </c>
      <c r="N207" s="13" t="n">
        <v>24</v>
      </c>
      <c r="O207" s="13" t="n">
        <v>56</v>
      </c>
      <c r="P207" s="13" t="n">
        <v>126</v>
      </c>
      <c r="Q207" s="13" t="n">
        <v>112</v>
      </c>
      <c r="R207" s="13" t="n">
        <v>15</v>
      </c>
      <c r="S207" s="13" t="n">
        <v>0</v>
      </c>
      <c r="T207" s="13" t="n">
        <v>0.7744</v>
      </c>
      <c r="U207" s="13" t="n">
        <v>3.01</v>
      </c>
      <c r="V207" s="13" t="n">
        <f aca="false">M207-SUM(N207:S207)</f>
        <v>0</v>
      </c>
    </row>
    <row r="208" customFormat="false" ht="15" hidden="false" customHeight="true" outlineLevel="0" collapsed="false">
      <c r="A208" s="13" t="n">
        <v>2024</v>
      </c>
      <c r="B208" s="13" t="s">
        <v>1027</v>
      </c>
      <c r="C208" s="13" t="s">
        <v>121</v>
      </c>
      <c r="D208" s="13" t="s">
        <v>1035</v>
      </c>
      <c r="E208" s="13" t="s">
        <v>124</v>
      </c>
      <c r="F208" s="13" t="s">
        <v>357</v>
      </c>
      <c r="G208" s="13" t="n">
        <v>1341</v>
      </c>
      <c r="H208" s="13" t="n">
        <v>8</v>
      </c>
      <c r="I208" s="13" t="n">
        <v>1333</v>
      </c>
      <c r="J208" s="13" t="n">
        <v>0</v>
      </c>
      <c r="K208" s="13" t="n">
        <v>1</v>
      </c>
      <c r="L208" s="13" t="n">
        <v>560</v>
      </c>
      <c r="M208" s="13" t="n">
        <v>772</v>
      </c>
      <c r="N208" s="13" t="n">
        <v>9</v>
      </c>
      <c r="O208" s="13" t="n">
        <v>59</v>
      </c>
      <c r="P208" s="13" t="n">
        <v>269</v>
      </c>
      <c r="Q208" s="13" t="n">
        <v>376</v>
      </c>
      <c r="R208" s="13" t="n">
        <v>59</v>
      </c>
      <c r="S208" s="13" t="n">
        <v>0</v>
      </c>
      <c r="T208" s="13" t="n">
        <v>0.5791</v>
      </c>
      <c r="U208" s="13" t="n">
        <v>2</v>
      </c>
      <c r="V208" s="13" t="n">
        <f aca="false">M208-SUM(N208:S208)</f>
        <v>0</v>
      </c>
    </row>
    <row r="209" customFormat="false" ht="15" hidden="false" customHeight="true" outlineLevel="0" collapsed="false">
      <c r="A209" s="13" t="n">
        <v>2024</v>
      </c>
      <c r="B209" s="13" t="s">
        <v>1027</v>
      </c>
      <c r="C209" s="13" t="s">
        <v>121</v>
      </c>
      <c r="D209" s="13" t="s">
        <v>1035</v>
      </c>
      <c r="E209" s="13" t="s">
        <v>122</v>
      </c>
      <c r="F209" s="13" t="s">
        <v>357</v>
      </c>
      <c r="G209" s="13" t="n">
        <v>390</v>
      </c>
      <c r="H209" s="13" t="n">
        <v>3</v>
      </c>
      <c r="I209" s="13" t="n">
        <v>387</v>
      </c>
      <c r="J209" s="13" t="n">
        <v>0</v>
      </c>
      <c r="K209" s="13" t="n">
        <v>0</v>
      </c>
      <c r="L209" s="13" t="n">
        <v>133</v>
      </c>
      <c r="M209" s="13" t="n">
        <v>254</v>
      </c>
      <c r="N209" s="13" t="n">
        <v>3</v>
      </c>
      <c r="O209" s="13" t="n">
        <v>33</v>
      </c>
      <c r="P209" s="13" t="n">
        <v>113</v>
      </c>
      <c r="Q209" s="13" t="n">
        <v>104</v>
      </c>
      <c r="R209" s="13" t="n">
        <v>1</v>
      </c>
      <c r="S209" s="13" t="n">
        <v>0</v>
      </c>
      <c r="T209" s="13" t="n">
        <v>0.6563</v>
      </c>
      <c r="U209" s="13" t="n">
        <v>2.45</v>
      </c>
      <c r="V209" s="13" t="n">
        <f aca="false">M209-SUM(N209:S209)</f>
        <v>0</v>
      </c>
    </row>
    <row r="210" customFormat="false" ht="15" hidden="false" customHeight="true" outlineLevel="0" collapsed="false">
      <c r="A210" s="13" t="n">
        <v>2024</v>
      </c>
      <c r="B210" s="13" t="s">
        <v>1027</v>
      </c>
      <c r="C210" s="13" t="s">
        <v>121</v>
      </c>
      <c r="D210" s="13" t="s">
        <v>1035</v>
      </c>
      <c r="E210" s="13" t="s">
        <v>192</v>
      </c>
      <c r="F210" s="13" t="s">
        <v>652</v>
      </c>
      <c r="G210" s="13" t="n">
        <v>1731</v>
      </c>
      <c r="H210" s="13" t="n">
        <v>11</v>
      </c>
      <c r="I210" s="13" t="n">
        <v>1720</v>
      </c>
      <c r="J210" s="13" t="n">
        <v>0</v>
      </c>
      <c r="K210" s="13" t="n">
        <v>1</v>
      </c>
      <c r="L210" s="13" t="n">
        <v>693</v>
      </c>
      <c r="M210" s="13" t="n">
        <v>1026</v>
      </c>
      <c r="N210" s="13" t="n">
        <v>12</v>
      </c>
      <c r="O210" s="13" t="n">
        <v>92</v>
      </c>
      <c r="P210" s="13" t="n">
        <v>382</v>
      </c>
      <c r="Q210" s="13" t="n">
        <v>480</v>
      </c>
      <c r="R210" s="13" t="n">
        <v>60</v>
      </c>
      <c r="S210" s="13" t="n">
        <v>0</v>
      </c>
      <c r="T210" s="13" t="n">
        <v>0.5965</v>
      </c>
      <c r="U210" s="13" t="n">
        <v>2.1</v>
      </c>
      <c r="V210" s="13" t="n">
        <f aca="false">M210-SUM(N210:S210)</f>
        <v>0</v>
      </c>
    </row>
    <row r="211" customFormat="false" ht="15" hidden="false" customHeight="true" outlineLevel="0" collapsed="false">
      <c r="A211" s="13" t="n">
        <v>2024</v>
      </c>
      <c r="B211" s="13" t="s">
        <v>1027</v>
      </c>
      <c r="C211" s="13" t="s">
        <v>121</v>
      </c>
      <c r="D211" s="13" t="s">
        <v>203</v>
      </c>
      <c r="E211" s="13" t="s">
        <v>124</v>
      </c>
      <c r="F211" s="13" t="s">
        <v>357</v>
      </c>
      <c r="G211" s="13" t="n">
        <v>33</v>
      </c>
      <c r="H211" s="13" t="n">
        <v>0</v>
      </c>
      <c r="I211" s="13" t="n">
        <v>33</v>
      </c>
      <c r="J211" s="13" t="n">
        <v>0</v>
      </c>
      <c r="K211" s="13" t="n">
        <v>0</v>
      </c>
      <c r="L211" s="13" t="n">
        <v>1</v>
      </c>
      <c r="M211" s="13" t="n">
        <v>32</v>
      </c>
      <c r="N211" s="13" t="n">
        <v>0</v>
      </c>
      <c r="O211" s="13" t="n">
        <v>0</v>
      </c>
      <c r="P211" s="13" t="n">
        <v>11</v>
      </c>
      <c r="Q211" s="13" t="n">
        <v>16</v>
      </c>
      <c r="R211" s="13" t="n">
        <v>5</v>
      </c>
      <c r="S211" s="13" t="n">
        <v>0</v>
      </c>
      <c r="T211" s="13" t="n">
        <v>0.9697</v>
      </c>
      <c r="U211" s="13" t="n">
        <v>3.09</v>
      </c>
      <c r="V211" s="13" t="n">
        <f aca="false">M211-SUM(N211:S211)</f>
        <v>0</v>
      </c>
    </row>
    <row r="212" customFormat="false" ht="15" hidden="false" customHeight="true" outlineLevel="0" collapsed="false">
      <c r="A212" s="13" t="n">
        <v>2024</v>
      </c>
      <c r="B212" s="13" t="s">
        <v>1027</v>
      </c>
      <c r="C212" s="13" t="s">
        <v>121</v>
      </c>
      <c r="D212" s="13" t="s">
        <v>203</v>
      </c>
      <c r="E212" s="13" t="s">
        <v>192</v>
      </c>
      <c r="F212" s="13" t="s">
        <v>652</v>
      </c>
      <c r="G212" s="13" t="n">
        <v>33</v>
      </c>
      <c r="H212" s="13" t="n">
        <v>0</v>
      </c>
      <c r="I212" s="13" t="n">
        <v>33</v>
      </c>
      <c r="J212" s="13" t="n">
        <v>0</v>
      </c>
      <c r="K212" s="13" t="n">
        <v>0</v>
      </c>
      <c r="L212" s="13" t="n">
        <v>1</v>
      </c>
      <c r="M212" s="13" t="n">
        <v>32</v>
      </c>
      <c r="N212" s="13" t="n">
        <v>0</v>
      </c>
      <c r="O212" s="13" t="n">
        <v>0</v>
      </c>
      <c r="P212" s="13" t="n">
        <v>11</v>
      </c>
      <c r="Q212" s="13" t="n">
        <v>16</v>
      </c>
      <c r="R212" s="13" t="n">
        <v>5</v>
      </c>
      <c r="S212" s="13" t="n">
        <v>0</v>
      </c>
      <c r="T212" s="13" t="n">
        <v>0.9697</v>
      </c>
      <c r="U212" s="13" t="n">
        <v>3.09</v>
      </c>
      <c r="V212" s="13" t="n">
        <f aca="false">M212-SUM(N212:S212)</f>
        <v>0</v>
      </c>
    </row>
    <row r="213" customFormat="false" ht="15" hidden="false" customHeight="true" outlineLevel="0" collapsed="false">
      <c r="A213" s="13" t="n">
        <v>2024</v>
      </c>
      <c r="B213" s="13" t="s">
        <v>1027</v>
      </c>
      <c r="C213" s="13" t="s">
        <v>121</v>
      </c>
      <c r="D213" s="13" t="s">
        <v>1037</v>
      </c>
      <c r="E213" s="13" t="s">
        <v>192</v>
      </c>
      <c r="F213" s="13" t="s">
        <v>1038</v>
      </c>
      <c r="G213" s="13" t="n">
        <v>9743</v>
      </c>
      <c r="H213" s="13" t="n">
        <v>43</v>
      </c>
      <c r="I213" s="13" t="n">
        <v>9700</v>
      </c>
      <c r="J213" s="13" t="n">
        <v>2</v>
      </c>
      <c r="K213" s="13" t="n">
        <v>3</v>
      </c>
      <c r="L213" s="13" t="n">
        <v>1561</v>
      </c>
      <c r="M213" s="13" t="n">
        <v>8135</v>
      </c>
      <c r="N213" s="13" t="n">
        <v>397</v>
      </c>
      <c r="O213" s="13" t="n">
        <v>837</v>
      </c>
      <c r="P213" s="13" t="n">
        <v>2336</v>
      </c>
      <c r="Q213" s="13" t="n">
        <v>3097</v>
      </c>
      <c r="R213" s="13" t="n">
        <v>1402</v>
      </c>
      <c r="S213" s="13" t="n">
        <v>66</v>
      </c>
      <c r="T213" s="13" t="n">
        <v>0.8387</v>
      </c>
      <c r="U213" s="13" t="n">
        <v>2.89</v>
      </c>
      <c r="V213" s="13" t="n">
        <f aca="false">M213-SUM(N213:S213)</f>
        <v>0</v>
      </c>
    </row>
    <row r="214" customFormat="false" ht="15" hidden="false" customHeight="true" outlineLevel="0" collapsed="false">
      <c r="A214" s="13" t="n">
        <v>2024</v>
      </c>
      <c r="B214" s="13" t="s">
        <v>1027</v>
      </c>
      <c r="C214" s="13" t="s">
        <v>125</v>
      </c>
      <c r="D214" s="13" t="s">
        <v>128</v>
      </c>
      <c r="E214" s="13" t="s">
        <v>124</v>
      </c>
      <c r="F214" s="13" t="s">
        <v>357</v>
      </c>
      <c r="G214" s="13" t="n">
        <v>597</v>
      </c>
      <c r="H214" s="13" t="n">
        <v>21</v>
      </c>
      <c r="I214" s="13" t="n">
        <v>576</v>
      </c>
      <c r="J214" s="13" t="n">
        <v>139</v>
      </c>
      <c r="K214" s="13" t="n">
        <v>1</v>
      </c>
      <c r="L214" s="13" t="n">
        <v>295</v>
      </c>
      <c r="M214" s="13" t="n">
        <v>280</v>
      </c>
      <c r="N214" s="13" t="n">
        <v>0</v>
      </c>
      <c r="O214" s="13" t="n">
        <v>1</v>
      </c>
      <c r="P214" s="13" t="n">
        <v>14</v>
      </c>
      <c r="Q214" s="13" t="n">
        <v>72</v>
      </c>
      <c r="R214" s="13" t="n">
        <v>158</v>
      </c>
      <c r="S214" s="13" t="n">
        <v>33</v>
      </c>
      <c r="T214" s="13" t="n">
        <v>0.4861</v>
      </c>
      <c r="U214" s="13" t="n">
        <v>1.09</v>
      </c>
      <c r="V214" s="13" t="n">
        <f aca="false">M214-SUM(N214:S214)</f>
        <v>2</v>
      </c>
    </row>
    <row r="215" customFormat="false" ht="15" hidden="false" customHeight="true" outlineLevel="0" collapsed="false">
      <c r="A215" s="13" t="n">
        <v>2024</v>
      </c>
      <c r="B215" s="13" t="s">
        <v>1027</v>
      </c>
      <c r="C215" s="13" t="s">
        <v>125</v>
      </c>
      <c r="D215" s="13" t="s">
        <v>128</v>
      </c>
      <c r="E215" s="13" t="s">
        <v>122</v>
      </c>
      <c r="F215" s="13" t="s">
        <v>357</v>
      </c>
      <c r="G215" s="13" t="n">
        <v>682</v>
      </c>
      <c r="H215" s="13" t="n">
        <v>14</v>
      </c>
      <c r="I215" s="13" t="n">
        <v>668</v>
      </c>
      <c r="J215" s="13" t="n">
        <v>74</v>
      </c>
      <c r="K215" s="13" t="n">
        <v>1</v>
      </c>
      <c r="L215" s="13" t="n">
        <v>239</v>
      </c>
      <c r="M215" s="13" t="n">
        <v>428</v>
      </c>
      <c r="N215" s="13" t="n">
        <v>0</v>
      </c>
      <c r="O215" s="13" t="n">
        <v>1</v>
      </c>
      <c r="P215" s="13" t="n">
        <v>27</v>
      </c>
      <c r="Q215" s="13" t="n">
        <v>113</v>
      </c>
      <c r="R215" s="13" t="n">
        <v>252</v>
      </c>
      <c r="S215" s="13" t="n">
        <v>35</v>
      </c>
      <c r="T215" s="13" t="n">
        <v>0.6407</v>
      </c>
      <c r="U215" s="13" t="n">
        <v>1.48</v>
      </c>
      <c r="V215" s="13" t="n">
        <f aca="false">M215-SUM(N215:S215)</f>
        <v>0</v>
      </c>
    </row>
    <row r="216" customFormat="false" ht="15" hidden="false" customHeight="true" outlineLevel="0" collapsed="false">
      <c r="A216" s="13" t="n">
        <v>2024</v>
      </c>
      <c r="B216" s="13" t="s">
        <v>1027</v>
      </c>
      <c r="C216" s="13" t="s">
        <v>125</v>
      </c>
      <c r="D216" s="13" t="s">
        <v>128</v>
      </c>
      <c r="E216" s="13" t="s">
        <v>192</v>
      </c>
      <c r="F216" s="13" t="s">
        <v>652</v>
      </c>
      <c r="G216" s="13" t="n">
        <v>1279</v>
      </c>
      <c r="H216" s="13" t="n">
        <v>35</v>
      </c>
      <c r="I216" s="13" t="n">
        <v>1244</v>
      </c>
      <c r="J216" s="13" t="n">
        <v>213</v>
      </c>
      <c r="K216" s="13" t="n">
        <v>2</v>
      </c>
      <c r="L216" s="13" t="n">
        <v>534</v>
      </c>
      <c r="M216" s="13" t="n">
        <v>708</v>
      </c>
      <c r="N216" s="13" t="n">
        <v>0</v>
      </c>
      <c r="O216" s="13" t="n">
        <v>2</v>
      </c>
      <c r="P216" s="13" t="n">
        <v>41</v>
      </c>
      <c r="Q216" s="13" t="n">
        <v>185</v>
      </c>
      <c r="R216" s="13" t="n">
        <v>410</v>
      </c>
      <c r="S216" s="13" t="n">
        <v>68</v>
      </c>
      <c r="T216" s="13" t="n">
        <v>0.5691</v>
      </c>
      <c r="U216" s="13" t="n">
        <v>1.3</v>
      </c>
      <c r="V216" s="13" t="n">
        <f aca="false">M216-SUM(N216:S216)</f>
        <v>2</v>
      </c>
    </row>
    <row r="217" customFormat="false" ht="15" hidden="false" customHeight="true" outlineLevel="0" collapsed="false">
      <c r="A217" s="13" t="n">
        <v>2024</v>
      </c>
      <c r="B217" s="13" t="s">
        <v>1027</v>
      </c>
      <c r="C217" s="13" t="s">
        <v>125</v>
      </c>
      <c r="D217" s="13" t="s">
        <v>1033</v>
      </c>
      <c r="E217" s="13" t="s">
        <v>124</v>
      </c>
      <c r="F217" s="13" t="s">
        <v>357</v>
      </c>
      <c r="G217" s="13" t="n">
        <v>231</v>
      </c>
      <c r="H217" s="13" t="n">
        <v>20</v>
      </c>
      <c r="I217" s="13" t="n">
        <v>211</v>
      </c>
      <c r="J217" s="13" t="n">
        <v>10</v>
      </c>
      <c r="K217" s="13" t="n">
        <v>0</v>
      </c>
      <c r="L217" s="13" t="n">
        <v>24</v>
      </c>
      <c r="M217" s="13" t="n">
        <v>187</v>
      </c>
      <c r="N217" s="13" t="n">
        <v>101</v>
      </c>
      <c r="O217" s="13" t="n">
        <v>31</v>
      </c>
      <c r="P217" s="13" t="n">
        <v>21</v>
      </c>
      <c r="Q217" s="13" t="n">
        <v>20</v>
      </c>
      <c r="R217" s="13" t="n">
        <v>14</v>
      </c>
      <c r="S217" s="13" t="n">
        <v>0</v>
      </c>
      <c r="T217" s="13" t="n">
        <v>0.8863</v>
      </c>
      <c r="U217" s="13" t="n">
        <v>4.42</v>
      </c>
      <c r="V217" s="13" t="n">
        <f aca="false">M217-SUM(N217:S217)</f>
        <v>0</v>
      </c>
    </row>
    <row r="218" customFormat="false" ht="15" hidden="false" customHeight="true" outlineLevel="0" collapsed="false">
      <c r="A218" s="13" t="n">
        <v>2024</v>
      </c>
      <c r="B218" s="13" t="s">
        <v>1027</v>
      </c>
      <c r="C218" s="13" t="s">
        <v>125</v>
      </c>
      <c r="D218" s="13" t="s">
        <v>1033</v>
      </c>
      <c r="E218" s="13" t="s">
        <v>122</v>
      </c>
      <c r="F218" s="13" t="s">
        <v>357</v>
      </c>
      <c r="G218" s="13" t="n">
        <v>394</v>
      </c>
      <c r="H218" s="13" t="n">
        <v>13</v>
      </c>
      <c r="I218" s="13" t="n">
        <v>381</v>
      </c>
      <c r="J218" s="13" t="n">
        <v>11</v>
      </c>
      <c r="K218" s="13" t="n">
        <v>1</v>
      </c>
      <c r="L218" s="13" t="n">
        <v>22</v>
      </c>
      <c r="M218" s="13" t="n">
        <v>358</v>
      </c>
      <c r="N218" s="13" t="n">
        <v>217</v>
      </c>
      <c r="O218" s="13" t="n">
        <v>73</v>
      </c>
      <c r="P218" s="13" t="n">
        <v>24</v>
      </c>
      <c r="Q218" s="13" t="n">
        <v>26</v>
      </c>
      <c r="R218" s="13" t="n">
        <v>18</v>
      </c>
      <c r="S218" s="13" t="n">
        <v>0</v>
      </c>
      <c r="T218" s="13" t="n">
        <v>0.9396</v>
      </c>
      <c r="U218" s="13" t="n">
        <v>4.93</v>
      </c>
      <c r="V218" s="13" t="n">
        <f aca="false">M218-SUM(N218:S218)</f>
        <v>0</v>
      </c>
    </row>
    <row r="219" customFormat="false" ht="15" hidden="false" customHeight="true" outlineLevel="0" collapsed="false">
      <c r="A219" s="13" t="n">
        <v>2024</v>
      </c>
      <c r="B219" s="13" t="s">
        <v>1027</v>
      </c>
      <c r="C219" s="13" t="s">
        <v>125</v>
      </c>
      <c r="D219" s="13" t="s">
        <v>1033</v>
      </c>
      <c r="E219" s="13" t="s">
        <v>192</v>
      </c>
      <c r="F219" s="13" t="s">
        <v>652</v>
      </c>
      <c r="G219" s="13" t="n">
        <v>625</v>
      </c>
      <c r="H219" s="13" t="n">
        <v>33</v>
      </c>
      <c r="I219" s="13" t="n">
        <v>592</v>
      </c>
      <c r="J219" s="13" t="n">
        <v>21</v>
      </c>
      <c r="K219" s="13" t="n">
        <v>1</v>
      </c>
      <c r="L219" s="13" t="n">
        <v>46</v>
      </c>
      <c r="M219" s="13" t="n">
        <v>545</v>
      </c>
      <c r="N219" s="13" t="n">
        <v>318</v>
      </c>
      <c r="O219" s="13" t="n">
        <v>104</v>
      </c>
      <c r="P219" s="13" t="n">
        <v>45</v>
      </c>
      <c r="Q219" s="13" t="n">
        <v>46</v>
      </c>
      <c r="R219" s="13" t="n">
        <v>32</v>
      </c>
      <c r="S219" s="13" t="n">
        <v>0</v>
      </c>
      <c r="T219" s="13" t="n">
        <v>0.9206</v>
      </c>
      <c r="U219" s="13" t="n">
        <v>4.75</v>
      </c>
      <c r="V219" s="13" t="n">
        <f aca="false">M219-SUM(N219:S219)</f>
        <v>0</v>
      </c>
    </row>
    <row r="220" customFormat="false" ht="15" hidden="false" customHeight="true" outlineLevel="0" collapsed="false">
      <c r="A220" s="13" t="n">
        <v>2024</v>
      </c>
      <c r="B220" s="13" t="s">
        <v>1027</v>
      </c>
      <c r="C220" s="13" t="s">
        <v>125</v>
      </c>
      <c r="D220" s="13" t="s">
        <v>1034</v>
      </c>
      <c r="E220" s="13" t="s">
        <v>124</v>
      </c>
      <c r="F220" s="13" t="s">
        <v>357</v>
      </c>
      <c r="G220" s="13" t="n">
        <v>63</v>
      </c>
      <c r="H220" s="13" t="n">
        <v>5</v>
      </c>
      <c r="I220" s="13" t="n">
        <v>58</v>
      </c>
      <c r="J220" s="13" t="n">
        <v>5</v>
      </c>
      <c r="K220" s="13" t="n">
        <v>0</v>
      </c>
      <c r="L220" s="13" t="n">
        <v>22</v>
      </c>
      <c r="M220" s="13" t="n">
        <v>36</v>
      </c>
      <c r="N220" s="13" t="n">
        <v>1</v>
      </c>
      <c r="O220" s="13" t="n">
        <v>2</v>
      </c>
      <c r="P220" s="13" t="n">
        <v>13</v>
      </c>
      <c r="Q220" s="13" t="n">
        <v>13</v>
      </c>
      <c r="R220" s="13" t="n">
        <v>6</v>
      </c>
      <c r="S220" s="13" t="n">
        <v>1</v>
      </c>
      <c r="T220" s="13" t="n">
        <v>0.6207</v>
      </c>
      <c r="U220" s="13" t="n">
        <v>2.07</v>
      </c>
      <c r="V220" s="13" t="n">
        <f aca="false">M220-SUM(N220:S220)</f>
        <v>0</v>
      </c>
    </row>
    <row r="221" customFormat="false" ht="15" hidden="false" customHeight="true" outlineLevel="0" collapsed="false">
      <c r="A221" s="13" t="n">
        <v>2024</v>
      </c>
      <c r="B221" s="13" t="s">
        <v>1027</v>
      </c>
      <c r="C221" s="13" t="s">
        <v>125</v>
      </c>
      <c r="D221" s="13" t="s">
        <v>1034</v>
      </c>
      <c r="E221" s="13" t="s">
        <v>122</v>
      </c>
      <c r="F221" s="13" t="s">
        <v>357</v>
      </c>
      <c r="G221" s="13" t="n">
        <v>24</v>
      </c>
      <c r="H221" s="13" t="n">
        <v>1</v>
      </c>
      <c r="I221" s="13" t="n">
        <v>23</v>
      </c>
      <c r="J221" s="13" t="n">
        <v>1</v>
      </c>
      <c r="K221" s="13" t="n">
        <v>0</v>
      </c>
      <c r="L221" s="13" t="n">
        <v>8</v>
      </c>
      <c r="M221" s="13" t="n">
        <v>15</v>
      </c>
      <c r="N221" s="13" t="n">
        <v>1</v>
      </c>
      <c r="O221" s="13" t="n">
        <v>3</v>
      </c>
      <c r="P221" s="13" t="n">
        <v>3</v>
      </c>
      <c r="Q221" s="13" t="n">
        <v>6</v>
      </c>
      <c r="R221" s="13" t="n">
        <v>2</v>
      </c>
      <c r="S221" s="13" t="n">
        <v>0</v>
      </c>
      <c r="T221" s="13" t="n">
        <v>0.6522</v>
      </c>
      <c r="U221" s="13" t="n">
        <v>2.39</v>
      </c>
      <c r="V221" s="13" t="n">
        <f aca="false">M221-SUM(N221:S221)</f>
        <v>0</v>
      </c>
    </row>
    <row r="222" customFormat="false" ht="15" hidden="false" customHeight="true" outlineLevel="0" collapsed="false">
      <c r="A222" s="13" t="n">
        <v>2024</v>
      </c>
      <c r="B222" s="13" t="s">
        <v>1027</v>
      </c>
      <c r="C222" s="13" t="s">
        <v>125</v>
      </c>
      <c r="D222" s="13" t="s">
        <v>1034</v>
      </c>
      <c r="E222" s="13" t="s">
        <v>192</v>
      </c>
      <c r="F222" s="13" t="s">
        <v>652</v>
      </c>
      <c r="G222" s="13" t="n">
        <v>87</v>
      </c>
      <c r="H222" s="13" t="n">
        <v>6</v>
      </c>
      <c r="I222" s="13" t="n">
        <v>81</v>
      </c>
      <c r="J222" s="13" t="n">
        <v>6</v>
      </c>
      <c r="K222" s="13" t="n">
        <v>0</v>
      </c>
      <c r="L222" s="13" t="n">
        <v>30</v>
      </c>
      <c r="M222" s="13" t="n">
        <v>51</v>
      </c>
      <c r="N222" s="13" t="n">
        <v>2</v>
      </c>
      <c r="O222" s="13" t="n">
        <v>5</v>
      </c>
      <c r="P222" s="13" t="n">
        <v>16</v>
      </c>
      <c r="Q222" s="13" t="n">
        <v>19</v>
      </c>
      <c r="R222" s="13" t="n">
        <v>8</v>
      </c>
      <c r="S222" s="13" t="n">
        <v>1</v>
      </c>
      <c r="T222" s="13" t="n">
        <v>0.6296</v>
      </c>
      <c r="U222" s="13" t="n">
        <v>2.16</v>
      </c>
      <c r="V222" s="13" t="n">
        <f aca="false">M222-SUM(N222:S222)</f>
        <v>0</v>
      </c>
    </row>
    <row r="223" customFormat="false" ht="15" hidden="false" customHeight="true" outlineLevel="0" collapsed="false">
      <c r="A223" s="13" t="n">
        <v>2024</v>
      </c>
      <c r="B223" s="13" t="s">
        <v>1027</v>
      </c>
      <c r="C223" s="13" t="s">
        <v>125</v>
      </c>
      <c r="D223" s="13" t="s">
        <v>1035</v>
      </c>
      <c r="E223" s="13" t="s">
        <v>124</v>
      </c>
      <c r="F223" s="13" t="s">
        <v>357</v>
      </c>
      <c r="G223" s="13" t="n">
        <v>242</v>
      </c>
      <c r="H223" s="13" t="n">
        <v>10</v>
      </c>
      <c r="I223" s="13" t="n">
        <v>232</v>
      </c>
      <c r="J223" s="13" t="n">
        <v>30</v>
      </c>
      <c r="K223" s="13" t="n">
        <v>0</v>
      </c>
      <c r="L223" s="13" t="n">
        <v>156</v>
      </c>
      <c r="M223" s="13" t="n">
        <v>76</v>
      </c>
      <c r="N223" s="13" t="n">
        <v>1</v>
      </c>
      <c r="O223" s="13" t="n">
        <v>6</v>
      </c>
      <c r="P223" s="13" t="n">
        <v>11</v>
      </c>
      <c r="Q223" s="13" t="n">
        <v>38</v>
      </c>
      <c r="R223" s="13" t="n">
        <v>20</v>
      </c>
      <c r="S223" s="13" t="n">
        <v>0</v>
      </c>
      <c r="T223" s="13" t="n">
        <v>0.3276</v>
      </c>
      <c r="U223" s="13" t="n">
        <v>1.01</v>
      </c>
      <c r="V223" s="13" t="n">
        <f aca="false">M223-SUM(N223:S223)</f>
        <v>0</v>
      </c>
    </row>
    <row r="224" customFormat="false" ht="15" hidden="false" customHeight="true" outlineLevel="0" collapsed="false">
      <c r="A224" s="13" t="n">
        <v>2024</v>
      </c>
      <c r="B224" s="13" t="s">
        <v>1027</v>
      </c>
      <c r="C224" s="13" t="s">
        <v>125</v>
      </c>
      <c r="D224" s="13" t="s">
        <v>1035</v>
      </c>
      <c r="E224" s="13" t="s">
        <v>122</v>
      </c>
      <c r="F224" s="13" t="s">
        <v>357</v>
      </c>
      <c r="G224" s="13" t="n">
        <v>36</v>
      </c>
      <c r="H224" s="13" t="n">
        <v>1</v>
      </c>
      <c r="I224" s="13" t="n">
        <v>35</v>
      </c>
      <c r="J224" s="13" t="n">
        <v>1</v>
      </c>
      <c r="K224" s="13" t="n">
        <v>0</v>
      </c>
      <c r="L224" s="13" t="n">
        <v>19</v>
      </c>
      <c r="M224" s="13" t="n">
        <v>16</v>
      </c>
      <c r="N224" s="13" t="n">
        <v>0</v>
      </c>
      <c r="O224" s="13" t="n">
        <v>3</v>
      </c>
      <c r="P224" s="13" t="n">
        <v>3</v>
      </c>
      <c r="Q224" s="13" t="n">
        <v>7</v>
      </c>
      <c r="R224" s="13" t="n">
        <v>3</v>
      </c>
      <c r="S224" s="13" t="n">
        <v>0</v>
      </c>
      <c r="T224" s="13" t="n">
        <v>0.4571</v>
      </c>
      <c r="U224" s="13" t="n">
        <v>1.54</v>
      </c>
      <c r="V224" s="13" t="n">
        <f aca="false">M224-SUM(N224:S224)</f>
        <v>0</v>
      </c>
    </row>
    <row r="225" customFormat="false" ht="15" hidden="false" customHeight="true" outlineLevel="0" collapsed="false">
      <c r="A225" s="13" t="n">
        <v>2024</v>
      </c>
      <c r="B225" s="13" t="s">
        <v>1027</v>
      </c>
      <c r="C225" s="13" t="s">
        <v>125</v>
      </c>
      <c r="D225" s="13" t="s">
        <v>1035</v>
      </c>
      <c r="E225" s="13" t="s">
        <v>192</v>
      </c>
      <c r="F225" s="13" t="s">
        <v>652</v>
      </c>
      <c r="G225" s="13" t="n">
        <v>278</v>
      </c>
      <c r="H225" s="13" t="n">
        <v>11</v>
      </c>
      <c r="I225" s="13" t="n">
        <v>267</v>
      </c>
      <c r="J225" s="13" t="n">
        <v>31</v>
      </c>
      <c r="K225" s="13" t="n">
        <v>0</v>
      </c>
      <c r="L225" s="13" t="n">
        <v>175</v>
      </c>
      <c r="M225" s="13" t="n">
        <v>92</v>
      </c>
      <c r="N225" s="13" t="n">
        <v>1</v>
      </c>
      <c r="O225" s="13" t="n">
        <v>9</v>
      </c>
      <c r="P225" s="13" t="n">
        <v>14</v>
      </c>
      <c r="Q225" s="13" t="n">
        <v>45</v>
      </c>
      <c r="R225" s="13" t="n">
        <v>23</v>
      </c>
      <c r="S225" s="13" t="n">
        <v>0</v>
      </c>
      <c r="T225" s="13" t="n">
        <v>0.3446</v>
      </c>
      <c r="U225" s="13" t="n">
        <v>1.08</v>
      </c>
      <c r="V225" s="13" t="n">
        <f aca="false">M225-SUM(N225:S225)</f>
        <v>0</v>
      </c>
    </row>
    <row r="226" customFormat="false" ht="15" hidden="false" customHeight="true" outlineLevel="0" collapsed="false">
      <c r="A226" s="13" t="n">
        <v>2024</v>
      </c>
      <c r="B226" s="13" t="s">
        <v>1027</v>
      </c>
      <c r="C226" s="13" t="s">
        <v>125</v>
      </c>
      <c r="D226" s="13" t="s">
        <v>203</v>
      </c>
      <c r="E226" s="13" t="s">
        <v>124</v>
      </c>
      <c r="F226" s="13" t="s">
        <v>357</v>
      </c>
      <c r="G226" s="13" t="n">
        <v>14</v>
      </c>
      <c r="H226" s="13" t="n">
        <v>3</v>
      </c>
      <c r="I226" s="13" t="n">
        <v>11</v>
      </c>
      <c r="J226" s="13" t="n">
        <v>2</v>
      </c>
      <c r="K226" s="13" t="n">
        <v>0</v>
      </c>
      <c r="L226" s="13" t="n">
        <v>5</v>
      </c>
      <c r="M226" s="13" t="n">
        <v>6</v>
      </c>
      <c r="N226" s="13" t="n">
        <v>0</v>
      </c>
      <c r="O226" s="13" t="n">
        <v>0</v>
      </c>
      <c r="P226" s="13" t="n">
        <v>0</v>
      </c>
      <c r="Q226" s="13" t="n">
        <v>3</v>
      </c>
      <c r="R226" s="13" t="n">
        <v>1</v>
      </c>
      <c r="S226" s="13" t="n">
        <v>2</v>
      </c>
      <c r="T226" s="13" t="n">
        <v>0.5455</v>
      </c>
      <c r="U226" s="13" t="n">
        <v>1.18</v>
      </c>
      <c r="V226" s="13" t="n">
        <f aca="false">M226-SUM(N226:S226)</f>
        <v>0</v>
      </c>
    </row>
    <row r="227" customFormat="false" ht="15" hidden="false" customHeight="true" outlineLevel="0" collapsed="false">
      <c r="A227" s="13" t="n">
        <v>2024</v>
      </c>
      <c r="B227" s="13" t="s">
        <v>1027</v>
      </c>
      <c r="C227" s="13" t="s">
        <v>125</v>
      </c>
      <c r="D227" s="13" t="s">
        <v>203</v>
      </c>
      <c r="E227" s="13" t="s">
        <v>122</v>
      </c>
      <c r="F227" s="13" t="s">
        <v>357</v>
      </c>
      <c r="G227" s="13" t="n">
        <v>1</v>
      </c>
      <c r="H227" s="13" t="n">
        <v>0</v>
      </c>
      <c r="I227" s="13" t="n">
        <v>1</v>
      </c>
      <c r="J227" s="13" t="n">
        <v>0</v>
      </c>
      <c r="K227" s="13" t="n">
        <v>0</v>
      </c>
      <c r="L227" s="13" t="n">
        <v>0</v>
      </c>
      <c r="M227" s="13" t="n">
        <v>1</v>
      </c>
      <c r="N227" s="13" t="n">
        <v>0</v>
      </c>
      <c r="O227" s="13" t="n">
        <v>0</v>
      </c>
      <c r="P227" s="13" t="n">
        <v>0</v>
      </c>
      <c r="Q227" s="13" t="n">
        <v>0</v>
      </c>
      <c r="R227" s="13" t="n">
        <v>1</v>
      </c>
      <c r="S227" s="13" t="n">
        <v>0</v>
      </c>
      <c r="T227" s="13" t="n">
        <v>1</v>
      </c>
      <c r="U227" s="13" t="n">
        <v>2</v>
      </c>
      <c r="V227" s="13" t="n">
        <f aca="false">M227-SUM(N227:S227)</f>
        <v>0</v>
      </c>
    </row>
    <row r="228" customFormat="false" ht="15" hidden="false" customHeight="true" outlineLevel="0" collapsed="false">
      <c r="A228" s="13" t="n">
        <v>2024</v>
      </c>
      <c r="B228" s="13" t="s">
        <v>1027</v>
      </c>
      <c r="C228" s="13" t="s">
        <v>125</v>
      </c>
      <c r="D228" s="13" t="s">
        <v>203</v>
      </c>
      <c r="E228" s="13" t="s">
        <v>192</v>
      </c>
      <c r="F228" s="13" t="s">
        <v>652</v>
      </c>
      <c r="G228" s="13" t="n">
        <v>15</v>
      </c>
      <c r="H228" s="13" t="n">
        <v>3</v>
      </c>
      <c r="I228" s="13" t="n">
        <v>12</v>
      </c>
      <c r="J228" s="13" t="n">
        <v>2</v>
      </c>
      <c r="K228" s="13" t="n">
        <v>0</v>
      </c>
      <c r="L228" s="13" t="n">
        <v>5</v>
      </c>
      <c r="M228" s="13" t="n">
        <v>7</v>
      </c>
      <c r="N228" s="13" t="n">
        <v>0</v>
      </c>
      <c r="O228" s="13" t="n">
        <v>0</v>
      </c>
      <c r="P228" s="13" t="n">
        <v>0</v>
      </c>
      <c r="Q228" s="13" t="n">
        <v>3</v>
      </c>
      <c r="R228" s="13" t="n">
        <v>2</v>
      </c>
      <c r="S228" s="13" t="n">
        <v>2</v>
      </c>
      <c r="T228" s="13" t="n">
        <v>0.5833</v>
      </c>
      <c r="U228" s="13" t="n">
        <v>1.25</v>
      </c>
      <c r="V228" s="13" t="n">
        <f aca="false">M228-SUM(N228:S228)</f>
        <v>0</v>
      </c>
    </row>
    <row r="229" customFormat="false" ht="15" hidden="false" customHeight="true" outlineLevel="0" collapsed="false">
      <c r="A229" s="13" t="n">
        <v>2024</v>
      </c>
      <c r="B229" s="13" t="s">
        <v>1027</v>
      </c>
      <c r="C229" s="13" t="s">
        <v>125</v>
      </c>
      <c r="D229" s="13" t="s">
        <v>1037</v>
      </c>
      <c r="E229" s="13" t="s">
        <v>192</v>
      </c>
      <c r="F229" s="13" t="s">
        <v>1038</v>
      </c>
      <c r="G229" s="13" t="n">
        <v>2284</v>
      </c>
      <c r="H229" s="13" t="n">
        <v>88</v>
      </c>
      <c r="I229" s="13" t="n">
        <v>2196</v>
      </c>
      <c r="J229" s="13" t="n">
        <v>273</v>
      </c>
      <c r="K229" s="13" t="n">
        <v>3</v>
      </c>
      <c r="L229" s="13" t="n">
        <v>790</v>
      </c>
      <c r="M229" s="13" t="n">
        <v>1403</v>
      </c>
      <c r="N229" s="13" t="n">
        <v>321</v>
      </c>
      <c r="O229" s="13" t="n">
        <v>120</v>
      </c>
      <c r="P229" s="13" t="n">
        <v>116</v>
      </c>
      <c r="Q229" s="13" t="n">
        <v>298</v>
      </c>
      <c r="R229" s="13" t="n">
        <v>475</v>
      </c>
      <c r="S229" s="13" t="n">
        <v>71</v>
      </c>
      <c r="T229" s="13" t="n">
        <v>0.6389</v>
      </c>
      <c r="U229" s="13" t="n">
        <v>2.23</v>
      </c>
      <c r="V229" s="13" t="n">
        <f aca="false">M229-SUM(N229:S229)</f>
        <v>2</v>
      </c>
    </row>
    <row r="230" customFormat="false" ht="15" hidden="false" customHeight="true" outlineLevel="0" collapsed="false">
      <c r="A230" s="13" t="n">
        <v>2024</v>
      </c>
      <c r="B230" s="13" t="s">
        <v>1027</v>
      </c>
      <c r="C230" s="13" t="s">
        <v>125</v>
      </c>
      <c r="D230" s="13" t="s">
        <v>1037</v>
      </c>
      <c r="E230" s="13" t="s">
        <v>192</v>
      </c>
      <c r="F230" s="13" t="s">
        <v>137</v>
      </c>
      <c r="G230" s="13" t="n">
        <v>12027</v>
      </c>
      <c r="H230" s="13" t="n">
        <v>131</v>
      </c>
      <c r="I230" s="13" t="n">
        <v>11896</v>
      </c>
      <c r="J230" s="13" t="n">
        <v>275</v>
      </c>
      <c r="K230" s="13" t="n">
        <v>6</v>
      </c>
      <c r="L230" s="13" t="n">
        <v>2351</v>
      </c>
      <c r="M230" s="13" t="n">
        <v>9538</v>
      </c>
      <c r="N230" s="13" t="n">
        <v>718</v>
      </c>
      <c r="O230" s="13" t="n">
        <v>957</v>
      </c>
      <c r="P230" s="13" t="n">
        <v>2452</v>
      </c>
      <c r="Q230" s="13" t="n">
        <v>3395</v>
      </c>
      <c r="R230" s="13" t="n">
        <v>1877</v>
      </c>
      <c r="S230" s="13" t="n">
        <v>137</v>
      </c>
      <c r="T230" s="13" t="n">
        <v>0.8208</v>
      </c>
      <c r="U230" s="13" t="n">
        <v>2.84</v>
      </c>
      <c r="V230" s="13" t="n">
        <f aca="false">M230-SUM(N230:S230)</f>
        <v>2</v>
      </c>
    </row>
    <row r="231" customFormat="false" ht="15" hidden="false" customHeight="true" outlineLevel="0" collapsed="false">
      <c r="A231" s="13" t="n">
        <v>2024</v>
      </c>
      <c r="B231" s="13" t="s">
        <v>1028</v>
      </c>
      <c r="C231" s="13" t="s">
        <v>121</v>
      </c>
      <c r="D231" s="13" t="s">
        <v>128</v>
      </c>
      <c r="E231" s="13" t="s">
        <v>124</v>
      </c>
      <c r="F231" s="13" t="s">
        <v>357</v>
      </c>
      <c r="G231" s="13" t="n">
        <v>31</v>
      </c>
      <c r="H231" s="13" t="n">
        <v>0</v>
      </c>
      <c r="I231" s="13" t="n">
        <v>31</v>
      </c>
      <c r="J231" s="13" t="n">
        <v>0</v>
      </c>
      <c r="K231" s="13" t="n">
        <v>0</v>
      </c>
      <c r="L231" s="13" t="n">
        <v>2</v>
      </c>
      <c r="M231" s="13" t="n">
        <v>29</v>
      </c>
      <c r="N231" s="13" t="n">
        <v>0</v>
      </c>
      <c r="O231" s="13" t="n">
        <v>0</v>
      </c>
      <c r="P231" s="13" t="n">
        <v>4</v>
      </c>
      <c r="Q231" s="13" t="n">
        <v>14</v>
      </c>
      <c r="R231" s="13" t="n">
        <v>11</v>
      </c>
      <c r="S231" s="13" t="n">
        <v>0</v>
      </c>
      <c r="T231" s="13" t="n">
        <v>0.9355</v>
      </c>
      <c r="U231" s="13" t="n">
        <v>2.58</v>
      </c>
      <c r="V231" s="13" t="n">
        <f aca="false">M231-SUM(N231:S231)</f>
        <v>0</v>
      </c>
    </row>
    <row r="232" customFormat="false" ht="15" hidden="false" customHeight="true" outlineLevel="0" collapsed="false">
      <c r="A232" s="13" t="n">
        <v>2024</v>
      </c>
      <c r="B232" s="13" t="s">
        <v>1028</v>
      </c>
      <c r="C232" s="13" t="s">
        <v>121</v>
      </c>
      <c r="D232" s="13" t="s">
        <v>128</v>
      </c>
      <c r="E232" s="13" t="s">
        <v>122</v>
      </c>
      <c r="F232" s="13" t="s">
        <v>357</v>
      </c>
      <c r="G232" s="13" t="n">
        <v>133</v>
      </c>
      <c r="H232" s="13" t="n">
        <v>1</v>
      </c>
      <c r="I232" s="13" t="n">
        <v>132</v>
      </c>
      <c r="J232" s="13" t="n">
        <v>0</v>
      </c>
      <c r="K232" s="13" t="n">
        <v>0</v>
      </c>
      <c r="L232" s="13" t="n">
        <v>6</v>
      </c>
      <c r="M232" s="13" t="n">
        <v>126</v>
      </c>
      <c r="N232" s="13" t="n">
        <v>7</v>
      </c>
      <c r="O232" s="13" t="n">
        <v>27</v>
      </c>
      <c r="P232" s="13" t="n">
        <v>56</v>
      </c>
      <c r="Q232" s="13" t="n">
        <v>30</v>
      </c>
      <c r="R232" s="13" t="n">
        <v>6</v>
      </c>
      <c r="S232" s="13" t="n">
        <v>0</v>
      </c>
      <c r="T232" s="13" t="n">
        <v>0.9545</v>
      </c>
      <c r="U232" s="13" t="n">
        <v>3.81</v>
      </c>
      <c r="V232" s="13" t="n">
        <f aca="false">M232-SUM(N232:S232)</f>
        <v>0</v>
      </c>
    </row>
    <row r="233" customFormat="false" ht="15" hidden="false" customHeight="true" outlineLevel="0" collapsed="false">
      <c r="A233" s="13" t="n">
        <v>2024</v>
      </c>
      <c r="B233" s="13" t="s">
        <v>1028</v>
      </c>
      <c r="C233" s="13" t="s">
        <v>121</v>
      </c>
      <c r="D233" s="13" t="s">
        <v>128</v>
      </c>
      <c r="E233" s="13" t="s">
        <v>192</v>
      </c>
      <c r="F233" s="13" t="s">
        <v>652</v>
      </c>
      <c r="G233" s="13" t="n">
        <v>164</v>
      </c>
      <c r="H233" s="13" t="n">
        <v>1</v>
      </c>
      <c r="I233" s="13" t="n">
        <v>163</v>
      </c>
      <c r="J233" s="13" t="n">
        <v>0</v>
      </c>
      <c r="K233" s="13" t="n">
        <v>0</v>
      </c>
      <c r="L233" s="13" t="n">
        <v>8</v>
      </c>
      <c r="M233" s="13" t="n">
        <v>155</v>
      </c>
      <c r="N233" s="13" t="n">
        <v>7</v>
      </c>
      <c r="O233" s="13" t="n">
        <v>27</v>
      </c>
      <c r="P233" s="13" t="n">
        <v>60</v>
      </c>
      <c r="Q233" s="13" t="n">
        <v>44</v>
      </c>
      <c r="R233" s="13" t="n">
        <v>17</v>
      </c>
      <c r="S233" s="13" t="n">
        <v>0</v>
      </c>
      <c r="T233" s="13" t="n">
        <v>0.9509</v>
      </c>
      <c r="U233" s="13" t="n">
        <v>3.58</v>
      </c>
      <c r="V233" s="13" t="n">
        <f aca="false">M233-SUM(N233:S233)</f>
        <v>0</v>
      </c>
    </row>
    <row r="234" customFormat="false" ht="15" hidden="false" customHeight="true" outlineLevel="0" collapsed="false">
      <c r="A234" s="13" t="n">
        <v>2024</v>
      </c>
      <c r="B234" s="13" t="s">
        <v>1028</v>
      </c>
      <c r="C234" s="13" t="s">
        <v>121</v>
      </c>
      <c r="D234" s="13" t="s">
        <v>1033</v>
      </c>
      <c r="E234" s="13" t="s">
        <v>124</v>
      </c>
      <c r="F234" s="13" t="s">
        <v>357</v>
      </c>
      <c r="G234" s="13" t="n">
        <v>192</v>
      </c>
      <c r="H234" s="13" t="n">
        <v>1</v>
      </c>
      <c r="I234" s="13" t="n">
        <v>191</v>
      </c>
      <c r="J234" s="13" t="n">
        <v>0</v>
      </c>
      <c r="K234" s="13" t="n">
        <v>0</v>
      </c>
      <c r="L234" s="13" t="n">
        <v>22</v>
      </c>
      <c r="M234" s="13" t="n">
        <v>169</v>
      </c>
      <c r="N234" s="13" t="n">
        <v>29</v>
      </c>
      <c r="O234" s="13" t="n">
        <v>39</v>
      </c>
      <c r="P234" s="13" t="n">
        <v>50</v>
      </c>
      <c r="Q234" s="13" t="n">
        <v>42</v>
      </c>
      <c r="R234" s="13" t="n">
        <v>9</v>
      </c>
      <c r="S234" s="13" t="n">
        <v>0</v>
      </c>
      <c r="T234" s="13" t="n">
        <v>0.8848</v>
      </c>
      <c r="U234" s="13" t="n">
        <v>3.73</v>
      </c>
      <c r="V234" s="13" t="n">
        <f aca="false">M234-SUM(N234:S234)</f>
        <v>0</v>
      </c>
    </row>
    <row r="235" customFormat="false" ht="15" hidden="false" customHeight="true" outlineLevel="0" collapsed="false">
      <c r="A235" s="13" t="n">
        <v>2024</v>
      </c>
      <c r="B235" s="13" t="s">
        <v>1028</v>
      </c>
      <c r="C235" s="13" t="s">
        <v>121</v>
      </c>
      <c r="D235" s="13" t="s">
        <v>1033</v>
      </c>
      <c r="E235" s="13" t="s">
        <v>122</v>
      </c>
      <c r="F235" s="13" t="s">
        <v>357</v>
      </c>
      <c r="G235" s="13" t="n">
        <v>644</v>
      </c>
      <c r="H235" s="13" t="n">
        <v>5</v>
      </c>
      <c r="I235" s="13" t="n">
        <v>639</v>
      </c>
      <c r="J235" s="13" t="n">
        <v>0</v>
      </c>
      <c r="K235" s="13" t="n">
        <v>0</v>
      </c>
      <c r="L235" s="13" t="n">
        <v>19</v>
      </c>
      <c r="M235" s="13" t="n">
        <v>620</v>
      </c>
      <c r="N235" s="13" t="n">
        <v>130</v>
      </c>
      <c r="O235" s="13" t="n">
        <v>198</v>
      </c>
      <c r="P235" s="13" t="n">
        <v>195</v>
      </c>
      <c r="Q235" s="13" t="n">
        <v>92</v>
      </c>
      <c r="R235" s="13" t="n">
        <v>5</v>
      </c>
      <c r="S235" s="13" t="n">
        <v>0</v>
      </c>
      <c r="T235" s="13" t="n">
        <v>0.9703</v>
      </c>
      <c r="U235" s="13" t="n">
        <v>4.44</v>
      </c>
      <c r="V235" s="13" t="n">
        <f aca="false">M235-SUM(N235:S235)</f>
        <v>0</v>
      </c>
    </row>
    <row r="236" customFormat="false" ht="15" hidden="false" customHeight="true" outlineLevel="0" collapsed="false">
      <c r="A236" s="13" t="n">
        <v>2024</v>
      </c>
      <c r="B236" s="13" t="s">
        <v>1028</v>
      </c>
      <c r="C236" s="13" t="s">
        <v>121</v>
      </c>
      <c r="D236" s="13" t="s">
        <v>1033</v>
      </c>
      <c r="E236" s="13" t="s">
        <v>192</v>
      </c>
      <c r="F236" s="13" t="s">
        <v>652</v>
      </c>
      <c r="G236" s="13" t="n">
        <v>836</v>
      </c>
      <c r="H236" s="13" t="n">
        <v>6</v>
      </c>
      <c r="I236" s="13" t="n">
        <v>830</v>
      </c>
      <c r="J236" s="13" t="n">
        <v>0</v>
      </c>
      <c r="K236" s="13" t="n">
        <v>0</v>
      </c>
      <c r="L236" s="13" t="n">
        <v>41</v>
      </c>
      <c r="M236" s="13" t="n">
        <v>789</v>
      </c>
      <c r="N236" s="13" t="n">
        <v>159</v>
      </c>
      <c r="O236" s="13" t="n">
        <v>237</v>
      </c>
      <c r="P236" s="13" t="n">
        <v>245</v>
      </c>
      <c r="Q236" s="13" t="n">
        <v>134</v>
      </c>
      <c r="R236" s="13" t="n">
        <v>14</v>
      </c>
      <c r="S236" s="13" t="n">
        <v>0</v>
      </c>
      <c r="T236" s="13" t="n">
        <v>0.9506</v>
      </c>
      <c r="U236" s="13" t="n">
        <v>4.28</v>
      </c>
      <c r="V236" s="13" t="n">
        <f aca="false">M236-SUM(N236:S236)</f>
        <v>0</v>
      </c>
    </row>
    <row r="237" customFormat="false" ht="15" hidden="false" customHeight="true" outlineLevel="0" collapsed="false">
      <c r="A237" s="13" t="n">
        <v>2024</v>
      </c>
      <c r="B237" s="13" t="s">
        <v>1028</v>
      </c>
      <c r="C237" s="13" t="s">
        <v>121</v>
      </c>
      <c r="D237" s="13" t="s">
        <v>1034</v>
      </c>
      <c r="E237" s="13" t="s">
        <v>124</v>
      </c>
      <c r="F237" s="13" t="s">
        <v>357</v>
      </c>
      <c r="G237" s="13" t="n">
        <v>126</v>
      </c>
      <c r="H237" s="13" t="n">
        <v>2</v>
      </c>
      <c r="I237" s="13" t="n">
        <v>124</v>
      </c>
      <c r="J237" s="13" t="n">
        <v>0</v>
      </c>
      <c r="K237" s="13" t="n">
        <v>0</v>
      </c>
      <c r="L237" s="13" t="n">
        <v>16</v>
      </c>
      <c r="M237" s="13" t="n">
        <v>108</v>
      </c>
      <c r="N237" s="13" t="n">
        <v>9</v>
      </c>
      <c r="O237" s="13" t="n">
        <v>26</v>
      </c>
      <c r="P237" s="13" t="n">
        <v>29</v>
      </c>
      <c r="Q237" s="13" t="n">
        <v>39</v>
      </c>
      <c r="R237" s="13" t="n">
        <v>5</v>
      </c>
      <c r="S237" s="13" t="n">
        <v>0</v>
      </c>
      <c r="T237" s="13" t="n">
        <v>0.871</v>
      </c>
      <c r="U237" s="13" t="n">
        <v>3.44</v>
      </c>
      <c r="V237" s="13" t="n">
        <f aca="false">M237-SUM(N237:S237)</f>
        <v>0</v>
      </c>
    </row>
    <row r="238" customFormat="false" ht="15" hidden="false" customHeight="true" outlineLevel="0" collapsed="false">
      <c r="A238" s="13" t="n">
        <v>2024</v>
      </c>
      <c r="B238" s="13" t="s">
        <v>1028</v>
      </c>
      <c r="C238" s="13" t="s">
        <v>121</v>
      </c>
      <c r="D238" s="13" t="s">
        <v>1034</v>
      </c>
      <c r="E238" s="13" t="s">
        <v>122</v>
      </c>
      <c r="F238" s="13" t="s">
        <v>357</v>
      </c>
      <c r="G238" s="13" t="n">
        <v>51</v>
      </c>
      <c r="H238" s="13" t="n">
        <v>0</v>
      </c>
      <c r="I238" s="13" t="n">
        <v>51</v>
      </c>
      <c r="J238" s="13" t="n">
        <v>0</v>
      </c>
      <c r="K238" s="13" t="n">
        <v>0</v>
      </c>
      <c r="L238" s="13" t="n">
        <v>3</v>
      </c>
      <c r="M238" s="13" t="n">
        <v>48</v>
      </c>
      <c r="N238" s="13" t="n">
        <v>5</v>
      </c>
      <c r="O238" s="13" t="n">
        <v>14</v>
      </c>
      <c r="P238" s="13" t="n">
        <v>16</v>
      </c>
      <c r="Q238" s="13" t="n">
        <v>13</v>
      </c>
      <c r="R238" s="13" t="n">
        <v>0</v>
      </c>
      <c r="S238" s="13" t="n">
        <v>0</v>
      </c>
      <c r="T238" s="13" t="n">
        <v>0.9412</v>
      </c>
      <c r="U238" s="13" t="n">
        <v>3.98</v>
      </c>
      <c r="V238" s="13" t="n">
        <f aca="false">M238-SUM(N238:S238)</f>
        <v>0</v>
      </c>
    </row>
    <row r="239" customFormat="false" ht="15" hidden="false" customHeight="true" outlineLevel="0" collapsed="false">
      <c r="A239" s="13" t="n">
        <v>2024</v>
      </c>
      <c r="B239" s="13" t="s">
        <v>1028</v>
      </c>
      <c r="C239" s="13" t="s">
        <v>121</v>
      </c>
      <c r="D239" s="13" t="s">
        <v>1034</v>
      </c>
      <c r="E239" s="13" t="s">
        <v>192</v>
      </c>
      <c r="F239" s="13" t="s">
        <v>652</v>
      </c>
      <c r="G239" s="13" t="n">
        <v>177</v>
      </c>
      <c r="H239" s="13" t="n">
        <v>2</v>
      </c>
      <c r="I239" s="13" t="n">
        <v>175</v>
      </c>
      <c r="J239" s="13" t="n">
        <v>0</v>
      </c>
      <c r="K239" s="13" t="n">
        <v>0</v>
      </c>
      <c r="L239" s="13" t="n">
        <v>19</v>
      </c>
      <c r="M239" s="13" t="n">
        <v>156</v>
      </c>
      <c r="N239" s="13" t="n">
        <v>14</v>
      </c>
      <c r="O239" s="13" t="n">
        <v>40</v>
      </c>
      <c r="P239" s="13" t="n">
        <v>45</v>
      </c>
      <c r="Q239" s="13" t="n">
        <v>52</v>
      </c>
      <c r="R239" s="13" t="n">
        <v>5</v>
      </c>
      <c r="S239" s="13" t="n">
        <v>0</v>
      </c>
      <c r="T239" s="13" t="n">
        <v>0.8914</v>
      </c>
      <c r="U239" s="13" t="n">
        <v>3.6</v>
      </c>
      <c r="V239" s="13" t="n">
        <f aca="false">M239-SUM(N239:S239)</f>
        <v>0</v>
      </c>
    </row>
    <row r="240" customFormat="false" ht="15" hidden="false" customHeight="true" outlineLevel="0" collapsed="false">
      <c r="A240" s="13" t="n">
        <v>2024</v>
      </c>
      <c r="B240" s="13" t="s">
        <v>1028</v>
      </c>
      <c r="C240" s="13" t="s">
        <v>121</v>
      </c>
      <c r="D240" s="13" t="s">
        <v>1035</v>
      </c>
      <c r="E240" s="13" t="s">
        <v>124</v>
      </c>
      <c r="F240" s="13" t="s">
        <v>357</v>
      </c>
      <c r="G240" s="13" t="n">
        <v>384</v>
      </c>
      <c r="H240" s="13" t="n">
        <v>2</v>
      </c>
      <c r="I240" s="13" t="n">
        <v>382</v>
      </c>
      <c r="J240" s="13" t="n">
        <v>0</v>
      </c>
      <c r="K240" s="13" t="n">
        <v>0</v>
      </c>
      <c r="L240" s="13" t="n">
        <v>113</v>
      </c>
      <c r="M240" s="13" t="n">
        <v>269</v>
      </c>
      <c r="N240" s="13" t="n">
        <v>5</v>
      </c>
      <c r="O240" s="13" t="n">
        <v>43</v>
      </c>
      <c r="P240" s="13" t="n">
        <v>92</v>
      </c>
      <c r="Q240" s="13" t="n">
        <v>110</v>
      </c>
      <c r="R240" s="13" t="n">
        <v>19</v>
      </c>
      <c r="S240" s="13" t="n">
        <v>0</v>
      </c>
      <c r="T240" s="13" t="n">
        <v>0.7042</v>
      </c>
      <c r="U240" s="13" t="n">
        <v>2.57</v>
      </c>
      <c r="V240" s="13" t="n">
        <f aca="false">M240-SUM(N240:S240)</f>
        <v>0</v>
      </c>
    </row>
    <row r="241" customFormat="false" ht="15" hidden="false" customHeight="true" outlineLevel="0" collapsed="false">
      <c r="A241" s="13" t="n">
        <v>2024</v>
      </c>
      <c r="B241" s="13" t="s">
        <v>1028</v>
      </c>
      <c r="C241" s="13" t="s">
        <v>121</v>
      </c>
      <c r="D241" s="13" t="s">
        <v>1035</v>
      </c>
      <c r="E241" s="13" t="s">
        <v>122</v>
      </c>
      <c r="F241" s="13" t="s">
        <v>357</v>
      </c>
      <c r="G241" s="13" t="n">
        <v>217</v>
      </c>
      <c r="H241" s="13" t="n">
        <v>2</v>
      </c>
      <c r="I241" s="13" t="n">
        <v>215</v>
      </c>
      <c r="J241" s="13" t="n">
        <v>0</v>
      </c>
      <c r="K241" s="13" t="n">
        <v>0</v>
      </c>
      <c r="L241" s="13" t="n">
        <v>48</v>
      </c>
      <c r="M241" s="13" t="n">
        <v>167</v>
      </c>
      <c r="N241" s="13" t="n">
        <v>9</v>
      </c>
      <c r="O241" s="13" t="n">
        <v>32</v>
      </c>
      <c r="P241" s="13" t="n">
        <v>76</v>
      </c>
      <c r="Q241" s="13" t="n">
        <v>48</v>
      </c>
      <c r="R241" s="13" t="n">
        <v>2</v>
      </c>
      <c r="S241" s="13" t="n">
        <v>0</v>
      </c>
      <c r="T241" s="13" t="n">
        <v>0.7767</v>
      </c>
      <c r="U241" s="13" t="n">
        <v>3.1</v>
      </c>
      <c r="V241" s="13" t="n">
        <f aca="false">M241-SUM(N241:S241)</f>
        <v>0</v>
      </c>
    </row>
    <row r="242" customFormat="false" ht="15" hidden="false" customHeight="true" outlineLevel="0" collapsed="false">
      <c r="A242" s="13" t="n">
        <v>2024</v>
      </c>
      <c r="B242" s="13" t="s">
        <v>1028</v>
      </c>
      <c r="C242" s="13" t="s">
        <v>121</v>
      </c>
      <c r="D242" s="13" t="s">
        <v>1035</v>
      </c>
      <c r="E242" s="13" t="s">
        <v>192</v>
      </c>
      <c r="F242" s="13" t="s">
        <v>652</v>
      </c>
      <c r="G242" s="13" t="n">
        <v>601</v>
      </c>
      <c r="H242" s="13" t="n">
        <v>4</v>
      </c>
      <c r="I242" s="13" t="n">
        <v>597</v>
      </c>
      <c r="J242" s="13" t="n">
        <v>0</v>
      </c>
      <c r="K242" s="13" t="n">
        <v>0</v>
      </c>
      <c r="L242" s="13" t="n">
        <v>161</v>
      </c>
      <c r="M242" s="13" t="n">
        <v>436</v>
      </c>
      <c r="N242" s="13" t="n">
        <v>14</v>
      </c>
      <c r="O242" s="13" t="n">
        <v>75</v>
      </c>
      <c r="P242" s="13" t="n">
        <v>168</v>
      </c>
      <c r="Q242" s="13" t="n">
        <v>158</v>
      </c>
      <c r="R242" s="13" t="n">
        <v>21</v>
      </c>
      <c r="S242" s="13" t="n">
        <v>0</v>
      </c>
      <c r="T242" s="13" t="n">
        <v>0.7303</v>
      </c>
      <c r="U242" s="13" t="n">
        <v>2.76</v>
      </c>
      <c r="V242" s="13" t="n">
        <f aca="false">M242-SUM(N242:S242)</f>
        <v>0</v>
      </c>
    </row>
    <row r="243" customFormat="false" ht="15" hidden="false" customHeight="true" outlineLevel="0" collapsed="false">
      <c r="A243" s="13" t="n">
        <v>2024</v>
      </c>
      <c r="B243" s="13" t="s">
        <v>1028</v>
      </c>
      <c r="C243" s="13" t="s">
        <v>121</v>
      </c>
      <c r="D243" s="13" t="s">
        <v>203</v>
      </c>
      <c r="E243" s="13" t="s">
        <v>124</v>
      </c>
      <c r="F243" s="13" t="s">
        <v>357</v>
      </c>
      <c r="G243" s="13" t="n">
        <v>269</v>
      </c>
      <c r="H243" s="13" t="n">
        <v>2</v>
      </c>
      <c r="I243" s="13" t="n">
        <v>267</v>
      </c>
      <c r="J243" s="13" t="n">
        <v>1</v>
      </c>
      <c r="K243" s="13" t="n">
        <v>0</v>
      </c>
      <c r="L243" s="13" t="n">
        <v>15</v>
      </c>
      <c r="M243" s="13" t="n">
        <v>251</v>
      </c>
      <c r="N243" s="13" t="n">
        <v>3</v>
      </c>
      <c r="O243" s="13" t="n">
        <v>19</v>
      </c>
      <c r="P243" s="13" t="n">
        <v>47</v>
      </c>
      <c r="Q243" s="13" t="n">
        <v>84</v>
      </c>
      <c r="R243" s="13" t="n">
        <v>92</v>
      </c>
      <c r="S243" s="13" t="n">
        <v>6</v>
      </c>
      <c r="T243" s="13" t="n">
        <v>0.9401</v>
      </c>
      <c r="U243" s="13" t="n">
        <v>2.78</v>
      </c>
      <c r="V243" s="13" t="n">
        <f aca="false">M243-SUM(N243:S243)</f>
        <v>0</v>
      </c>
    </row>
    <row r="244" customFormat="false" ht="15" hidden="false" customHeight="true" outlineLevel="0" collapsed="false">
      <c r="A244" s="13" t="n">
        <v>2024</v>
      </c>
      <c r="B244" s="13" t="s">
        <v>1028</v>
      </c>
      <c r="C244" s="13" t="s">
        <v>121</v>
      </c>
      <c r="D244" s="13" t="s">
        <v>203</v>
      </c>
      <c r="E244" s="13" t="s">
        <v>122</v>
      </c>
      <c r="F244" s="13" t="s">
        <v>357</v>
      </c>
      <c r="G244" s="13" t="n">
        <v>248</v>
      </c>
      <c r="H244" s="13" t="n">
        <v>1</v>
      </c>
      <c r="I244" s="13" t="n">
        <v>247</v>
      </c>
      <c r="J244" s="13" t="n">
        <v>0</v>
      </c>
      <c r="K244" s="13" t="n">
        <v>0</v>
      </c>
      <c r="L244" s="13" t="n">
        <v>15</v>
      </c>
      <c r="M244" s="13" t="n">
        <v>232</v>
      </c>
      <c r="N244" s="13" t="n">
        <v>7</v>
      </c>
      <c r="O244" s="13" t="n">
        <v>27</v>
      </c>
      <c r="P244" s="13" t="n">
        <v>92</v>
      </c>
      <c r="Q244" s="13" t="n">
        <v>82</v>
      </c>
      <c r="R244" s="13" t="n">
        <v>24</v>
      </c>
      <c r="S244" s="13" t="n">
        <v>0</v>
      </c>
      <c r="T244" s="13" t="n">
        <v>0.9393</v>
      </c>
      <c r="U244" s="13" t="n">
        <v>3.4</v>
      </c>
      <c r="V244" s="13" t="n">
        <f aca="false">M244-SUM(N244:S244)</f>
        <v>0</v>
      </c>
    </row>
    <row r="245" customFormat="false" ht="15" hidden="false" customHeight="true" outlineLevel="0" collapsed="false">
      <c r="A245" s="13" t="n">
        <v>2024</v>
      </c>
      <c r="B245" s="13" t="s">
        <v>1028</v>
      </c>
      <c r="C245" s="13" t="s">
        <v>121</v>
      </c>
      <c r="D245" s="13" t="s">
        <v>203</v>
      </c>
      <c r="E245" s="13" t="s">
        <v>192</v>
      </c>
      <c r="F245" s="13" t="s">
        <v>652</v>
      </c>
      <c r="G245" s="13" t="n">
        <v>517</v>
      </c>
      <c r="H245" s="13" t="n">
        <v>3</v>
      </c>
      <c r="I245" s="13" t="n">
        <v>514</v>
      </c>
      <c r="J245" s="13" t="n">
        <v>1</v>
      </c>
      <c r="K245" s="13" t="n">
        <v>0</v>
      </c>
      <c r="L245" s="13" t="n">
        <v>30</v>
      </c>
      <c r="M245" s="13" t="n">
        <v>483</v>
      </c>
      <c r="N245" s="13" t="n">
        <v>10</v>
      </c>
      <c r="O245" s="13" t="n">
        <v>46</v>
      </c>
      <c r="P245" s="13" t="n">
        <v>139</v>
      </c>
      <c r="Q245" s="13" t="n">
        <v>166</v>
      </c>
      <c r="R245" s="13" t="n">
        <v>116</v>
      </c>
      <c r="S245" s="13" t="n">
        <v>6</v>
      </c>
      <c r="T245" s="13" t="n">
        <v>0.9397</v>
      </c>
      <c r="U245" s="13" t="n">
        <v>3.08</v>
      </c>
      <c r="V245" s="13" t="n">
        <f aca="false">M245-SUM(N245:S245)</f>
        <v>0</v>
      </c>
    </row>
    <row r="246" customFormat="false" ht="15" hidden="false" customHeight="true" outlineLevel="0" collapsed="false">
      <c r="A246" s="13" t="n">
        <v>2024</v>
      </c>
      <c r="B246" s="13" t="s">
        <v>1028</v>
      </c>
      <c r="C246" s="13" t="s">
        <v>121</v>
      </c>
      <c r="D246" s="13" t="s">
        <v>1037</v>
      </c>
      <c r="E246" s="13" t="s">
        <v>192</v>
      </c>
      <c r="F246" s="13" t="s">
        <v>1038</v>
      </c>
      <c r="G246" s="13" t="n">
        <v>2295</v>
      </c>
      <c r="H246" s="13" t="n">
        <v>16</v>
      </c>
      <c r="I246" s="13" t="n">
        <v>2279</v>
      </c>
      <c r="J246" s="13" t="n">
        <v>1</v>
      </c>
      <c r="K246" s="13" t="n">
        <v>0</v>
      </c>
      <c r="L246" s="13" t="n">
        <v>259</v>
      </c>
      <c r="M246" s="13" t="n">
        <v>2019</v>
      </c>
      <c r="N246" s="13" t="n">
        <v>204</v>
      </c>
      <c r="O246" s="13" t="n">
        <v>425</v>
      </c>
      <c r="P246" s="13" t="n">
        <v>657</v>
      </c>
      <c r="Q246" s="13" t="n">
        <v>554</v>
      </c>
      <c r="R246" s="13" t="n">
        <v>173</v>
      </c>
      <c r="S246" s="13" t="n">
        <v>6</v>
      </c>
      <c r="T246" s="13" t="n">
        <v>0.8859</v>
      </c>
      <c r="U246" s="13" t="n">
        <v>3.51</v>
      </c>
      <c r="V246" s="13" t="n">
        <f aca="false">M246-SUM(N246:S246)</f>
        <v>0</v>
      </c>
    </row>
    <row r="247" customFormat="false" ht="15" hidden="false" customHeight="true" outlineLevel="0" collapsed="false">
      <c r="A247" s="13" t="n">
        <v>2024</v>
      </c>
      <c r="B247" s="13" t="s">
        <v>1028</v>
      </c>
      <c r="C247" s="13" t="s">
        <v>125</v>
      </c>
      <c r="D247" s="13" t="s">
        <v>128</v>
      </c>
      <c r="E247" s="13" t="s">
        <v>124</v>
      </c>
      <c r="F247" s="13" t="s">
        <v>357</v>
      </c>
      <c r="G247" s="13" t="n">
        <v>32</v>
      </c>
      <c r="H247" s="13" t="n">
        <v>3</v>
      </c>
      <c r="I247" s="13" t="n">
        <v>29</v>
      </c>
      <c r="J247" s="13" t="n">
        <v>0</v>
      </c>
      <c r="K247" s="13" t="n">
        <v>0</v>
      </c>
      <c r="L247" s="13" t="n">
        <v>11</v>
      </c>
      <c r="M247" s="13" t="n">
        <v>18</v>
      </c>
      <c r="N247" s="13" t="n">
        <v>0</v>
      </c>
      <c r="O247" s="13" t="n">
        <v>0</v>
      </c>
      <c r="P247" s="13" t="n">
        <v>2</v>
      </c>
      <c r="Q247" s="13" t="n">
        <v>4</v>
      </c>
      <c r="R247" s="13" t="n">
        <v>6</v>
      </c>
      <c r="S247" s="13" t="n">
        <v>3</v>
      </c>
      <c r="T247" s="13" t="n">
        <v>0.6207</v>
      </c>
      <c r="U247" s="13" t="n">
        <v>1.21</v>
      </c>
      <c r="V247" s="13" t="n">
        <f aca="false">M247-SUM(N247:S247)</f>
        <v>3</v>
      </c>
    </row>
    <row r="248" customFormat="false" ht="15" hidden="false" customHeight="true" outlineLevel="0" collapsed="false">
      <c r="A248" s="13" t="n">
        <v>2024</v>
      </c>
      <c r="B248" s="13" t="s">
        <v>1028</v>
      </c>
      <c r="C248" s="13" t="s">
        <v>125</v>
      </c>
      <c r="D248" s="13" t="s">
        <v>128</v>
      </c>
      <c r="E248" s="13" t="s">
        <v>122</v>
      </c>
      <c r="F248" s="13" t="s">
        <v>357</v>
      </c>
      <c r="G248" s="13" t="n">
        <v>88</v>
      </c>
      <c r="H248" s="13" t="n">
        <v>5</v>
      </c>
      <c r="I248" s="13" t="n">
        <v>83</v>
      </c>
      <c r="J248" s="13" t="n">
        <v>6</v>
      </c>
      <c r="K248" s="13" t="n">
        <v>0</v>
      </c>
      <c r="L248" s="13" t="n">
        <v>25</v>
      </c>
      <c r="M248" s="13" t="n">
        <v>58</v>
      </c>
      <c r="N248" s="13" t="n">
        <v>0</v>
      </c>
      <c r="O248" s="13" t="n">
        <v>0</v>
      </c>
      <c r="P248" s="13" t="n">
        <v>12</v>
      </c>
      <c r="Q248" s="13" t="n">
        <v>26</v>
      </c>
      <c r="R248" s="13" t="n">
        <v>19</v>
      </c>
      <c r="S248" s="13" t="n">
        <v>0</v>
      </c>
      <c r="T248" s="13" t="n">
        <v>0.6988</v>
      </c>
      <c r="U248" s="13" t="n">
        <v>1.98</v>
      </c>
      <c r="V248" s="13" t="n">
        <f aca="false">M248-SUM(N248:S248)</f>
        <v>1</v>
      </c>
    </row>
    <row r="249" customFormat="false" ht="15" hidden="false" customHeight="true" outlineLevel="0" collapsed="false">
      <c r="A249" s="13" t="n">
        <v>2024</v>
      </c>
      <c r="B249" s="13" t="s">
        <v>1028</v>
      </c>
      <c r="C249" s="13" t="s">
        <v>125</v>
      </c>
      <c r="D249" s="13" t="s">
        <v>128</v>
      </c>
      <c r="E249" s="13" t="s">
        <v>192</v>
      </c>
      <c r="F249" s="13" t="s">
        <v>652</v>
      </c>
      <c r="G249" s="13" t="n">
        <v>120</v>
      </c>
      <c r="H249" s="13" t="n">
        <v>8</v>
      </c>
      <c r="I249" s="13" t="n">
        <v>112</v>
      </c>
      <c r="J249" s="13" t="n">
        <v>6</v>
      </c>
      <c r="K249" s="13" t="n">
        <v>0</v>
      </c>
      <c r="L249" s="13" t="n">
        <v>36</v>
      </c>
      <c r="M249" s="13" t="n">
        <v>76</v>
      </c>
      <c r="N249" s="13" t="n">
        <v>0</v>
      </c>
      <c r="O249" s="13" t="n">
        <v>0</v>
      </c>
      <c r="P249" s="13" t="n">
        <v>14</v>
      </c>
      <c r="Q249" s="13" t="n">
        <v>30</v>
      </c>
      <c r="R249" s="13" t="n">
        <v>25</v>
      </c>
      <c r="S249" s="13" t="n">
        <v>3</v>
      </c>
      <c r="T249" s="13" t="n">
        <v>0.6786</v>
      </c>
      <c r="U249" s="13" t="n">
        <v>1.78</v>
      </c>
      <c r="V249" s="13" t="n">
        <f aca="false">M249-SUM(N249:S249)</f>
        <v>4</v>
      </c>
    </row>
    <row r="250" customFormat="false" ht="15" hidden="false" customHeight="true" outlineLevel="0" collapsed="false">
      <c r="A250" s="13" t="n">
        <v>2024</v>
      </c>
      <c r="B250" s="13" t="s">
        <v>1028</v>
      </c>
      <c r="C250" s="13" t="s">
        <v>125</v>
      </c>
      <c r="D250" s="13" t="s">
        <v>1033</v>
      </c>
      <c r="E250" s="13" t="s">
        <v>124</v>
      </c>
      <c r="F250" s="13" t="s">
        <v>357</v>
      </c>
      <c r="G250" s="13" t="n">
        <v>27</v>
      </c>
      <c r="H250" s="13" t="n">
        <v>1</v>
      </c>
      <c r="I250" s="13" t="n">
        <v>26</v>
      </c>
      <c r="J250" s="13" t="n">
        <v>0</v>
      </c>
      <c r="K250" s="13" t="n">
        <v>0</v>
      </c>
      <c r="L250" s="13" t="n">
        <v>5</v>
      </c>
      <c r="M250" s="13" t="n">
        <v>21</v>
      </c>
      <c r="N250" s="13" t="n">
        <v>5</v>
      </c>
      <c r="O250" s="13" t="n">
        <v>5</v>
      </c>
      <c r="P250" s="13" t="n">
        <v>2</v>
      </c>
      <c r="Q250" s="13" t="n">
        <v>4</v>
      </c>
      <c r="R250" s="13" t="n">
        <v>5</v>
      </c>
      <c r="S250" s="13" t="n">
        <v>0</v>
      </c>
      <c r="T250" s="13" t="n">
        <v>0.8077</v>
      </c>
      <c r="U250" s="13" t="n">
        <v>3.27</v>
      </c>
      <c r="V250" s="13" t="n">
        <f aca="false">M250-SUM(N250:S250)</f>
        <v>0</v>
      </c>
    </row>
    <row r="251" customFormat="false" ht="15" hidden="false" customHeight="true" outlineLevel="0" collapsed="false">
      <c r="A251" s="13" t="n">
        <v>2024</v>
      </c>
      <c r="B251" s="13" t="s">
        <v>1028</v>
      </c>
      <c r="C251" s="13" t="s">
        <v>125</v>
      </c>
      <c r="D251" s="13" t="s">
        <v>1033</v>
      </c>
      <c r="E251" s="13" t="s">
        <v>122</v>
      </c>
      <c r="F251" s="13" t="s">
        <v>357</v>
      </c>
      <c r="G251" s="13" t="n">
        <v>47</v>
      </c>
      <c r="H251" s="13" t="n">
        <v>2</v>
      </c>
      <c r="I251" s="13" t="n">
        <v>45</v>
      </c>
      <c r="J251" s="13" t="n">
        <v>2</v>
      </c>
      <c r="K251" s="13" t="n">
        <v>0</v>
      </c>
      <c r="L251" s="13" t="n">
        <v>9</v>
      </c>
      <c r="M251" s="13" t="n">
        <v>36</v>
      </c>
      <c r="N251" s="13" t="n">
        <v>12</v>
      </c>
      <c r="O251" s="13" t="n">
        <v>10</v>
      </c>
      <c r="P251" s="13" t="n">
        <v>5</v>
      </c>
      <c r="Q251" s="13" t="n">
        <v>8</v>
      </c>
      <c r="R251" s="13" t="n">
        <v>1</v>
      </c>
      <c r="S251" s="13" t="n">
        <v>0</v>
      </c>
      <c r="T251" s="13" t="n">
        <v>0.8</v>
      </c>
      <c r="U251" s="13" t="n">
        <v>3.73</v>
      </c>
      <c r="V251" s="13" t="n">
        <f aca="false">M251-SUM(N251:S251)</f>
        <v>0</v>
      </c>
    </row>
    <row r="252" customFormat="false" ht="15" hidden="false" customHeight="true" outlineLevel="0" collapsed="false">
      <c r="A252" s="13" t="n">
        <v>2024</v>
      </c>
      <c r="B252" s="13" t="s">
        <v>1028</v>
      </c>
      <c r="C252" s="13" t="s">
        <v>125</v>
      </c>
      <c r="D252" s="13" t="s">
        <v>1033</v>
      </c>
      <c r="E252" s="13" t="s">
        <v>192</v>
      </c>
      <c r="F252" s="13" t="s">
        <v>652</v>
      </c>
      <c r="G252" s="13" t="n">
        <v>74</v>
      </c>
      <c r="H252" s="13" t="n">
        <v>3</v>
      </c>
      <c r="I252" s="13" t="n">
        <v>71</v>
      </c>
      <c r="J252" s="13" t="n">
        <v>2</v>
      </c>
      <c r="K252" s="13" t="n">
        <v>0</v>
      </c>
      <c r="L252" s="13" t="n">
        <v>14</v>
      </c>
      <c r="M252" s="13" t="n">
        <v>57</v>
      </c>
      <c r="N252" s="13" t="n">
        <v>17</v>
      </c>
      <c r="O252" s="13" t="n">
        <v>15</v>
      </c>
      <c r="P252" s="13" t="n">
        <v>7</v>
      </c>
      <c r="Q252" s="13" t="n">
        <v>12</v>
      </c>
      <c r="R252" s="13" t="n">
        <v>6</v>
      </c>
      <c r="S252" s="13" t="n">
        <v>0</v>
      </c>
      <c r="T252" s="13" t="n">
        <v>0.8028</v>
      </c>
      <c r="U252" s="13" t="n">
        <v>3.56</v>
      </c>
      <c r="V252" s="13" t="n">
        <f aca="false">M252-SUM(N252:S252)</f>
        <v>0</v>
      </c>
    </row>
    <row r="253" customFormat="false" ht="15" hidden="false" customHeight="true" outlineLevel="0" collapsed="false">
      <c r="A253" s="13" t="n">
        <v>2024</v>
      </c>
      <c r="B253" s="13" t="s">
        <v>1028</v>
      </c>
      <c r="C253" s="13" t="s">
        <v>125</v>
      </c>
      <c r="D253" s="13" t="s">
        <v>1034</v>
      </c>
      <c r="E253" s="13" t="s">
        <v>124</v>
      </c>
      <c r="F253" s="13" t="s">
        <v>357</v>
      </c>
      <c r="G253" s="13" t="n">
        <v>10</v>
      </c>
      <c r="H253" s="13" t="n">
        <v>0</v>
      </c>
      <c r="I253" s="13" t="n">
        <v>10</v>
      </c>
      <c r="J253" s="13" t="n">
        <v>1</v>
      </c>
      <c r="K253" s="13" t="n">
        <v>0</v>
      </c>
      <c r="L253" s="13" t="n">
        <v>4</v>
      </c>
      <c r="M253" s="13" t="n">
        <v>6</v>
      </c>
      <c r="N253" s="13" t="n">
        <v>0</v>
      </c>
      <c r="O253" s="13" t="n">
        <v>0</v>
      </c>
      <c r="P253" s="13" t="n">
        <v>1</v>
      </c>
      <c r="Q253" s="13" t="n">
        <v>3</v>
      </c>
      <c r="R253" s="13" t="n">
        <v>2</v>
      </c>
      <c r="S253" s="13" t="n">
        <v>0</v>
      </c>
      <c r="T253" s="13" t="n">
        <v>0.6</v>
      </c>
      <c r="U253" s="13" t="n">
        <v>1.7</v>
      </c>
      <c r="V253" s="13" t="n">
        <f aca="false">M253-SUM(N253:S253)</f>
        <v>0</v>
      </c>
    </row>
    <row r="254" customFormat="false" ht="15" hidden="false" customHeight="true" outlineLevel="0" collapsed="false">
      <c r="A254" s="13" t="n">
        <v>2024</v>
      </c>
      <c r="B254" s="13" t="s">
        <v>1028</v>
      </c>
      <c r="C254" s="13" t="s">
        <v>125</v>
      </c>
      <c r="D254" s="13" t="s">
        <v>1034</v>
      </c>
      <c r="E254" s="13" t="s">
        <v>122</v>
      </c>
      <c r="F254" s="13" t="s">
        <v>357</v>
      </c>
      <c r="G254" s="13" t="n">
        <v>2</v>
      </c>
      <c r="H254" s="13" t="n">
        <v>0</v>
      </c>
      <c r="I254" s="13" t="n">
        <v>2</v>
      </c>
      <c r="J254" s="13" t="n">
        <v>0</v>
      </c>
      <c r="K254" s="13" t="n">
        <v>0</v>
      </c>
      <c r="L254" s="13" t="n">
        <v>1</v>
      </c>
      <c r="M254" s="13" t="n">
        <v>1</v>
      </c>
      <c r="N254" s="13" t="n">
        <v>0</v>
      </c>
      <c r="O254" s="13" t="n">
        <v>0</v>
      </c>
      <c r="P254" s="13" t="n">
        <v>1</v>
      </c>
      <c r="Q254" s="13" t="n">
        <v>0</v>
      </c>
      <c r="R254" s="13" t="n">
        <v>0</v>
      </c>
      <c r="S254" s="13" t="n">
        <v>0</v>
      </c>
      <c r="T254" s="13" t="n">
        <v>0.5</v>
      </c>
      <c r="U254" s="13" t="n">
        <v>2</v>
      </c>
      <c r="V254" s="13" t="n">
        <f aca="false">M254-SUM(N254:S254)</f>
        <v>0</v>
      </c>
    </row>
    <row r="255" customFormat="false" ht="15" hidden="false" customHeight="true" outlineLevel="0" collapsed="false">
      <c r="A255" s="13" t="n">
        <v>2024</v>
      </c>
      <c r="B255" s="13" t="s">
        <v>1028</v>
      </c>
      <c r="C255" s="13" t="s">
        <v>125</v>
      </c>
      <c r="D255" s="13" t="s">
        <v>1034</v>
      </c>
      <c r="E255" s="13" t="s">
        <v>192</v>
      </c>
      <c r="F255" s="13" t="s">
        <v>652</v>
      </c>
      <c r="G255" s="13" t="n">
        <v>12</v>
      </c>
      <c r="H255" s="13" t="n">
        <v>0</v>
      </c>
      <c r="I255" s="13" t="n">
        <v>12</v>
      </c>
      <c r="J255" s="13" t="n">
        <v>1</v>
      </c>
      <c r="K255" s="13" t="n">
        <v>0</v>
      </c>
      <c r="L255" s="13" t="n">
        <v>5</v>
      </c>
      <c r="M255" s="13" t="n">
        <v>7</v>
      </c>
      <c r="N255" s="13" t="n">
        <v>0</v>
      </c>
      <c r="O255" s="13" t="n">
        <v>0</v>
      </c>
      <c r="P255" s="13" t="n">
        <v>2</v>
      </c>
      <c r="Q255" s="13" t="n">
        <v>3</v>
      </c>
      <c r="R255" s="13" t="n">
        <v>2</v>
      </c>
      <c r="S255" s="13" t="n">
        <v>0</v>
      </c>
      <c r="T255" s="13" t="n">
        <v>0.5833</v>
      </c>
      <c r="U255" s="13" t="n">
        <v>1.75</v>
      </c>
      <c r="V255" s="13" t="n">
        <f aca="false">M255-SUM(N255:S255)</f>
        <v>0</v>
      </c>
    </row>
    <row r="256" customFormat="false" ht="15" hidden="false" customHeight="true" outlineLevel="0" collapsed="false">
      <c r="A256" s="13" t="n">
        <v>2024</v>
      </c>
      <c r="B256" s="13" t="s">
        <v>1028</v>
      </c>
      <c r="C256" s="13" t="s">
        <v>125</v>
      </c>
      <c r="D256" s="13" t="s">
        <v>1035</v>
      </c>
      <c r="E256" s="13" t="s">
        <v>124</v>
      </c>
      <c r="F256" s="13" t="s">
        <v>357</v>
      </c>
      <c r="G256" s="13" t="n">
        <v>49</v>
      </c>
      <c r="H256" s="13" t="n">
        <v>3</v>
      </c>
      <c r="I256" s="13" t="n">
        <v>46</v>
      </c>
      <c r="J256" s="13" t="n">
        <v>0</v>
      </c>
      <c r="K256" s="13" t="n">
        <v>0</v>
      </c>
      <c r="L256" s="13" t="n">
        <v>20</v>
      </c>
      <c r="M256" s="13" t="n">
        <v>26</v>
      </c>
      <c r="N256" s="13" t="n">
        <v>0</v>
      </c>
      <c r="O256" s="13" t="n">
        <v>1</v>
      </c>
      <c r="P256" s="13" t="n">
        <v>6</v>
      </c>
      <c r="Q256" s="13" t="n">
        <v>7</v>
      </c>
      <c r="R256" s="13" t="n">
        <v>12</v>
      </c>
      <c r="S256" s="13" t="n">
        <v>0</v>
      </c>
      <c r="T256" s="13" t="n">
        <v>0.5652</v>
      </c>
      <c r="U256" s="13" t="n">
        <v>1.61</v>
      </c>
      <c r="V256" s="13" t="n">
        <f aca="false">M256-SUM(N256:S256)</f>
        <v>0</v>
      </c>
    </row>
    <row r="257" customFormat="false" ht="15" hidden="false" customHeight="true" outlineLevel="0" collapsed="false">
      <c r="A257" s="13" t="n">
        <v>2024</v>
      </c>
      <c r="B257" s="13" t="s">
        <v>1028</v>
      </c>
      <c r="C257" s="13" t="s">
        <v>125</v>
      </c>
      <c r="D257" s="13" t="s">
        <v>1035</v>
      </c>
      <c r="E257" s="13" t="s">
        <v>122</v>
      </c>
      <c r="F257" s="13" t="s">
        <v>357</v>
      </c>
      <c r="G257" s="13" t="n">
        <v>13</v>
      </c>
      <c r="H257" s="13" t="n">
        <v>0</v>
      </c>
      <c r="I257" s="13" t="n">
        <v>13</v>
      </c>
      <c r="J257" s="13" t="n">
        <v>0</v>
      </c>
      <c r="K257" s="13" t="n">
        <v>0</v>
      </c>
      <c r="L257" s="13" t="n">
        <v>12</v>
      </c>
      <c r="M257" s="13" t="n">
        <v>1</v>
      </c>
      <c r="N257" s="13" t="n">
        <v>0</v>
      </c>
      <c r="O257" s="13" t="n">
        <v>0</v>
      </c>
      <c r="P257" s="13" t="n">
        <v>0</v>
      </c>
      <c r="Q257" s="13" t="n">
        <v>1</v>
      </c>
      <c r="R257" s="13" t="n">
        <v>0</v>
      </c>
      <c r="S257" s="13" t="n">
        <v>0</v>
      </c>
      <c r="T257" s="13" t="n">
        <v>0.0769</v>
      </c>
      <c r="U257" s="13" t="n">
        <v>0.23</v>
      </c>
      <c r="V257" s="13" t="n">
        <f aca="false">M257-SUM(N257:S257)</f>
        <v>0</v>
      </c>
    </row>
    <row r="258" customFormat="false" ht="15" hidden="false" customHeight="true" outlineLevel="0" collapsed="false">
      <c r="A258" s="13" t="n">
        <v>2024</v>
      </c>
      <c r="B258" s="13" t="s">
        <v>1028</v>
      </c>
      <c r="C258" s="13" t="s">
        <v>125</v>
      </c>
      <c r="D258" s="13" t="s">
        <v>1035</v>
      </c>
      <c r="E258" s="13" t="s">
        <v>192</v>
      </c>
      <c r="F258" s="13" t="s">
        <v>652</v>
      </c>
      <c r="G258" s="13" t="n">
        <v>62</v>
      </c>
      <c r="H258" s="13" t="n">
        <v>3</v>
      </c>
      <c r="I258" s="13" t="n">
        <v>59</v>
      </c>
      <c r="J258" s="13" t="n">
        <v>0</v>
      </c>
      <c r="K258" s="13" t="n">
        <v>0</v>
      </c>
      <c r="L258" s="13" t="n">
        <v>32</v>
      </c>
      <c r="M258" s="13" t="n">
        <v>27</v>
      </c>
      <c r="N258" s="13" t="n">
        <v>0</v>
      </c>
      <c r="O258" s="13" t="n">
        <v>1</v>
      </c>
      <c r="P258" s="13" t="n">
        <v>6</v>
      </c>
      <c r="Q258" s="13" t="n">
        <v>8</v>
      </c>
      <c r="R258" s="13" t="n">
        <v>12</v>
      </c>
      <c r="S258" s="13" t="n">
        <v>0</v>
      </c>
      <c r="T258" s="13" t="n">
        <v>0.4576</v>
      </c>
      <c r="U258" s="13" t="n">
        <v>1.31</v>
      </c>
      <c r="V258" s="13" t="n">
        <f aca="false">M258-SUM(N258:S258)</f>
        <v>0</v>
      </c>
    </row>
    <row r="259" customFormat="false" ht="15" hidden="false" customHeight="true" outlineLevel="0" collapsed="false">
      <c r="A259" s="13" t="n">
        <v>2024</v>
      </c>
      <c r="B259" s="13" t="s">
        <v>1028</v>
      </c>
      <c r="C259" s="13" t="s">
        <v>125</v>
      </c>
      <c r="D259" s="13" t="s">
        <v>203</v>
      </c>
      <c r="E259" s="13" t="s">
        <v>124</v>
      </c>
      <c r="F259" s="13" t="s">
        <v>357</v>
      </c>
      <c r="G259" s="13" t="n">
        <v>90</v>
      </c>
      <c r="H259" s="13" t="n">
        <v>4</v>
      </c>
      <c r="I259" s="13" t="n">
        <v>86</v>
      </c>
      <c r="J259" s="13" t="n">
        <v>0</v>
      </c>
      <c r="K259" s="13" t="n">
        <v>0</v>
      </c>
      <c r="L259" s="13" t="n">
        <v>18</v>
      </c>
      <c r="M259" s="13" t="n">
        <v>68</v>
      </c>
      <c r="N259" s="13" t="n">
        <v>0</v>
      </c>
      <c r="O259" s="13" t="n">
        <v>1</v>
      </c>
      <c r="P259" s="13" t="n">
        <v>12</v>
      </c>
      <c r="Q259" s="13" t="n">
        <v>18</v>
      </c>
      <c r="R259" s="13" t="n">
        <v>35</v>
      </c>
      <c r="S259" s="13" t="n">
        <v>2</v>
      </c>
      <c r="T259" s="13" t="n">
        <v>0.7907</v>
      </c>
      <c r="U259" s="13" t="n">
        <v>2.08</v>
      </c>
      <c r="V259" s="13" t="n">
        <f aca="false">M259-SUM(N259:S259)</f>
        <v>0</v>
      </c>
    </row>
    <row r="260" customFormat="false" ht="15" hidden="false" customHeight="true" outlineLevel="0" collapsed="false">
      <c r="A260" s="13" t="n">
        <v>2024</v>
      </c>
      <c r="B260" s="13" t="s">
        <v>1028</v>
      </c>
      <c r="C260" s="13" t="s">
        <v>125</v>
      </c>
      <c r="D260" s="13" t="s">
        <v>203</v>
      </c>
      <c r="E260" s="13" t="s">
        <v>122</v>
      </c>
      <c r="F260" s="13" t="s">
        <v>357</v>
      </c>
      <c r="G260" s="13" t="n">
        <v>62</v>
      </c>
      <c r="H260" s="13" t="n">
        <v>1</v>
      </c>
      <c r="I260" s="13" t="n">
        <v>61</v>
      </c>
      <c r="J260" s="13" t="n">
        <v>2</v>
      </c>
      <c r="K260" s="13" t="n">
        <v>0</v>
      </c>
      <c r="L260" s="13" t="n">
        <v>24</v>
      </c>
      <c r="M260" s="13" t="n">
        <v>37</v>
      </c>
      <c r="N260" s="13" t="n">
        <v>0</v>
      </c>
      <c r="O260" s="13" t="n">
        <v>4</v>
      </c>
      <c r="P260" s="13" t="n">
        <v>6</v>
      </c>
      <c r="Q260" s="13" t="n">
        <v>12</v>
      </c>
      <c r="R260" s="13" t="n">
        <v>13</v>
      </c>
      <c r="S260" s="13" t="n">
        <v>2</v>
      </c>
      <c r="T260" s="13" t="n">
        <v>0.6066</v>
      </c>
      <c r="U260" s="13" t="n">
        <v>1.77</v>
      </c>
      <c r="V260" s="13" t="n">
        <f aca="false">M260-SUM(N260:S260)</f>
        <v>0</v>
      </c>
    </row>
    <row r="261" customFormat="false" ht="15" hidden="false" customHeight="true" outlineLevel="0" collapsed="false">
      <c r="A261" s="13" t="n">
        <v>2024</v>
      </c>
      <c r="B261" s="13" t="s">
        <v>1028</v>
      </c>
      <c r="C261" s="13" t="s">
        <v>125</v>
      </c>
      <c r="D261" s="13" t="s">
        <v>203</v>
      </c>
      <c r="E261" s="13" t="s">
        <v>192</v>
      </c>
      <c r="F261" s="13" t="s">
        <v>652</v>
      </c>
      <c r="G261" s="13" t="n">
        <v>152</v>
      </c>
      <c r="H261" s="13" t="n">
        <v>5</v>
      </c>
      <c r="I261" s="13" t="n">
        <v>147</v>
      </c>
      <c r="J261" s="13" t="n">
        <v>2</v>
      </c>
      <c r="K261" s="13" t="n">
        <v>0</v>
      </c>
      <c r="L261" s="13" t="n">
        <v>42</v>
      </c>
      <c r="M261" s="13" t="n">
        <v>105</v>
      </c>
      <c r="N261" s="13" t="n">
        <v>0</v>
      </c>
      <c r="O261" s="13" t="n">
        <v>5</v>
      </c>
      <c r="P261" s="13" t="n">
        <v>18</v>
      </c>
      <c r="Q261" s="13" t="n">
        <v>30</v>
      </c>
      <c r="R261" s="13" t="n">
        <v>48</v>
      </c>
      <c r="S261" s="13" t="n">
        <v>4</v>
      </c>
      <c r="T261" s="13" t="n">
        <v>0.7143</v>
      </c>
      <c r="U261" s="13" t="n">
        <v>1.95</v>
      </c>
      <c r="V261" s="13" t="n">
        <f aca="false">M261-SUM(N261:S261)</f>
        <v>0</v>
      </c>
    </row>
    <row r="262" customFormat="false" ht="15" hidden="false" customHeight="true" outlineLevel="0" collapsed="false">
      <c r="A262" s="13" t="n">
        <v>2024</v>
      </c>
      <c r="B262" s="13" t="s">
        <v>1028</v>
      </c>
      <c r="C262" s="13" t="s">
        <v>125</v>
      </c>
      <c r="D262" s="13" t="s">
        <v>1037</v>
      </c>
      <c r="E262" s="13" t="s">
        <v>192</v>
      </c>
      <c r="F262" s="13" t="s">
        <v>1038</v>
      </c>
      <c r="G262" s="13" t="n">
        <v>420</v>
      </c>
      <c r="H262" s="13" t="n">
        <v>19</v>
      </c>
      <c r="I262" s="13" t="n">
        <v>401</v>
      </c>
      <c r="J262" s="13" t="n">
        <v>11</v>
      </c>
      <c r="K262" s="13" t="n">
        <v>0</v>
      </c>
      <c r="L262" s="13" t="n">
        <v>129</v>
      </c>
      <c r="M262" s="13" t="n">
        <v>272</v>
      </c>
      <c r="N262" s="13" t="n">
        <v>17</v>
      </c>
      <c r="O262" s="13" t="n">
        <v>21</v>
      </c>
      <c r="P262" s="13" t="n">
        <v>47</v>
      </c>
      <c r="Q262" s="13" t="n">
        <v>83</v>
      </c>
      <c r="R262" s="13" t="n">
        <v>93</v>
      </c>
      <c r="S262" s="13" t="n">
        <v>7</v>
      </c>
      <c r="T262" s="13" t="n">
        <v>0.6783</v>
      </c>
      <c r="U262" s="13" t="n">
        <v>2.09</v>
      </c>
      <c r="V262" s="13" t="n">
        <f aca="false">M262-SUM(N262:S262)</f>
        <v>4</v>
      </c>
    </row>
    <row r="263" customFormat="false" ht="15" hidden="false" customHeight="true" outlineLevel="0" collapsed="false">
      <c r="A263" s="13" t="n">
        <v>2024</v>
      </c>
      <c r="B263" s="13" t="s">
        <v>1028</v>
      </c>
      <c r="C263" s="13" t="s">
        <v>125</v>
      </c>
      <c r="D263" s="13" t="s">
        <v>1037</v>
      </c>
      <c r="E263" s="13" t="s">
        <v>192</v>
      </c>
      <c r="F263" s="13" t="s">
        <v>137</v>
      </c>
      <c r="G263" s="13" t="n">
        <v>2715</v>
      </c>
      <c r="H263" s="13" t="n">
        <v>35</v>
      </c>
      <c r="I263" s="13" t="n">
        <v>2680</v>
      </c>
      <c r="J263" s="13" t="n">
        <v>12</v>
      </c>
      <c r="K263" s="13" t="n">
        <v>0</v>
      </c>
      <c r="L263" s="13" t="n">
        <v>388</v>
      </c>
      <c r="M263" s="13" t="n">
        <v>2291</v>
      </c>
      <c r="N263" s="13" t="n">
        <v>221</v>
      </c>
      <c r="O263" s="13" t="n">
        <v>446</v>
      </c>
      <c r="P263" s="13" t="n">
        <v>704</v>
      </c>
      <c r="Q263" s="13" t="n">
        <v>637</v>
      </c>
      <c r="R263" s="13" t="n">
        <v>266</v>
      </c>
      <c r="S263" s="13" t="n">
        <v>13</v>
      </c>
      <c r="T263" s="13" t="n">
        <v>0.8587</v>
      </c>
      <c r="U263" s="13" t="n">
        <v>3.31</v>
      </c>
      <c r="V263" s="13" t="n">
        <f aca="false">M263-SUM(N263:S263)</f>
        <v>4</v>
      </c>
    </row>
    <row r="264" customFormat="false" ht="15" hidden="false" customHeight="true" outlineLevel="0" collapsed="false">
      <c r="A264" s="13" t="n">
        <v>2024</v>
      </c>
      <c r="B264" s="13" t="s">
        <v>1029</v>
      </c>
      <c r="C264" s="13" t="s">
        <v>121</v>
      </c>
      <c r="D264" s="13" t="s">
        <v>128</v>
      </c>
      <c r="E264" s="13" t="s">
        <v>124</v>
      </c>
      <c r="F264" s="13" t="s">
        <v>357</v>
      </c>
      <c r="G264" s="13" t="n">
        <v>15</v>
      </c>
      <c r="H264" s="13" t="n">
        <v>0</v>
      </c>
      <c r="I264" s="13" t="n">
        <v>15</v>
      </c>
      <c r="J264" s="13" t="n">
        <v>0</v>
      </c>
      <c r="K264" s="13" t="n">
        <v>0</v>
      </c>
      <c r="L264" s="13" t="n">
        <v>0</v>
      </c>
      <c r="M264" s="13" t="n">
        <v>15</v>
      </c>
      <c r="N264" s="13" t="n">
        <v>0</v>
      </c>
      <c r="O264" s="13" t="n">
        <v>0</v>
      </c>
      <c r="P264" s="13" t="n">
        <v>8</v>
      </c>
      <c r="Q264" s="13" t="n">
        <v>6</v>
      </c>
      <c r="R264" s="13" t="n">
        <v>1</v>
      </c>
      <c r="S264" s="13" t="n">
        <v>0</v>
      </c>
      <c r="T264" s="13" t="n">
        <v>1</v>
      </c>
      <c r="U264" s="13" t="n">
        <v>3.47</v>
      </c>
      <c r="V264" s="13" t="n">
        <f aca="false">M264-SUM(N264:S264)</f>
        <v>0</v>
      </c>
    </row>
    <row r="265" customFormat="false" ht="15" hidden="false" customHeight="true" outlineLevel="0" collapsed="false">
      <c r="A265" s="13" t="n">
        <v>2024</v>
      </c>
      <c r="B265" s="13" t="s">
        <v>1029</v>
      </c>
      <c r="C265" s="13" t="s">
        <v>121</v>
      </c>
      <c r="D265" s="13" t="s">
        <v>128</v>
      </c>
      <c r="E265" s="13" t="s">
        <v>122</v>
      </c>
      <c r="F265" s="13" t="s">
        <v>357</v>
      </c>
      <c r="G265" s="13" t="n">
        <v>24</v>
      </c>
      <c r="H265" s="13" t="n">
        <v>1</v>
      </c>
      <c r="I265" s="13" t="n">
        <v>23</v>
      </c>
      <c r="J265" s="13" t="n">
        <v>0</v>
      </c>
      <c r="K265" s="13" t="n">
        <v>0</v>
      </c>
      <c r="L265" s="13" t="n">
        <v>0</v>
      </c>
      <c r="M265" s="13" t="n">
        <v>23</v>
      </c>
      <c r="N265" s="13" t="n">
        <v>0</v>
      </c>
      <c r="O265" s="13" t="n">
        <v>6</v>
      </c>
      <c r="P265" s="13" t="n">
        <v>8</v>
      </c>
      <c r="Q265" s="13" t="n">
        <v>6</v>
      </c>
      <c r="R265" s="13" t="n">
        <v>3</v>
      </c>
      <c r="S265" s="13" t="n">
        <v>0</v>
      </c>
      <c r="T265" s="13" t="n">
        <v>1</v>
      </c>
      <c r="U265" s="13" t="n">
        <v>3.74</v>
      </c>
      <c r="V265" s="13" t="n">
        <f aca="false">M265-SUM(N265:S265)</f>
        <v>0</v>
      </c>
    </row>
    <row r="266" customFormat="false" ht="15" hidden="false" customHeight="true" outlineLevel="0" collapsed="false">
      <c r="A266" s="13" t="n">
        <v>2024</v>
      </c>
      <c r="B266" s="13" t="s">
        <v>1029</v>
      </c>
      <c r="C266" s="13" t="s">
        <v>121</v>
      </c>
      <c r="D266" s="13" t="s">
        <v>128</v>
      </c>
      <c r="E266" s="13" t="s">
        <v>192</v>
      </c>
      <c r="F266" s="13" t="s">
        <v>652</v>
      </c>
      <c r="G266" s="13" t="n">
        <v>39</v>
      </c>
      <c r="H266" s="13" t="n">
        <v>1</v>
      </c>
      <c r="I266" s="13" t="n">
        <v>38</v>
      </c>
      <c r="J266" s="13" t="n">
        <v>0</v>
      </c>
      <c r="K266" s="13" t="n">
        <v>0</v>
      </c>
      <c r="L266" s="13" t="n">
        <v>0</v>
      </c>
      <c r="M266" s="13" t="n">
        <v>38</v>
      </c>
      <c r="N266" s="13" t="n">
        <v>0</v>
      </c>
      <c r="O266" s="13" t="n">
        <v>6</v>
      </c>
      <c r="P266" s="13" t="n">
        <v>16</v>
      </c>
      <c r="Q266" s="13" t="n">
        <v>12</v>
      </c>
      <c r="R266" s="13" t="n">
        <v>4</v>
      </c>
      <c r="S266" s="13" t="n">
        <v>0</v>
      </c>
      <c r="T266" s="13" t="n">
        <v>1</v>
      </c>
      <c r="U266" s="13" t="n">
        <v>3.63</v>
      </c>
      <c r="V266" s="13" t="n">
        <f aca="false">M266-SUM(N266:S266)</f>
        <v>0</v>
      </c>
    </row>
    <row r="267" customFormat="false" ht="15" hidden="false" customHeight="true" outlineLevel="0" collapsed="false">
      <c r="A267" s="13" t="n">
        <v>2024</v>
      </c>
      <c r="B267" s="13" t="s">
        <v>1029</v>
      </c>
      <c r="C267" s="13" t="s">
        <v>121</v>
      </c>
      <c r="D267" s="13" t="s">
        <v>1033</v>
      </c>
      <c r="E267" s="13" t="s">
        <v>124</v>
      </c>
      <c r="F267" s="13" t="s">
        <v>357</v>
      </c>
      <c r="G267" s="13" t="n">
        <v>118</v>
      </c>
      <c r="H267" s="13" t="n">
        <v>1</v>
      </c>
      <c r="I267" s="13" t="n">
        <v>117</v>
      </c>
      <c r="J267" s="13" t="n">
        <v>0</v>
      </c>
      <c r="K267" s="13" t="n">
        <v>0</v>
      </c>
      <c r="L267" s="13" t="n">
        <v>2</v>
      </c>
      <c r="M267" s="13" t="n">
        <v>115</v>
      </c>
      <c r="N267" s="13" t="n">
        <v>19</v>
      </c>
      <c r="O267" s="13" t="n">
        <v>30</v>
      </c>
      <c r="P267" s="13" t="n">
        <v>43</v>
      </c>
      <c r="Q267" s="13" t="n">
        <v>22</v>
      </c>
      <c r="R267" s="13" t="n">
        <v>1</v>
      </c>
      <c r="S267" s="13" t="n">
        <v>0</v>
      </c>
      <c r="T267" s="13" t="n">
        <v>0.9829</v>
      </c>
      <c r="U267" s="13" t="n">
        <v>4.31</v>
      </c>
      <c r="V267" s="13" t="n">
        <f aca="false">M267-SUM(N267:S267)</f>
        <v>0</v>
      </c>
    </row>
    <row r="268" customFormat="false" ht="15" hidden="false" customHeight="true" outlineLevel="0" collapsed="false">
      <c r="A268" s="13" t="n">
        <v>2024</v>
      </c>
      <c r="B268" s="13" t="s">
        <v>1029</v>
      </c>
      <c r="C268" s="13" t="s">
        <v>121</v>
      </c>
      <c r="D268" s="13" t="s">
        <v>1033</v>
      </c>
      <c r="E268" s="13" t="s">
        <v>122</v>
      </c>
      <c r="F268" s="13" t="s">
        <v>357</v>
      </c>
      <c r="G268" s="13" t="n">
        <v>324</v>
      </c>
      <c r="H268" s="13" t="n">
        <v>0</v>
      </c>
      <c r="I268" s="13" t="n">
        <v>324</v>
      </c>
      <c r="J268" s="13" t="n">
        <v>0</v>
      </c>
      <c r="K268" s="13" t="n">
        <v>0</v>
      </c>
      <c r="L268" s="13" t="n">
        <v>4</v>
      </c>
      <c r="M268" s="13" t="n">
        <v>320</v>
      </c>
      <c r="N268" s="13" t="n">
        <v>97</v>
      </c>
      <c r="O268" s="13" t="n">
        <v>114</v>
      </c>
      <c r="P268" s="13" t="n">
        <v>84</v>
      </c>
      <c r="Q268" s="13" t="n">
        <v>25</v>
      </c>
      <c r="R268" s="13" t="n">
        <v>0</v>
      </c>
      <c r="S268" s="13" t="n">
        <v>0</v>
      </c>
      <c r="T268" s="13" t="n">
        <v>0.9877</v>
      </c>
      <c r="U268" s="13" t="n">
        <v>4.82</v>
      </c>
      <c r="V268" s="13" t="n">
        <f aca="false">M268-SUM(N268:S268)</f>
        <v>0</v>
      </c>
    </row>
    <row r="269" customFormat="false" ht="15" hidden="false" customHeight="true" outlineLevel="0" collapsed="false">
      <c r="A269" s="13" t="n">
        <v>2024</v>
      </c>
      <c r="B269" s="13" t="s">
        <v>1029</v>
      </c>
      <c r="C269" s="13" t="s">
        <v>121</v>
      </c>
      <c r="D269" s="13" t="s">
        <v>1033</v>
      </c>
      <c r="E269" s="13" t="s">
        <v>192</v>
      </c>
      <c r="F269" s="13" t="s">
        <v>652</v>
      </c>
      <c r="G269" s="13" t="n">
        <v>442</v>
      </c>
      <c r="H269" s="13" t="n">
        <v>1</v>
      </c>
      <c r="I269" s="13" t="n">
        <v>441</v>
      </c>
      <c r="J269" s="13" t="n">
        <v>0</v>
      </c>
      <c r="K269" s="13" t="n">
        <v>0</v>
      </c>
      <c r="L269" s="13" t="n">
        <v>6</v>
      </c>
      <c r="M269" s="13" t="n">
        <v>435</v>
      </c>
      <c r="N269" s="13" t="n">
        <v>116</v>
      </c>
      <c r="O269" s="13" t="n">
        <v>144</v>
      </c>
      <c r="P269" s="13" t="n">
        <v>127</v>
      </c>
      <c r="Q269" s="13" t="n">
        <v>47</v>
      </c>
      <c r="R269" s="13" t="n">
        <v>1</v>
      </c>
      <c r="S269" s="13" t="n">
        <v>0</v>
      </c>
      <c r="T269" s="13" t="n">
        <v>0.9864</v>
      </c>
      <c r="U269" s="13" t="n">
        <v>4.69</v>
      </c>
      <c r="V269" s="13" t="n">
        <f aca="false">M269-SUM(N269:S269)</f>
        <v>0</v>
      </c>
    </row>
    <row r="270" customFormat="false" ht="15" hidden="false" customHeight="true" outlineLevel="0" collapsed="false">
      <c r="A270" s="13" t="n">
        <v>2024</v>
      </c>
      <c r="B270" s="13" t="s">
        <v>1029</v>
      </c>
      <c r="C270" s="13" t="s">
        <v>121</v>
      </c>
      <c r="D270" s="13" t="s">
        <v>1034</v>
      </c>
      <c r="E270" s="13" t="s">
        <v>124</v>
      </c>
      <c r="F270" s="13" t="s">
        <v>357</v>
      </c>
      <c r="G270" s="13" t="n">
        <v>65</v>
      </c>
      <c r="H270" s="13" t="n">
        <v>0</v>
      </c>
      <c r="I270" s="13" t="n">
        <v>65</v>
      </c>
      <c r="J270" s="13" t="n">
        <v>0</v>
      </c>
      <c r="K270" s="13" t="n">
        <v>0</v>
      </c>
      <c r="L270" s="13" t="n">
        <v>6</v>
      </c>
      <c r="M270" s="13" t="n">
        <v>59</v>
      </c>
      <c r="N270" s="13" t="n">
        <v>3</v>
      </c>
      <c r="O270" s="13" t="n">
        <v>15</v>
      </c>
      <c r="P270" s="13" t="n">
        <v>34</v>
      </c>
      <c r="Q270" s="13" t="n">
        <v>7</v>
      </c>
      <c r="R270" s="13" t="n">
        <v>0</v>
      </c>
      <c r="S270" s="13" t="n">
        <v>0</v>
      </c>
      <c r="T270" s="13" t="n">
        <v>0.9077</v>
      </c>
      <c r="U270" s="13" t="n">
        <v>3.85</v>
      </c>
      <c r="V270" s="13" t="n">
        <f aca="false">M270-SUM(N270:S270)</f>
        <v>0</v>
      </c>
    </row>
    <row r="271" customFormat="false" ht="15" hidden="false" customHeight="true" outlineLevel="0" collapsed="false">
      <c r="A271" s="13" t="n">
        <v>2024</v>
      </c>
      <c r="B271" s="13" t="s">
        <v>1029</v>
      </c>
      <c r="C271" s="13" t="s">
        <v>121</v>
      </c>
      <c r="D271" s="13" t="s">
        <v>1034</v>
      </c>
      <c r="E271" s="13" t="s">
        <v>122</v>
      </c>
      <c r="F271" s="13" t="s">
        <v>357</v>
      </c>
      <c r="G271" s="13" t="n">
        <v>27</v>
      </c>
      <c r="H271" s="13" t="n">
        <v>0</v>
      </c>
      <c r="I271" s="13" t="n">
        <v>27</v>
      </c>
      <c r="J271" s="13" t="n">
        <v>0</v>
      </c>
      <c r="K271" s="13" t="n">
        <v>0</v>
      </c>
      <c r="L271" s="13" t="n">
        <v>1</v>
      </c>
      <c r="M271" s="13" t="n">
        <v>26</v>
      </c>
      <c r="N271" s="13" t="n">
        <v>6</v>
      </c>
      <c r="O271" s="13" t="n">
        <v>10</v>
      </c>
      <c r="P271" s="13" t="n">
        <v>7</v>
      </c>
      <c r="Q271" s="13" t="n">
        <v>3</v>
      </c>
      <c r="R271" s="13" t="n">
        <v>0</v>
      </c>
      <c r="S271" s="13" t="n">
        <v>0</v>
      </c>
      <c r="T271" s="13" t="n">
        <v>0.963</v>
      </c>
      <c r="U271" s="13" t="n">
        <v>4.56</v>
      </c>
      <c r="V271" s="13" t="n">
        <f aca="false">M271-SUM(N271:S271)</f>
        <v>0</v>
      </c>
    </row>
    <row r="272" customFormat="false" ht="15" hidden="false" customHeight="true" outlineLevel="0" collapsed="false">
      <c r="A272" s="13" t="n">
        <v>2024</v>
      </c>
      <c r="B272" s="13" t="s">
        <v>1029</v>
      </c>
      <c r="C272" s="13" t="s">
        <v>121</v>
      </c>
      <c r="D272" s="13" t="s">
        <v>1034</v>
      </c>
      <c r="E272" s="13" t="s">
        <v>192</v>
      </c>
      <c r="F272" s="13" t="s">
        <v>652</v>
      </c>
      <c r="G272" s="13" t="n">
        <v>92</v>
      </c>
      <c r="H272" s="13" t="n">
        <v>0</v>
      </c>
      <c r="I272" s="13" t="n">
        <v>92</v>
      </c>
      <c r="J272" s="13" t="n">
        <v>0</v>
      </c>
      <c r="K272" s="13" t="n">
        <v>0</v>
      </c>
      <c r="L272" s="13" t="n">
        <v>7</v>
      </c>
      <c r="M272" s="13" t="n">
        <v>85</v>
      </c>
      <c r="N272" s="13" t="n">
        <v>9</v>
      </c>
      <c r="O272" s="13" t="n">
        <v>25</v>
      </c>
      <c r="P272" s="13" t="n">
        <v>41</v>
      </c>
      <c r="Q272" s="13" t="n">
        <v>10</v>
      </c>
      <c r="R272" s="13" t="n">
        <v>0</v>
      </c>
      <c r="S272" s="13" t="n">
        <v>0</v>
      </c>
      <c r="T272" s="13" t="n">
        <v>0.9239</v>
      </c>
      <c r="U272" s="13" t="n">
        <v>4.05</v>
      </c>
      <c r="V272" s="13" t="n">
        <f aca="false">M272-SUM(N272:S272)</f>
        <v>0</v>
      </c>
    </row>
    <row r="273" customFormat="false" ht="15" hidden="false" customHeight="true" outlineLevel="0" collapsed="false">
      <c r="A273" s="13" t="n">
        <v>2024</v>
      </c>
      <c r="B273" s="13" t="s">
        <v>1029</v>
      </c>
      <c r="C273" s="13" t="s">
        <v>121</v>
      </c>
      <c r="D273" s="13" t="s">
        <v>1035</v>
      </c>
      <c r="E273" s="13" t="s">
        <v>124</v>
      </c>
      <c r="F273" s="13" t="s">
        <v>357</v>
      </c>
      <c r="G273" s="13" t="n">
        <v>162</v>
      </c>
      <c r="H273" s="13" t="n">
        <v>0</v>
      </c>
      <c r="I273" s="13" t="n">
        <v>162</v>
      </c>
      <c r="J273" s="13" t="n">
        <v>0</v>
      </c>
      <c r="K273" s="13" t="n">
        <v>0</v>
      </c>
      <c r="L273" s="13" t="n">
        <v>40</v>
      </c>
      <c r="M273" s="13" t="n">
        <v>122</v>
      </c>
      <c r="N273" s="13" t="n">
        <v>3</v>
      </c>
      <c r="O273" s="13" t="n">
        <v>29</v>
      </c>
      <c r="P273" s="13" t="n">
        <v>65</v>
      </c>
      <c r="Q273" s="13" t="n">
        <v>25</v>
      </c>
      <c r="R273" s="13" t="n">
        <v>0</v>
      </c>
      <c r="S273" s="13" t="n">
        <v>0</v>
      </c>
      <c r="T273" s="13" t="n">
        <v>0.7531</v>
      </c>
      <c r="U273" s="13" t="n">
        <v>3.07</v>
      </c>
      <c r="V273" s="13" t="n">
        <f aca="false">M273-SUM(N273:S273)</f>
        <v>0</v>
      </c>
    </row>
    <row r="274" customFormat="false" ht="15" hidden="false" customHeight="true" outlineLevel="0" collapsed="false">
      <c r="A274" s="13" t="n">
        <v>2024</v>
      </c>
      <c r="B274" s="13" t="s">
        <v>1029</v>
      </c>
      <c r="C274" s="13" t="s">
        <v>121</v>
      </c>
      <c r="D274" s="13" t="s">
        <v>1035</v>
      </c>
      <c r="E274" s="13" t="s">
        <v>122</v>
      </c>
      <c r="F274" s="13" t="s">
        <v>357</v>
      </c>
      <c r="G274" s="13" t="n">
        <v>63</v>
      </c>
      <c r="H274" s="13" t="n">
        <v>0</v>
      </c>
      <c r="I274" s="13" t="n">
        <v>63</v>
      </c>
      <c r="J274" s="13" t="n">
        <v>0</v>
      </c>
      <c r="K274" s="13" t="n">
        <v>0</v>
      </c>
      <c r="L274" s="13" t="n">
        <v>12</v>
      </c>
      <c r="M274" s="13" t="n">
        <v>51</v>
      </c>
      <c r="N274" s="13" t="n">
        <v>6</v>
      </c>
      <c r="O274" s="13" t="n">
        <v>18</v>
      </c>
      <c r="P274" s="13" t="n">
        <v>19</v>
      </c>
      <c r="Q274" s="13" t="n">
        <v>8</v>
      </c>
      <c r="R274" s="13" t="n">
        <v>0</v>
      </c>
      <c r="S274" s="13" t="n">
        <v>0</v>
      </c>
      <c r="T274" s="13" t="n">
        <v>0.8095</v>
      </c>
      <c r="U274" s="13" t="n">
        <v>3.59</v>
      </c>
      <c r="V274" s="13" t="n">
        <f aca="false">M274-SUM(N274:S274)</f>
        <v>0</v>
      </c>
    </row>
    <row r="275" customFormat="false" ht="15" hidden="false" customHeight="true" outlineLevel="0" collapsed="false">
      <c r="A275" s="13" t="n">
        <v>2024</v>
      </c>
      <c r="B275" s="13" t="s">
        <v>1029</v>
      </c>
      <c r="C275" s="13" t="s">
        <v>121</v>
      </c>
      <c r="D275" s="13" t="s">
        <v>1035</v>
      </c>
      <c r="E275" s="13" t="s">
        <v>192</v>
      </c>
      <c r="F275" s="13" t="s">
        <v>652</v>
      </c>
      <c r="G275" s="13" t="n">
        <v>225</v>
      </c>
      <c r="H275" s="13" t="n">
        <v>0</v>
      </c>
      <c r="I275" s="13" t="n">
        <v>225</v>
      </c>
      <c r="J275" s="13" t="n">
        <v>0</v>
      </c>
      <c r="K275" s="13" t="n">
        <v>0</v>
      </c>
      <c r="L275" s="13" t="n">
        <v>52</v>
      </c>
      <c r="M275" s="13" t="n">
        <v>173</v>
      </c>
      <c r="N275" s="13" t="n">
        <v>9</v>
      </c>
      <c r="O275" s="13" t="n">
        <v>47</v>
      </c>
      <c r="P275" s="13" t="n">
        <v>84</v>
      </c>
      <c r="Q275" s="13" t="n">
        <v>33</v>
      </c>
      <c r="R275" s="13" t="n">
        <v>0</v>
      </c>
      <c r="S275" s="13" t="n">
        <v>0</v>
      </c>
      <c r="T275" s="13" t="n">
        <v>0.7689</v>
      </c>
      <c r="U275" s="13" t="n">
        <v>3.22</v>
      </c>
      <c r="V275" s="13" t="n">
        <f aca="false">M275-SUM(N275:S275)</f>
        <v>0</v>
      </c>
    </row>
    <row r="276" customFormat="false" ht="15" hidden="false" customHeight="true" outlineLevel="0" collapsed="false">
      <c r="A276" s="13" t="n">
        <v>2024</v>
      </c>
      <c r="B276" s="13" t="s">
        <v>1029</v>
      </c>
      <c r="C276" s="13" t="s">
        <v>121</v>
      </c>
      <c r="D276" s="13" t="s">
        <v>1037</v>
      </c>
      <c r="E276" s="13" t="s">
        <v>192</v>
      </c>
      <c r="F276" s="13" t="s">
        <v>1038</v>
      </c>
      <c r="G276" s="13" t="n">
        <v>798</v>
      </c>
      <c r="H276" s="13" t="n">
        <v>2</v>
      </c>
      <c r="I276" s="13" t="n">
        <v>796</v>
      </c>
      <c r="J276" s="13" t="n">
        <v>0</v>
      </c>
      <c r="K276" s="13" t="n">
        <v>0</v>
      </c>
      <c r="L276" s="13" t="n">
        <v>65</v>
      </c>
      <c r="M276" s="13" t="n">
        <v>731</v>
      </c>
      <c r="N276" s="13" t="n">
        <v>134</v>
      </c>
      <c r="O276" s="13" t="n">
        <v>222</v>
      </c>
      <c r="P276" s="13" t="n">
        <v>268</v>
      </c>
      <c r="Q276" s="13" t="n">
        <v>102</v>
      </c>
      <c r="R276" s="13" t="n">
        <v>5</v>
      </c>
      <c r="S276" s="13" t="n">
        <v>0</v>
      </c>
      <c r="T276" s="13" t="n">
        <v>0.9183</v>
      </c>
      <c r="U276" s="13" t="n">
        <v>4.15</v>
      </c>
      <c r="V276" s="13" t="n">
        <f aca="false">M276-SUM(N276:S276)</f>
        <v>0</v>
      </c>
    </row>
    <row r="277" customFormat="false" ht="15" hidden="false" customHeight="true" outlineLevel="0" collapsed="false">
      <c r="A277" s="13" t="n">
        <v>2024</v>
      </c>
      <c r="B277" s="13" t="s">
        <v>1029</v>
      </c>
      <c r="C277" s="13" t="s">
        <v>125</v>
      </c>
      <c r="D277" s="13" t="s">
        <v>128</v>
      </c>
      <c r="E277" s="13" t="s">
        <v>124</v>
      </c>
      <c r="F277" s="13" t="s">
        <v>357</v>
      </c>
      <c r="G277" s="13" t="n">
        <v>6</v>
      </c>
      <c r="H277" s="13" t="n">
        <v>0</v>
      </c>
      <c r="I277" s="13" t="n">
        <v>6</v>
      </c>
      <c r="J277" s="13" t="n">
        <v>0</v>
      </c>
      <c r="K277" s="13" t="n">
        <v>0</v>
      </c>
      <c r="L277" s="13" t="n">
        <v>1</v>
      </c>
      <c r="M277" s="13" t="n">
        <v>5</v>
      </c>
      <c r="N277" s="13" t="n">
        <v>0</v>
      </c>
      <c r="O277" s="13" t="n">
        <v>1</v>
      </c>
      <c r="P277" s="13" t="n">
        <v>1</v>
      </c>
      <c r="Q277" s="13" t="n">
        <v>1</v>
      </c>
      <c r="R277" s="13" t="n">
        <v>2</v>
      </c>
      <c r="S277" s="13" t="n">
        <v>0</v>
      </c>
      <c r="T277" s="13" t="n">
        <v>0.8333</v>
      </c>
      <c r="U277" s="13" t="n">
        <v>2.67</v>
      </c>
      <c r="V277" s="13" t="n">
        <f aca="false">M277-SUM(N277:S277)</f>
        <v>0</v>
      </c>
    </row>
    <row r="278" customFormat="false" ht="15" hidden="false" customHeight="true" outlineLevel="0" collapsed="false">
      <c r="A278" s="13" t="n">
        <v>2024</v>
      </c>
      <c r="B278" s="13" t="s">
        <v>1029</v>
      </c>
      <c r="C278" s="13" t="s">
        <v>125</v>
      </c>
      <c r="D278" s="13" t="s">
        <v>128</v>
      </c>
      <c r="E278" s="13" t="s">
        <v>122</v>
      </c>
      <c r="F278" s="13" t="s">
        <v>357</v>
      </c>
      <c r="G278" s="13" t="n">
        <v>13</v>
      </c>
      <c r="H278" s="13" t="n">
        <v>0</v>
      </c>
      <c r="I278" s="13" t="n">
        <v>13</v>
      </c>
      <c r="J278" s="13" t="n">
        <v>0</v>
      </c>
      <c r="K278" s="13" t="n">
        <v>0</v>
      </c>
      <c r="L278" s="13" t="n">
        <v>0</v>
      </c>
      <c r="M278" s="13" t="n">
        <v>13</v>
      </c>
      <c r="N278" s="13" t="n">
        <v>2</v>
      </c>
      <c r="O278" s="13" t="n">
        <v>5</v>
      </c>
      <c r="P278" s="13" t="n">
        <v>3</v>
      </c>
      <c r="Q278" s="13" t="n">
        <v>1</v>
      </c>
      <c r="R278" s="13" t="n">
        <v>0</v>
      </c>
      <c r="S278" s="13" t="n">
        <v>0</v>
      </c>
      <c r="T278" s="13" t="n">
        <v>1</v>
      </c>
      <c r="U278" s="13" t="n">
        <v>4</v>
      </c>
      <c r="V278" s="13" t="n">
        <f aca="false">M278-SUM(N278:S278)</f>
        <v>2</v>
      </c>
    </row>
    <row r="279" customFormat="false" ht="15" hidden="false" customHeight="true" outlineLevel="0" collapsed="false">
      <c r="A279" s="13" t="n">
        <v>2024</v>
      </c>
      <c r="B279" s="13" t="s">
        <v>1029</v>
      </c>
      <c r="C279" s="13" t="s">
        <v>125</v>
      </c>
      <c r="D279" s="13" t="s">
        <v>128</v>
      </c>
      <c r="E279" s="13" t="s">
        <v>192</v>
      </c>
      <c r="F279" s="13" t="s">
        <v>652</v>
      </c>
      <c r="G279" s="13" t="n">
        <v>19</v>
      </c>
      <c r="H279" s="13" t="n">
        <v>0</v>
      </c>
      <c r="I279" s="13" t="n">
        <v>19</v>
      </c>
      <c r="J279" s="13" t="n">
        <v>0</v>
      </c>
      <c r="K279" s="13" t="n">
        <v>0</v>
      </c>
      <c r="L279" s="13" t="n">
        <v>1</v>
      </c>
      <c r="M279" s="13" t="n">
        <v>18</v>
      </c>
      <c r="N279" s="13" t="n">
        <v>2</v>
      </c>
      <c r="O279" s="13" t="n">
        <v>6</v>
      </c>
      <c r="P279" s="13" t="n">
        <v>4</v>
      </c>
      <c r="Q279" s="13" t="n">
        <v>2</v>
      </c>
      <c r="R279" s="13" t="n">
        <v>2</v>
      </c>
      <c r="S279" s="13" t="n">
        <v>0</v>
      </c>
      <c r="T279" s="13" t="n">
        <v>0.9474</v>
      </c>
      <c r="U279" s="13" t="n">
        <v>3.58</v>
      </c>
      <c r="V279" s="13" t="n">
        <f aca="false">M279-SUM(N279:S279)</f>
        <v>2</v>
      </c>
    </row>
    <row r="280" customFormat="false" ht="15" hidden="false" customHeight="true" outlineLevel="0" collapsed="false">
      <c r="A280" s="13" t="n">
        <v>2024</v>
      </c>
      <c r="B280" s="13" t="s">
        <v>1029</v>
      </c>
      <c r="C280" s="13" t="s">
        <v>125</v>
      </c>
      <c r="D280" s="13" t="s">
        <v>1033</v>
      </c>
      <c r="E280" s="13" t="s">
        <v>124</v>
      </c>
      <c r="F280" s="13" t="s">
        <v>357</v>
      </c>
      <c r="G280" s="13" t="n">
        <v>15</v>
      </c>
      <c r="H280" s="13" t="n">
        <v>3</v>
      </c>
      <c r="I280" s="13" t="n">
        <v>12</v>
      </c>
      <c r="J280" s="13" t="n">
        <v>0</v>
      </c>
      <c r="K280" s="13" t="n">
        <v>0</v>
      </c>
      <c r="L280" s="13" t="n">
        <v>4</v>
      </c>
      <c r="M280" s="13" t="n">
        <v>8</v>
      </c>
      <c r="N280" s="13" t="n">
        <v>3</v>
      </c>
      <c r="O280" s="13" t="n">
        <v>3</v>
      </c>
      <c r="P280" s="13" t="n">
        <v>1</v>
      </c>
      <c r="Q280" s="13" t="n">
        <v>1</v>
      </c>
      <c r="R280" s="13" t="n">
        <v>0</v>
      </c>
      <c r="S280" s="13" t="n">
        <v>0</v>
      </c>
      <c r="T280" s="13" t="n">
        <v>0.6667</v>
      </c>
      <c r="U280" s="13" t="n">
        <v>3.33</v>
      </c>
      <c r="V280" s="13" t="n">
        <f aca="false">M280-SUM(N280:S280)</f>
        <v>0</v>
      </c>
    </row>
    <row r="281" customFormat="false" ht="15" hidden="false" customHeight="true" outlineLevel="0" collapsed="false">
      <c r="A281" s="13" t="n">
        <v>2024</v>
      </c>
      <c r="B281" s="13" t="s">
        <v>1029</v>
      </c>
      <c r="C281" s="13" t="s">
        <v>125</v>
      </c>
      <c r="D281" s="13" t="s">
        <v>1033</v>
      </c>
      <c r="E281" s="13" t="s">
        <v>122</v>
      </c>
      <c r="F281" s="13" t="s">
        <v>357</v>
      </c>
      <c r="G281" s="13" t="n">
        <v>43</v>
      </c>
      <c r="H281" s="13" t="n">
        <v>0</v>
      </c>
      <c r="I281" s="13" t="n">
        <v>43</v>
      </c>
      <c r="J281" s="13" t="n">
        <v>0</v>
      </c>
      <c r="K281" s="13" t="n">
        <v>0</v>
      </c>
      <c r="L281" s="13" t="n">
        <v>0</v>
      </c>
      <c r="M281" s="13" t="n">
        <v>43</v>
      </c>
      <c r="N281" s="13" t="n">
        <v>34</v>
      </c>
      <c r="O281" s="13" t="n">
        <v>9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1</v>
      </c>
      <c r="U281" s="13" t="n">
        <v>5.79</v>
      </c>
      <c r="V281" s="13" t="n">
        <f aca="false">M281-SUM(N281:S281)</f>
        <v>0</v>
      </c>
    </row>
    <row r="282" customFormat="false" ht="15" hidden="false" customHeight="true" outlineLevel="0" collapsed="false">
      <c r="A282" s="13" t="n">
        <v>2024</v>
      </c>
      <c r="B282" s="13" t="s">
        <v>1029</v>
      </c>
      <c r="C282" s="13" t="s">
        <v>125</v>
      </c>
      <c r="D282" s="13" t="s">
        <v>1033</v>
      </c>
      <c r="E282" s="13" t="s">
        <v>192</v>
      </c>
      <c r="F282" s="13" t="s">
        <v>652</v>
      </c>
      <c r="G282" s="13" t="n">
        <v>58</v>
      </c>
      <c r="H282" s="13" t="n">
        <v>3</v>
      </c>
      <c r="I282" s="13" t="n">
        <v>55</v>
      </c>
      <c r="J282" s="13" t="n">
        <v>0</v>
      </c>
      <c r="K282" s="13" t="n">
        <v>0</v>
      </c>
      <c r="L282" s="13" t="n">
        <v>4</v>
      </c>
      <c r="M282" s="13" t="n">
        <v>51</v>
      </c>
      <c r="N282" s="13" t="n">
        <v>37</v>
      </c>
      <c r="O282" s="13" t="n">
        <v>12</v>
      </c>
      <c r="P282" s="13" t="n">
        <v>1</v>
      </c>
      <c r="Q282" s="13" t="n">
        <v>1</v>
      </c>
      <c r="R282" s="13" t="n">
        <v>0</v>
      </c>
      <c r="S282" s="13" t="n">
        <v>0</v>
      </c>
      <c r="T282" s="13" t="n">
        <v>0.9273</v>
      </c>
      <c r="U282" s="13" t="n">
        <v>5.25</v>
      </c>
      <c r="V282" s="13" t="n">
        <f aca="false">M282-SUM(N282:S282)</f>
        <v>0</v>
      </c>
    </row>
    <row r="283" customFormat="false" ht="15" hidden="false" customHeight="true" outlineLevel="0" collapsed="false">
      <c r="A283" s="13" t="n">
        <v>2024</v>
      </c>
      <c r="B283" s="13" t="s">
        <v>1029</v>
      </c>
      <c r="C283" s="13" t="s">
        <v>125</v>
      </c>
      <c r="D283" s="13" t="s">
        <v>1034</v>
      </c>
      <c r="E283" s="13" t="s">
        <v>124</v>
      </c>
      <c r="F283" s="13" t="s">
        <v>357</v>
      </c>
      <c r="G283" s="13" t="n">
        <v>5</v>
      </c>
      <c r="H283" s="13" t="n">
        <v>0</v>
      </c>
      <c r="I283" s="13" t="n">
        <v>5</v>
      </c>
      <c r="J283" s="13" t="n">
        <v>0</v>
      </c>
      <c r="K283" s="13" t="n">
        <v>0</v>
      </c>
      <c r="L283" s="13" t="n">
        <v>2</v>
      </c>
      <c r="M283" s="13" t="n">
        <v>3</v>
      </c>
      <c r="N283" s="13" t="n">
        <v>0</v>
      </c>
      <c r="O283" s="13" t="n">
        <v>1</v>
      </c>
      <c r="P283" s="13" t="n">
        <v>1</v>
      </c>
      <c r="Q283" s="13" t="n">
        <v>1</v>
      </c>
      <c r="R283" s="13" t="n">
        <v>0</v>
      </c>
      <c r="S283" s="13" t="n">
        <v>0</v>
      </c>
      <c r="T283" s="13" t="n">
        <v>0.6</v>
      </c>
      <c r="U283" s="13" t="n">
        <v>2.4</v>
      </c>
      <c r="V283" s="13" t="n">
        <f aca="false">M283-SUM(N283:S283)</f>
        <v>0</v>
      </c>
    </row>
    <row r="284" customFormat="false" ht="15" hidden="false" customHeight="true" outlineLevel="0" collapsed="false">
      <c r="A284" s="13" t="n">
        <v>2024</v>
      </c>
      <c r="B284" s="13" t="s">
        <v>1029</v>
      </c>
      <c r="C284" s="13" t="s">
        <v>125</v>
      </c>
      <c r="D284" s="13" t="s">
        <v>1034</v>
      </c>
      <c r="E284" s="13" t="s">
        <v>192</v>
      </c>
      <c r="F284" s="13" t="s">
        <v>652</v>
      </c>
      <c r="G284" s="13" t="n">
        <v>5</v>
      </c>
      <c r="H284" s="13" t="n">
        <v>0</v>
      </c>
      <c r="I284" s="13" t="n">
        <v>5</v>
      </c>
      <c r="J284" s="13" t="n">
        <v>0</v>
      </c>
      <c r="K284" s="13" t="n">
        <v>0</v>
      </c>
      <c r="L284" s="13" t="n">
        <v>2</v>
      </c>
      <c r="M284" s="13" t="n">
        <v>3</v>
      </c>
      <c r="N284" s="13" t="n">
        <v>0</v>
      </c>
      <c r="O284" s="13" t="n">
        <v>1</v>
      </c>
      <c r="P284" s="13" t="n">
        <v>1</v>
      </c>
      <c r="Q284" s="13" t="n">
        <v>1</v>
      </c>
      <c r="R284" s="13" t="n">
        <v>0</v>
      </c>
      <c r="S284" s="13" t="n">
        <v>0</v>
      </c>
      <c r="T284" s="13" t="n">
        <v>0.6</v>
      </c>
      <c r="U284" s="13" t="n">
        <v>2.4</v>
      </c>
      <c r="V284" s="13" t="n">
        <f aca="false">M284-SUM(N284:S284)</f>
        <v>0</v>
      </c>
    </row>
    <row r="285" customFormat="false" ht="15" hidden="false" customHeight="true" outlineLevel="0" collapsed="false">
      <c r="A285" s="13" t="n">
        <v>2024</v>
      </c>
      <c r="B285" s="13" t="s">
        <v>1029</v>
      </c>
      <c r="C285" s="13" t="s">
        <v>125</v>
      </c>
      <c r="D285" s="13" t="s">
        <v>1035</v>
      </c>
      <c r="E285" s="13" t="s">
        <v>124</v>
      </c>
      <c r="F285" s="13" t="s">
        <v>357</v>
      </c>
      <c r="G285" s="13" t="n">
        <v>16</v>
      </c>
      <c r="H285" s="13" t="n">
        <v>1</v>
      </c>
      <c r="I285" s="13" t="n">
        <v>15</v>
      </c>
      <c r="J285" s="13" t="n">
        <v>0</v>
      </c>
      <c r="K285" s="13" t="n">
        <v>0</v>
      </c>
      <c r="L285" s="13" t="n">
        <v>8</v>
      </c>
      <c r="M285" s="13" t="n">
        <v>7</v>
      </c>
      <c r="N285" s="13" t="n">
        <v>0</v>
      </c>
      <c r="O285" s="13" t="n">
        <v>1</v>
      </c>
      <c r="P285" s="13" t="n">
        <v>3</v>
      </c>
      <c r="Q285" s="13" t="n">
        <v>2</v>
      </c>
      <c r="R285" s="13" t="n">
        <v>1</v>
      </c>
      <c r="S285" s="13" t="n">
        <v>0</v>
      </c>
      <c r="T285" s="13" t="n">
        <v>0.4667</v>
      </c>
      <c r="U285" s="13" t="n">
        <v>1.67</v>
      </c>
      <c r="V285" s="13" t="n">
        <f aca="false">M285-SUM(N285:S285)</f>
        <v>0</v>
      </c>
    </row>
    <row r="286" customFormat="false" ht="15" hidden="false" customHeight="true" outlineLevel="0" collapsed="false">
      <c r="A286" s="13" t="n">
        <v>2024</v>
      </c>
      <c r="B286" s="13" t="s">
        <v>1029</v>
      </c>
      <c r="C286" s="13" t="s">
        <v>125</v>
      </c>
      <c r="D286" s="13" t="s">
        <v>1035</v>
      </c>
      <c r="E286" s="13" t="s">
        <v>122</v>
      </c>
      <c r="F286" s="13" t="s">
        <v>357</v>
      </c>
      <c r="G286" s="13" t="n">
        <v>2</v>
      </c>
      <c r="H286" s="13" t="n">
        <v>0</v>
      </c>
      <c r="I286" s="13" t="n">
        <v>2</v>
      </c>
      <c r="J286" s="13" t="n">
        <v>0</v>
      </c>
      <c r="K286" s="13" t="n">
        <v>0</v>
      </c>
      <c r="L286" s="13" t="n">
        <v>1</v>
      </c>
      <c r="M286" s="13" t="n">
        <v>1</v>
      </c>
      <c r="N286" s="13" t="n">
        <v>0</v>
      </c>
      <c r="O286" s="13" t="n">
        <v>1</v>
      </c>
      <c r="P286" s="13" t="n">
        <v>0</v>
      </c>
      <c r="Q286" s="13" t="n">
        <v>0</v>
      </c>
      <c r="R286" s="13" t="n">
        <v>0</v>
      </c>
      <c r="S286" s="13" t="n">
        <v>0</v>
      </c>
      <c r="T286" s="13" t="n">
        <v>0.5</v>
      </c>
      <c r="U286" s="13" t="n">
        <v>2.5</v>
      </c>
      <c r="V286" s="13" t="n">
        <f aca="false">M286-SUM(N286:S286)</f>
        <v>0</v>
      </c>
    </row>
    <row r="287" customFormat="false" ht="15" hidden="false" customHeight="true" outlineLevel="0" collapsed="false">
      <c r="A287" s="13" t="n">
        <v>2024</v>
      </c>
      <c r="B287" s="13" t="s">
        <v>1029</v>
      </c>
      <c r="C287" s="13" t="s">
        <v>125</v>
      </c>
      <c r="D287" s="13" t="s">
        <v>1035</v>
      </c>
      <c r="E287" s="13" t="s">
        <v>192</v>
      </c>
      <c r="F287" s="13" t="s">
        <v>652</v>
      </c>
      <c r="G287" s="13" t="n">
        <v>18</v>
      </c>
      <c r="H287" s="13" t="n">
        <v>1</v>
      </c>
      <c r="I287" s="13" t="n">
        <v>17</v>
      </c>
      <c r="J287" s="13" t="n">
        <v>0</v>
      </c>
      <c r="K287" s="13" t="n">
        <v>0</v>
      </c>
      <c r="L287" s="13" t="n">
        <v>9</v>
      </c>
      <c r="M287" s="13" t="n">
        <v>8</v>
      </c>
      <c r="N287" s="13" t="n">
        <v>0</v>
      </c>
      <c r="O287" s="13" t="n">
        <v>2</v>
      </c>
      <c r="P287" s="13" t="n">
        <v>3</v>
      </c>
      <c r="Q287" s="13" t="n">
        <v>2</v>
      </c>
      <c r="R287" s="13" t="n">
        <v>1</v>
      </c>
      <c r="S287" s="13" t="n">
        <v>0</v>
      </c>
      <c r="T287" s="13" t="n">
        <v>0.4706</v>
      </c>
      <c r="U287" s="13" t="n">
        <v>1.76</v>
      </c>
      <c r="V287" s="13" t="n">
        <f aca="false">M287-SUM(N287:S287)</f>
        <v>0</v>
      </c>
    </row>
    <row r="288" customFormat="false" ht="15" hidden="false" customHeight="true" outlineLevel="0" collapsed="false">
      <c r="A288" s="13" t="n">
        <v>2024</v>
      </c>
      <c r="B288" s="13" t="s">
        <v>1029</v>
      </c>
      <c r="C288" s="13" t="s">
        <v>125</v>
      </c>
      <c r="D288" s="13" t="s">
        <v>1037</v>
      </c>
      <c r="E288" s="13" t="s">
        <v>192</v>
      </c>
      <c r="F288" s="13" t="s">
        <v>1038</v>
      </c>
      <c r="G288" s="13" t="n">
        <v>100</v>
      </c>
      <c r="H288" s="13" t="n">
        <v>4</v>
      </c>
      <c r="I288" s="13" t="n">
        <v>96</v>
      </c>
      <c r="J288" s="13" t="n">
        <v>0</v>
      </c>
      <c r="K288" s="13" t="n">
        <v>0</v>
      </c>
      <c r="L288" s="13" t="n">
        <v>16</v>
      </c>
      <c r="M288" s="13" t="n">
        <v>80</v>
      </c>
      <c r="N288" s="13" t="n">
        <v>39</v>
      </c>
      <c r="O288" s="13" t="n">
        <v>21</v>
      </c>
      <c r="P288" s="13" t="n">
        <v>9</v>
      </c>
      <c r="Q288" s="13" t="n">
        <v>6</v>
      </c>
      <c r="R288" s="13" t="n">
        <v>3</v>
      </c>
      <c r="S288" s="13" t="n">
        <v>0</v>
      </c>
      <c r="T288" s="13" t="n">
        <v>0.8333</v>
      </c>
      <c r="U288" s="13" t="n">
        <v>4.16</v>
      </c>
      <c r="V288" s="13" t="n">
        <f aca="false">M288-SUM(N288:S288)</f>
        <v>2</v>
      </c>
    </row>
    <row r="289" customFormat="false" ht="15" hidden="false" customHeight="true" outlineLevel="0" collapsed="false">
      <c r="A289" s="13" t="n">
        <v>2024</v>
      </c>
      <c r="B289" s="13" t="s">
        <v>1029</v>
      </c>
      <c r="C289" s="13" t="s">
        <v>125</v>
      </c>
      <c r="D289" s="13" t="s">
        <v>1037</v>
      </c>
      <c r="E289" s="13" t="s">
        <v>192</v>
      </c>
      <c r="F289" s="13" t="s">
        <v>137</v>
      </c>
      <c r="G289" s="13" t="n">
        <v>898</v>
      </c>
      <c r="H289" s="13" t="n">
        <v>6</v>
      </c>
      <c r="I289" s="13" t="n">
        <v>892</v>
      </c>
      <c r="J289" s="13" t="n">
        <v>0</v>
      </c>
      <c r="K289" s="13" t="n">
        <v>0</v>
      </c>
      <c r="L289" s="13" t="n">
        <v>81</v>
      </c>
      <c r="M289" s="13" t="n">
        <v>811</v>
      </c>
      <c r="N289" s="13" t="n">
        <v>173</v>
      </c>
      <c r="O289" s="13" t="n">
        <v>243</v>
      </c>
      <c r="P289" s="13" t="n">
        <v>277</v>
      </c>
      <c r="Q289" s="13" t="n">
        <v>108</v>
      </c>
      <c r="R289" s="13" t="n">
        <v>8</v>
      </c>
      <c r="S289" s="13" t="n">
        <v>0</v>
      </c>
      <c r="T289" s="13" t="n">
        <v>0.9092</v>
      </c>
      <c r="U289" s="13" t="n">
        <v>4.15</v>
      </c>
      <c r="V289" s="13" t="n">
        <f aca="false">M289-SUM(N289:S289)</f>
        <v>2</v>
      </c>
    </row>
    <row r="290" customFormat="false" ht="15" hidden="false" customHeight="true" outlineLevel="0" collapsed="false">
      <c r="A290" s="13" t="n">
        <v>2025</v>
      </c>
      <c r="B290" s="13" t="s">
        <v>1021</v>
      </c>
      <c r="C290" s="13" t="s">
        <v>121</v>
      </c>
      <c r="D290" s="13" t="s">
        <v>128</v>
      </c>
      <c r="E290" s="13" t="s">
        <v>124</v>
      </c>
      <c r="F290" s="13" t="s">
        <v>357</v>
      </c>
      <c r="G290" s="13" t="n">
        <v>3299</v>
      </c>
      <c r="H290" s="13" t="n">
        <v>20</v>
      </c>
      <c r="I290" s="13" t="n">
        <v>3279</v>
      </c>
      <c r="J290" s="13" t="n">
        <v>0</v>
      </c>
      <c r="K290" s="13" t="n">
        <v>3</v>
      </c>
      <c r="L290" s="13" t="n">
        <v>591</v>
      </c>
      <c r="M290" s="13" t="n">
        <v>2685</v>
      </c>
      <c r="N290" s="13" t="n">
        <v>39</v>
      </c>
      <c r="O290" s="13" t="n">
        <v>114</v>
      </c>
      <c r="P290" s="13" t="n">
        <v>505</v>
      </c>
      <c r="Q290" s="13" t="n">
        <v>984</v>
      </c>
      <c r="R290" s="13" t="n">
        <v>965</v>
      </c>
      <c r="S290" s="13" t="n">
        <v>78</v>
      </c>
      <c r="T290" s="13" t="n">
        <v>0.8188</v>
      </c>
      <c r="U290" s="13" t="n">
        <v>2.37</v>
      </c>
      <c r="V290" s="13" t="n">
        <f aca="false">M290-SUM(N290:S290)</f>
        <v>0</v>
      </c>
    </row>
    <row r="291" customFormat="false" ht="15" hidden="false" customHeight="true" outlineLevel="0" collapsed="false">
      <c r="A291" s="13" t="n">
        <v>2025</v>
      </c>
      <c r="B291" s="13" t="s">
        <v>1021</v>
      </c>
      <c r="C291" s="13" t="s">
        <v>121</v>
      </c>
      <c r="D291" s="13" t="s">
        <v>128</v>
      </c>
      <c r="E291" s="13" t="s">
        <v>122</v>
      </c>
      <c r="F291" s="13" t="s">
        <v>357</v>
      </c>
      <c r="G291" s="13" t="n">
        <v>9602</v>
      </c>
      <c r="H291" s="13" t="n">
        <v>40</v>
      </c>
      <c r="I291" s="13" t="n">
        <v>9562</v>
      </c>
      <c r="J291" s="13" t="n">
        <v>2</v>
      </c>
      <c r="K291" s="13" t="n">
        <v>0</v>
      </c>
      <c r="L291" s="13" t="n">
        <v>748</v>
      </c>
      <c r="M291" s="13" t="n">
        <v>8814</v>
      </c>
      <c r="N291" s="13" t="n">
        <v>190</v>
      </c>
      <c r="O291" s="13" t="n">
        <v>1100</v>
      </c>
      <c r="P291" s="13" t="n">
        <v>2681</v>
      </c>
      <c r="Q291" s="13" t="n">
        <v>3285</v>
      </c>
      <c r="R291" s="13" t="n">
        <v>1499</v>
      </c>
      <c r="S291" s="13" t="n">
        <v>59</v>
      </c>
      <c r="T291" s="13" t="n">
        <v>0.9218</v>
      </c>
      <c r="U291" s="13" t="n">
        <v>3.17</v>
      </c>
      <c r="V291" s="13" t="n">
        <f aca="false">M291-SUM(N291:S291)</f>
        <v>0</v>
      </c>
    </row>
    <row r="292" customFormat="false" ht="15" hidden="false" customHeight="true" outlineLevel="0" collapsed="false">
      <c r="A292" s="13" t="n">
        <v>2025</v>
      </c>
      <c r="B292" s="13" t="s">
        <v>1021</v>
      </c>
      <c r="C292" s="13" t="s">
        <v>121</v>
      </c>
      <c r="D292" s="13" t="s">
        <v>128</v>
      </c>
      <c r="E292" s="13" t="s">
        <v>192</v>
      </c>
      <c r="F292" s="13" t="s">
        <v>652</v>
      </c>
      <c r="G292" s="13" t="n">
        <v>12901</v>
      </c>
      <c r="H292" s="13" t="n">
        <v>60</v>
      </c>
      <c r="I292" s="13" t="n">
        <v>12841</v>
      </c>
      <c r="J292" s="13" t="n">
        <v>2</v>
      </c>
      <c r="K292" s="13" t="n">
        <v>3</v>
      </c>
      <c r="L292" s="13" t="n">
        <v>1339</v>
      </c>
      <c r="M292" s="13" t="n">
        <v>11499</v>
      </c>
      <c r="N292" s="13" t="n">
        <v>229</v>
      </c>
      <c r="O292" s="13" t="n">
        <v>1214</v>
      </c>
      <c r="P292" s="13" t="n">
        <v>3186</v>
      </c>
      <c r="Q292" s="13" t="n">
        <v>4269</v>
      </c>
      <c r="R292" s="13" t="n">
        <v>2464</v>
      </c>
      <c r="S292" s="13" t="n">
        <v>137</v>
      </c>
      <c r="T292" s="13" t="n">
        <v>0.8955</v>
      </c>
      <c r="U292" s="13" t="n">
        <v>2.96</v>
      </c>
      <c r="V292" s="13" t="n">
        <f aca="false">M292-SUM(N292:S292)</f>
        <v>0</v>
      </c>
    </row>
    <row r="293" customFormat="false" ht="15" hidden="false" customHeight="true" outlineLevel="0" collapsed="false">
      <c r="A293" s="13" t="n">
        <v>2025</v>
      </c>
      <c r="B293" s="13" t="s">
        <v>1021</v>
      </c>
      <c r="C293" s="13" t="s">
        <v>121</v>
      </c>
      <c r="D293" s="13" t="s">
        <v>1033</v>
      </c>
      <c r="E293" s="13" t="s">
        <v>124</v>
      </c>
      <c r="F293" s="13" t="s">
        <v>357</v>
      </c>
      <c r="G293" s="13" t="n">
        <v>6590</v>
      </c>
      <c r="H293" s="13" t="n">
        <v>30</v>
      </c>
      <c r="I293" s="13" t="n">
        <v>6560</v>
      </c>
      <c r="J293" s="13" t="n">
        <v>22</v>
      </c>
      <c r="K293" s="13" t="n">
        <v>6</v>
      </c>
      <c r="L293" s="13" t="n">
        <v>479</v>
      </c>
      <c r="M293" s="13" t="n">
        <v>6075</v>
      </c>
      <c r="N293" s="13" t="n">
        <v>1970</v>
      </c>
      <c r="O293" s="13" t="n">
        <v>1572</v>
      </c>
      <c r="P293" s="13" t="n">
        <v>1415</v>
      </c>
      <c r="Q293" s="13" t="n">
        <v>975</v>
      </c>
      <c r="R293" s="13" t="n">
        <v>143</v>
      </c>
      <c r="S293" s="13" t="n">
        <v>0</v>
      </c>
      <c r="T293" s="13" t="n">
        <v>0.9261</v>
      </c>
      <c r="U293" s="13" t="n">
        <v>4.35</v>
      </c>
      <c r="V293" s="13" t="n">
        <f aca="false">M293-SUM(N293:S293)</f>
        <v>0</v>
      </c>
    </row>
    <row r="294" customFormat="false" ht="15" hidden="false" customHeight="true" outlineLevel="0" collapsed="false">
      <c r="A294" s="13" t="n">
        <v>2025</v>
      </c>
      <c r="B294" s="13" t="s">
        <v>1021</v>
      </c>
      <c r="C294" s="13" t="s">
        <v>121</v>
      </c>
      <c r="D294" s="13" t="s">
        <v>1033</v>
      </c>
      <c r="E294" s="13" t="s">
        <v>122</v>
      </c>
      <c r="F294" s="13" t="s">
        <v>357</v>
      </c>
      <c r="G294" s="13" t="n">
        <v>17852</v>
      </c>
      <c r="H294" s="13" t="n">
        <v>47</v>
      </c>
      <c r="I294" s="13" t="n">
        <v>17805</v>
      </c>
      <c r="J294" s="13" t="n">
        <v>16</v>
      </c>
      <c r="K294" s="13" t="n">
        <v>5</v>
      </c>
      <c r="L294" s="13" t="n">
        <v>795</v>
      </c>
      <c r="M294" s="13" t="n">
        <v>17005</v>
      </c>
      <c r="N294" s="13" t="n">
        <v>5926</v>
      </c>
      <c r="O294" s="13" t="n">
        <v>4636</v>
      </c>
      <c r="P294" s="13" t="n">
        <v>4030</v>
      </c>
      <c r="Q294" s="13" t="n">
        <v>2189</v>
      </c>
      <c r="R294" s="13" t="n">
        <v>224</v>
      </c>
      <c r="S294" s="13" t="n">
        <v>0</v>
      </c>
      <c r="T294" s="13" t="n">
        <v>0.9551</v>
      </c>
      <c r="U294" s="13" t="n">
        <v>4.6</v>
      </c>
      <c r="V294" s="13" t="n">
        <f aca="false">M294-SUM(N294:S294)</f>
        <v>0</v>
      </c>
    </row>
    <row r="295" customFormat="false" ht="15" hidden="false" customHeight="true" outlineLevel="0" collapsed="false">
      <c r="A295" s="13" t="n">
        <v>2025</v>
      </c>
      <c r="B295" s="13" t="s">
        <v>1021</v>
      </c>
      <c r="C295" s="13" t="s">
        <v>121</v>
      </c>
      <c r="D295" s="13" t="s">
        <v>1033</v>
      </c>
      <c r="E295" s="13" t="s">
        <v>192</v>
      </c>
      <c r="F295" s="13" t="s">
        <v>652</v>
      </c>
      <c r="G295" s="13" t="n">
        <v>24442</v>
      </c>
      <c r="H295" s="13" t="n">
        <v>77</v>
      </c>
      <c r="I295" s="13" t="n">
        <v>24365</v>
      </c>
      <c r="J295" s="13" t="n">
        <v>38</v>
      </c>
      <c r="K295" s="13" t="n">
        <v>11</v>
      </c>
      <c r="L295" s="13" t="n">
        <v>1274</v>
      </c>
      <c r="M295" s="13" t="n">
        <v>23080</v>
      </c>
      <c r="N295" s="13" t="n">
        <v>7896</v>
      </c>
      <c r="O295" s="13" t="n">
        <v>6208</v>
      </c>
      <c r="P295" s="13" t="n">
        <v>5445</v>
      </c>
      <c r="Q295" s="13" t="n">
        <v>3164</v>
      </c>
      <c r="R295" s="13" t="n">
        <v>367</v>
      </c>
      <c r="S295" s="13" t="n">
        <v>0</v>
      </c>
      <c r="T295" s="13" t="n">
        <v>0.9473</v>
      </c>
      <c r="U295" s="13" t="n">
        <v>4.53</v>
      </c>
      <c r="V295" s="13" t="n">
        <f aca="false">M295-SUM(N295:S295)</f>
        <v>0</v>
      </c>
    </row>
    <row r="296" customFormat="false" ht="15" hidden="false" customHeight="true" outlineLevel="0" collapsed="false">
      <c r="A296" s="13" t="n">
        <v>2025</v>
      </c>
      <c r="B296" s="13" t="s">
        <v>1021</v>
      </c>
      <c r="C296" s="13" t="s">
        <v>121</v>
      </c>
      <c r="D296" s="13" t="s">
        <v>1034</v>
      </c>
      <c r="E296" s="13" t="s">
        <v>124</v>
      </c>
      <c r="F296" s="13" t="s">
        <v>357</v>
      </c>
      <c r="G296" s="13" t="n">
        <v>6059</v>
      </c>
      <c r="H296" s="13" t="n">
        <v>21</v>
      </c>
      <c r="I296" s="13" t="n">
        <v>6038</v>
      </c>
      <c r="J296" s="13" t="n">
        <v>2</v>
      </c>
      <c r="K296" s="13" t="n">
        <v>0</v>
      </c>
      <c r="L296" s="13" t="n">
        <v>495</v>
      </c>
      <c r="M296" s="13" t="n">
        <v>5543</v>
      </c>
      <c r="N296" s="13" t="n">
        <v>1492</v>
      </c>
      <c r="O296" s="13" t="n">
        <v>1613</v>
      </c>
      <c r="P296" s="13" t="n">
        <v>1477</v>
      </c>
      <c r="Q296" s="13" t="n">
        <v>867</v>
      </c>
      <c r="R296" s="13" t="n">
        <v>94</v>
      </c>
      <c r="S296" s="13" t="n">
        <v>0</v>
      </c>
      <c r="T296" s="13" t="n">
        <v>0.918</v>
      </c>
      <c r="U296" s="13" t="n">
        <v>4.26</v>
      </c>
      <c r="V296" s="13" t="n">
        <f aca="false">M296-SUM(N296:S296)</f>
        <v>0</v>
      </c>
    </row>
    <row r="297" customFormat="false" ht="15" hidden="false" customHeight="true" outlineLevel="0" collapsed="false">
      <c r="A297" s="13" t="n">
        <v>2025</v>
      </c>
      <c r="B297" s="13" t="s">
        <v>1021</v>
      </c>
      <c r="C297" s="13" t="s">
        <v>121</v>
      </c>
      <c r="D297" s="13" t="s">
        <v>1034</v>
      </c>
      <c r="E297" s="13" t="s">
        <v>122</v>
      </c>
      <c r="F297" s="13" t="s">
        <v>357</v>
      </c>
      <c r="G297" s="13" t="n">
        <v>3594</v>
      </c>
      <c r="H297" s="13" t="n">
        <v>11</v>
      </c>
      <c r="I297" s="13" t="n">
        <v>3583</v>
      </c>
      <c r="J297" s="13" t="n">
        <v>0</v>
      </c>
      <c r="K297" s="13" t="n">
        <v>0</v>
      </c>
      <c r="L297" s="13" t="n">
        <v>214</v>
      </c>
      <c r="M297" s="13" t="n">
        <v>3369</v>
      </c>
      <c r="N297" s="13" t="n">
        <v>947</v>
      </c>
      <c r="O297" s="13" t="n">
        <v>1041</v>
      </c>
      <c r="P297" s="13" t="n">
        <v>923</v>
      </c>
      <c r="Q297" s="13" t="n">
        <v>444</v>
      </c>
      <c r="R297" s="13" t="n">
        <v>14</v>
      </c>
      <c r="S297" s="13" t="n">
        <v>0</v>
      </c>
      <c r="T297" s="13" t="n">
        <v>0.9403</v>
      </c>
      <c r="U297" s="13" t="n">
        <v>4.45</v>
      </c>
      <c r="V297" s="13" t="n">
        <f aca="false">M297-SUM(N297:S297)</f>
        <v>0</v>
      </c>
    </row>
    <row r="298" customFormat="false" ht="15" hidden="false" customHeight="true" outlineLevel="0" collapsed="false">
      <c r="A298" s="13" t="n">
        <v>2025</v>
      </c>
      <c r="B298" s="13" t="s">
        <v>1021</v>
      </c>
      <c r="C298" s="13" t="s">
        <v>121</v>
      </c>
      <c r="D298" s="13" t="s">
        <v>1034</v>
      </c>
      <c r="E298" s="13" t="s">
        <v>192</v>
      </c>
      <c r="F298" s="13" t="s">
        <v>652</v>
      </c>
      <c r="G298" s="13" t="n">
        <v>9653</v>
      </c>
      <c r="H298" s="13" t="n">
        <v>32</v>
      </c>
      <c r="I298" s="13" t="n">
        <v>9621</v>
      </c>
      <c r="J298" s="13" t="n">
        <v>2</v>
      </c>
      <c r="K298" s="13" t="n">
        <v>0</v>
      </c>
      <c r="L298" s="13" t="n">
        <v>709</v>
      </c>
      <c r="M298" s="13" t="n">
        <v>8912</v>
      </c>
      <c r="N298" s="13" t="n">
        <v>2439</v>
      </c>
      <c r="O298" s="13" t="n">
        <v>2654</v>
      </c>
      <c r="P298" s="13" t="n">
        <v>2400</v>
      </c>
      <c r="Q298" s="13" t="n">
        <v>1311</v>
      </c>
      <c r="R298" s="13" t="n">
        <v>108</v>
      </c>
      <c r="S298" s="13" t="n">
        <v>0</v>
      </c>
      <c r="T298" s="13" t="n">
        <v>0.9263</v>
      </c>
      <c r="U298" s="13" t="n">
        <v>4.33</v>
      </c>
      <c r="V298" s="13" t="n">
        <f aca="false">M298-SUM(N298:S298)</f>
        <v>0</v>
      </c>
    </row>
    <row r="299" customFormat="false" ht="15" hidden="false" customHeight="true" outlineLevel="0" collapsed="false">
      <c r="A299" s="13" t="n">
        <v>2025</v>
      </c>
      <c r="B299" s="13" t="s">
        <v>1021</v>
      </c>
      <c r="C299" s="13" t="s">
        <v>121</v>
      </c>
      <c r="D299" s="13" t="s">
        <v>1035</v>
      </c>
      <c r="E299" s="13" t="s">
        <v>124</v>
      </c>
      <c r="F299" s="13" t="s">
        <v>357</v>
      </c>
      <c r="G299" s="13" t="n">
        <v>19130</v>
      </c>
      <c r="H299" s="13" t="n">
        <v>95</v>
      </c>
      <c r="I299" s="13" t="n">
        <v>19035</v>
      </c>
      <c r="J299" s="13" t="n">
        <v>15</v>
      </c>
      <c r="K299" s="13" t="n">
        <v>2</v>
      </c>
      <c r="L299" s="13" t="n">
        <v>4760</v>
      </c>
      <c r="M299" s="13" t="n">
        <v>14273</v>
      </c>
      <c r="N299" s="13" t="n">
        <v>1323</v>
      </c>
      <c r="O299" s="13" t="n">
        <v>3101</v>
      </c>
      <c r="P299" s="13" t="n">
        <v>4487</v>
      </c>
      <c r="Q299" s="13" t="n">
        <v>4414</v>
      </c>
      <c r="R299" s="13" t="n">
        <v>946</v>
      </c>
      <c r="S299" s="13" t="n">
        <v>2</v>
      </c>
      <c r="T299" s="13" t="n">
        <v>0.7498</v>
      </c>
      <c r="U299" s="13" t="n">
        <v>2.97</v>
      </c>
      <c r="V299" s="13" t="n">
        <f aca="false">M299-SUM(N299:S299)</f>
        <v>0</v>
      </c>
    </row>
    <row r="300" customFormat="false" ht="15" hidden="false" customHeight="true" outlineLevel="0" collapsed="false">
      <c r="A300" s="13" t="n">
        <v>2025</v>
      </c>
      <c r="B300" s="13" t="s">
        <v>1021</v>
      </c>
      <c r="C300" s="13" t="s">
        <v>121</v>
      </c>
      <c r="D300" s="13" t="s">
        <v>1035</v>
      </c>
      <c r="E300" s="13" t="s">
        <v>122</v>
      </c>
      <c r="F300" s="13" t="s">
        <v>357</v>
      </c>
      <c r="G300" s="13" t="n">
        <v>12181</v>
      </c>
      <c r="H300" s="13" t="n">
        <v>39</v>
      </c>
      <c r="I300" s="13" t="n">
        <v>12142</v>
      </c>
      <c r="J300" s="13" t="n">
        <v>4</v>
      </c>
      <c r="K300" s="13" t="n">
        <v>3</v>
      </c>
      <c r="L300" s="13" t="n">
        <v>1976</v>
      </c>
      <c r="M300" s="13" t="n">
        <v>10163</v>
      </c>
      <c r="N300" s="13" t="n">
        <v>1356</v>
      </c>
      <c r="O300" s="13" t="n">
        <v>2662</v>
      </c>
      <c r="P300" s="13" t="n">
        <v>3748</v>
      </c>
      <c r="Q300" s="13" t="n">
        <v>2233</v>
      </c>
      <c r="R300" s="13" t="n">
        <v>164</v>
      </c>
      <c r="S300" s="13" t="n">
        <v>0</v>
      </c>
      <c r="T300" s="13" t="n">
        <v>0.837</v>
      </c>
      <c r="U300" s="13" t="n">
        <v>3.58</v>
      </c>
      <c r="V300" s="13" t="n">
        <f aca="false">M300-SUM(N300:S300)</f>
        <v>0</v>
      </c>
    </row>
    <row r="301" customFormat="false" ht="15" hidden="false" customHeight="true" outlineLevel="0" collapsed="false">
      <c r="A301" s="13" t="n">
        <v>2025</v>
      </c>
      <c r="B301" s="13" t="s">
        <v>1021</v>
      </c>
      <c r="C301" s="13" t="s">
        <v>121</v>
      </c>
      <c r="D301" s="13" t="s">
        <v>1035</v>
      </c>
      <c r="E301" s="13" t="s">
        <v>192</v>
      </c>
      <c r="F301" s="13" t="s">
        <v>652</v>
      </c>
      <c r="G301" s="13" t="n">
        <v>31311</v>
      </c>
      <c r="H301" s="13" t="n">
        <v>134</v>
      </c>
      <c r="I301" s="13" t="n">
        <v>31177</v>
      </c>
      <c r="J301" s="13" t="n">
        <v>19</v>
      </c>
      <c r="K301" s="13" t="n">
        <v>5</v>
      </c>
      <c r="L301" s="13" t="n">
        <v>6736</v>
      </c>
      <c r="M301" s="13" t="n">
        <v>24436</v>
      </c>
      <c r="N301" s="13" t="n">
        <v>2679</v>
      </c>
      <c r="O301" s="13" t="n">
        <v>5763</v>
      </c>
      <c r="P301" s="13" t="n">
        <v>8235</v>
      </c>
      <c r="Q301" s="13" t="n">
        <v>6647</v>
      </c>
      <c r="R301" s="13" t="n">
        <v>1110</v>
      </c>
      <c r="S301" s="13" t="n">
        <v>2</v>
      </c>
      <c r="T301" s="13" t="n">
        <v>0.7838</v>
      </c>
      <c r="U301" s="13" t="n">
        <v>3.21</v>
      </c>
      <c r="V301" s="13" t="n">
        <f aca="false">M301-SUM(N301:S301)</f>
        <v>0</v>
      </c>
    </row>
    <row r="302" customFormat="false" ht="15" hidden="false" customHeight="true" outlineLevel="0" collapsed="false">
      <c r="A302" s="13" t="n">
        <v>2025</v>
      </c>
      <c r="B302" s="13" t="s">
        <v>1021</v>
      </c>
      <c r="C302" s="13" t="s">
        <v>121</v>
      </c>
      <c r="D302" s="13" t="s">
        <v>203</v>
      </c>
      <c r="E302" s="13" t="s">
        <v>124</v>
      </c>
      <c r="F302" s="13" t="s">
        <v>357</v>
      </c>
      <c r="G302" s="13" t="n">
        <v>2024</v>
      </c>
      <c r="H302" s="13" t="n">
        <v>10</v>
      </c>
      <c r="I302" s="13" t="n">
        <v>2014</v>
      </c>
      <c r="J302" s="13" t="n">
        <v>8</v>
      </c>
      <c r="K302" s="13" t="n">
        <v>2</v>
      </c>
      <c r="L302" s="13" t="n">
        <v>415</v>
      </c>
      <c r="M302" s="13" t="n">
        <v>1597</v>
      </c>
      <c r="N302" s="13" t="n">
        <v>27</v>
      </c>
      <c r="O302" s="13" t="n">
        <v>84</v>
      </c>
      <c r="P302" s="13" t="n">
        <v>242</v>
      </c>
      <c r="Q302" s="13" t="n">
        <v>555</v>
      </c>
      <c r="R302" s="13" t="n">
        <v>655</v>
      </c>
      <c r="S302" s="13" t="n">
        <v>34</v>
      </c>
      <c r="T302" s="13" t="n">
        <v>0.7929</v>
      </c>
      <c r="U302" s="13" t="n">
        <v>2.26</v>
      </c>
      <c r="V302" s="13" t="n">
        <f aca="false">M302-SUM(N302:S302)</f>
        <v>0</v>
      </c>
    </row>
    <row r="303" customFormat="false" ht="15" hidden="false" customHeight="true" outlineLevel="0" collapsed="false">
      <c r="A303" s="13" t="n">
        <v>2025</v>
      </c>
      <c r="B303" s="13" t="s">
        <v>1021</v>
      </c>
      <c r="C303" s="13" t="s">
        <v>121</v>
      </c>
      <c r="D303" s="13" t="s">
        <v>203</v>
      </c>
      <c r="E303" s="13" t="s">
        <v>122</v>
      </c>
      <c r="F303" s="13" t="s">
        <v>357</v>
      </c>
      <c r="G303" s="13" t="n">
        <v>1127</v>
      </c>
      <c r="H303" s="13" t="n">
        <v>7</v>
      </c>
      <c r="I303" s="13" t="n">
        <v>1120</v>
      </c>
      <c r="J303" s="13" t="n">
        <v>5</v>
      </c>
      <c r="K303" s="13" t="n">
        <v>0</v>
      </c>
      <c r="L303" s="13" t="n">
        <v>95</v>
      </c>
      <c r="M303" s="13" t="n">
        <v>1025</v>
      </c>
      <c r="N303" s="13" t="n">
        <v>70</v>
      </c>
      <c r="O303" s="13" t="n">
        <v>165</v>
      </c>
      <c r="P303" s="13" t="n">
        <v>313</v>
      </c>
      <c r="Q303" s="13" t="n">
        <v>324</v>
      </c>
      <c r="R303" s="13" t="n">
        <v>153</v>
      </c>
      <c r="S303" s="13" t="n">
        <v>0</v>
      </c>
      <c r="T303" s="13" t="n">
        <v>0.9152</v>
      </c>
      <c r="U303" s="13" t="n">
        <v>3.37</v>
      </c>
      <c r="V303" s="13" t="n">
        <f aca="false">M303-SUM(N303:S303)</f>
        <v>0</v>
      </c>
    </row>
    <row r="304" customFormat="false" ht="15" hidden="false" customHeight="true" outlineLevel="0" collapsed="false">
      <c r="A304" s="13" t="n">
        <v>2025</v>
      </c>
      <c r="B304" s="13" t="s">
        <v>1021</v>
      </c>
      <c r="C304" s="13" t="s">
        <v>121</v>
      </c>
      <c r="D304" s="13" t="s">
        <v>203</v>
      </c>
      <c r="E304" s="13" t="s">
        <v>192</v>
      </c>
      <c r="F304" s="13" t="s">
        <v>652</v>
      </c>
      <c r="G304" s="13" t="n">
        <v>3151</v>
      </c>
      <c r="H304" s="13" t="n">
        <v>17</v>
      </c>
      <c r="I304" s="13" t="n">
        <v>3134</v>
      </c>
      <c r="J304" s="13" t="n">
        <v>13</v>
      </c>
      <c r="K304" s="13" t="n">
        <v>2</v>
      </c>
      <c r="L304" s="13" t="n">
        <v>510</v>
      </c>
      <c r="M304" s="13" t="n">
        <v>2622</v>
      </c>
      <c r="N304" s="13" t="n">
        <v>97</v>
      </c>
      <c r="O304" s="13" t="n">
        <v>249</v>
      </c>
      <c r="P304" s="13" t="n">
        <v>555</v>
      </c>
      <c r="Q304" s="13" t="n">
        <v>879</v>
      </c>
      <c r="R304" s="13" t="n">
        <v>808</v>
      </c>
      <c r="S304" s="13" t="n">
        <v>34</v>
      </c>
      <c r="T304" s="13" t="n">
        <v>0.8366</v>
      </c>
      <c r="U304" s="13" t="n">
        <v>2.66</v>
      </c>
      <c r="V304" s="13" t="n">
        <f aca="false">M304-SUM(N304:S304)</f>
        <v>0</v>
      </c>
    </row>
    <row r="305" customFormat="false" ht="15" hidden="false" customHeight="true" outlineLevel="0" collapsed="false">
      <c r="A305" s="13" t="n">
        <v>2025</v>
      </c>
      <c r="B305" s="13" t="s">
        <v>1021</v>
      </c>
      <c r="C305" s="13" t="s">
        <v>121</v>
      </c>
      <c r="D305" s="13" t="s">
        <v>1036</v>
      </c>
      <c r="E305" s="13" t="s">
        <v>122</v>
      </c>
      <c r="F305" s="13" t="s">
        <v>357</v>
      </c>
      <c r="G305" s="13" t="n">
        <v>57</v>
      </c>
      <c r="H305" s="13" t="n">
        <v>0</v>
      </c>
      <c r="I305" s="13" t="n">
        <v>57</v>
      </c>
      <c r="J305" s="13" t="n">
        <v>0</v>
      </c>
      <c r="K305" s="13" t="n">
        <v>0</v>
      </c>
      <c r="L305" s="13" t="n">
        <v>4</v>
      </c>
      <c r="M305" s="13" t="n">
        <v>53</v>
      </c>
      <c r="N305" s="13" t="n">
        <v>5</v>
      </c>
      <c r="O305" s="13" t="n">
        <v>20</v>
      </c>
      <c r="P305" s="13" t="n">
        <v>23</v>
      </c>
      <c r="Q305" s="13" t="n">
        <v>4</v>
      </c>
      <c r="R305" s="13" t="n">
        <v>1</v>
      </c>
      <c r="S305" s="13" t="n">
        <v>0</v>
      </c>
      <c r="T305" s="13" t="n">
        <v>0.9298</v>
      </c>
      <c r="U305" s="13" t="n">
        <v>4.14</v>
      </c>
      <c r="V305" s="13" t="n">
        <f aca="false">M305-SUM(N305:S305)</f>
        <v>0</v>
      </c>
    </row>
    <row r="306" customFormat="false" ht="15" hidden="false" customHeight="true" outlineLevel="0" collapsed="false">
      <c r="A306" s="13" t="n">
        <v>2025</v>
      </c>
      <c r="B306" s="13" t="s">
        <v>1021</v>
      </c>
      <c r="C306" s="13" t="s">
        <v>121</v>
      </c>
      <c r="D306" s="13" t="s">
        <v>1036</v>
      </c>
      <c r="E306" s="13" t="s">
        <v>192</v>
      </c>
      <c r="F306" s="13" t="s">
        <v>652</v>
      </c>
      <c r="G306" s="13" t="n">
        <v>57</v>
      </c>
      <c r="H306" s="13" t="n">
        <v>0</v>
      </c>
      <c r="I306" s="13" t="n">
        <v>57</v>
      </c>
      <c r="J306" s="13" t="n">
        <v>0</v>
      </c>
      <c r="K306" s="13" t="n">
        <v>0</v>
      </c>
      <c r="L306" s="13" t="n">
        <v>4</v>
      </c>
      <c r="M306" s="13" t="n">
        <v>53</v>
      </c>
      <c r="N306" s="13" t="n">
        <v>5</v>
      </c>
      <c r="O306" s="13" t="n">
        <v>20</v>
      </c>
      <c r="P306" s="13" t="n">
        <v>23</v>
      </c>
      <c r="Q306" s="13" t="n">
        <v>4</v>
      </c>
      <c r="R306" s="13" t="n">
        <v>1</v>
      </c>
      <c r="S306" s="13" t="n">
        <v>0</v>
      </c>
      <c r="T306" s="13" t="n">
        <v>0.9298</v>
      </c>
      <c r="U306" s="13" t="n">
        <v>4.14</v>
      </c>
      <c r="V306" s="13" t="n">
        <f aca="false">M306-SUM(N306:S306)</f>
        <v>0</v>
      </c>
    </row>
    <row r="307" customFormat="false" ht="15" hidden="false" customHeight="true" outlineLevel="0" collapsed="false">
      <c r="A307" s="13" t="n">
        <v>2025</v>
      </c>
      <c r="B307" s="13" t="s">
        <v>1021</v>
      </c>
      <c r="C307" s="13" t="s">
        <v>121</v>
      </c>
      <c r="D307" s="13" t="s">
        <v>1037</v>
      </c>
      <c r="E307" s="13" t="s">
        <v>192</v>
      </c>
      <c r="F307" s="13" t="s">
        <v>1038</v>
      </c>
      <c r="G307" s="13" t="n">
        <v>81515</v>
      </c>
      <c r="H307" s="13" t="n">
        <v>320</v>
      </c>
      <c r="I307" s="13" t="n">
        <v>81195</v>
      </c>
      <c r="J307" s="13" t="n">
        <v>74</v>
      </c>
      <c r="K307" s="13" t="n">
        <v>21</v>
      </c>
      <c r="L307" s="13" t="n">
        <v>10572</v>
      </c>
      <c r="M307" s="13" t="n">
        <v>70602</v>
      </c>
      <c r="N307" s="13" t="n">
        <v>13345</v>
      </c>
      <c r="O307" s="13" t="n">
        <v>16108</v>
      </c>
      <c r="P307" s="13" t="n">
        <v>19844</v>
      </c>
      <c r="Q307" s="13" t="n">
        <v>16274</v>
      </c>
      <c r="R307" s="13" t="n">
        <v>4858</v>
      </c>
      <c r="S307" s="13" t="n">
        <v>173</v>
      </c>
      <c r="T307" s="13" t="n">
        <v>0.8695</v>
      </c>
      <c r="U307" s="13" t="n">
        <v>3.68</v>
      </c>
      <c r="V307" s="13" t="n">
        <f aca="false">M307-SUM(N307:S307)</f>
        <v>0</v>
      </c>
    </row>
    <row r="308" customFormat="false" ht="15" hidden="false" customHeight="true" outlineLevel="0" collapsed="false">
      <c r="A308" s="13" t="n">
        <v>2025</v>
      </c>
      <c r="B308" s="13" t="s">
        <v>1021</v>
      </c>
      <c r="C308" s="13" t="s">
        <v>125</v>
      </c>
      <c r="D308" s="13" t="s">
        <v>128</v>
      </c>
      <c r="E308" s="13" t="s">
        <v>124</v>
      </c>
      <c r="F308" s="13" t="s">
        <v>357</v>
      </c>
      <c r="G308" s="13" t="n">
        <v>1918</v>
      </c>
      <c r="H308" s="13" t="n">
        <v>96</v>
      </c>
      <c r="I308" s="13" t="n">
        <v>1822</v>
      </c>
      <c r="J308" s="13" t="n">
        <v>114</v>
      </c>
      <c r="K308" s="13" t="n">
        <v>7</v>
      </c>
      <c r="L308" s="13" t="n">
        <v>759</v>
      </c>
      <c r="M308" s="13" t="n">
        <v>1056</v>
      </c>
      <c r="N308" s="13" t="n">
        <v>0</v>
      </c>
      <c r="O308" s="13" t="n">
        <v>19</v>
      </c>
      <c r="P308" s="13" t="n">
        <v>100</v>
      </c>
      <c r="Q308" s="13" t="n">
        <v>257</v>
      </c>
      <c r="R308" s="13" t="n">
        <v>486</v>
      </c>
      <c r="S308" s="13" t="n">
        <v>101</v>
      </c>
      <c r="T308" s="13" t="n">
        <v>0.5796</v>
      </c>
      <c r="U308" s="13" t="n">
        <v>1.28</v>
      </c>
      <c r="V308" s="13" t="n">
        <f aca="false">M308-SUM(N308:S308)</f>
        <v>93</v>
      </c>
    </row>
    <row r="309" customFormat="false" ht="15" hidden="false" customHeight="true" outlineLevel="0" collapsed="false">
      <c r="A309" s="13" t="n">
        <v>2025</v>
      </c>
      <c r="B309" s="13" t="s">
        <v>1021</v>
      </c>
      <c r="C309" s="13" t="s">
        <v>125</v>
      </c>
      <c r="D309" s="13" t="s">
        <v>128</v>
      </c>
      <c r="E309" s="13" t="s">
        <v>122</v>
      </c>
      <c r="F309" s="13" t="s">
        <v>357</v>
      </c>
      <c r="G309" s="13" t="n">
        <v>2376</v>
      </c>
      <c r="H309" s="13" t="n">
        <v>116</v>
      </c>
      <c r="I309" s="13" t="n">
        <v>2260</v>
      </c>
      <c r="J309" s="13" t="n">
        <v>92</v>
      </c>
      <c r="K309" s="13" t="n">
        <v>2</v>
      </c>
      <c r="L309" s="13" t="n">
        <v>681</v>
      </c>
      <c r="M309" s="13" t="n">
        <v>1577</v>
      </c>
      <c r="N309" s="13" t="n">
        <v>7</v>
      </c>
      <c r="O309" s="13" t="n">
        <v>62</v>
      </c>
      <c r="P309" s="13" t="n">
        <v>184</v>
      </c>
      <c r="Q309" s="13" t="n">
        <v>474</v>
      </c>
      <c r="R309" s="13" t="n">
        <v>655</v>
      </c>
      <c r="S309" s="13" t="n">
        <v>81</v>
      </c>
      <c r="T309" s="13" t="n">
        <v>0.6978</v>
      </c>
      <c r="U309" s="13" t="n">
        <v>1.73</v>
      </c>
      <c r="V309" s="13" t="n">
        <f aca="false">M309-SUM(N309:S309)</f>
        <v>114</v>
      </c>
    </row>
    <row r="310" customFormat="false" ht="15" hidden="false" customHeight="true" outlineLevel="0" collapsed="false">
      <c r="A310" s="13" t="n">
        <v>2025</v>
      </c>
      <c r="B310" s="13" t="s">
        <v>1021</v>
      </c>
      <c r="C310" s="13" t="s">
        <v>125</v>
      </c>
      <c r="D310" s="13" t="s">
        <v>128</v>
      </c>
      <c r="E310" s="13" t="s">
        <v>192</v>
      </c>
      <c r="F310" s="13" t="s">
        <v>652</v>
      </c>
      <c r="G310" s="13" t="n">
        <v>4294</v>
      </c>
      <c r="H310" s="13" t="n">
        <v>212</v>
      </c>
      <c r="I310" s="13" t="n">
        <v>4082</v>
      </c>
      <c r="J310" s="13" t="n">
        <v>206</v>
      </c>
      <c r="K310" s="13" t="n">
        <v>9</v>
      </c>
      <c r="L310" s="13" t="n">
        <v>1440</v>
      </c>
      <c r="M310" s="13" t="n">
        <v>2633</v>
      </c>
      <c r="N310" s="13" t="n">
        <v>7</v>
      </c>
      <c r="O310" s="13" t="n">
        <v>81</v>
      </c>
      <c r="P310" s="13" t="n">
        <v>284</v>
      </c>
      <c r="Q310" s="13" t="n">
        <v>731</v>
      </c>
      <c r="R310" s="13" t="n">
        <v>1141</v>
      </c>
      <c r="S310" s="13" t="n">
        <v>182</v>
      </c>
      <c r="T310" s="13" t="n">
        <v>0.645</v>
      </c>
      <c r="U310" s="13" t="n">
        <v>1.53</v>
      </c>
      <c r="V310" s="13" t="n">
        <f aca="false">M310-SUM(N310:S310)</f>
        <v>207</v>
      </c>
    </row>
    <row r="311" customFormat="false" ht="15" hidden="false" customHeight="true" outlineLevel="0" collapsed="false">
      <c r="A311" s="13" t="n">
        <v>2025</v>
      </c>
      <c r="B311" s="13" t="s">
        <v>1021</v>
      </c>
      <c r="C311" s="13" t="s">
        <v>125</v>
      </c>
      <c r="D311" s="13" t="s">
        <v>1033</v>
      </c>
      <c r="E311" s="13" t="s">
        <v>124</v>
      </c>
      <c r="F311" s="13" t="s">
        <v>357</v>
      </c>
      <c r="G311" s="13" t="n">
        <v>1586</v>
      </c>
      <c r="H311" s="13" t="n">
        <v>161</v>
      </c>
      <c r="I311" s="13" t="n">
        <v>1425</v>
      </c>
      <c r="J311" s="13" t="n">
        <v>36</v>
      </c>
      <c r="K311" s="13" t="n">
        <v>2</v>
      </c>
      <c r="L311" s="13" t="n">
        <v>246</v>
      </c>
      <c r="M311" s="13" t="n">
        <v>1177</v>
      </c>
      <c r="N311" s="13" t="n">
        <v>666</v>
      </c>
      <c r="O311" s="13" t="n">
        <v>142</v>
      </c>
      <c r="P311" s="13" t="n">
        <v>110</v>
      </c>
      <c r="Q311" s="13" t="n">
        <v>186</v>
      </c>
      <c r="R311" s="13" t="n">
        <v>73</v>
      </c>
      <c r="S311" s="13" t="n">
        <v>0</v>
      </c>
      <c r="T311" s="13" t="n">
        <v>0.826</v>
      </c>
      <c r="U311" s="13" t="n">
        <v>4.11</v>
      </c>
      <c r="V311" s="13" t="n">
        <f aca="false">M311-SUM(N311:S311)</f>
        <v>0</v>
      </c>
    </row>
    <row r="312" customFormat="false" ht="15" hidden="false" customHeight="true" outlineLevel="0" collapsed="false">
      <c r="A312" s="13" t="n">
        <v>2025</v>
      </c>
      <c r="B312" s="13" t="s">
        <v>1021</v>
      </c>
      <c r="C312" s="13" t="s">
        <v>125</v>
      </c>
      <c r="D312" s="13" t="s">
        <v>1033</v>
      </c>
      <c r="E312" s="13" t="s">
        <v>122</v>
      </c>
      <c r="F312" s="13" t="s">
        <v>357</v>
      </c>
      <c r="G312" s="13" t="n">
        <v>3348</v>
      </c>
      <c r="H312" s="13" t="n">
        <v>317</v>
      </c>
      <c r="I312" s="13" t="n">
        <v>3031</v>
      </c>
      <c r="J312" s="13" t="n">
        <v>35</v>
      </c>
      <c r="K312" s="13" t="n">
        <v>1</v>
      </c>
      <c r="L312" s="13" t="n">
        <v>181</v>
      </c>
      <c r="M312" s="13" t="n">
        <v>2849</v>
      </c>
      <c r="N312" s="13" t="n">
        <v>1893</v>
      </c>
      <c r="O312" s="13" t="n">
        <v>415</v>
      </c>
      <c r="P312" s="13" t="n">
        <v>258</v>
      </c>
      <c r="Q312" s="13" t="n">
        <v>226</v>
      </c>
      <c r="R312" s="13" t="n">
        <v>57</v>
      </c>
      <c r="S312" s="13" t="n">
        <v>0</v>
      </c>
      <c r="T312" s="13" t="n">
        <v>0.94</v>
      </c>
      <c r="U312" s="13" t="n">
        <v>5.03</v>
      </c>
      <c r="V312" s="13" t="n">
        <f aca="false">M312-SUM(N312:S312)</f>
        <v>0</v>
      </c>
    </row>
    <row r="313" customFormat="false" ht="15" hidden="false" customHeight="true" outlineLevel="0" collapsed="false">
      <c r="A313" s="13" t="n">
        <v>2025</v>
      </c>
      <c r="B313" s="13" t="s">
        <v>1021</v>
      </c>
      <c r="C313" s="13" t="s">
        <v>125</v>
      </c>
      <c r="D313" s="13" t="s">
        <v>1033</v>
      </c>
      <c r="E313" s="13" t="s">
        <v>192</v>
      </c>
      <c r="F313" s="13" t="s">
        <v>652</v>
      </c>
      <c r="G313" s="13" t="n">
        <v>4934</v>
      </c>
      <c r="H313" s="13" t="n">
        <v>478</v>
      </c>
      <c r="I313" s="13" t="n">
        <v>4456</v>
      </c>
      <c r="J313" s="13" t="n">
        <v>71</v>
      </c>
      <c r="K313" s="13" t="n">
        <v>3</v>
      </c>
      <c r="L313" s="13" t="n">
        <v>427</v>
      </c>
      <c r="M313" s="13" t="n">
        <v>4026</v>
      </c>
      <c r="N313" s="13" t="n">
        <v>2559</v>
      </c>
      <c r="O313" s="13" t="n">
        <v>557</v>
      </c>
      <c r="P313" s="13" t="n">
        <v>368</v>
      </c>
      <c r="Q313" s="13" t="n">
        <v>412</v>
      </c>
      <c r="R313" s="13" t="n">
        <v>130</v>
      </c>
      <c r="S313" s="13" t="n">
        <v>0</v>
      </c>
      <c r="T313" s="13" t="n">
        <v>0.9035</v>
      </c>
      <c r="U313" s="13" t="n">
        <v>4.74</v>
      </c>
      <c r="V313" s="13" t="n">
        <f aca="false">M313-SUM(N313:S313)</f>
        <v>0</v>
      </c>
    </row>
    <row r="314" customFormat="false" ht="15" hidden="false" customHeight="true" outlineLevel="0" collapsed="false">
      <c r="A314" s="13" t="n">
        <v>2025</v>
      </c>
      <c r="B314" s="13" t="s">
        <v>1021</v>
      </c>
      <c r="C314" s="13" t="s">
        <v>125</v>
      </c>
      <c r="D314" s="13" t="s">
        <v>1034</v>
      </c>
      <c r="E314" s="13" t="s">
        <v>124</v>
      </c>
      <c r="F314" s="13" t="s">
        <v>357</v>
      </c>
      <c r="G314" s="13" t="n">
        <v>873</v>
      </c>
      <c r="H314" s="13" t="n">
        <v>74</v>
      </c>
      <c r="I314" s="13" t="n">
        <v>799</v>
      </c>
      <c r="J314" s="13" t="n">
        <v>21</v>
      </c>
      <c r="K314" s="13" t="n">
        <v>0</v>
      </c>
      <c r="L314" s="13" t="n">
        <v>363</v>
      </c>
      <c r="M314" s="13" t="n">
        <v>436</v>
      </c>
      <c r="N314" s="13" t="n">
        <v>8</v>
      </c>
      <c r="O314" s="13" t="n">
        <v>31</v>
      </c>
      <c r="P314" s="13" t="n">
        <v>111</v>
      </c>
      <c r="Q314" s="13" t="n">
        <v>217</v>
      </c>
      <c r="R314" s="13" t="n">
        <v>67</v>
      </c>
      <c r="S314" s="13" t="n">
        <v>1</v>
      </c>
      <c r="T314" s="13" t="n">
        <v>0.5457</v>
      </c>
      <c r="U314" s="13" t="n">
        <v>1.79</v>
      </c>
      <c r="V314" s="13" t="n">
        <f aca="false">M314-SUM(N314:S314)</f>
        <v>1</v>
      </c>
    </row>
    <row r="315" customFormat="false" ht="15" hidden="false" customHeight="true" outlineLevel="0" collapsed="false">
      <c r="A315" s="13" t="n">
        <v>2025</v>
      </c>
      <c r="B315" s="13" t="s">
        <v>1021</v>
      </c>
      <c r="C315" s="13" t="s">
        <v>125</v>
      </c>
      <c r="D315" s="13" t="s">
        <v>1034</v>
      </c>
      <c r="E315" s="13" t="s">
        <v>122</v>
      </c>
      <c r="F315" s="13" t="s">
        <v>357</v>
      </c>
      <c r="G315" s="13" t="n">
        <v>277</v>
      </c>
      <c r="H315" s="13" t="n">
        <v>16</v>
      </c>
      <c r="I315" s="13" t="n">
        <v>261</v>
      </c>
      <c r="J315" s="13" t="n">
        <v>2</v>
      </c>
      <c r="K315" s="13" t="n">
        <v>0</v>
      </c>
      <c r="L315" s="13" t="n">
        <v>114</v>
      </c>
      <c r="M315" s="13" t="n">
        <v>147</v>
      </c>
      <c r="N315" s="13" t="n">
        <v>5</v>
      </c>
      <c r="O315" s="13" t="n">
        <v>28</v>
      </c>
      <c r="P315" s="13" t="n">
        <v>44</v>
      </c>
      <c r="Q315" s="13" t="n">
        <v>59</v>
      </c>
      <c r="R315" s="13" t="n">
        <v>9</v>
      </c>
      <c r="S315" s="13" t="n">
        <v>0</v>
      </c>
      <c r="T315" s="13" t="n">
        <v>0.5632</v>
      </c>
      <c r="U315" s="13" t="n">
        <v>2.07</v>
      </c>
      <c r="V315" s="13" t="n">
        <f aca="false">M315-SUM(N315:S315)</f>
        <v>2</v>
      </c>
    </row>
    <row r="316" customFormat="false" ht="15" hidden="false" customHeight="true" outlineLevel="0" collapsed="false">
      <c r="A316" s="13" t="n">
        <v>2025</v>
      </c>
      <c r="B316" s="13" t="s">
        <v>1021</v>
      </c>
      <c r="C316" s="13" t="s">
        <v>125</v>
      </c>
      <c r="D316" s="13" t="s">
        <v>1034</v>
      </c>
      <c r="E316" s="13" t="s">
        <v>192</v>
      </c>
      <c r="F316" s="13" t="s">
        <v>652</v>
      </c>
      <c r="G316" s="13" t="n">
        <v>1150</v>
      </c>
      <c r="H316" s="13" t="n">
        <v>90</v>
      </c>
      <c r="I316" s="13" t="n">
        <v>1060</v>
      </c>
      <c r="J316" s="13" t="n">
        <v>23</v>
      </c>
      <c r="K316" s="13" t="n">
        <v>0</v>
      </c>
      <c r="L316" s="13" t="n">
        <v>477</v>
      </c>
      <c r="M316" s="13" t="n">
        <v>583</v>
      </c>
      <c r="N316" s="13" t="n">
        <v>13</v>
      </c>
      <c r="O316" s="13" t="n">
        <v>59</v>
      </c>
      <c r="P316" s="13" t="n">
        <v>155</v>
      </c>
      <c r="Q316" s="13" t="n">
        <v>276</v>
      </c>
      <c r="R316" s="13" t="n">
        <v>76</v>
      </c>
      <c r="S316" s="13" t="n">
        <v>1</v>
      </c>
      <c r="T316" s="13" t="n">
        <v>0.55</v>
      </c>
      <c r="U316" s="13" t="n">
        <v>1.86</v>
      </c>
      <c r="V316" s="13" t="n">
        <f aca="false">M316-SUM(N316:S316)</f>
        <v>3</v>
      </c>
    </row>
    <row r="317" customFormat="false" ht="15" hidden="false" customHeight="true" outlineLevel="0" collapsed="false">
      <c r="A317" s="13" t="n">
        <v>2025</v>
      </c>
      <c r="B317" s="13" t="s">
        <v>1021</v>
      </c>
      <c r="C317" s="13" t="s">
        <v>125</v>
      </c>
      <c r="D317" s="13" t="s">
        <v>1035</v>
      </c>
      <c r="E317" s="13" t="s">
        <v>124</v>
      </c>
      <c r="F317" s="13" t="s">
        <v>357</v>
      </c>
      <c r="G317" s="13" t="n">
        <v>3964</v>
      </c>
      <c r="H317" s="13" t="n">
        <v>223</v>
      </c>
      <c r="I317" s="13" t="n">
        <v>3741</v>
      </c>
      <c r="J317" s="13" t="n">
        <v>87</v>
      </c>
      <c r="K317" s="13" t="n">
        <v>17</v>
      </c>
      <c r="L317" s="13" t="n">
        <v>2507</v>
      </c>
      <c r="M317" s="13" t="n">
        <v>1217</v>
      </c>
      <c r="N317" s="13" t="n">
        <v>4</v>
      </c>
      <c r="O317" s="13" t="n">
        <v>38</v>
      </c>
      <c r="P317" s="13" t="n">
        <v>178</v>
      </c>
      <c r="Q317" s="13" t="n">
        <v>618</v>
      </c>
      <c r="R317" s="13" t="n">
        <v>378</v>
      </c>
      <c r="S317" s="13" t="n">
        <v>1</v>
      </c>
      <c r="T317" s="13" t="n">
        <v>0.3253</v>
      </c>
      <c r="U317" s="13" t="n">
        <v>0.95</v>
      </c>
      <c r="V317" s="13" t="n">
        <f aca="false">M317-SUM(N317:S317)</f>
        <v>0</v>
      </c>
    </row>
    <row r="318" customFormat="false" ht="15" hidden="false" customHeight="true" outlineLevel="0" collapsed="false">
      <c r="A318" s="13" t="n">
        <v>2025</v>
      </c>
      <c r="B318" s="13" t="s">
        <v>1021</v>
      </c>
      <c r="C318" s="13" t="s">
        <v>125</v>
      </c>
      <c r="D318" s="13" t="s">
        <v>1035</v>
      </c>
      <c r="E318" s="13" t="s">
        <v>122</v>
      </c>
      <c r="F318" s="13" t="s">
        <v>357</v>
      </c>
      <c r="G318" s="13" t="n">
        <v>1205</v>
      </c>
      <c r="H318" s="13" t="n">
        <v>49</v>
      </c>
      <c r="I318" s="13" t="n">
        <v>1156</v>
      </c>
      <c r="J318" s="13" t="n">
        <v>19</v>
      </c>
      <c r="K318" s="13" t="n">
        <v>0</v>
      </c>
      <c r="L318" s="13" t="n">
        <v>768</v>
      </c>
      <c r="M318" s="13" t="n">
        <v>388</v>
      </c>
      <c r="N318" s="13" t="n">
        <v>9</v>
      </c>
      <c r="O318" s="13" t="n">
        <v>25</v>
      </c>
      <c r="P318" s="13" t="n">
        <v>97</v>
      </c>
      <c r="Q318" s="13" t="n">
        <v>198</v>
      </c>
      <c r="R318" s="13" t="n">
        <v>59</v>
      </c>
      <c r="S318" s="13" t="n">
        <v>0</v>
      </c>
      <c r="T318" s="13" t="n">
        <v>0.3356</v>
      </c>
      <c r="U318" s="13" t="n">
        <v>1.11</v>
      </c>
      <c r="V318" s="13" t="n">
        <f aca="false">M318-SUM(N318:S318)</f>
        <v>0</v>
      </c>
    </row>
    <row r="319" customFormat="false" ht="15" hidden="false" customHeight="true" outlineLevel="0" collapsed="false">
      <c r="A319" s="13" t="n">
        <v>2025</v>
      </c>
      <c r="B319" s="13" t="s">
        <v>1021</v>
      </c>
      <c r="C319" s="13" t="s">
        <v>125</v>
      </c>
      <c r="D319" s="13" t="s">
        <v>1035</v>
      </c>
      <c r="E319" s="13" t="s">
        <v>192</v>
      </c>
      <c r="F319" s="13" t="s">
        <v>652</v>
      </c>
      <c r="G319" s="13" t="n">
        <v>5169</v>
      </c>
      <c r="H319" s="13" t="n">
        <v>272</v>
      </c>
      <c r="I319" s="13" t="n">
        <v>4897</v>
      </c>
      <c r="J319" s="13" t="n">
        <v>106</v>
      </c>
      <c r="K319" s="13" t="n">
        <v>17</v>
      </c>
      <c r="L319" s="13" t="n">
        <v>3275</v>
      </c>
      <c r="M319" s="13" t="n">
        <v>1605</v>
      </c>
      <c r="N319" s="13" t="n">
        <v>13</v>
      </c>
      <c r="O319" s="13" t="n">
        <v>63</v>
      </c>
      <c r="P319" s="13" t="n">
        <v>275</v>
      </c>
      <c r="Q319" s="13" t="n">
        <v>816</v>
      </c>
      <c r="R319" s="13" t="n">
        <v>437</v>
      </c>
      <c r="S319" s="13" t="n">
        <v>1</v>
      </c>
      <c r="T319" s="13" t="n">
        <v>0.3278</v>
      </c>
      <c r="U319" s="13" t="n">
        <v>0.98</v>
      </c>
      <c r="V319" s="13" t="n">
        <f aca="false">M319-SUM(N319:S319)</f>
        <v>0</v>
      </c>
    </row>
    <row r="320" customFormat="false" ht="15" hidden="false" customHeight="true" outlineLevel="0" collapsed="false">
      <c r="A320" s="13" t="n">
        <v>2025</v>
      </c>
      <c r="B320" s="13" t="s">
        <v>1021</v>
      </c>
      <c r="C320" s="13" t="s">
        <v>125</v>
      </c>
      <c r="D320" s="13" t="s">
        <v>203</v>
      </c>
      <c r="E320" s="13" t="s">
        <v>124</v>
      </c>
      <c r="F320" s="13" t="s">
        <v>357</v>
      </c>
      <c r="G320" s="13" t="n">
        <v>650</v>
      </c>
      <c r="H320" s="13" t="n">
        <v>24</v>
      </c>
      <c r="I320" s="13" t="n">
        <v>626</v>
      </c>
      <c r="J320" s="13" t="n">
        <v>10</v>
      </c>
      <c r="K320" s="13" t="n">
        <v>1</v>
      </c>
      <c r="L320" s="13" t="n">
        <v>313</v>
      </c>
      <c r="M320" s="13" t="n">
        <v>312</v>
      </c>
      <c r="N320" s="13" t="n">
        <v>0</v>
      </c>
      <c r="O320" s="13" t="n">
        <v>4</v>
      </c>
      <c r="P320" s="13" t="n">
        <v>10</v>
      </c>
      <c r="Q320" s="13" t="n">
        <v>58</v>
      </c>
      <c r="R320" s="13" t="n">
        <v>217</v>
      </c>
      <c r="S320" s="13" t="n">
        <v>23</v>
      </c>
      <c r="T320" s="13" t="n">
        <v>0.4984</v>
      </c>
      <c r="U320" s="13" t="n">
        <v>1.1</v>
      </c>
      <c r="V320" s="13" t="n">
        <f aca="false">M320-SUM(N320:S320)</f>
        <v>0</v>
      </c>
    </row>
    <row r="321" customFormat="false" ht="15" hidden="false" customHeight="true" outlineLevel="0" collapsed="false">
      <c r="A321" s="13" t="n">
        <v>2025</v>
      </c>
      <c r="B321" s="13" t="s">
        <v>1021</v>
      </c>
      <c r="C321" s="13" t="s">
        <v>125</v>
      </c>
      <c r="D321" s="13" t="s">
        <v>203</v>
      </c>
      <c r="E321" s="13" t="s">
        <v>122</v>
      </c>
      <c r="F321" s="13" t="s">
        <v>357</v>
      </c>
      <c r="G321" s="13" t="n">
        <v>209</v>
      </c>
      <c r="H321" s="13" t="n">
        <v>8</v>
      </c>
      <c r="I321" s="13" t="n">
        <v>201</v>
      </c>
      <c r="J321" s="13" t="n">
        <v>7</v>
      </c>
      <c r="K321" s="13" t="n">
        <v>0</v>
      </c>
      <c r="L321" s="13" t="n">
        <v>83</v>
      </c>
      <c r="M321" s="13" t="n">
        <v>118</v>
      </c>
      <c r="N321" s="13" t="n">
        <v>2</v>
      </c>
      <c r="O321" s="13" t="n">
        <v>4</v>
      </c>
      <c r="P321" s="13" t="n">
        <v>18</v>
      </c>
      <c r="Q321" s="13" t="n">
        <v>39</v>
      </c>
      <c r="R321" s="13" t="n">
        <v>54</v>
      </c>
      <c r="S321" s="13" t="n">
        <v>1</v>
      </c>
      <c r="T321" s="13" t="n">
        <v>0.5871</v>
      </c>
      <c r="U321" s="13" t="n">
        <v>1.64</v>
      </c>
      <c r="V321" s="13" t="n">
        <f aca="false">M321-SUM(N321:S321)</f>
        <v>0</v>
      </c>
    </row>
    <row r="322" customFormat="false" ht="15" hidden="false" customHeight="true" outlineLevel="0" collapsed="false">
      <c r="A322" s="13" t="n">
        <v>2025</v>
      </c>
      <c r="B322" s="13" t="s">
        <v>1021</v>
      </c>
      <c r="C322" s="13" t="s">
        <v>125</v>
      </c>
      <c r="D322" s="13" t="s">
        <v>203</v>
      </c>
      <c r="E322" s="13" t="s">
        <v>192</v>
      </c>
      <c r="F322" s="13" t="s">
        <v>652</v>
      </c>
      <c r="G322" s="13" t="n">
        <v>859</v>
      </c>
      <c r="H322" s="13" t="n">
        <v>32</v>
      </c>
      <c r="I322" s="13" t="n">
        <v>827</v>
      </c>
      <c r="J322" s="13" t="n">
        <v>17</v>
      </c>
      <c r="K322" s="13" t="n">
        <v>1</v>
      </c>
      <c r="L322" s="13" t="n">
        <v>396</v>
      </c>
      <c r="M322" s="13" t="n">
        <v>430</v>
      </c>
      <c r="N322" s="13" t="n">
        <v>2</v>
      </c>
      <c r="O322" s="13" t="n">
        <v>8</v>
      </c>
      <c r="P322" s="13" t="n">
        <v>28</v>
      </c>
      <c r="Q322" s="13" t="n">
        <v>97</v>
      </c>
      <c r="R322" s="13" t="n">
        <v>271</v>
      </c>
      <c r="S322" s="13" t="n">
        <v>24</v>
      </c>
      <c r="T322" s="13" t="n">
        <v>0.52</v>
      </c>
      <c r="U322" s="13" t="n">
        <v>1.23</v>
      </c>
      <c r="V322" s="13" t="n">
        <f aca="false">M322-SUM(N322:S322)</f>
        <v>0</v>
      </c>
    </row>
    <row r="323" customFormat="false" ht="15" hidden="false" customHeight="true" outlineLevel="0" collapsed="false">
      <c r="A323" s="13" t="n">
        <v>2025</v>
      </c>
      <c r="B323" s="13" t="s">
        <v>1021</v>
      </c>
      <c r="C323" s="13" t="s">
        <v>125</v>
      </c>
      <c r="D323" s="13" t="s">
        <v>1036</v>
      </c>
      <c r="E323" s="13" t="s">
        <v>122</v>
      </c>
      <c r="F323" s="13" t="s">
        <v>357</v>
      </c>
      <c r="G323" s="13" t="n">
        <v>4</v>
      </c>
      <c r="H323" s="13" t="n">
        <v>0</v>
      </c>
      <c r="I323" s="13" t="n">
        <v>4</v>
      </c>
      <c r="J323" s="13" t="n">
        <v>0</v>
      </c>
      <c r="K323" s="13" t="n">
        <v>0</v>
      </c>
      <c r="L323" s="13" t="n">
        <v>2</v>
      </c>
      <c r="M323" s="13" t="n">
        <v>2</v>
      </c>
      <c r="N323" s="13" t="n">
        <v>0</v>
      </c>
      <c r="O323" s="13" t="n">
        <v>0</v>
      </c>
      <c r="P323" s="13" t="n">
        <v>0</v>
      </c>
      <c r="Q323" s="13" t="n">
        <v>1</v>
      </c>
      <c r="R323" s="13" t="n">
        <v>1</v>
      </c>
      <c r="S323" s="13" t="n">
        <v>0</v>
      </c>
      <c r="T323" s="13" t="n">
        <v>0.5</v>
      </c>
      <c r="U323" s="13" t="n">
        <v>1.25</v>
      </c>
      <c r="V323" s="13" t="n">
        <f aca="false">M323-SUM(N323:S323)</f>
        <v>0</v>
      </c>
    </row>
    <row r="324" customFormat="false" ht="15" hidden="false" customHeight="true" outlineLevel="0" collapsed="false">
      <c r="A324" s="13" t="n">
        <v>2025</v>
      </c>
      <c r="B324" s="13" t="s">
        <v>1021</v>
      </c>
      <c r="C324" s="13" t="s">
        <v>125</v>
      </c>
      <c r="D324" s="13" t="s">
        <v>1036</v>
      </c>
      <c r="E324" s="13" t="s">
        <v>192</v>
      </c>
      <c r="F324" s="13" t="s">
        <v>652</v>
      </c>
      <c r="G324" s="13" t="n">
        <v>4</v>
      </c>
      <c r="H324" s="13" t="n">
        <v>0</v>
      </c>
      <c r="I324" s="13" t="n">
        <v>4</v>
      </c>
      <c r="J324" s="13" t="n">
        <v>0</v>
      </c>
      <c r="K324" s="13" t="n">
        <v>0</v>
      </c>
      <c r="L324" s="13" t="n">
        <v>2</v>
      </c>
      <c r="M324" s="13" t="n">
        <v>2</v>
      </c>
      <c r="N324" s="13" t="n">
        <v>0</v>
      </c>
      <c r="O324" s="13" t="n">
        <v>0</v>
      </c>
      <c r="P324" s="13" t="n">
        <v>0</v>
      </c>
      <c r="Q324" s="13" t="n">
        <v>1</v>
      </c>
      <c r="R324" s="13" t="n">
        <v>1</v>
      </c>
      <c r="S324" s="13" t="n">
        <v>0</v>
      </c>
      <c r="T324" s="13" t="n">
        <v>0.5</v>
      </c>
      <c r="U324" s="13" t="n">
        <v>1.25</v>
      </c>
      <c r="V324" s="13" t="n">
        <f aca="false">M324-SUM(N324:S324)</f>
        <v>0</v>
      </c>
    </row>
    <row r="325" customFormat="false" ht="15" hidden="false" customHeight="true" outlineLevel="0" collapsed="false">
      <c r="A325" s="13" t="n">
        <v>2025</v>
      </c>
      <c r="B325" s="13" t="s">
        <v>1021</v>
      </c>
      <c r="C325" s="13" t="s">
        <v>125</v>
      </c>
      <c r="D325" s="13" t="s">
        <v>1037</v>
      </c>
      <c r="E325" s="13" t="s">
        <v>192</v>
      </c>
      <c r="F325" s="13" t="s">
        <v>1038</v>
      </c>
      <c r="G325" s="13" t="n">
        <v>16410</v>
      </c>
      <c r="H325" s="13" t="n">
        <v>1084</v>
      </c>
      <c r="I325" s="13" t="n">
        <v>15326</v>
      </c>
      <c r="J325" s="13" t="n">
        <v>423</v>
      </c>
      <c r="K325" s="13" t="n">
        <v>30</v>
      </c>
      <c r="L325" s="13" t="n">
        <v>6017</v>
      </c>
      <c r="M325" s="13" t="n">
        <v>9279</v>
      </c>
      <c r="N325" s="13" t="n">
        <v>2594</v>
      </c>
      <c r="O325" s="13" t="n">
        <v>768</v>
      </c>
      <c r="P325" s="13" t="n">
        <v>1110</v>
      </c>
      <c r="Q325" s="13" t="n">
        <v>2333</v>
      </c>
      <c r="R325" s="13" t="n">
        <v>2056</v>
      </c>
      <c r="S325" s="13" t="n">
        <v>208</v>
      </c>
      <c r="T325" s="13" t="n">
        <v>0.6054</v>
      </c>
      <c r="U325" s="13" t="n">
        <v>2.29</v>
      </c>
      <c r="V325" s="13" t="n">
        <f aca="false">M325-SUM(N325:S325)</f>
        <v>210</v>
      </c>
    </row>
    <row r="326" customFormat="false" ht="15" hidden="false" customHeight="true" outlineLevel="0" collapsed="false">
      <c r="A326" s="13" t="n">
        <v>2025</v>
      </c>
      <c r="B326" s="13" t="s">
        <v>1021</v>
      </c>
      <c r="C326" s="13" t="s">
        <v>125</v>
      </c>
      <c r="D326" s="13" t="s">
        <v>1037</v>
      </c>
      <c r="E326" s="13" t="s">
        <v>192</v>
      </c>
      <c r="F326" s="13" t="s">
        <v>137</v>
      </c>
      <c r="G326" s="13" t="n">
        <v>97925</v>
      </c>
      <c r="H326" s="13" t="n">
        <v>1404</v>
      </c>
      <c r="I326" s="13" t="n">
        <v>96521</v>
      </c>
      <c r="J326" s="13" t="n">
        <v>497</v>
      </c>
      <c r="K326" s="13" t="n">
        <v>51</v>
      </c>
      <c r="L326" s="13" t="n">
        <v>16589</v>
      </c>
      <c r="M326" s="13" t="n">
        <v>79881</v>
      </c>
      <c r="N326" s="13" t="n">
        <v>15939</v>
      </c>
      <c r="O326" s="13" t="n">
        <v>16876</v>
      </c>
      <c r="P326" s="13" t="n">
        <v>20954</v>
      </c>
      <c r="Q326" s="13" t="n">
        <v>18607</v>
      </c>
      <c r="R326" s="13" t="n">
        <v>6914</v>
      </c>
      <c r="S326" s="13" t="n">
        <v>381</v>
      </c>
      <c r="T326" s="13" t="n">
        <v>0.8319</v>
      </c>
      <c r="U326" s="13" t="n">
        <v>3.48</v>
      </c>
      <c r="V326" s="13" t="n">
        <f aca="false">M326-SUM(N326:S326)</f>
        <v>210</v>
      </c>
    </row>
    <row r="327" customFormat="false" ht="15" hidden="false" customHeight="true" outlineLevel="0" collapsed="false">
      <c r="A327" s="13" t="n">
        <v>2025</v>
      </c>
      <c r="B327" s="13" t="s">
        <v>1022</v>
      </c>
      <c r="C327" s="13" t="s">
        <v>121</v>
      </c>
      <c r="D327" s="13" t="s">
        <v>128</v>
      </c>
      <c r="E327" s="13" t="s">
        <v>124</v>
      </c>
      <c r="F327" s="13" t="s">
        <v>357</v>
      </c>
      <c r="G327" s="13" t="n">
        <v>806</v>
      </c>
      <c r="H327" s="13" t="n">
        <v>9</v>
      </c>
      <c r="I327" s="13" t="n">
        <v>797</v>
      </c>
      <c r="J327" s="13" t="n">
        <v>0</v>
      </c>
      <c r="K327" s="13" t="n">
        <v>1</v>
      </c>
      <c r="L327" s="13" t="n">
        <v>210</v>
      </c>
      <c r="M327" s="13" t="n">
        <v>586</v>
      </c>
      <c r="N327" s="13" t="n">
        <v>30</v>
      </c>
      <c r="O327" s="13" t="n">
        <v>48</v>
      </c>
      <c r="P327" s="13" t="n">
        <v>92</v>
      </c>
      <c r="Q327" s="13" t="n">
        <v>201</v>
      </c>
      <c r="R327" s="13" t="n">
        <v>205</v>
      </c>
      <c r="S327" s="13" t="n">
        <v>10</v>
      </c>
      <c r="T327" s="13" t="n">
        <v>0.7353</v>
      </c>
      <c r="U327" s="13" t="n">
        <v>2.27</v>
      </c>
      <c r="V327" s="13" t="n">
        <f aca="false">M327-SUM(N327:S327)</f>
        <v>0</v>
      </c>
    </row>
    <row r="328" customFormat="false" ht="15" hidden="false" customHeight="true" outlineLevel="0" collapsed="false">
      <c r="A328" s="13" t="n">
        <v>2025</v>
      </c>
      <c r="B328" s="13" t="s">
        <v>1022</v>
      </c>
      <c r="C328" s="13" t="s">
        <v>121</v>
      </c>
      <c r="D328" s="13" t="s">
        <v>128</v>
      </c>
      <c r="E328" s="13" t="s">
        <v>122</v>
      </c>
      <c r="F328" s="13" t="s">
        <v>357</v>
      </c>
      <c r="G328" s="13" t="n">
        <v>4296</v>
      </c>
      <c r="H328" s="13" t="n">
        <v>15</v>
      </c>
      <c r="I328" s="13" t="n">
        <v>4281</v>
      </c>
      <c r="J328" s="13" t="n">
        <v>0</v>
      </c>
      <c r="K328" s="13" t="n">
        <v>0</v>
      </c>
      <c r="L328" s="13" t="n">
        <v>428</v>
      </c>
      <c r="M328" s="13" t="n">
        <v>3853</v>
      </c>
      <c r="N328" s="13" t="n">
        <v>61</v>
      </c>
      <c r="O328" s="13" t="n">
        <v>392</v>
      </c>
      <c r="P328" s="13" t="n">
        <v>1120</v>
      </c>
      <c r="Q328" s="13" t="n">
        <v>1588</v>
      </c>
      <c r="R328" s="13" t="n">
        <v>678</v>
      </c>
      <c r="S328" s="13" t="n">
        <v>14</v>
      </c>
      <c r="T328" s="13" t="n">
        <v>0.9</v>
      </c>
      <c r="U328" s="13" t="n">
        <v>3.02</v>
      </c>
      <c r="V328" s="13" t="n">
        <f aca="false">M328-SUM(N328:S328)</f>
        <v>0</v>
      </c>
    </row>
    <row r="329" customFormat="false" ht="15" hidden="false" customHeight="true" outlineLevel="0" collapsed="false">
      <c r="A329" s="13" t="n">
        <v>2025</v>
      </c>
      <c r="B329" s="13" t="s">
        <v>1022</v>
      </c>
      <c r="C329" s="13" t="s">
        <v>121</v>
      </c>
      <c r="D329" s="13" t="s">
        <v>128</v>
      </c>
      <c r="E329" s="13" t="s">
        <v>192</v>
      </c>
      <c r="F329" s="13" t="s">
        <v>652</v>
      </c>
      <c r="G329" s="13" t="n">
        <v>5102</v>
      </c>
      <c r="H329" s="13" t="n">
        <v>24</v>
      </c>
      <c r="I329" s="13" t="n">
        <v>5078</v>
      </c>
      <c r="J329" s="13" t="n">
        <v>0</v>
      </c>
      <c r="K329" s="13" t="n">
        <v>1</v>
      </c>
      <c r="L329" s="13" t="n">
        <v>638</v>
      </c>
      <c r="M329" s="13" t="n">
        <v>4439</v>
      </c>
      <c r="N329" s="13" t="n">
        <v>91</v>
      </c>
      <c r="O329" s="13" t="n">
        <v>440</v>
      </c>
      <c r="P329" s="13" t="n">
        <v>1212</v>
      </c>
      <c r="Q329" s="13" t="n">
        <v>1789</v>
      </c>
      <c r="R329" s="13" t="n">
        <v>883</v>
      </c>
      <c r="S329" s="13" t="n">
        <v>24</v>
      </c>
      <c r="T329" s="13" t="n">
        <v>0.8742</v>
      </c>
      <c r="U329" s="13" t="n">
        <v>2.9</v>
      </c>
      <c r="V329" s="13" t="n">
        <f aca="false">M329-SUM(N329:S329)</f>
        <v>0</v>
      </c>
    </row>
    <row r="330" customFormat="false" ht="15" hidden="false" customHeight="true" outlineLevel="0" collapsed="false">
      <c r="A330" s="13" t="n">
        <v>2025</v>
      </c>
      <c r="B330" s="13" t="s">
        <v>1022</v>
      </c>
      <c r="C330" s="13" t="s">
        <v>121</v>
      </c>
      <c r="D330" s="13" t="s">
        <v>1033</v>
      </c>
      <c r="E330" s="13" t="s">
        <v>124</v>
      </c>
      <c r="F330" s="13" t="s">
        <v>357</v>
      </c>
      <c r="G330" s="13" t="n">
        <v>1333</v>
      </c>
      <c r="H330" s="13" t="n">
        <v>10</v>
      </c>
      <c r="I330" s="13" t="n">
        <v>1323</v>
      </c>
      <c r="J330" s="13" t="n">
        <v>0</v>
      </c>
      <c r="K330" s="13" t="n">
        <v>0</v>
      </c>
      <c r="L330" s="13" t="n">
        <v>146</v>
      </c>
      <c r="M330" s="13" t="n">
        <v>1177</v>
      </c>
      <c r="N330" s="13" t="n">
        <v>346</v>
      </c>
      <c r="O330" s="13" t="n">
        <v>265</v>
      </c>
      <c r="P330" s="13" t="n">
        <v>272</v>
      </c>
      <c r="Q330" s="13" t="n">
        <v>271</v>
      </c>
      <c r="R330" s="13" t="n">
        <v>23</v>
      </c>
      <c r="S330" s="13" t="n">
        <v>0</v>
      </c>
      <c r="T330" s="13" t="n">
        <v>0.8896</v>
      </c>
      <c r="U330" s="13" t="n">
        <v>4.04</v>
      </c>
      <c r="V330" s="13" t="n">
        <f aca="false">M330-SUM(N330:S330)</f>
        <v>0</v>
      </c>
    </row>
    <row r="331" customFormat="false" ht="15" hidden="false" customHeight="true" outlineLevel="0" collapsed="false">
      <c r="A331" s="13" t="n">
        <v>2025</v>
      </c>
      <c r="B331" s="13" t="s">
        <v>1022</v>
      </c>
      <c r="C331" s="13" t="s">
        <v>121</v>
      </c>
      <c r="D331" s="13" t="s">
        <v>1033</v>
      </c>
      <c r="E331" s="13" t="s">
        <v>122</v>
      </c>
      <c r="F331" s="13" t="s">
        <v>357</v>
      </c>
      <c r="G331" s="13" t="n">
        <v>4292</v>
      </c>
      <c r="H331" s="13" t="n">
        <v>11</v>
      </c>
      <c r="I331" s="13" t="n">
        <v>4281</v>
      </c>
      <c r="J331" s="13" t="n">
        <v>0</v>
      </c>
      <c r="K331" s="13" t="n">
        <v>2</v>
      </c>
      <c r="L331" s="13" t="n">
        <v>252</v>
      </c>
      <c r="M331" s="13" t="n">
        <v>4027</v>
      </c>
      <c r="N331" s="13" t="n">
        <v>1190</v>
      </c>
      <c r="O331" s="13" t="n">
        <v>1049</v>
      </c>
      <c r="P331" s="13" t="n">
        <v>1115</v>
      </c>
      <c r="Q331" s="13" t="n">
        <v>623</v>
      </c>
      <c r="R331" s="13" t="n">
        <v>50</v>
      </c>
      <c r="S331" s="13" t="n">
        <v>0</v>
      </c>
      <c r="T331" s="13" t="n">
        <v>0.9407</v>
      </c>
      <c r="U331" s="13" t="n">
        <v>4.39</v>
      </c>
      <c r="V331" s="13" t="n">
        <f aca="false">M331-SUM(N331:S331)</f>
        <v>0</v>
      </c>
    </row>
    <row r="332" customFormat="false" ht="15" hidden="false" customHeight="true" outlineLevel="0" collapsed="false">
      <c r="A332" s="13" t="n">
        <v>2025</v>
      </c>
      <c r="B332" s="13" t="s">
        <v>1022</v>
      </c>
      <c r="C332" s="13" t="s">
        <v>121</v>
      </c>
      <c r="D332" s="13" t="s">
        <v>1033</v>
      </c>
      <c r="E332" s="13" t="s">
        <v>192</v>
      </c>
      <c r="F332" s="13" t="s">
        <v>652</v>
      </c>
      <c r="G332" s="13" t="n">
        <v>5625</v>
      </c>
      <c r="H332" s="13" t="n">
        <v>21</v>
      </c>
      <c r="I332" s="13" t="n">
        <v>5604</v>
      </c>
      <c r="J332" s="13" t="n">
        <v>0</v>
      </c>
      <c r="K332" s="13" t="n">
        <v>2</v>
      </c>
      <c r="L332" s="13" t="n">
        <v>398</v>
      </c>
      <c r="M332" s="13" t="n">
        <v>5204</v>
      </c>
      <c r="N332" s="13" t="n">
        <v>1536</v>
      </c>
      <c r="O332" s="13" t="n">
        <v>1314</v>
      </c>
      <c r="P332" s="13" t="n">
        <v>1387</v>
      </c>
      <c r="Q332" s="13" t="n">
        <v>894</v>
      </c>
      <c r="R332" s="13" t="n">
        <v>73</v>
      </c>
      <c r="S332" s="13" t="n">
        <v>0</v>
      </c>
      <c r="T332" s="13" t="n">
        <v>0.9286</v>
      </c>
      <c r="U332" s="13" t="n">
        <v>4.31</v>
      </c>
      <c r="V332" s="13" t="n">
        <f aca="false">M332-SUM(N332:S332)</f>
        <v>0</v>
      </c>
    </row>
    <row r="333" customFormat="false" ht="15" hidden="false" customHeight="true" outlineLevel="0" collapsed="false">
      <c r="A333" s="13" t="n">
        <v>2025</v>
      </c>
      <c r="B333" s="13" t="s">
        <v>1022</v>
      </c>
      <c r="C333" s="13" t="s">
        <v>121</v>
      </c>
      <c r="D333" s="13" t="s">
        <v>1034</v>
      </c>
      <c r="E333" s="13" t="s">
        <v>124</v>
      </c>
      <c r="F333" s="13" t="s">
        <v>357</v>
      </c>
      <c r="G333" s="13" t="n">
        <v>1250</v>
      </c>
      <c r="H333" s="13" t="n">
        <v>7</v>
      </c>
      <c r="I333" s="13" t="n">
        <v>1243</v>
      </c>
      <c r="J333" s="13" t="n">
        <v>0</v>
      </c>
      <c r="K333" s="13" t="n">
        <v>0</v>
      </c>
      <c r="L333" s="13" t="n">
        <v>189</v>
      </c>
      <c r="M333" s="13" t="n">
        <v>1054</v>
      </c>
      <c r="N333" s="13" t="n">
        <v>247</v>
      </c>
      <c r="O333" s="13" t="n">
        <v>239</v>
      </c>
      <c r="P333" s="13" t="n">
        <v>318</v>
      </c>
      <c r="Q333" s="13" t="n">
        <v>226</v>
      </c>
      <c r="R333" s="13" t="n">
        <v>24</v>
      </c>
      <c r="S333" s="13" t="n">
        <v>0</v>
      </c>
      <c r="T333" s="13" t="n">
        <v>0.8479</v>
      </c>
      <c r="U333" s="13" t="n">
        <v>3.76</v>
      </c>
      <c r="V333" s="13" t="n">
        <f aca="false">M333-SUM(N333:S333)</f>
        <v>0</v>
      </c>
    </row>
    <row r="334" customFormat="false" ht="15" hidden="false" customHeight="true" outlineLevel="0" collapsed="false">
      <c r="A334" s="13" t="n">
        <v>2025</v>
      </c>
      <c r="B334" s="13" t="s">
        <v>1022</v>
      </c>
      <c r="C334" s="13" t="s">
        <v>121</v>
      </c>
      <c r="D334" s="13" t="s">
        <v>1034</v>
      </c>
      <c r="E334" s="13" t="s">
        <v>122</v>
      </c>
      <c r="F334" s="13" t="s">
        <v>357</v>
      </c>
      <c r="G334" s="13" t="n">
        <v>1002</v>
      </c>
      <c r="H334" s="13" t="n">
        <v>6</v>
      </c>
      <c r="I334" s="13" t="n">
        <v>996</v>
      </c>
      <c r="J334" s="13" t="n">
        <v>0</v>
      </c>
      <c r="K334" s="13" t="n">
        <v>0</v>
      </c>
      <c r="L334" s="13" t="n">
        <v>105</v>
      </c>
      <c r="M334" s="13" t="n">
        <v>891</v>
      </c>
      <c r="N334" s="13" t="n">
        <v>195</v>
      </c>
      <c r="O334" s="13" t="n">
        <v>232</v>
      </c>
      <c r="P334" s="13" t="n">
        <v>254</v>
      </c>
      <c r="Q334" s="13" t="n">
        <v>202</v>
      </c>
      <c r="R334" s="13" t="n">
        <v>8</v>
      </c>
      <c r="S334" s="13" t="n">
        <v>0</v>
      </c>
      <c r="T334" s="13" t="n">
        <v>0.8946</v>
      </c>
      <c r="U334" s="13" t="n">
        <v>3.98</v>
      </c>
      <c r="V334" s="13" t="n">
        <f aca="false">M334-SUM(N334:S334)</f>
        <v>0</v>
      </c>
    </row>
    <row r="335" customFormat="false" ht="15" hidden="false" customHeight="true" outlineLevel="0" collapsed="false">
      <c r="A335" s="13" t="n">
        <v>2025</v>
      </c>
      <c r="B335" s="13" t="s">
        <v>1022</v>
      </c>
      <c r="C335" s="13" t="s">
        <v>121</v>
      </c>
      <c r="D335" s="13" t="s">
        <v>1034</v>
      </c>
      <c r="E335" s="13" t="s">
        <v>192</v>
      </c>
      <c r="F335" s="13" t="s">
        <v>652</v>
      </c>
      <c r="G335" s="13" t="n">
        <v>2252</v>
      </c>
      <c r="H335" s="13" t="n">
        <v>13</v>
      </c>
      <c r="I335" s="13" t="n">
        <v>2239</v>
      </c>
      <c r="J335" s="13" t="n">
        <v>0</v>
      </c>
      <c r="K335" s="13" t="n">
        <v>0</v>
      </c>
      <c r="L335" s="13" t="n">
        <v>294</v>
      </c>
      <c r="M335" s="13" t="n">
        <v>1945</v>
      </c>
      <c r="N335" s="13" t="n">
        <v>442</v>
      </c>
      <c r="O335" s="13" t="n">
        <v>471</v>
      </c>
      <c r="P335" s="13" t="n">
        <v>572</v>
      </c>
      <c r="Q335" s="13" t="n">
        <v>428</v>
      </c>
      <c r="R335" s="13" t="n">
        <v>32</v>
      </c>
      <c r="S335" s="13" t="n">
        <v>0</v>
      </c>
      <c r="T335" s="13" t="n">
        <v>0.8687</v>
      </c>
      <c r="U335" s="13" t="n">
        <v>3.86</v>
      </c>
      <c r="V335" s="13" t="n">
        <f aca="false">M335-SUM(N335:S335)</f>
        <v>0</v>
      </c>
    </row>
    <row r="336" customFormat="false" ht="15" hidden="false" customHeight="true" outlineLevel="0" collapsed="false">
      <c r="A336" s="13" t="n">
        <v>2025</v>
      </c>
      <c r="B336" s="13" t="s">
        <v>1022</v>
      </c>
      <c r="C336" s="13" t="s">
        <v>121</v>
      </c>
      <c r="D336" s="13" t="s">
        <v>1035</v>
      </c>
      <c r="E336" s="13" t="s">
        <v>124</v>
      </c>
      <c r="F336" s="13" t="s">
        <v>357</v>
      </c>
      <c r="G336" s="13" t="n">
        <v>5451</v>
      </c>
      <c r="H336" s="13" t="n">
        <v>28</v>
      </c>
      <c r="I336" s="13" t="n">
        <v>5423</v>
      </c>
      <c r="J336" s="13" t="n">
        <v>0</v>
      </c>
      <c r="K336" s="13" t="n">
        <v>2</v>
      </c>
      <c r="L336" s="13" t="n">
        <v>1882</v>
      </c>
      <c r="M336" s="13" t="n">
        <v>3539</v>
      </c>
      <c r="N336" s="13" t="n">
        <v>267</v>
      </c>
      <c r="O336" s="13" t="n">
        <v>616</v>
      </c>
      <c r="P336" s="13" t="n">
        <v>1026</v>
      </c>
      <c r="Q336" s="13" t="n">
        <v>1260</v>
      </c>
      <c r="R336" s="13" t="n">
        <v>369</v>
      </c>
      <c r="S336" s="13" t="n">
        <v>1</v>
      </c>
      <c r="T336" s="13" t="n">
        <v>0.6526</v>
      </c>
      <c r="U336" s="13" t="n">
        <v>2.45</v>
      </c>
      <c r="V336" s="13" t="n">
        <f aca="false">M336-SUM(N336:S336)</f>
        <v>0</v>
      </c>
    </row>
    <row r="337" customFormat="false" ht="15" hidden="false" customHeight="true" outlineLevel="0" collapsed="false">
      <c r="A337" s="13" t="n">
        <v>2025</v>
      </c>
      <c r="B337" s="13" t="s">
        <v>1022</v>
      </c>
      <c r="C337" s="13" t="s">
        <v>121</v>
      </c>
      <c r="D337" s="13" t="s">
        <v>1035</v>
      </c>
      <c r="E337" s="13" t="s">
        <v>122</v>
      </c>
      <c r="F337" s="13" t="s">
        <v>357</v>
      </c>
      <c r="G337" s="13" t="n">
        <v>4243</v>
      </c>
      <c r="H337" s="13" t="n">
        <v>15</v>
      </c>
      <c r="I337" s="13" t="n">
        <v>4228</v>
      </c>
      <c r="J337" s="13" t="n">
        <v>0</v>
      </c>
      <c r="K337" s="13" t="n">
        <v>2</v>
      </c>
      <c r="L337" s="13" t="n">
        <v>847</v>
      </c>
      <c r="M337" s="13" t="n">
        <v>3379</v>
      </c>
      <c r="N337" s="13" t="n">
        <v>296</v>
      </c>
      <c r="O337" s="13" t="n">
        <v>756</v>
      </c>
      <c r="P337" s="13" t="n">
        <v>1312</v>
      </c>
      <c r="Q337" s="13" t="n">
        <v>931</v>
      </c>
      <c r="R337" s="13" t="n">
        <v>84</v>
      </c>
      <c r="S337" s="13" t="n">
        <v>0</v>
      </c>
      <c r="T337" s="13" t="n">
        <v>0.7992</v>
      </c>
      <c r="U337" s="13" t="n">
        <v>3.26</v>
      </c>
      <c r="V337" s="13" t="n">
        <f aca="false">M337-SUM(N337:S337)</f>
        <v>0</v>
      </c>
    </row>
    <row r="338" customFormat="false" ht="15" hidden="false" customHeight="true" outlineLevel="0" collapsed="false">
      <c r="A338" s="13" t="n">
        <v>2025</v>
      </c>
      <c r="B338" s="13" t="s">
        <v>1022</v>
      </c>
      <c r="C338" s="13" t="s">
        <v>121</v>
      </c>
      <c r="D338" s="13" t="s">
        <v>1035</v>
      </c>
      <c r="E338" s="13" t="s">
        <v>192</v>
      </c>
      <c r="F338" s="13" t="s">
        <v>652</v>
      </c>
      <c r="G338" s="13" t="n">
        <v>9694</v>
      </c>
      <c r="H338" s="13" t="n">
        <v>43</v>
      </c>
      <c r="I338" s="13" t="n">
        <v>9651</v>
      </c>
      <c r="J338" s="13" t="n">
        <v>0</v>
      </c>
      <c r="K338" s="13" t="n">
        <v>4</v>
      </c>
      <c r="L338" s="13" t="n">
        <v>2729</v>
      </c>
      <c r="M338" s="13" t="n">
        <v>6918</v>
      </c>
      <c r="N338" s="13" t="n">
        <v>563</v>
      </c>
      <c r="O338" s="13" t="n">
        <v>1372</v>
      </c>
      <c r="P338" s="13" t="n">
        <v>2338</v>
      </c>
      <c r="Q338" s="13" t="n">
        <v>2191</v>
      </c>
      <c r="R338" s="13" t="n">
        <v>453</v>
      </c>
      <c r="S338" s="13" t="n">
        <v>1</v>
      </c>
      <c r="T338" s="13" t="n">
        <v>0.7168</v>
      </c>
      <c r="U338" s="13" t="n">
        <v>2.8</v>
      </c>
      <c r="V338" s="13" t="n">
        <f aca="false">M338-SUM(N338:S338)</f>
        <v>0</v>
      </c>
    </row>
    <row r="339" customFormat="false" ht="15" hidden="false" customHeight="true" outlineLevel="0" collapsed="false">
      <c r="A339" s="13" t="n">
        <v>2025</v>
      </c>
      <c r="B339" s="13" t="s">
        <v>1022</v>
      </c>
      <c r="C339" s="13" t="s">
        <v>121</v>
      </c>
      <c r="D339" s="13" t="s">
        <v>203</v>
      </c>
      <c r="E339" s="13" t="s">
        <v>124</v>
      </c>
      <c r="F339" s="13" t="s">
        <v>357</v>
      </c>
      <c r="G339" s="13" t="n">
        <v>923</v>
      </c>
      <c r="H339" s="13" t="n">
        <v>3</v>
      </c>
      <c r="I339" s="13" t="n">
        <v>920</v>
      </c>
      <c r="J339" s="13" t="n">
        <v>0</v>
      </c>
      <c r="K339" s="13" t="n">
        <v>2</v>
      </c>
      <c r="L339" s="13" t="n">
        <v>268</v>
      </c>
      <c r="M339" s="13" t="n">
        <v>650</v>
      </c>
      <c r="N339" s="13" t="n">
        <v>11</v>
      </c>
      <c r="O339" s="13" t="n">
        <v>25</v>
      </c>
      <c r="P339" s="13" t="n">
        <v>75</v>
      </c>
      <c r="Q339" s="13" t="n">
        <v>227</v>
      </c>
      <c r="R339" s="13" t="n">
        <v>301</v>
      </c>
      <c r="S339" s="13" t="n">
        <v>11</v>
      </c>
      <c r="T339" s="13" t="n">
        <v>0.7065</v>
      </c>
      <c r="U339" s="13" t="n">
        <v>1.94</v>
      </c>
      <c r="V339" s="13" t="n">
        <f aca="false">M339-SUM(N339:S339)</f>
        <v>0</v>
      </c>
    </row>
    <row r="340" customFormat="false" ht="15" hidden="false" customHeight="true" outlineLevel="0" collapsed="false">
      <c r="A340" s="13" t="n">
        <v>2025</v>
      </c>
      <c r="B340" s="13" t="s">
        <v>1022</v>
      </c>
      <c r="C340" s="13" t="s">
        <v>121</v>
      </c>
      <c r="D340" s="13" t="s">
        <v>203</v>
      </c>
      <c r="E340" s="13" t="s">
        <v>122</v>
      </c>
      <c r="F340" s="13" t="s">
        <v>357</v>
      </c>
      <c r="G340" s="13" t="n">
        <v>331</v>
      </c>
      <c r="H340" s="13" t="n">
        <v>2</v>
      </c>
      <c r="I340" s="13" t="n">
        <v>329</v>
      </c>
      <c r="J340" s="13" t="n">
        <v>0</v>
      </c>
      <c r="K340" s="13" t="n">
        <v>0</v>
      </c>
      <c r="L340" s="13" t="n">
        <v>31</v>
      </c>
      <c r="M340" s="13" t="n">
        <v>298</v>
      </c>
      <c r="N340" s="13" t="n">
        <v>23</v>
      </c>
      <c r="O340" s="13" t="n">
        <v>43</v>
      </c>
      <c r="P340" s="13" t="n">
        <v>96</v>
      </c>
      <c r="Q340" s="13" t="n">
        <v>97</v>
      </c>
      <c r="R340" s="13" t="n">
        <v>39</v>
      </c>
      <c r="S340" s="13" t="n">
        <v>0</v>
      </c>
      <c r="T340" s="13" t="n">
        <v>0.9058</v>
      </c>
      <c r="U340" s="13" t="n">
        <v>3.36</v>
      </c>
      <c r="V340" s="13" t="n">
        <f aca="false">M340-SUM(N340:S340)</f>
        <v>0</v>
      </c>
    </row>
    <row r="341" customFormat="false" ht="15" hidden="false" customHeight="true" outlineLevel="0" collapsed="false">
      <c r="A341" s="13" t="n">
        <v>2025</v>
      </c>
      <c r="B341" s="13" t="s">
        <v>1022</v>
      </c>
      <c r="C341" s="13" t="s">
        <v>121</v>
      </c>
      <c r="D341" s="13" t="s">
        <v>203</v>
      </c>
      <c r="E341" s="13" t="s">
        <v>192</v>
      </c>
      <c r="F341" s="13" t="s">
        <v>652</v>
      </c>
      <c r="G341" s="13" t="n">
        <v>1254</v>
      </c>
      <c r="H341" s="13" t="n">
        <v>5</v>
      </c>
      <c r="I341" s="13" t="n">
        <v>1249</v>
      </c>
      <c r="J341" s="13" t="n">
        <v>0</v>
      </c>
      <c r="K341" s="13" t="n">
        <v>2</v>
      </c>
      <c r="L341" s="13" t="n">
        <v>299</v>
      </c>
      <c r="M341" s="13" t="n">
        <v>948</v>
      </c>
      <c r="N341" s="13" t="n">
        <v>34</v>
      </c>
      <c r="O341" s="13" t="n">
        <v>68</v>
      </c>
      <c r="P341" s="13" t="n">
        <v>171</v>
      </c>
      <c r="Q341" s="13" t="n">
        <v>324</v>
      </c>
      <c r="R341" s="13" t="n">
        <v>340</v>
      </c>
      <c r="S341" s="13" t="n">
        <v>11</v>
      </c>
      <c r="T341" s="13" t="n">
        <v>0.759</v>
      </c>
      <c r="U341" s="13" t="n">
        <v>2.31</v>
      </c>
      <c r="V341" s="13" t="n">
        <f aca="false">M341-SUM(N341:S341)</f>
        <v>0</v>
      </c>
    </row>
    <row r="342" customFormat="false" ht="15" hidden="false" customHeight="true" outlineLevel="0" collapsed="false">
      <c r="A342" s="13" t="n">
        <v>2025</v>
      </c>
      <c r="B342" s="13" t="s">
        <v>1022</v>
      </c>
      <c r="C342" s="13" t="s">
        <v>121</v>
      </c>
      <c r="D342" s="13" t="s">
        <v>1036</v>
      </c>
      <c r="E342" s="13" t="s">
        <v>122</v>
      </c>
      <c r="F342" s="13" t="s">
        <v>357</v>
      </c>
      <c r="G342" s="13" t="n">
        <v>57</v>
      </c>
      <c r="H342" s="13" t="n">
        <v>0</v>
      </c>
      <c r="I342" s="13" t="n">
        <v>57</v>
      </c>
      <c r="J342" s="13" t="n">
        <v>0</v>
      </c>
      <c r="K342" s="13" t="n">
        <v>0</v>
      </c>
      <c r="L342" s="13" t="n">
        <v>4</v>
      </c>
      <c r="M342" s="13" t="n">
        <v>53</v>
      </c>
      <c r="N342" s="13" t="n">
        <v>5</v>
      </c>
      <c r="O342" s="13" t="n">
        <v>20</v>
      </c>
      <c r="P342" s="13" t="n">
        <v>23</v>
      </c>
      <c r="Q342" s="13" t="n">
        <v>4</v>
      </c>
      <c r="R342" s="13" t="n">
        <v>1</v>
      </c>
      <c r="S342" s="13" t="n">
        <v>0</v>
      </c>
      <c r="T342" s="13" t="n">
        <v>0.9298</v>
      </c>
      <c r="U342" s="13" t="n">
        <v>4.14</v>
      </c>
      <c r="V342" s="13" t="n">
        <f aca="false">M342-SUM(N342:S342)</f>
        <v>0</v>
      </c>
    </row>
    <row r="343" customFormat="false" ht="15" hidden="false" customHeight="true" outlineLevel="0" collapsed="false">
      <c r="A343" s="13" t="n">
        <v>2025</v>
      </c>
      <c r="B343" s="13" t="s">
        <v>1022</v>
      </c>
      <c r="C343" s="13" t="s">
        <v>121</v>
      </c>
      <c r="D343" s="13" t="s">
        <v>1036</v>
      </c>
      <c r="E343" s="13" t="s">
        <v>192</v>
      </c>
      <c r="F343" s="13" t="s">
        <v>652</v>
      </c>
      <c r="G343" s="13" t="n">
        <v>57</v>
      </c>
      <c r="H343" s="13" t="n">
        <v>0</v>
      </c>
      <c r="I343" s="13" t="n">
        <v>57</v>
      </c>
      <c r="J343" s="13" t="n">
        <v>0</v>
      </c>
      <c r="K343" s="13" t="n">
        <v>0</v>
      </c>
      <c r="L343" s="13" t="n">
        <v>4</v>
      </c>
      <c r="M343" s="13" t="n">
        <v>53</v>
      </c>
      <c r="N343" s="13" t="n">
        <v>5</v>
      </c>
      <c r="O343" s="13" t="n">
        <v>20</v>
      </c>
      <c r="P343" s="13" t="n">
        <v>23</v>
      </c>
      <c r="Q343" s="13" t="n">
        <v>4</v>
      </c>
      <c r="R343" s="13" t="n">
        <v>1</v>
      </c>
      <c r="S343" s="13" t="n">
        <v>0</v>
      </c>
      <c r="T343" s="13" t="n">
        <v>0.9298</v>
      </c>
      <c r="U343" s="13" t="n">
        <v>4.14</v>
      </c>
      <c r="V343" s="13" t="n">
        <f aca="false">M343-SUM(N343:S343)</f>
        <v>0</v>
      </c>
    </row>
    <row r="344" customFormat="false" ht="15" hidden="false" customHeight="true" outlineLevel="0" collapsed="false">
      <c r="A344" s="13" t="n">
        <v>2025</v>
      </c>
      <c r="B344" s="13" t="s">
        <v>1022</v>
      </c>
      <c r="C344" s="13" t="s">
        <v>121</v>
      </c>
      <c r="D344" s="13" t="s">
        <v>1037</v>
      </c>
      <c r="E344" s="13" t="s">
        <v>192</v>
      </c>
      <c r="F344" s="13" t="s">
        <v>1038</v>
      </c>
      <c r="G344" s="13" t="n">
        <v>23984</v>
      </c>
      <c r="H344" s="13" t="n">
        <v>106</v>
      </c>
      <c r="I344" s="13" t="n">
        <v>23878</v>
      </c>
      <c r="J344" s="13" t="n">
        <v>0</v>
      </c>
      <c r="K344" s="13" t="n">
        <v>9</v>
      </c>
      <c r="L344" s="13" t="n">
        <v>4362</v>
      </c>
      <c r="M344" s="13" t="n">
        <v>19507</v>
      </c>
      <c r="N344" s="13" t="n">
        <v>2671</v>
      </c>
      <c r="O344" s="13" t="n">
        <v>3685</v>
      </c>
      <c r="P344" s="13" t="n">
        <v>5703</v>
      </c>
      <c r="Q344" s="13" t="n">
        <v>5630</v>
      </c>
      <c r="R344" s="13" t="n">
        <v>1782</v>
      </c>
      <c r="S344" s="13" t="n">
        <v>36</v>
      </c>
      <c r="T344" s="13" t="n">
        <v>0.8169</v>
      </c>
      <c r="U344" s="13" t="n">
        <v>3.26</v>
      </c>
      <c r="V344" s="13" t="n">
        <f aca="false">M344-SUM(N344:S344)</f>
        <v>0</v>
      </c>
    </row>
    <row r="345" customFormat="false" ht="15" hidden="false" customHeight="true" outlineLevel="0" collapsed="false">
      <c r="A345" s="13" t="n">
        <v>2025</v>
      </c>
      <c r="B345" s="13" t="s">
        <v>1022</v>
      </c>
      <c r="C345" s="13" t="s">
        <v>125</v>
      </c>
      <c r="D345" s="13" t="s">
        <v>128</v>
      </c>
      <c r="E345" s="13" t="s">
        <v>124</v>
      </c>
      <c r="F345" s="13" t="s">
        <v>357</v>
      </c>
      <c r="G345" s="13" t="n">
        <v>780</v>
      </c>
      <c r="H345" s="13" t="n">
        <v>28</v>
      </c>
      <c r="I345" s="13" t="n">
        <v>752</v>
      </c>
      <c r="J345" s="13" t="n">
        <v>6</v>
      </c>
      <c r="K345" s="13" t="n">
        <v>0</v>
      </c>
      <c r="L345" s="13" t="n">
        <v>361</v>
      </c>
      <c r="M345" s="13" t="n">
        <v>391</v>
      </c>
      <c r="N345" s="13" t="n">
        <v>0</v>
      </c>
      <c r="O345" s="13" t="n">
        <v>6</v>
      </c>
      <c r="P345" s="13" t="n">
        <v>34</v>
      </c>
      <c r="Q345" s="13" t="n">
        <v>90</v>
      </c>
      <c r="R345" s="13" t="n">
        <v>207</v>
      </c>
      <c r="S345" s="13" t="n">
        <v>36</v>
      </c>
      <c r="T345" s="13" t="n">
        <v>0.5199</v>
      </c>
      <c r="U345" s="13" t="n">
        <v>1.18</v>
      </c>
      <c r="V345" s="13" t="n">
        <f aca="false">M345-SUM(N345:S345)</f>
        <v>18</v>
      </c>
    </row>
    <row r="346" customFormat="false" ht="15" hidden="false" customHeight="true" outlineLevel="0" collapsed="false">
      <c r="A346" s="13" t="n">
        <v>2025</v>
      </c>
      <c r="B346" s="13" t="s">
        <v>1022</v>
      </c>
      <c r="C346" s="13" t="s">
        <v>125</v>
      </c>
      <c r="D346" s="13" t="s">
        <v>128</v>
      </c>
      <c r="E346" s="13" t="s">
        <v>122</v>
      </c>
      <c r="F346" s="13" t="s">
        <v>357</v>
      </c>
      <c r="G346" s="13" t="n">
        <v>1014</v>
      </c>
      <c r="H346" s="13" t="n">
        <v>60</v>
      </c>
      <c r="I346" s="13" t="n">
        <v>954</v>
      </c>
      <c r="J346" s="13" t="n">
        <v>7</v>
      </c>
      <c r="K346" s="13" t="n">
        <v>0</v>
      </c>
      <c r="L346" s="13" t="n">
        <v>304</v>
      </c>
      <c r="M346" s="13" t="n">
        <v>650</v>
      </c>
      <c r="N346" s="13" t="n">
        <v>3</v>
      </c>
      <c r="O346" s="13" t="n">
        <v>35</v>
      </c>
      <c r="P346" s="13" t="n">
        <v>77</v>
      </c>
      <c r="Q346" s="13" t="n">
        <v>195</v>
      </c>
      <c r="R346" s="13" t="n">
        <v>286</v>
      </c>
      <c r="S346" s="13" t="n">
        <v>19</v>
      </c>
      <c r="T346" s="13" t="n">
        <v>0.6813</v>
      </c>
      <c r="U346" s="13" t="n">
        <v>1.76</v>
      </c>
      <c r="V346" s="13" t="n">
        <f aca="false">M346-SUM(N346:S346)</f>
        <v>35</v>
      </c>
    </row>
    <row r="347" customFormat="false" ht="15" hidden="false" customHeight="true" outlineLevel="0" collapsed="false">
      <c r="A347" s="13" t="n">
        <v>2025</v>
      </c>
      <c r="B347" s="13" t="s">
        <v>1022</v>
      </c>
      <c r="C347" s="13" t="s">
        <v>125</v>
      </c>
      <c r="D347" s="13" t="s">
        <v>128</v>
      </c>
      <c r="E347" s="13" t="s">
        <v>192</v>
      </c>
      <c r="F347" s="13" t="s">
        <v>652</v>
      </c>
      <c r="G347" s="13" t="n">
        <v>1794</v>
      </c>
      <c r="H347" s="13" t="n">
        <v>88</v>
      </c>
      <c r="I347" s="13" t="n">
        <v>1706</v>
      </c>
      <c r="J347" s="13" t="n">
        <v>13</v>
      </c>
      <c r="K347" s="13" t="n">
        <v>0</v>
      </c>
      <c r="L347" s="13" t="n">
        <v>665</v>
      </c>
      <c r="M347" s="13" t="n">
        <v>1041</v>
      </c>
      <c r="N347" s="13" t="n">
        <v>3</v>
      </c>
      <c r="O347" s="13" t="n">
        <v>41</v>
      </c>
      <c r="P347" s="13" t="n">
        <v>111</v>
      </c>
      <c r="Q347" s="13" t="n">
        <v>285</v>
      </c>
      <c r="R347" s="13" t="n">
        <v>493</v>
      </c>
      <c r="S347" s="13" t="n">
        <v>55</v>
      </c>
      <c r="T347" s="13" t="n">
        <v>0.6102</v>
      </c>
      <c r="U347" s="13" t="n">
        <v>1.5</v>
      </c>
      <c r="V347" s="13" t="n">
        <f aca="false">M347-SUM(N347:S347)</f>
        <v>53</v>
      </c>
    </row>
    <row r="348" customFormat="false" ht="15" hidden="false" customHeight="true" outlineLevel="0" collapsed="false">
      <c r="A348" s="13" t="n">
        <v>2025</v>
      </c>
      <c r="B348" s="13" t="s">
        <v>1022</v>
      </c>
      <c r="C348" s="13" t="s">
        <v>125</v>
      </c>
      <c r="D348" s="13" t="s">
        <v>1033</v>
      </c>
      <c r="E348" s="13" t="s">
        <v>124</v>
      </c>
      <c r="F348" s="13" t="s">
        <v>357</v>
      </c>
      <c r="G348" s="13" t="n">
        <v>534</v>
      </c>
      <c r="H348" s="13" t="n">
        <v>53</v>
      </c>
      <c r="I348" s="13" t="n">
        <v>481</v>
      </c>
      <c r="J348" s="13" t="n">
        <v>4</v>
      </c>
      <c r="K348" s="13" t="n">
        <v>0</v>
      </c>
      <c r="L348" s="13" t="n">
        <v>122</v>
      </c>
      <c r="M348" s="13" t="n">
        <v>359</v>
      </c>
      <c r="N348" s="13" t="n">
        <v>183</v>
      </c>
      <c r="O348" s="13" t="n">
        <v>40</v>
      </c>
      <c r="P348" s="13" t="n">
        <v>32</v>
      </c>
      <c r="Q348" s="13" t="n">
        <v>74</v>
      </c>
      <c r="R348" s="13" t="n">
        <v>30</v>
      </c>
      <c r="S348" s="13" t="n">
        <v>0</v>
      </c>
      <c r="T348" s="13" t="n">
        <v>0.7464</v>
      </c>
      <c r="U348" s="13" t="n">
        <v>3.55</v>
      </c>
      <c r="V348" s="13" t="n">
        <f aca="false">M348-SUM(N348:S348)</f>
        <v>0</v>
      </c>
    </row>
    <row r="349" customFormat="false" ht="15" hidden="false" customHeight="true" outlineLevel="0" collapsed="false">
      <c r="A349" s="13" t="n">
        <v>2025</v>
      </c>
      <c r="B349" s="13" t="s">
        <v>1022</v>
      </c>
      <c r="C349" s="13" t="s">
        <v>125</v>
      </c>
      <c r="D349" s="13" t="s">
        <v>1033</v>
      </c>
      <c r="E349" s="13" t="s">
        <v>122</v>
      </c>
      <c r="F349" s="13" t="s">
        <v>357</v>
      </c>
      <c r="G349" s="13" t="n">
        <v>931</v>
      </c>
      <c r="H349" s="13" t="n">
        <v>97</v>
      </c>
      <c r="I349" s="13" t="n">
        <v>834</v>
      </c>
      <c r="J349" s="13" t="n">
        <v>6</v>
      </c>
      <c r="K349" s="13" t="n">
        <v>0</v>
      </c>
      <c r="L349" s="13" t="n">
        <v>70</v>
      </c>
      <c r="M349" s="13" t="n">
        <v>764</v>
      </c>
      <c r="N349" s="13" t="n">
        <v>491</v>
      </c>
      <c r="O349" s="13" t="n">
        <v>103</v>
      </c>
      <c r="P349" s="13" t="n">
        <v>66</v>
      </c>
      <c r="Q349" s="13" t="n">
        <v>82</v>
      </c>
      <c r="R349" s="13" t="n">
        <v>22</v>
      </c>
      <c r="S349" s="13" t="n">
        <v>0</v>
      </c>
      <c r="T349" s="13" t="n">
        <v>0.9161</v>
      </c>
      <c r="U349" s="13" t="n">
        <v>4.81</v>
      </c>
      <c r="V349" s="13" t="n">
        <f aca="false">M349-SUM(N349:S349)</f>
        <v>0</v>
      </c>
    </row>
    <row r="350" customFormat="false" ht="15" hidden="false" customHeight="true" outlineLevel="0" collapsed="false">
      <c r="A350" s="13" t="n">
        <v>2025</v>
      </c>
      <c r="B350" s="13" t="s">
        <v>1022</v>
      </c>
      <c r="C350" s="13" t="s">
        <v>125</v>
      </c>
      <c r="D350" s="13" t="s">
        <v>1033</v>
      </c>
      <c r="E350" s="13" t="s">
        <v>192</v>
      </c>
      <c r="F350" s="13" t="s">
        <v>652</v>
      </c>
      <c r="G350" s="13" t="n">
        <v>1465</v>
      </c>
      <c r="H350" s="13" t="n">
        <v>150</v>
      </c>
      <c r="I350" s="13" t="n">
        <v>1315</v>
      </c>
      <c r="J350" s="13" t="n">
        <v>10</v>
      </c>
      <c r="K350" s="13" t="n">
        <v>0</v>
      </c>
      <c r="L350" s="13" t="n">
        <v>192</v>
      </c>
      <c r="M350" s="13" t="n">
        <v>1123</v>
      </c>
      <c r="N350" s="13" t="n">
        <v>674</v>
      </c>
      <c r="O350" s="13" t="n">
        <v>143</v>
      </c>
      <c r="P350" s="13" t="n">
        <v>98</v>
      </c>
      <c r="Q350" s="13" t="n">
        <v>156</v>
      </c>
      <c r="R350" s="13" t="n">
        <v>52</v>
      </c>
      <c r="S350" s="13" t="n">
        <v>0</v>
      </c>
      <c r="T350" s="13" t="n">
        <v>0.854</v>
      </c>
      <c r="U350" s="13" t="n">
        <v>4.35</v>
      </c>
      <c r="V350" s="13" t="n">
        <f aca="false">M350-SUM(N350:S350)</f>
        <v>0</v>
      </c>
    </row>
    <row r="351" customFormat="false" ht="15" hidden="false" customHeight="true" outlineLevel="0" collapsed="false">
      <c r="A351" s="13" t="n">
        <v>2025</v>
      </c>
      <c r="B351" s="13" t="s">
        <v>1022</v>
      </c>
      <c r="C351" s="13" t="s">
        <v>125</v>
      </c>
      <c r="D351" s="13" t="s">
        <v>1034</v>
      </c>
      <c r="E351" s="13" t="s">
        <v>124</v>
      </c>
      <c r="F351" s="13" t="s">
        <v>357</v>
      </c>
      <c r="G351" s="13" t="n">
        <v>371</v>
      </c>
      <c r="H351" s="13" t="n">
        <v>31</v>
      </c>
      <c r="I351" s="13" t="n">
        <v>340</v>
      </c>
      <c r="J351" s="13" t="n">
        <v>5</v>
      </c>
      <c r="K351" s="13" t="n">
        <v>0</v>
      </c>
      <c r="L351" s="13" t="n">
        <v>196</v>
      </c>
      <c r="M351" s="13" t="n">
        <v>144</v>
      </c>
      <c r="N351" s="13" t="n">
        <v>1</v>
      </c>
      <c r="O351" s="13" t="n">
        <v>3</v>
      </c>
      <c r="P351" s="13" t="n">
        <v>37</v>
      </c>
      <c r="Q351" s="13" t="n">
        <v>73</v>
      </c>
      <c r="R351" s="13" t="n">
        <v>29</v>
      </c>
      <c r="S351" s="13" t="n">
        <v>1</v>
      </c>
      <c r="T351" s="13" t="n">
        <v>0.4235</v>
      </c>
      <c r="U351" s="13" t="n">
        <v>1.31</v>
      </c>
      <c r="V351" s="13" t="n">
        <f aca="false">M351-SUM(N351:S351)</f>
        <v>0</v>
      </c>
    </row>
    <row r="352" customFormat="false" ht="15" hidden="false" customHeight="true" outlineLevel="0" collapsed="false">
      <c r="A352" s="13" t="n">
        <v>2025</v>
      </c>
      <c r="B352" s="13" t="s">
        <v>1022</v>
      </c>
      <c r="C352" s="13" t="s">
        <v>125</v>
      </c>
      <c r="D352" s="13" t="s">
        <v>1034</v>
      </c>
      <c r="E352" s="13" t="s">
        <v>122</v>
      </c>
      <c r="F352" s="13" t="s">
        <v>357</v>
      </c>
      <c r="G352" s="13" t="n">
        <v>108</v>
      </c>
      <c r="H352" s="13" t="n">
        <v>5</v>
      </c>
      <c r="I352" s="13" t="n">
        <v>103</v>
      </c>
      <c r="J352" s="13" t="n">
        <v>0</v>
      </c>
      <c r="K352" s="13" t="n">
        <v>0</v>
      </c>
      <c r="L352" s="13" t="n">
        <v>52</v>
      </c>
      <c r="M352" s="13" t="n">
        <v>51</v>
      </c>
      <c r="N352" s="13" t="n">
        <v>1</v>
      </c>
      <c r="O352" s="13" t="n">
        <v>7</v>
      </c>
      <c r="P352" s="13" t="n">
        <v>17</v>
      </c>
      <c r="Q352" s="13" t="n">
        <v>22</v>
      </c>
      <c r="R352" s="13" t="n">
        <v>4</v>
      </c>
      <c r="S352" s="13" t="n">
        <v>0</v>
      </c>
      <c r="T352" s="13" t="n">
        <v>0.4951</v>
      </c>
      <c r="U352" s="13" t="n">
        <v>1.78</v>
      </c>
      <c r="V352" s="13" t="n">
        <f aca="false">M352-SUM(N352:S352)</f>
        <v>0</v>
      </c>
    </row>
    <row r="353" customFormat="false" ht="15" hidden="false" customHeight="true" outlineLevel="0" collapsed="false">
      <c r="A353" s="13" t="n">
        <v>2025</v>
      </c>
      <c r="B353" s="13" t="s">
        <v>1022</v>
      </c>
      <c r="C353" s="13" t="s">
        <v>125</v>
      </c>
      <c r="D353" s="13" t="s">
        <v>1034</v>
      </c>
      <c r="E353" s="13" t="s">
        <v>192</v>
      </c>
      <c r="F353" s="13" t="s">
        <v>652</v>
      </c>
      <c r="G353" s="13" t="n">
        <v>479</v>
      </c>
      <c r="H353" s="13" t="n">
        <v>36</v>
      </c>
      <c r="I353" s="13" t="n">
        <v>443</v>
      </c>
      <c r="J353" s="13" t="n">
        <v>5</v>
      </c>
      <c r="K353" s="13" t="n">
        <v>0</v>
      </c>
      <c r="L353" s="13" t="n">
        <v>248</v>
      </c>
      <c r="M353" s="13" t="n">
        <v>195</v>
      </c>
      <c r="N353" s="13" t="n">
        <v>2</v>
      </c>
      <c r="O353" s="13" t="n">
        <v>10</v>
      </c>
      <c r="P353" s="13" t="n">
        <v>54</v>
      </c>
      <c r="Q353" s="13" t="n">
        <v>95</v>
      </c>
      <c r="R353" s="13" t="n">
        <v>33</v>
      </c>
      <c r="S353" s="13" t="n">
        <v>1</v>
      </c>
      <c r="T353" s="13" t="n">
        <v>0.4402</v>
      </c>
      <c r="U353" s="13" t="n">
        <v>1.42</v>
      </c>
      <c r="V353" s="13" t="n">
        <f aca="false">M353-SUM(N353:S353)</f>
        <v>0</v>
      </c>
    </row>
    <row r="354" customFormat="false" ht="15" hidden="false" customHeight="true" outlineLevel="0" collapsed="false">
      <c r="A354" s="13" t="n">
        <v>2025</v>
      </c>
      <c r="B354" s="13" t="s">
        <v>1022</v>
      </c>
      <c r="C354" s="13" t="s">
        <v>125</v>
      </c>
      <c r="D354" s="13" t="s">
        <v>1035</v>
      </c>
      <c r="E354" s="13" t="s">
        <v>124</v>
      </c>
      <c r="F354" s="13" t="s">
        <v>357</v>
      </c>
      <c r="G354" s="13" t="n">
        <v>1726</v>
      </c>
      <c r="H354" s="13" t="n">
        <v>88</v>
      </c>
      <c r="I354" s="13" t="n">
        <v>1638</v>
      </c>
      <c r="J354" s="13" t="n">
        <v>13</v>
      </c>
      <c r="K354" s="13" t="n">
        <v>13</v>
      </c>
      <c r="L354" s="13" t="n">
        <v>1229</v>
      </c>
      <c r="M354" s="13" t="n">
        <v>396</v>
      </c>
      <c r="N354" s="13" t="n">
        <v>0</v>
      </c>
      <c r="O354" s="13" t="n">
        <v>6</v>
      </c>
      <c r="P354" s="13" t="n">
        <v>32</v>
      </c>
      <c r="Q354" s="13" t="n">
        <v>173</v>
      </c>
      <c r="R354" s="13" t="n">
        <v>184</v>
      </c>
      <c r="S354" s="13" t="n">
        <v>1</v>
      </c>
      <c r="T354" s="13" t="n">
        <v>0.2418</v>
      </c>
      <c r="U354" s="13" t="n">
        <v>0.64</v>
      </c>
      <c r="V354" s="13" t="n">
        <f aca="false">M354-SUM(N354:S354)</f>
        <v>0</v>
      </c>
    </row>
    <row r="355" customFormat="false" ht="15" hidden="false" customHeight="true" outlineLevel="0" collapsed="false">
      <c r="A355" s="13" t="n">
        <v>2025</v>
      </c>
      <c r="B355" s="13" t="s">
        <v>1022</v>
      </c>
      <c r="C355" s="13" t="s">
        <v>125</v>
      </c>
      <c r="D355" s="13" t="s">
        <v>1035</v>
      </c>
      <c r="E355" s="13" t="s">
        <v>122</v>
      </c>
      <c r="F355" s="13" t="s">
        <v>357</v>
      </c>
      <c r="G355" s="13" t="n">
        <v>558</v>
      </c>
      <c r="H355" s="13" t="n">
        <v>25</v>
      </c>
      <c r="I355" s="13" t="n">
        <v>533</v>
      </c>
      <c r="J355" s="13" t="n">
        <v>3</v>
      </c>
      <c r="K355" s="13" t="n">
        <v>0</v>
      </c>
      <c r="L355" s="13" t="n">
        <v>383</v>
      </c>
      <c r="M355" s="13" t="n">
        <v>150</v>
      </c>
      <c r="N355" s="13" t="n">
        <v>2</v>
      </c>
      <c r="O355" s="13" t="n">
        <v>5</v>
      </c>
      <c r="P355" s="13" t="n">
        <v>20</v>
      </c>
      <c r="Q355" s="13" t="n">
        <v>79</v>
      </c>
      <c r="R355" s="13" t="n">
        <v>44</v>
      </c>
      <c r="S355" s="13" t="n">
        <v>0</v>
      </c>
      <c r="T355" s="13" t="n">
        <v>0.2814</v>
      </c>
      <c r="U355" s="13" t="n">
        <v>0.83</v>
      </c>
      <c r="V355" s="13" t="n">
        <f aca="false">M355-SUM(N355:S355)</f>
        <v>0</v>
      </c>
    </row>
    <row r="356" customFormat="false" ht="15" hidden="false" customHeight="true" outlineLevel="0" collapsed="false">
      <c r="A356" s="13" t="n">
        <v>2025</v>
      </c>
      <c r="B356" s="13" t="s">
        <v>1022</v>
      </c>
      <c r="C356" s="13" t="s">
        <v>125</v>
      </c>
      <c r="D356" s="13" t="s">
        <v>1035</v>
      </c>
      <c r="E356" s="13" t="s">
        <v>192</v>
      </c>
      <c r="F356" s="13" t="s">
        <v>652</v>
      </c>
      <c r="G356" s="13" t="n">
        <v>2284</v>
      </c>
      <c r="H356" s="13" t="n">
        <v>113</v>
      </c>
      <c r="I356" s="13" t="n">
        <v>2171</v>
      </c>
      <c r="J356" s="13" t="n">
        <v>16</v>
      </c>
      <c r="K356" s="13" t="n">
        <v>13</v>
      </c>
      <c r="L356" s="13" t="n">
        <v>1612</v>
      </c>
      <c r="M356" s="13" t="n">
        <v>546</v>
      </c>
      <c r="N356" s="13" t="n">
        <v>2</v>
      </c>
      <c r="O356" s="13" t="n">
        <v>11</v>
      </c>
      <c r="P356" s="13" t="n">
        <v>52</v>
      </c>
      <c r="Q356" s="13" t="n">
        <v>252</v>
      </c>
      <c r="R356" s="13" t="n">
        <v>228</v>
      </c>
      <c r="S356" s="13" t="n">
        <v>1</v>
      </c>
      <c r="T356" s="13" t="n">
        <v>0.2515</v>
      </c>
      <c r="U356" s="13" t="n">
        <v>0.69</v>
      </c>
      <c r="V356" s="13" t="n">
        <f aca="false">M356-SUM(N356:S356)</f>
        <v>0</v>
      </c>
    </row>
    <row r="357" customFormat="false" ht="15" hidden="false" customHeight="true" outlineLevel="0" collapsed="false">
      <c r="A357" s="13" t="n">
        <v>2025</v>
      </c>
      <c r="B357" s="13" t="s">
        <v>1022</v>
      </c>
      <c r="C357" s="13" t="s">
        <v>125</v>
      </c>
      <c r="D357" s="13" t="s">
        <v>203</v>
      </c>
      <c r="E357" s="13" t="s">
        <v>124</v>
      </c>
      <c r="F357" s="13" t="s">
        <v>357</v>
      </c>
      <c r="G357" s="13" t="n">
        <v>354</v>
      </c>
      <c r="H357" s="13" t="n">
        <v>17</v>
      </c>
      <c r="I357" s="13" t="n">
        <v>337</v>
      </c>
      <c r="J357" s="13" t="n">
        <v>2</v>
      </c>
      <c r="K357" s="13" t="n">
        <v>0</v>
      </c>
      <c r="L357" s="13" t="n">
        <v>204</v>
      </c>
      <c r="M357" s="13" t="n">
        <v>133</v>
      </c>
      <c r="N357" s="13" t="n">
        <v>0</v>
      </c>
      <c r="O357" s="13" t="n">
        <v>1</v>
      </c>
      <c r="P357" s="13" t="n">
        <v>3</v>
      </c>
      <c r="Q357" s="13" t="n">
        <v>13</v>
      </c>
      <c r="R357" s="13" t="n">
        <v>103</v>
      </c>
      <c r="S357" s="13" t="n">
        <v>13</v>
      </c>
      <c r="T357" s="13" t="n">
        <v>0.3947</v>
      </c>
      <c r="U357" s="13" t="n">
        <v>0.82</v>
      </c>
      <c r="V357" s="13" t="n">
        <f aca="false">M357-SUM(N357:S357)</f>
        <v>0</v>
      </c>
    </row>
    <row r="358" customFormat="false" ht="15" hidden="false" customHeight="true" outlineLevel="0" collapsed="false">
      <c r="A358" s="13" t="n">
        <v>2025</v>
      </c>
      <c r="B358" s="13" t="s">
        <v>1022</v>
      </c>
      <c r="C358" s="13" t="s">
        <v>125</v>
      </c>
      <c r="D358" s="13" t="s">
        <v>203</v>
      </c>
      <c r="E358" s="13" t="s">
        <v>122</v>
      </c>
      <c r="F358" s="13" t="s">
        <v>357</v>
      </c>
      <c r="G358" s="13" t="n">
        <v>56</v>
      </c>
      <c r="H358" s="13" t="n">
        <v>5</v>
      </c>
      <c r="I358" s="13" t="n">
        <v>51</v>
      </c>
      <c r="J358" s="13" t="n">
        <v>0</v>
      </c>
      <c r="K358" s="13" t="n">
        <v>0</v>
      </c>
      <c r="L358" s="13" t="n">
        <v>23</v>
      </c>
      <c r="M358" s="13" t="n">
        <v>28</v>
      </c>
      <c r="N358" s="13" t="n">
        <v>1</v>
      </c>
      <c r="O358" s="13" t="n">
        <v>0</v>
      </c>
      <c r="P358" s="13" t="n">
        <v>3</v>
      </c>
      <c r="Q358" s="13" t="n">
        <v>10</v>
      </c>
      <c r="R358" s="13" t="n">
        <v>14</v>
      </c>
      <c r="S358" s="13" t="n">
        <v>0</v>
      </c>
      <c r="T358" s="13" t="n">
        <v>0.549</v>
      </c>
      <c r="U358" s="13" t="n">
        <v>1.49</v>
      </c>
      <c r="V358" s="13" t="n">
        <f aca="false">M358-SUM(N358:S358)</f>
        <v>0</v>
      </c>
    </row>
    <row r="359" customFormat="false" ht="15" hidden="false" customHeight="true" outlineLevel="0" collapsed="false">
      <c r="A359" s="13" t="n">
        <v>2025</v>
      </c>
      <c r="B359" s="13" t="s">
        <v>1022</v>
      </c>
      <c r="C359" s="13" t="s">
        <v>125</v>
      </c>
      <c r="D359" s="13" t="s">
        <v>203</v>
      </c>
      <c r="E359" s="13" t="s">
        <v>192</v>
      </c>
      <c r="F359" s="13" t="s">
        <v>652</v>
      </c>
      <c r="G359" s="13" t="n">
        <v>410</v>
      </c>
      <c r="H359" s="13" t="n">
        <v>22</v>
      </c>
      <c r="I359" s="13" t="n">
        <v>388</v>
      </c>
      <c r="J359" s="13" t="n">
        <v>2</v>
      </c>
      <c r="K359" s="13" t="n">
        <v>0</v>
      </c>
      <c r="L359" s="13" t="n">
        <v>227</v>
      </c>
      <c r="M359" s="13" t="n">
        <v>161</v>
      </c>
      <c r="N359" s="13" t="n">
        <v>1</v>
      </c>
      <c r="O359" s="13" t="n">
        <v>1</v>
      </c>
      <c r="P359" s="13" t="n">
        <v>6</v>
      </c>
      <c r="Q359" s="13" t="n">
        <v>23</v>
      </c>
      <c r="R359" s="13" t="n">
        <v>117</v>
      </c>
      <c r="S359" s="13" t="n">
        <v>13</v>
      </c>
      <c r="T359" s="13" t="n">
        <v>0.4149</v>
      </c>
      <c r="U359" s="13" t="n">
        <v>0.9</v>
      </c>
      <c r="V359" s="13" t="n">
        <f aca="false">M359-SUM(N359:S359)</f>
        <v>0</v>
      </c>
    </row>
    <row r="360" customFormat="false" ht="15" hidden="false" customHeight="true" outlineLevel="0" collapsed="false">
      <c r="A360" s="13" t="n">
        <v>2025</v>
      </c>
      <c r="B360" s="13" t="s">
        <v>1022</v>
      </c>
      <c r="C360" s="13" t="s">
        <v>125</v>
      </c>
      <c r="D360" s="13" t="s">
        <v>1036</v>
      </c>
      <c r="E360" s="13" t="s">
        <v>122</v>
      </c>
      <c r="F360" s="13" t="s">
        <v>357</v>
      </c>
      <c r="G360" s="13" t="n">
        <v>4</v>
      </c>
      <c r="H360" s="13" t="n">
        <v>0</v>
      </c>
      <c r="I360" s="13" t="n">
        <v>4</v>
      </c>
      <c r="J360" s="13" t="n">
        <v>0</v>
      </c>
      <c r="K360" s="13" t="n">
        <v>0</v>
      </c>
      <c r="L360" s="13" t="n">
        <v>2</v>
      </c>
      <c r="M360" s="13" t="n">
        <v>2</v>
      </c>
      <c r="N360" s="13" t="n">
        <v>0</v>
      </c>
      <c r="O360" s="13" t="n">
        <v>0</v>
      </c>
      <c r="P360" s="13" t="n">
        <v>0</v>
      </c>
      <c r="Q360" s="13" t="n">
        <v>1</v>
      </c>
      <c r="R360" s="13" t="n">
        <v>1</v>
      </c>
      <c r="S360" s="13" t="n">
        <v>0</v>
      </c>
      <c r="T360" s="13" t="n">
        <v>0.5</v>
      </c>
      <c r="U360" s="13" t="n">
        <v>1.25</v>
      </c>
      <c r="V360" s="13" t="n">
        <f aca="false">M360-SUM(N360:S360)</f>
        <v>0</v>
      </c>
    </row>
    <row r="361" customFormat="false" ht="15" hidden="false" customHeight="true" outlineLevel="0" collapsed="false">
      <c r="A361" s="13" t="n">
        <v>2025</v>
      </c>
      <c r="B361" s="13" t="s">
        <v>1022</v>
      </c>
      <c r="C361" s="13" t="s">
        <v>125</v>
      </c>
      <c r="D361" s="13" t="s">
        <v>1036</v>
      </c>
      <c r="E361" s="13" t="s">
        <v>192</v>
      </c>
      <c r="F361" s="13" t="s">
        <v>652</v>
      </c>
      <c r="G361" s="13" t="n">
        <v>4</v>
      </c>
      <c r="H361" s="13" t="n">
        <v>0</v>
      </c>
      <c r="I361" s="13" t="n">
        <v>4</v>
      </c>
      <c r="J361" s="13" t="n">
        <v>0</v>
      </c>
      <c r="K361" s="13" t="n">
        <v>0</v>
      </c>
      <c r="L361" s="13" t="n">
        <v>2</v>
      </c>
      <c r="M361" s="13" t="n">
        <v>2</v>
      </c>
      <c r="N361" s="13" t="n">
        <v>0</v>
      </c>
      <c r="O361" s="13" t="n">
        <v>0</v>
      </c>
      <c r="P361" s="13" t="n">
        <v>0</v>
      </c>
      <c r="Q361" s="13" t="n">
        <v>1</v>
      </c>
      <c r="R361" s="13" t="n">
        <v>1</v>
      </c>
      <c r="S361" s="13" t="n">
        <v>0</v>
      </c>
      <c r="T361" s="13" t="n">
        <v>0.5</v>
      </c>
      <c r="U361" s="13" t="n">
        <v>1.25</v>
      </c>
      <c r="V361" s="13" t="n">
        <f aca="false">M361-SUM(N361:S361)</f>
        <v>0</v>
      </c>
    </row>
    <row r="362" customFormat="false" ht="15" hidden="false" customHeight="true" outlineLevel="0" collapsed="false">
      <c r="A362" s="13" t="n">
        <v>2025</v>
      </c>
      <c r="B362" s="13" t="s">
        <v>1022</v>
      </c>
      <c r="C362" s="13" t="s">
        <v>125</v>
      </c>
      <c r="D362" s="13" t="s">
        <v>1037</v>
      </c>
      <c r="E362" s="13" t="s">
        <v>192</v>
      </c>
      <c r="F362" s="13" t="s">
        <v>1038</v>
      </c>
      <c r="G362" s="13" t="n">
        <v>6436</v>
      </c>
      <c r="H362" s="13" t="n">
        <v>409</v>
      </c>
      <c r="I362" s="13" t="n">
        <v>6027</v>
      </c>
      <c r="J362" s="13" t="n">
        <v>46</v>
      </c>
      <c r="K362" s="13" t="n">
        <v>13</v>
      </c>
      <c r="L362" s="13" t="n">
        <v>2946</v>
      </c>
      <c r="M362" s="13" t="n">
        <v>3068</v>
      </c>
      <c r="N362" s="13" t="n">
        <v>682</v>
      </c>
      <c r="O362" s="13" t="n">
        <v>206</v>
      </c>
      <c r="P362" s="13" t="n">
        <v>321</v>
      </c>
      <c r="Q362" s="13" t="n">
        <v>812</v>
      </c>
      <c r="R362" s="13" t="n">
        <v>924</v>
      </c>
      <c r="S362" s="13" t="n">
        <v>70</v>
      </c>
      <c r="T362" s="13" t="n">
        <v>0.509</v>
      </c>
      <c r="U362" s="13" t="n">
        <v>1.79</v>
      </c>
      <c r="V362" s="13" t="n">
        <f aca="false">M362-SUM(N362:S362)</f>
        <v>53</v>
      </c>
    </row>
    <row r="363" customFormat="false" ht="15" hidden="false" customHeight="true" outlineLevel="0" collapsed="false">
      <c r="A363" s="13" t="n">
        <v>2025</v>
      </c>
      <c r="B363" s="13" t="s">
        <v>1022</v>
      </c>
      <c r="C363" s="13" t="s">
        <v>125</v>
      </c>
      <c r="D363" s="13" t="s">
        <v>1037</v>
      </c>
      <c r="E363" s="13" t="s">
        <v>192</v>
      </c>
      <c r="F363" s="13" t="s">
        <v>137</v>
      </c>
      <c r="G363" s="13" t="n">
        <v>30420</v>
      </c>
      <c r="H363" s="13" t="n">
        <v>515</v>
      </c>
      <c r="I363" s="13" t="n">
        <v>29905</v>
      </c>
      <c r="J363" s="13" t="n">
        <v>46</v>
      </c>
      <c r="K363" s="13" t="n">
        <v>22</v>
      </c>
      <c r="L363" s="13" t="n">
        <v>7308</v>
      </c>
      <c r="M363" s="13" t="n">
        <v>22575</v>
      </c>
      <c r="N363" s="13" t="n">
        <v>3353</v>
      </c>
      <c r="O363" s="13" t="n">
        <v>3891</v>
      </c>
      <c r="P363" s="13" t="n">
        <v>6024</v>
      </c>
      <c r="Q363" s="13" t="n">
        <v>6442</v>
      </c>
      <c r="R363" s="13" t="n">
        <v>2706</v>
      </c>
      <c r="S363" s="13" t="n">
        <v>106</v>
      </c>
      <c r="T363" s="13" t="n">
        <v>0.7561</v>
      </c>
      <c r="U363" s="13" t="n">
        <v>2.96</v>
      </c>
      <c r="V363" s="13" t="n">
        <f aca="false">M363-SUM(N363:S363)</f>
        <v>53</v>
      </c>
    </row>
    <row r="364" customFormat="false" ht="15" hidden="false" customHeight="true" outlineLevel="0" collapsed="false">
      <c r="A364" s="13" t="n">
        <v>2025</v>
      </c>
      <c r="B364" s="13" t="s">
        <v>1023</v>
      </c>
      <c r="C364" s="13" t="s">
        <v>121</v>
      </c>
      <c r="D364" s="13" t="s">
        <v>128</v>
      </c>
      <c r="E364" s="13" t="s">
        <v>124</v>
      </c>
      <c r="F364" s="13" t="s">
        <v>357</v>
      </c>
      <c r="G364" s="13" t="n">
        <v>679</v>
      </c>
      <c r="H364" s="13" t="n">
        <v>5</v>
      </c>
      <c r="I364" s="13" t="n">
        <v>674</v>
      </c>
      <c r="J364" s="13" t="n">
        <v>0</v>
      </c>
      <c r="K364" s="13" t="n">
        <v>0</v>
      </c>
      <c r="L364" s="13" t="n">
        <v>116</v>
      </c>
      <c r="M364" s="13" t="n">
        <v>558</v>
      </c>
      <c r="N364" s="13" t="n">
        <v>1</v>
      </c>
      <c r="O364" s="13" t="n">
        <v>29</v>
      </c>
      <c r="P364" s="13" t="n">
        <v>157</v>
      </c>
      <c r="Q364" s="13" t="n">
        <v>222</v>
      </c>
      <c r="R364" s="13" t="n">
        <v>142</v>
      </c>
      <c r="S364" s="13" t="n">
        <v>7</v>
      </c>
      <c r="T364" s="13" t="n">
        <v>0.8279</v>
      </c>
      <c r="U364" s="13" t="n">
        <v>2.58</v>
      </c>
      <c r="V364" s="13" t="n">
        <f aca="false">M364-SUM(N364:S364)</f>
        <v>0</v>
      </c>
    </row>
    <row r="365" customFormat="false" ht="15" hidden="false" customHeight="true" outlineLevel="0" collapsed="false">
      <c r="A365" s="13" t="n">
        <v>2025</v>
      </c>
      <c r="B365" s="13" t="s">
        <v>1023</v>
      </c>
      <c r="C365" s="13" t="s">
        <v>121</v>
      </c>
      <c r="D365" s="13" t="s">
        <v>128</v>
      </c>
      <c r="E365" s="13" t="s">
        <v>122</v>
      </c>
      <c r="F365" s="13" t="s">
        <v>357</v>
      </c>
      <c r="G365" s="13" t="n">
        <v>2239</v>
      </c>
      <c r="H365" s="13" t="n">
        <v>9</v>
      </c>
      <c r="I365" s="13" t="n">
        <v>2230</v>
      </c>
      <c r="J365" s="13" t="n">
        <v>0</v>
      </c>
      <c r="K365" s="13" t="n">
        <v>0</v>
      </c>
      <c r="L365" s="13" t="n">
        <v>110</v>
      </c>
      <c r="M365" s="13" t="n">
        <v>2120</v>
      </c>
      <c r="N365" s="13" t="n">
        <v>103</v>
      </c>
      <c r="O365" s="13" t="n">
        <v>467</v>
      </c>
      <c r="P365" s="13" t="n">
        <v>809</v>
      </c>
      <c r="Q365" s="13" t="n">
        <v>586</v>
      </c>
      <c r="R365" s="13" t="n">
        <v>150</v>
      </c>
      <c r="S365" s="13" t="n">
        <v>5</v>
      </c>
      <c r="T365" s="13" t="n">
        <v>0.9507</v>
      </c>
      <c r="U365" s="13" t="n">
        <v>3.7</v>
      </c>
      <c r="V365" s="13" t="n">
        <f aca="false">M365-SUM(N365:S365)</f>
        <v>0</v>
      </c>
    </row>
    <row r="366" customFormat="false" ht="15" hidden="false" customHeight="true" outlineLevel="0" collapsed="false">
      <c r="A366" s="13" t="n">
        <v>2025</v>
      </c>
      <c r="B366" s="13" t="s">
        <v>1023</v>
      </c>
      <c r="C366" s="13" t="s">
        <v>121</v>
      </c>
      <c r="D366" s="13" t="s">
        <v>128</v>
      </c>
      <c r="E366" s="13" t="s">
        <v>192</v>
      </c>
      <c r="F366" s="13" t="s">
        <v>652</v>
      </c>
      <c r="G366" s="13" t="n">
        <v>2918</v>
      </c>
      <c r="H366" s="13" t="n">
        <v>14</v>
      </c>
      <c r="I366" s="13" t="n">
        <v>2904</v>
      </c>
      <c r="J366" s="13" t="n">
        <v>0</v>
      </c>
      <c r="K366" s="13" t="n">
        <v>0</v>
      </c>
      <c r="L366" s="13" t="n">
        <v>226</v>
      </c>
      <c r="M366" s="13" t="n">
        <v>2678</v>
      </c>
      <c r="N366" s="13" t="n">
        <v>104</v>
      </c>
      <c r="O366" s="13" t="n">
        <v>496</v>
      </c>
      <c r="P366" s="13" t="n">
        <v>966</v>
      </c>
      <c r="Q366" s="13" t="n">
        <v>808</v>
      </c>
      <c r="R366" s="13" t="n">
        <v>292</v>
      </c>
      <c r="S366" s="13" t="n">
        <v>12</v>
      </c>
      <c r="T366" s="13" t="n">
        <v>0.9222</v>
      </c>
      <c r="U366" s="13" t="n">
        <v>3.44</v>
      </c>
      <c r="V366" s="13" t="n">
        <f aca="false">M366-SUM(N366:S366)</f>
        <v>0</v>
      </c>
    </row>
    <row r="367" customFormat="false" ht="15" hidden="false" customHeight="true" outlineLevel="0" collapsed="false">
      <c r="A367" s="13" t="n">
        <v>2025</v>
      </c>
      <c r="B367" s="13" t="s">
        <v>1023</v>
      </c>
      <c r="C367" s="13" t="s">
        <v>121</v>
      </c>
      <c r="D367" s="13" t="s">
        <v>1033</v>
      </c>
      <c r="E367" s="13" t="s">
        <v>124</v>
      </c>
      <c r="F367" s="13" t="s">
        <v>357</v>
      </c>
      <c r="G367" s="13" t="n">
        <v>2960</v>
      </c>
      <c r="H367" s="13" t="n">
        <v>15</v>
      </c>
      <c r="I367" s="13" t="n">
        <v>2945</v>
      </c>
      <c r="J367" s="13" t="n">
        <v>0</v>
      </c>
      <c r="K367" s="13" t="n">
        <v>0</v>
      </c>
      <c r="L367" s="13" t="n">
        <v>115</v>
      </c>
      <c r="M367" s="13" t="n">
        <v>2830</v>
      </c>
      <c r="N367" s="13" t="n">
        <v>1067</v>
      </c>
      <c r="O367" s="13" t="n">
        <v>803</v>
      </c>
      <c r="P367" s="13" t="n">
        <v>613</v>
      </c>
      <c r="Q367" s="13" t="n">
        <v>326</v>
      </c>
      <c r="R367" s="13" t="n">
        <v>21</v>
      </c>
      <c r="S367" s="13" t="n">
        <v>0</v>
      </c>
      <c r="T367" s="13" t="n">
        <v>0.961</v>
      </c>
      <c r="U367" s="13" t="n">
        <v>4.72</v>
      </c>
      <c r="V367" s="13" t="n">
        <f aca="false">M367-SUM(N367:S367)</f>
        <v>0</v>
      </c>
    </row>
    <row r="368" customFormat="false" ht="15" hidden="false" customHeight="true" outlineLevel="0" collapsed="false">
      <c r="A368" s="13" t="n">
        <v>2025</v>
      </c>
      <c r="B368" s="13" t="s">
        <v>1023</v>
      </c>
      <c r="C368" s="13" t="s">
        <v>121</v>
      </c>
      <c r="D368" s="13" t="s">
        <v>1033</v>
      </c>
      <c r="E368" s="13" t="s">
        <v>122</v>
      </c>
      <c r="F368" s="13" t="s">
        <v>357</v>
      </c>
      <c r="G368" s="13" t="n">
        <v>8408</v>
      </c>
      <c r="H368" s="13" t="n">
        <v>21</v>
      </c>
      <c r="I368" s="13" t="n">
        <v>8387</v>
      </c>
      <c r="J368" s="13" t="n">
        <v>0</v>
      </c>
      <c r="K368" s="13" t="n">
        <v>0</v>
      </c>
      <c r="L368" s="13" t="n">
        <v>209</v>
      </c>
      <c r="M368" s="13" t="n">
        <v>8178</v>
      </c>
      <c r="N368" s="13" t="n">
        <v>3556</v>
      </c>
      <c r="O368" s="13" t="n">
        <v>2370</v>
      </c>
      <c r="P368" s="13" t="n">
        <v>1607</v>
      </c>
      <c r="Q368" s="13" t="n">
        <v>616</v>
      </c>
      <c r="R368" s="13" t="n">
        <v>29</v>
      </c>
      <c r="S368" s="13" t="n">
        <v>0</v>
      </c>
      <c r="T368" s="13" t="n">
        <v>0.9751</v>
      </c>
      <c r="U368" s="13" t="n">
        <v>4.95</v>
      </c>
      <c r="V368" s="13" t="n">
        <f aca="false">M368-SUM(N368:S368)</f>
        <v>0</v>
      </c>
    </row>
    <row r="369" customFormat="false" ht="15" hidden="false" customHeight="true" outlineLevel="0" collapsed="false">
      <c r="A369" s="13" t="n">
        <v>2025</v>
      </c>
      <c r="B369" s="13" t="s">
        <v>1023</v>
      </c>
      <c r="C369" s="13" t="s">
        <v>121</v>
      </c>
      <c r="D369" s="13" t="s">
        <v>1033</v>
      </c>
      <c r="E369" s="13" t="s">
        <v>192</v>
      </c>
      <c r="F369" s="13" t="s">
        <v>652</v>
      </c>
      <c r="G369" s="13" t="n">
        <v>11368</v>
      </c>
      <c r="H369" s="13" t="n">
        <v>36</v>
      </c>
      <c r="I369" s="13" t="n">
        <v>11332</v>
      </c>
      <c r="J369" s="13" t="n">
        <v>0</v>
      </c>
      <c r="K369" s="13" t="n">
        <v>0</v>
      </c>
      <c r="L369" s="13" t="n">
        <v>324</v>
      </c>
      <c r="M369" s="13" t="n">
        <v>11008</v>
      </c>
      <c r="N369" s="13" t="n">
        <v>4623</v>
      </c>
      <c r="O369" s="13" t="n">
        <v>3173</v>
      </c>
      <c r="P369" s="13" t="n">
        <v>2220</v>
      </c>
      <c r="Q369" s="13" t="n">
        <v>942</v>
      </c>
      <c r="R369" s="13" t="n">
        <v>50</v>
      </c>
      <c r="S369" s="13" t="n">
        <v>0</v>
      </c>
      <c r="T369" s="13" t="n">
        <v>0.9714</v>
      </c>
      <c r="U369" s="13" t="n">
        <v>4.89</v>
      </c>
      <c r="V369" s="13" t="n">
        <f aca="false">M369-SUM(N369:S369)</f>
        <v>0</v>
      </c>
    </row>
    <row r="370" customFormat="false" ht="15" hidden="false" customHeight="true" outlineLevel="0" collapsed="false">
      <c r="A370" s="13" t="n">
        <v>2025</v>
      </c>
      <c r="B370" s="13" t="s">
        <v>1023</v>
      </c>
      <c r="C370" s="13" t="s">
        <v>121</v>
      </c>
      <c r="D370" s="13" t="s">
        <v>1034</v>
      </c>
      <c r="E370" s="13" t="s">
        <v>124</v>
      </c>
      <c r="F370" s="13" t="s">
        <v>357</v>
      </c>
      <c r="G370" s="13" t="n">
        <v>3479</v>
      </c>
      <c r="H370" s="13" t="n">
        <v>8</v>
      </c>
      <c r="I370" s="13" t="n">
        <v>3471</v>
      </c>
      <c r="J370" s="13" t="n">
        <v>0</v>
      </c>
      <c r="K370" s="13" t="n">
        <v>0</v>
      </c>
      <c r="L370" s="13" t="n">
        <v>213</v>
      </c>
      <c r="M370" s="13" t="n">
        <v>3258</v>
      </c>
      <c r="N370" s="13" t="n">
        <v>928</v>
      </c>
      <c r="O370" s="13" t="n">
        <v>980</v>
      </c>
      <c r="P370" s="13" t="n">
        <v>821</v>
      </c>
      <c r="Q370" s="13" t="n">
        <v>486</v>
      </c>
      <c r="R370" s="13" t="n">
        <v>43</v>
      </c>
      <c r="S370" s="13" t="n">
        <v>0</v>
      </c>
      <c r="T370" s="13" t="n">
        <v>0.9386</v>
      </c>
      <c r="U370" s="13" t="n">
        <v>4.41</v>
      </c>
      <c r="V370" s="13" t="n">
        <f aca="false">M370-SUM(N370:S370)</f>
        <v>0</v>
      </c>
    </row>
    <row r="371" customFormat="false" ht="15" hidden="false" customHeight="true" outlineLevel="0" collapsed="false">
      <c r="A371" s="13" t="n">
        <v>2025</v>
      </c>
      <c r="B371" s="13" t="s">
        <v>1023</v>
      </c>
      <c r="C371" s="13" t="s">
        <v>121</v>
      </c>
      <c r="D371" s="13" t="s">
        <v>1034</v>
      </c>
      <c r="E371" s="13" t="s">
        <v>122</v>
      </c>
      <c r="F371" s="13" t="s">
        <v>357</v>
      </c>
      <c r="G371" s="13" t="n">
        <v>1960</v>
      </c>
      <c r="H371" s="13" t="n">
        <v>4</v>
      </c>
      <c r="I371" s="13" t="n">
        <v>1956</v>
      </c>
      <c r="J371" s="13" t="n">
        <v>0</v>
      </c>
      <c r="K371" s="13" t="n">
        <v>0</v>
      </c>
      <c r="L371" s="13" t="n">
        <v>74</v>
      </c>
      <c r="M371" s="13" t="n">
        <v>1882</v>
      </c>
      <c r="N371" s="13" t="n">
        <v>609</v>
      </c>
      <c r="O371" s="13" t="n">
        <v>616</v>
      </c>
      <c r="P371" s="13" t="n">
        <v>488</v>
      </c>
      <c r="Q371" s="13" t="n">
        <v>165</v>
      </c>
      <c r="R371" s="13" t="n">
        <v>4</v>
      </c>
      <c r="S371" s="13" t="n">
        <v>0</v>
      </c>
      <c r="T371" s="13" t="n">
        <v>0.9622</v>
      </c>
      <c r="U371" s="13" t="n">
        <v>4.7</v>
      </c>
      <c r="V371" s="13" t="n">
        <f aca="false">M371-SUM(N371:S371)</f>
        <v>0</v>
      </c>
    </row>
    <row r="372" customFormat="false" ht="15" hidden="false" customHeight="true" outlineLevel="0" collapsed="false">
      <c r="A372" s="13" t="n">
        <v>2025</v>
      </c>
      <c r="B372" s="13" t="s">
        <v>1023</v>
      </c>
      <c r="C372" s="13" t="s">
        <v>121</v>
      </c>
      <c r="D372" s="13" t="s">
        <v>1034</v>
      </c>
      <c r="E372" s="13" t="s">
        <v>192</v>
      </c>
      <c r="F372" s="13" t="s">
        <v>652</v>
      </c>
      <c r="G372" s="13" t="n">
        <v>5439</v>
      </c>
      <c r="H372" s="13" t="n">
        <v>12</v>
      </c>
      <c r="I372" s="13" t="n">
        <v>5427</v>
      </c>
      <c r="J372" s="13" t="n">
        <v>0</v>
      </c>
      <c r="K372" s="13" t="n">
        <v>0</v>
      </c>
      <c r="L372" s="13" t="n">
        <v>287</v>
      </c>
      <c r="M372" s="13" t="n">
        <v>5140</v>
      </c>
      <c r="N372" s="13" t="n">
        <v>1537</v>
      </c>
      <c r="O372" s="13" t="n">
        <v>1596</v>
      </c>
      <c r="P372" s="13" t="n">
        <v>1309</v>
      </c>
      <c r="Q372" s="13" t="n">
        <v>651</v>
      </c>
      <c r="R372" s="13" t="n">
        <v>47</v>
      </c>
      <c r="S372" s="13" t="n">
        <v>0</v>
      </c>
      <c r="T372" s="13" t="n">
        <v>0.9471</v>
      </c>
      <c r="U372" s="13" t="n">
        <v>4.51</v>
      </c>
      <c r="V372" s="13" t="n">
        <f aca="false">M372-SUM(N372:S372)</f>
        <v>0</v>
      </c>
    </row>
    <row r="373" customFormat="false" ht="15" hidden="false" customHeight="true" outlineLevel="0" collapsed="false">
      <c r="A373" s="13" t="n">
        <v>2025</v>
      </c>
      <c r="B373" s="13" t="s">
        <v>1023</v>
      </c>
      <c r="C373" s="13" t="s">
        <v>121</v>
      </c>
      <c r="D373" s="13" t="s">
        <v>1035</v>
      </c>
      <c r="E373" s="13" t="s">
        <v>124</v>
      </c>
      <c r="F373" s="13" t="s">
        <v>357</v>
      </c>
      <c r="G373" s="13" t="n">
        <v>9929</v>
      </c>
      <c r="H373" s="13" t="n">
        <v>46</v>
      </c>
      <c r="I373" s="13" t="n">
        <v>9883</v>
      </c>
      <c r="J373" s="13" t="n">
        <v>0</v>
      </c>
      <c r="K373" s="13" t="n">
        <v>0</v>
      </c>
      <c r="L373" s="13" t="n">
        <v>2085</v>
      </c>
      <c r="M373" s="13" t="n">
        <v>7798</v>
      </c>
      <c r="N373" s="13" t="n">
        <v>804</v>
      </c>
      <c r="O373" s="13" t="n">
        <v>1840</v>
      </c>
      <c r="P373" s="13" t="n">
        <v>2469</v>
      </c>
      <c r="Q373" s="13" t="n">
        <v>2261</v>
      </c>
      <c r="R373" s="13" t="n">
        <v>423</v>
      </c>
      <c r="S373" s="13" t="n">
        <v>1</v>
      </c>
      <c r="T373" s="13" t="n">
        <v>0.789</v>
      </c>
      <c r="U373" s="13" t="n">
        <v>3.19</v>
      </c>
      <c r="V373" s="13" t="n">
        <f aca="false">M373-SUM(N373:S373)</f>
        <v>0</v>
      </c>
    </row>
    <row r="374" customFormat="false" ht="15" hidden="false" customHeight="true" outlineLevel="0" collapsed="false">
      <c r="A374" s="13" t="n">
        <v>2025</v>
      </c>
      <c r="B374" s="13" t="s">
        <v>1023</v>
      </c>
      <c r="C374" s="13" t="s">
        <v>121</v>
      </c>
      <c r="D374" s="13" t="s">
        <v>1035</v>
      </c>
      <c r="E374" s="13" t="s">
        <v>122</v>
      </c>
      <c r="F374" s="13" t="s">
        <v>357</v>
      </c>
      <c r="G374" s="13" t="n">
        <v>6343</v>
      </c>
      <c r="H374" s="13" t="n">
        <v>20</v>
      </c>
      <c r="I374" s="13" t="n">
        <v>6323</v>
      </c>
      <c r="J374" s="13" t="n">
        <v>0</v>
      </c>
      <c r="K374" s="13" t="n">
        <v>1</v>
      </c>
      <c r="L374" s="13" t="n">
        <v>869</v>
      </c>
      <c r="M374" s="13" t="n">
        <v>5453</v>
      </c>
      <c r="N374" s="13" t="n">
        <v>871</v>
      </c>
      <c r="O374" s="13" t="n">
        <v>1550</v>
      </c>
      <c r="P374" s="13" t="n">
        <v>1934</v>
      </c>
      <c r="Q374" s="13" t="n">
        <v>1037</v>
      </c>
      <c r="R374" s="13" t="n">
        <v>61</v>
      </c>
      <c r="S374" s="13" t="n">
        <v>0</v>
      </c>
      <c r="T374" s="13" t="n">
        <v>0.8624</v>
      </c>
      <c r="U374" s="13" t="n">
        <v>3.79</v>
      </c>
      <c r="V374" s="13" t="n">
        <f aca="false">M374-SUM(N374:S374)</f>
        <v>0</v>
      </c>
    </row>
    <row r="375" customFormat="false" ht="15" hidden="false" customHeight="true" outlineLevel="0" collapsed="false">
      <c r="A375" s="13" t="n">
        <v>2025</v>
      </c>
      <c r="B375" s="13" t="s">
        <v>1023</v>
      </c>
      <c r="C375" s="13" t="s">
        <v>121</v>
      </c>
      <c r="D375" s="13" t="s">
        <v>1035</v>
      </c>
      <c r="E375" s="13" t="s">
        <v>192</v>
      </c>
      <c r="F375" s="13" t="s">
        <v>652</v>
      </c>
      <c r="G375" s="13" t="n">
        <v>16272</v>
      </c>
      <c r="H375" s="13" t="n">
        <v>66</v>
      </c>
      <c r="I375" s="13" t="n">
        <v>16206</v>
      </c>
      <c r="J375" s="13" t="n">
        <v>0</v>
      </c>
      <c r="K375" s="13" t="n">
        <v>1</v>
      </c>
      <c r="L375" s="13" t="n">
        <v>2954</v>
      </c>
      <c r="M375" s="13" t="n">
        <v>13251</v>
      </c>
      <c r="N375" s="13" t="n">
        <v>1675</v>
      </c>
      <c r="O375" s="13" t="n">
        <v>3390</v>
      </c>
      <c r="P375" s="13" t="n">
        <v>4403</v>
      </c>
      <c r="Q375" s="13" t="n">
        <v>3298</v>
      </c>
      <c r="R375" s="13" t="n">
        <v>484</v>
      </c>
      <c r="S375" s="13" t="n">
        <v>1</v>
      </c>
      <c r="T375" s="13" t="n">
        <v>0.8177</v>
      </c>
      <c r="U375" s="13" t="n">
        <v>3.42</v>
      </c>
      <c r="V375" s="13" t="n">
        <f aca="false">M375-SUM(N375:S375)</f>
        <v>0</v>
      </c>
    </row>
    <row r="376" customFormat="false" ht="15" hidden="false" customHeight="true" outlineLevel="0" collapsed="false">
      <c r="A376" s="13" t="n">
        <v>2025</v>
      </c>
      <c r="B376" s="13" t="s">
        <v>1023</v>
      </c>
      <c r="C376" s="13" t="s">
        <v>121</v>
      </c>
      <c r="D376" s="13" t="s">
        <v>203</v>
      </c>
      <c r="E376" s="13" t="s">
        <v>124</v>
      </c>
      <c r="F376" s="13" t="s">
        <v>357</v>
      </c>
      <c r="G376" s="13" t="n">
        <v>740</v>
      </c>
      <c r="H376" s="13" t="n">
        <v>7</v>
      </c>
      <c r="I376" s="13" t="n">
        <v>733</v>
      </c>
      <c r="J376" s="13" t="n">
        <v>0</v>
      </c>
      <c r="K376" s="13" t="n">
        <v>0</v>
      </c>
      <c r="L376" s="13" t="n">
        <v>110</v>
      </c>
      <c r="M376" s="13" t="n">
        <v>623</v>
      </c>
      <c r="N376" s="13" t="n">
        <v>11</v>
      </c>
      <c r="O376" s="13" t="n">
        <v>31</v>
      </c>
      <c r="P376" s="13" t="n">
        <v>95</v>
      </c>
      <c r="Q376" s="13" t="n">
        <v>210</v>
      </c>
      <c r="R376" s="13" t="n">
        <v>258</v>
      </c>
      <c r="S376" s="13" t="n">
        <v>18</v>
      </c>
      <c r="T376" s="13" t="n">
        <v>0.8499</v>
      </c>
      <c r="U376" s="13" t="n">
        <v>2.41</v>
      </c>
      <c r="V376" s="13" t="n">
        <f aca="false">M376-SUM(N376:S376)</f>
        <v>0</v>
      </c>
    </row>
    <row r="377" customFormat="false" ht="15" hidden="false" customHeight="true" outlineLevel="0" collapsed="false">
      <c r="A377" s="13" t="n">
        <v>2025</v>
      </c>
      <c r="B377" s="13" t="s">
        <v>1023</v>
      </c>
      <c r="C377" s="13" t="s">
        <v>121</v>
      </c>
      <c r="D377" s="13" t="s">
        <v>203</v>
      </c>
      <c r="E377" s="13" t="s">
        <v>122</v>
      </c>
      <c r="F377" s="13" t="s">
        <v>357</v>
      </c>
      <c r="G377" s="13" t="n">
        <v>527</v>
      </c>
      <c r="H377" s="13" t="n">
        <v>3</v>
      </c>
      <c r="I377" s="13" t="n">
        <v>524</v>
      </c>
      <c r="J377" s="13" t="n">
        <v>0</v>
      </c>
      <c r="K377" s="13" t="n">
        <v>0</v>
      </c>
      <c r="L377" s="13" t="n">
        <v>46</v>
      </c>
      <c r="M377" s="13" t="n">
        <v>478</v>
      </c>
      <c r="N377" s="13" t="n">
        <v>30</v>
      </c>
      <c r="O377" s="13" t="n">
        <v>74</v>
      </c>
      <c r="P377" s="13" t="n">
        <v>136</v>
      </c>
      <c r="Q377" s="13" t="n">
        <v>159</v>
      </c>
      <c r="R377" s="13" t="n">
        <v>79</v>
      </c>
      <c r="S377" s="13" t="n">
        <v>0</v>
      </c>
      <c r="T377" s="13" t="n">
        <v>0.9122</v>
      </c>
      <c r="U377" s="13" t="n">
        <v>3.3</v>
      </c>
      <c r="V377" s="13" t="n">
        <f aca="false">M377-SUM(N377:S377)</f>
        <v>0</v>
      </c>
    </row>
    <row r="378" customFormat="false" ht="15" hidden="false" customHeight="true" outlineLevel="0" collapsed="false">
      <c r="A378" s="13" t="n">
        <v>2025</v>
      </c>
      <c r="B378" s="13" t="s">
        <v>1023</v>
      </c>
      <c r="C378" s="13" t="s">
        <v>121</v>
      </c>
      <c r="D378" s="13" t="s">
        <v>203</v>
      </c>
      <c r="E378" s="13" t="s">
        <v>192</v>
      </c>
      <c r="F378" s="13" t="s">
        <v>652</v>
      </c>
      <c r="G378" s="13" t="n">
        <v>1267</v>
      </c>
      <c r="H378" s="13" t="n">
        <v>10</v>
      </c>
      <c r="I378" s="13" t="n">
        <v>1257</v>
      </c>
      <c r="J378" s="13" t="n">
        <v>0</v>
      </c>
      <c r="K378" s="13" t="n">
        <v>0</v>
      </c>
      <c r="L378" s="13" t="n">
        <v>156</v>
      </c>
      <c r="M378" s="13" t="n">
        <v>1101</v>
      </c>
      <c r="N378" s="13" t="n">
        <v>41</v>
      </c>
      <c r="O378" s="13" t="n">
        <v>105</v>
      </c>
      <c r="P378" s="13" t="n">
        <v>231</v>
      </c>
      <c r="Q378" s="13" t="n">
        <v>369</v>
      </c>
      <c r="R378" s="13" t="n">
        <v>337</v>
      </c>
      <c r="S378" s="13" t="n">
        <v>18</v>
      </c>
      <c r="T378" s="13" t="n">
        <v>0.8759</v>
      </c>
      <c r="U378" s="13" t="n">
        <v>2.78</v>
      </c>
      <c r="V378" s="13" t="n">
        <f aca="false">M378-SUM(N378:S378)</f>
        <v>0</v>
      </c>
    </row>
    <row r="379" customFormat="false" ht="15" hidden="false" customHeight="true" outlineLevel="0" collapsed="false">
      <c r="A379" s="13" t="n">
        <v>2025</v>
      </c>
      <c r="B379" s="13" t="s">
        <v>1023</v>
      </c>
      <c r="C379" s="13" t="s">
        <v>121</v>
      </c>
      <c r="D379" s="13" t="s">
        <v>1037</v>
      </c>
      <c r="E379" s="13" t="s">
        <v>192</v>
      </c>
      <c r="F379" s="13" t="s">
        <v>1038</v>
      </c>
      <c r="G379" s="13" t="n">
        <v>37264</v>
      </c>
      <c r="H379" s="13" t="n">
        <v>138</v>
      </c>
      <c r="I379" s="13" t="n">
        <v>37126</v>
      </c>
      <c r="J379" s="13" t="n">
        <v>0</v>
      </c>
      <c r="K379" s="13" t="n">
        <v>1</v>
      </c>
      <c r="L379" s="13" t="n">
        <v>3947</v>
      </c>
      <c r="M379" s="13" t="n">
        <v>33178</v>
      </c>
      <c r="N379" s="13" t="n">
        <v>7980</v>
      </c>
      <c r="O379" s="13" t="n">
        <v>8760</v>
      </c>
      <c r="P379" s="13" t="n">
        <v>9129</v>
      </c>
      <c r="Q379" s="13" t="n">
        <v>6068</v>
      </c>
      <c r="R379" s="13" t="n">
        <v>1210</v>
      </c>
      <c r="S379" s="13" t="n">
        <v>31</v>
      </c>
      <c r="T379" s="13" t="n">
        <v>0.8937</v>
      </c>
      <c r="U379" s="13" t="n">
        <v>4.01</v>
      </c>
      <c r="V379" s="13" t="n">
        <f aca="false">M379-SUM(N379:S379)</f>
        <v>0</v>
      </c>
    </row>
    <row r="380" customFormat="false" ht="15" hidden="false" customHeight="true" outlineLevel="0" collapsed="false">
      <c r="A380" s="13" t="n">
        <v>2025</v>
      </c>
      <c r="B380" s="13" t="s">
        <v>1023</v>
      </c>
      <c r="C380" s="13" t="s">
        <v>125</v>
      </c>
      <c r="D380" s="13" t="s">
        <v>128</v>
      </c>
      <c r="E380" s="13" t="s">
        <v>124</v>
      </c>
      <c r="F380" s="13" t="s">
        <v>357</v>
      </c>
      <c r="G380" s="13" t="n">
        <v>506</v>
      </c>
      <c r="H380" s="13" t="n">
        <v>40</v>
      </c>
      <c r="I380" s="13" t="n">
        <v>466</v>
      </c>
      <c r="J380" s="13" t="n">
        <v>17</v>
      </c>
      <c r="K380" s="13" t="n">
        <v>1</v>
      </c>
      <c r="L380" s="13" t="n">
        <v>164</v>
      </c>
      <c r="M380" s="13" t="n">
        <v>301</v>
      </c>
      <c r="N380" s="13" t="n">
        <v>0</v>
      </c>
      <c r="O380" s="13" t="n">
        <v>3</v>
      </c>
      <c r="P380" s="13" t="n">
        <v>27</v>
      </c>
      <c r="Q380" s="13" t="n">
        <v>75</v>
      </c>
      <c r="R380" s="13" t="n">
        <v>118</v>
      </c>
      <c r="S380" s="13" t="n">
        <v>18</v>
      </c>
      <c r="T380" s="13" t="n">
        <v>0.6459</v>
      </c>
      <c r="U380" s="13" t="n">
        <v>1.29</v>
      </c>
      <c r="V380" s="13" t="n">
        <f aca="false">M380-SUM(N380:S380)</f>
        <v>60</v>
      </c>
    </row>
    <row r="381" customFormat="false" ht="15" hidden="false" customHeight="true" outlineLevel="0" collapsed="false">
      <c r="A381" s="13" t="n">
        <v>2025</v>
      </c>
      <c r="B381" s="13" t="s">
        <v>1023</v>
      </c>
      <c r="C381" s="13" t="s">
        <v>125</v>
      </c>
      <c r="D381" s="13" t="s">
        <v>128</v>
      </c>
      <c r="E381" s="13" t="s">
        <v>122</v>
      </c>
      <c r="F381" s="13" t="s">
        <v>357</v>
      </c>
      <c r="G381" s="13" t="n">
        <v>527</v>
      </c>
      <c r="H381" s="13" t="n">
        <v>34</v>
      </c>
      <c r="I381" s="13" t="n">
        <v>493</v>
      </c>
      <c r="J381" s="13" t="n">
        <v>9</v>
      </c>
      <c r="K381" s="13" t="n">
        <v>1</v>
      </c>
      <c r="L381" s="13" t="n">
        <v>148</v>
      </c>
      <c r="M381" s="13" t="n">
        <v>344</v>
      </c>
      <c r="N381" s="13" t="n">
        <v>3</v>
      </c>
      <c r="O381" s="13" t="n">
        <v>16</v>
      </c>
      <c r="P381" s="13" t="n">
        <v>54</v>
      </c>
      <c r="Q381" s="13" t="n">
        <v>104</v>
      </c>
      <c r="R381" s="13" t="n">
        <v>91</v>
      </c>
      <c r="S381" s="13" t="n">
        <v>9</v>
      </c>
      <c r="T381" s="13" t="n">
        <v>0.6978</v>
      </c>
      <c r="U381" s="13" t="n">
        <v>1.66</v>
      </c>
      <c r="V381" s="13" t="n">
        <f aca="false">M381-SUM(N381:S381)</f>
        <v>67</v>
      </c>
    </row>
    <row r="382" customFormat="false" ht="15" hidden="false" customHeight="true" outlineLevel="0" collapsed="false">
      <c r="A382" s="13" t="n">
        <v>2025</v>
      </c>
      <c r="B382" s="13" t="s">
        <v>1023</v>
      </c>
      <c r="C382" s="13" t="s">
        <v>125</v>
      </c>
      <c r="D382" s="13" t="s">
        <v>128</v>
      </c>
      <c r="E382" s="13" t="s">
        <v>192</v>
      </c>
      <c r="F382" s="13" t="s">
        <v>652</v>
      </c>
      <c r="G382" s="13" t="n">
        <v>1033</v>
      </c>
      <c r="H382" s="13" t="n">
        <v>74</v>
      </c>
      <c r="I382" s="13" t="n">
        <v>959</v>
      </c>
      <c r="J382" s="13" t="n">
        <v>26</v>
      </c>
      <c r="K382" s="13" t="n">
        <v>2</v>
      </c>
      <c r="L382" s="13" t="n">
        <v>312</v>
      </c>
      <c r="M382" s="13" t="n">
        <v>645</v>
      </c>
      <c r="N382" s="13" t="n">
        <v>3</v>
      </c>
      <c r="O382" s="13" t="n">
        <v>19</v>
      </c>
      <c r="P382" s="13" t="n">
        <v>81</v>
      </c>
      <c r="Q382" s="13" t="n">
        <v>179</v>
      </c>
      <c r="R382" s="13" t="n">
        <v>209</v>
      </c>
      <c r="S382" s="13" t="n">
        <v>27</v>
      </c>
      <c r="T382" s="13" t="n">
        <v>0.6726</v>
      </c>
      <c r="U382" s="13" t="n">
        <v>1.48</v>
      </c>
      <c r="V382" s="13" t="n">
        <f aca="false">M382-SUM(N382:S382)</f>
        <v>127</v>
      </c>
    </row>
    <row r="383" customFormat="false" ht="15" hidden="false" customHeight="true" outlineLevel="0" collapsed="false">
      <c r="A383" s="13" t="n">
        <v>2025</v>
      </c>
      <c r="B383" s="13" t="s">
        <v>1023</v>
      </c>
      <c r="C383" s="13" t="s">
        <v>125</v>
      </c>
      <c r="D383" s="13" t="s">
        <v>1033</v>
      </c>
      <c r="E383" s="13" t="s">
        <v>124</v>
      </c>
      <c r="F383" s="13" t="s">
        <v>357</v>
      </c>
      <c r="G383" s="13" t="n">
        <v>567</v>
      </c>
      <c r="H383" s="13" t="n">
        <v>70</v>
      </c>
      <c r="I383" s="13" t="n">
        <v>497</v>
      </c>
      <c r="J383" s="13" t="n">
        <v>4</v>
      </c>
      <c r="K383" s="13" t="n">
        <v>1</v>
      </c>
      <c r="L383" s="13" t="n">
        <v>62</v>
      </c>
      <c r="M383" s="13" t="n">
        <v>434</v>
      </c>
      <c r="N383" s="13" t="n">
        <v>266</v>
      </c>
      <c r="O383" s="13" t="n">
        <v>49</v>
      </c>
      <c r="P383" s="13" t="n">
        <v>42</v>
      </c>
      <c r="Q383" s="13" t="n">
        <v>59</v>
      </c>
      <c r="R383" s="13" t="n">
        <v>18</v>
      </c>
      <c r="S383" s="13" t="n">
        <v>0</v>
      </c>
      <c r="T383" s="13" t="n">
        <v>0.8732</v>
      </c>
      <c r="U383" s="13" t="n">
        <v>4.47</v>
      </c>
      <c r="V383" s="13" t="n">
        <f aca="false">M383-SUM(N383:S383)</f>
        <v>0</v>
      </c>
    </row>
    <row r="384" customFormat="false" ht="15" hidden="false" customHeight="true" outlineLevel="0" collapsed="false">
      <c r="A384" s="13" t="n">
        <v>2025</v>
      </c>
      <c r="B384" s="13" t="s">
        <v>1023</v>
      </c>
      <c r="C384" s="13" t="s">
        <v>125</v>
      </c>
      <c r="D384" s="13" t="s">
        <v>1033</v>
      </c>
      <c r="E384" s="13" t="s">
        <v>122</v>
      </c>
      <c r="F384" s="13" t="s">
        <v>357</v>
      </c>
      <c r="G384" s="13" t="n">
        <v>1523</v>
      </c>
      <c r="H384" s="13" t="n">
        <v>149</v>
      </c>
      <c r="I384" s="13" t="n">
        <v>1374</v>
      </c>
      <c r="J384" s="13" t="n">
        <v>0</v>
      </c>
      <c r="K384" s="13" t="n">
        <v>0</v>
      </c>
      <c r="L384" s="13" t="n">
        <v>57</v>
      </c>
      <c r="M384" s="13" t="n">
        <v>1317</v>
      </c>
      <c r="N384" s="13" t="n">
        <v>962</v>
      </c>
      <c r="O384" s="13" t="n">
        <v>177</v>
      </c>
      <c r="P384" s="13" t="n">
        <v>102</v>
      </c>
      <c r="Q384" s="13" t="n">
        <v>66</v>
      </c>
      <c r="R384" s="13" t="n">
        <v>10</v>
      </c>
      <c r="S384" s="13" t="n">
        <v>0</v>
      </c>
      <c r="T384" s="13" t="n">
        <v>0.9585</v>
      </c>
      <c r="U384" s="13" t="n">
        <v>5.3</v>
      </c>
      <c r="V384" s="13" t="n">
        <f aca="false">M384-SUM(N384:S384)</f>
        <v>0</v>
      </c>
    </row>
    <row r="385" customFormat="false" ht="15" hidden="false" customHeight="true" outlineLevel="0" collapsed="false">
      <c r="A385" s="13" t="n">
        <v>2025</v>
      </c>
      <c r="B385" s="13" t="s">
        <v>1023</v>
      </c>
      <c r="C385" s="13" t="s">
        <v>125</v>
      </c>
      <c r="D385" s="13" t="s">
        <v>1033</v>
      </c>
      <c r="E385" s="13" t="s">
        <v>192</v>
      </c>
      <c r="F385" s="13" t="s">
        <v>652</v>
      </c>
      <c r="G385" s="13" t="n">
        <v>2090</v>
      </c>
      <c r="H385" s="13" t="n">
        <v>219</v>
      </c>
      <c r="I385" s="13" t="n">
        <v>1871</v>
      </c>
      <c r="J385" s="13" t="n">
        <v>4</v>
      </c>
      <c r="K385" s="13" t="n">
        <v>1</v>
      </c>
      <c r="L385" s="13" t="n">
        <v>119</v>
      </c>
      <c r="M385" s="13" t="n">
        <v>1751</v>
      </c>
      <c r="N385" s="13" t="n">
        <v>1228</v>
      </c>
      <c r="O385" s="13" t="n">
        <v>226</v>
      </c>
      <c r="P385" s="13" t="n">
        <v>144</v>
      </c>
      <c r="Q385" s="13" t="n">
        <v>125</v>
      </c>
      <c r="R385" s="13" t="n">
        <v>28</v>
      </c>
      <c r="S385" s="13" t="n">
        <v>0</v>
      </c>
      <c r="T385" s="13" t="n">
        <v>0.9359</v>
      </c>
      <c r="U385" s="13" t="n">
        <v>5.08</v>
      </c>
      <c r="V385" s="13" t="n">
        <f aca="false">M385-SUM(N385:S385)</f>
        <v>0</v>
      </c>
    </row>
    <row r="386" customFormat="false" ht="15" hidden="false" customHeight="true" outlineLevel="0" collapsed="false">
      <c r="A386" s="13" t="n">
        <v>2025</v>
      </c>
      <c r="B386" s="13" t="s">
        <v>1023</v>
      </c>
      <c r="C386" s="13" t="s">
        <v>125</v>
      </c>
      <c r="D386" s="13" t="s">
        <v>1034</v>
      </c>
      <c r="E386" s="13" t="s">
        <v>124</v>
      </c>
      <c r="F386" s="13" t="s">
        <v>357</v>
      </c>
      <c r="G386" s="13" t="n">
        <v>348</v>
      </c>
      <c r="H386" s="13" t="n">
        <v>32</v>
      </c>
      <c r="I386" s="13" t="n">
        <v>316</v>
      </c>
      <c r="J386" s="13" t="n">
        <v>4</v>
      </c>
      <c r="K386" s="13" t="n">
        <v>0</v>
      </c>
      <c r="L386" s="13" t="n">
        <v>119</v>
      </c>
      <c r="M386" s="13" t="n">
        <v>197</v>
      </c>
      <c r="N386" s="13" t="n">
        <v>5</v>
      </c>
      <c r="O386" s="13" t="n">
        <v>16</v>
      </c>
      <c r="P386" s="13" t="n">
        <v>54</v>
      </c>
      <c r="Q386" s="13" t="n">
        <v>94</v>
      </c>
      <c r="R386" s="13" t="n">
        <v>28</v>
      </c>
      <c r="S386" s="13" t="n">
        <v>0</v>
      </c>
      <c r="T386" s="13" t="n">
        <v>0.6234</v>
      </c>
      <c r="U386" s="13" t="n">
        <v>2.1</v>
      </c>
      <c r="V386" s="13" t="n">
        <f aca="false">M386-SUM(N386:S386)</f>
        <v>0</v>
      </c>
    </row>
    <row r="387" customFormat="false" ht="15" hidden="false" customHeight="true" outlineLevel="0" collapsed="false">
      <c r="A387" s="13" t="n">
        <v>2025</v>
      </c>
      <c r="B387" s="13" t="s">
        <v>1023</v>
      </c>
      <c r="C387" s="13" t="s">
        <v>125</v>
      </c>
      <c r="D387" s="13" t="s">
        <v>1034</v>
      </c>
      <c r="E387" s="13" t="s">
        <v>122</v>
      </c>
      <c r="F387" s="13" t="s">
        <v>357</v>
      </c>
      <c r="G387" s="13" t="n">
        <v>125</v>
      </c>
      <c r="H387" s="13" t="n">
        <v>9</v>
      </c>
      <c r="I387" s="13" t="n">
        <v>116</v>
      </c>
      <c r="J387" s="13" t="n">
        <v>1</v>
      </c>
      <c r="K387" s="13" t="n">
        <v>0</v>
      </c>
      <c r="L387" s="13" t="n">
        <v>48</v>
      </c>
      <c r="M387" s="13" t="n">
        <v>68</v>
      </c>
      <c r="N387" s="13" t="n">
        <v>4</v>
      </c>
      <c r="O387" s="13" t="n">
        <v>14</v>
      </c>
      <c r="P387" s="13" t="n">
        <v>19</v>
      </c>
      <c r="Q387" s="13" t="n">
        <v>25</v>
      </c>
      <c r="R387" s="13" t="n">
        <v>4</v>
      </c>
      <c r="S387" s="13" t="n">
        <v>0</v>
      </c>
      <c r="T387" s="13" t="n">
        <v>0.5862</v>
      </c>
      <c r="U387" s="13" t="n">
        <v>2.18</v>
      </c>
      <c r="V387" s="13" t="n">
        <f aca="false">M387-SUM(N387:S387)</f>
        <v>2</v>
      </c>
    </row>
    <row r="388" customFormat="false" ht="15" hidden="false" customHeight="true" outlineLevel="0" collapsed="false">
      <c r="A388" s="13" t="n">
        <v>2025</v>
      </c>
      <c r="B388" s="13" t="s">
        <v>1023</v>
      </c>
      <c r="C388" s="13" t="s">
        <v>125</v>
      </c>
      <c r="D388" s="13" t="s">
        <v>1034</v>
      </c>
      <c r="E388" s="13" t="s">
        <v>192</v>
      </c>
      <c r="F388" s="13" t="s">
        <v>652</v>
      </c>
      <c r="G388" s="13" t="n">
        <v>473</v>
      </c>
      <c r="H388" s="13" t="n">
        <v>41</v>
      </c>
      <c r="I388" s="13" t="n">
        <v>432</v>
      </c>
      <c r="J388" s="13" t="n">
        <v>5</v>
      </c>
      <c r="K388" s="13" t="n">
        <v>0</v>
      </c>
      <c r="L388" s="13" t="n">
        <v>167</v>
      </c>
      <c r="M388" s="13" t="n">
        <v>265</v>
      </c>
      <c r="N388" s="13" t="n">
        <v>9</v>
      </c>
      <c r="O388" s="13" t="n">
        <v>30</v>
      </c>
      <c r="P388" s="13" t="n">
        <v>73</v>
      </c>
      <c r="Q388" s="13" t="n">
        <v>119</v>
      </c>
      <c r="R388" s="13" t="n">
        <v>32</v>
      </c>
      <c r="S388" s="13" t="n">
        <v>0</v>
      </c>
      <c r="T388" s="13" t="n">
        <v>0.6134</v>
      </c>
      <c r="U388" s="13" t="n">
        <v>2.12</v>
      </c>
      <c r="V388" s="13" t="n">
        <f aca="false">M388-SUM(N388:S388)</f>
        <v>2</v>
      </c>
    </row>
    <row r="389" customFormat="false" ht="15" hidden="false" customHeight="true" outlineLevel="0" collapsed="false">
      <c r="A389" s="13" t="n">
        <v>2025</v>
      </c>
      <c r="B389" s="13" t="s">
        <v>1023</v>
      </c>
      <c r="C389" s="13" t="s">
        <v>125</v>
      </c>
      <c r="D389" s="13" t="s">
        <v>1035</v>
      </c>
      <c r="E389" s="13" t="s">
        <v>124</v>
      </c>
      <c r="F389" s="13" t="s">
        <v>357</v>
      </c>
      <c r="G389" s="13" t="n">
        <v>1690</v>
      </c>
      <c r="H389" s="13" t="n">
        <v>109</v>
      </c>
      <c r="I389" s="13" t="n">
        <v>1581</v>
      </c>
      <c r="J389" s="13" t="n">
        <v>32</v>
      </c>
      <c r="K389" s="13" t="n">
        <v>1</v>
      </c>
      <c r="L389" s="13" t="n">
        <v>990</v>
      </c>
      <c r="M389" s="13" t="n">
        <v>590</v>
      </c>
      <c r="N389" s="13" t="n">
        <v>3</v>
      </c>
      <c r="O389" s="13" t="n">
        <v>18</v>
      </c>
      <c r="P389" s="13" t="n">
        <v>102</v>
      </c>
      <c r="Q389" s="13" t="n">
        <v>320</v>
      </c>
      <c r="R389" s="13" t="n">
        <v>147</v>
      </c>
      <c r="S389" s="13" t="n">
        <v>0</v>
      </c>
      <c r="T389" s="13" t="n">
        <v>0.3732</v>
      </c>
      <c r="U389" s="13" t="n">
        <v>1.12</v>
      </c>
      <c r="V389" s="13" t="n">
        <f aca="false">M389-SUM(N389:S389)</f>
        <v>0</v>
      </c>
    </row>
    <row r="390" customFormat="false" ht="15" hidden="false" customHeight="true" outlineLevel="0" collapsed="false">
      <c r="A390" s="13" t="n">
        <v>2025</v>
      </c>
      <c r="B390" s="13" t="s">
        <v>1023</v>
      </c>
      <c r="C390" s="13" t="s">
        <v>125</v>
      </c>
      <c r="D390" s="13" t="s">
        <v>1035</v>
      </c>
      <c r="E390" s="13" t="s">
        <v>122</v>
      </c>
      <c r="F390" s="13" t="s">
        <v>357</v>
      </c>
      <c r="G390" s="13" t="n">
        <v>484</v>
      </c>
      <c r="H390" s="13" t="n">
        <v>17</v>
      </c>
      <c r="I390" s="13" t="n">
        <v>467</v>
      </c>
      <c r="J390" s="13" t="n">
        <v>7</v>
      </c>
      <c r="K390" s="13" t="n">
        <v>0</v>
      </c>
      <c r="L390" s="13" t="n">
        <v>295</v>
      </c>
      <c r="M390" s="13" t="n">
        <v>172</v>
      </c>
      <c r="N390" s="13" t="n">
        <v>4</v>
      </c>
      <c r="O390" s="13" t="n">
        <v>19</v>
      </c>
      <c r="P390" s="13" t="n">
        <v>58</v>
      </c>
      <c r="Q390" s="13" t="n">
        <v>83</v>
      </c>
      <c r="R390" s="13" t="n">
        <v>8</v>
      </c>
      <c r="S390" s="13" t="n">
        <v>0</v>
      </c>
      <c r="T390" s="13" t="n">
        <v>0.3683</v>
      </c>
      <c r="U390" s="13" t="n">
        <v>1.32</v>
      </c>
      <c r="V390" s="13" t="n">
        <f aca="false">M390-SUM(N390:S390)</f>
        <v>0</v>
      </c>
    </row>
    <row r="391" customFormat="false" ht="15" hidden="false" customHeight="true" outlineLevel="0" collapsed="false">
      <c r="A391" s="13" t="n">
        <v>2025</v>
      </c>
      <c r="B391" s="13" t="s">
        <v>1023</v>
      </c>
      <c r="C391" s="13" t="s">
        <v>125</v>
      </c>
      <c r="D391" s="13" t="s">
        <v>1035</v>
      </c>
      <c r="E391" s="13" t="s">
        <v>192</v>
      </c>
      <c r="F391" s="13" t="s">
        <v>652</v>
      </c>
      <c r="G391" s="13" t="n">
        <v>2174</v>
      </c>
      <c r="H391" s="13" t="n">
        <v>126</v>
      </c>
      <c r="I391" s="13" t="n">
        <v>2048</v>
      </c>
      <c r="J391" s="13" t="n">
        <v>39</v>
      </c>
      <c r="K391" s="13" t="n">
        <v>1</v>
      </c>
      <c r="L391" s="13" t="n">
        <v>1285</v>
      </c>
      <c r="M391" s="13" t="n">
        <v>762</v>
      </c>
      <c r="N391" s="13" t="n">
        <v>7</v>
      </c>
      <c r="O391" s="13" t="n">
        <v>37</v>
      </c>
      <c r="P391" s="13" t="n">
        <v>160</v>
      </c>
      <c r="Q391" s="13" t="n">
        <v>403</v>
      </c>
      <c r="R391" s="13" t="n">
        <v>155</v>
      </c>
      <c r="S391" s="13" t="n">
        <v>0</v>
      </c>
      <c r="T391" s="13" t="n">
        <v>0.3721</v>
      </c>
      <c r="U391" s="13" t="n">
        <v>1.17</v>
      </c>
      <c r="V391" s="13" t="n">
        <f aca="false">M391-SUM(N391:S391)</f>
        <v>0</v>
      </c>
    </row>
    <row r="392" customFormat="false" ht="15" hidden="false" customHeight="true" outlineLevel="0" collapsed="false">
      <c r="A392" s="13" t="n">
        <v>2025</v>
      </c>
      <c r="B392" s="13" t="s">
        <v>1023</v>
      </c>
      <c r="C392" s="13" t="s">
        <v>125</v>
      </c>
      <c r="D392" s="13" t="s">
        <v>203</v>
      </c>
      <c r="E392" s="13" t="s">
        <v>124</v>
      </c>
      <c r="F392" s="13" t="s">
        <v>357</v>
      </c>
      <c r="G392" s="13" t="n">
        <v>185</v>
      </c>
      <c r="H392" s="13" t="n">
        <v>6</v>
      </c>
      <c r="I392" s="13" t="n">
        <v>179</v>
      </c>
      <c r="J392" s="13" t="n">
        <v>5</v>
      </c>
      <c r="K392" s="13" t="n">
        <v>0</v>
      </c>
      <c r="L392" s="13" t="n">
        <v>79</v>
      </c>
      <c r="M392" s="13" t="n">
        <v>100</v>
      </c>
      <c r="N392" s="13" t="n">
        <v>0</v>
      </c>
      <c r="O392" s="13" t="n">
        <v>0</v>
      </c>
      <c r="P392" s="13" t="n">
        <v>2</v>
      </c>
      <c r="Q392" s="13" t="n">
        <v>12</v>
      </c>
      <c r="R392" s="13" t="n">
        <v>79</v>
      </c>
      <c r="S392" s="13" t="n">
        <v>7</v>
      </c>
      <c r="T392" s="13" t="n">
        <v>0.5587</v>
      </c>
      <c r="U392" s="13" t="n">
        <v>1.17</v>
      </c>
      <c r="V392" s="13" t="n">
        <f aca="false">M392-SUM(N392:S392)</f>
        <v>0</v>
      </c>
    </row>
    <row r="393" customFormat="false" ht="15" hidden="false" customHeight="true" outlineLevel="0" collapsed="false">
      <c r="A393" s="13" t="n">
        <v>2025</v>
      </c>
      <c r="B393" s="13" t="s">
        <v>1023</v>
      </c>
      <c r="C393" s="13" t="s">
        <v>125</v>
      </c>
      <c r="D393" s="13" t="s">
        <v>203</v>
      </c>
      <c r="E393" s="13" t="s">
        <v>122</v>
      </c>
      <c r="F393" s="13" t="s">
        <v>357</v>
      </c>
      <c r="G393" s="13" t="n">
        <v>81</v>
      </c>
      <c r="H393" s="13" t="n">
        <v>3</v>
      </c>
      <c r="I393" s="13" t="n">
        <v>78</v>
      </c>
      <c r="J393" s="13" t="n">
        <v>0</v>
      </c>
      <c r="K393" s="13" t="n">
        <v>0</v>
      </c>
      <c r="L393" s="13" t="n">
        <v>36</v>
      </c>
      <c r="M393" s="13" t="n">
        <v>42</v>
      </c>
      <c r="N393" s="13" t="n">
        <v>1</v>
      </c>
      <c r="O393" s="13" t="n">
        <v>1</v>
      </c>
      <c r="P393" s="13" t="n">
        <v>5</v>
      </c>
      <c r="Q393" s="13" t="n">
        <v>12</v>
      </c>
      <c r="R393" s="13" t="n">
        <v>22</v>
      </c>
      <c r="S393" s="13" t="n">
        <v>1</v>
      </c>
      <c r="T393" s="13" t="n">
        <v>0.5385</v>
      </c>
      <c r="U393" s="13" t="n">
        <v>1.44</v>
      </c>
      <c r="V393" s="13" t="n">
        <f aca="false">M393-SUM(N393:S393)</f>
        <v>0</v>
      </c>
    </row>
    <row r="394" customFormat="false" ht="15" hidden="false" customHeight="true" outlineLevel="0" collapsed="false">
      <c r="A394" s="13" t="n">
        <v>2025</v>
      </c>
      <c r="B394" s="13" t="s">
        <v>1023</v>
      </c>
      <c r="C394" s="13" t="s">
        <v>125</v>
      </c>
      <c r="D394" s="13" t="s">
        <v>203</v>
      </c>
      <c r="E394" s="13" t="s">
        <v>192</v>
      </c>
      <c r="F394" s="13" t="s">
        <v>652</v>
      </c>
      <c r="G394" s="13" t="n">
        <v>266</v>
      </c>
      <c r="H394" s="13" t="n">
        <v>9</v>
      </c>
      <c r="I394" s="13" t="n">
        <v>257</v>
      </c>
      <c r="J394" s="13" t="n">
        <v>5</v>
      </c>
      <c r="K394" s="13" t="n">
        <v>0</v>
      </c>
      <c r="L394" s="13" t="n">
        <v>115</v>
      </c>
      <c r="M394" s="13" t="n">
        <v>142</v>
      </c>
      <c r="N394" s="13" t="n">
        <v>1</v>
      </c>
      <c r="O394" s="13" t="n">
        <v>1</v>
      </c>
      <c r="P394" s="13" t="n">
        <v>7</v>
      </c>
      <c r="Q394" s="13" t="n">
        <v>24</v>
      </c>
      <c r="R394" s="13" t="n">
        <v>101</v>
      </c>
      <c r="S394" s="13" t="n">
        <v>8</v>
      </c>
      <c r="T394" s="13" t="n">
        <v>0.5525</v>
      </c>
      <c r="U394" s="13" t="n">
        <v>1.25</v>
      </c>
      <c r="V394" s="13" t="n">
        <f aca="false">M394-SUM(N394:S394)</f>
        <v>0</v>
      </c>
    </row>
    <row r="395" customFormat="false" ht="15" hidden="false" customHeight="true" outlineLevel="0" collapsed="false">
      <c r="A395" s="13" t="n">
        <v>2025</v>
      </c>
      <c r="B395" s="13" t="s">
        <v>1023</v>
      </c>
      <c r="C395" s="13" t="s">
        <v>125</v>
      </c>
      <c r="D395" s="13" t="s">
        <v>1037</v>
      </c>
      <c r="E395" s="13" t="s">
        <v>192</v>
      </c>
      <c r="F395" s="13" t="s">
        <v>1038</v>
      </c>
      <c r="G395" s="13" t="n">
        <v>6036</v>
      </c>
      <c r="H395" s="13" t="n">
        <v>469</v>
      </c>
      <c r="I395" s="13" t="n">
        <v>5567</v>
      </c>
      <c r="J395" s="13" t="n">
        <v>79</v>
      </c>
      <c r="K395" s="13" t="n">
        <v>4</v>
      </c>
      <c r="L395" s="13" t="n">
        <v>1998</v>
      </c>
      <c r="M395" s="13" t="n">
        <v>3565</v>
      </c>
      <c r="N395" s="13" t="n">
        <v>1248</v>
      </c>
      <c r="O395" s="13" t="n">
        <v>313</v>
      </c>
      <c r="P395" s="13" t="n">
        <v>465</v>
      </c>
      <c r="Q395" s="13" t="n">
        <v>850</v>
      </c>
      <c r="R395" s="13" t="n">
        <v>525</v>
      </c>
      <c r="S395" s="13" t="n">
        <v>35</v>
      </c>
      <c r="T395" s="13" t="n">
        <v>0.6404</v>
      </c>
      <c r="U395" s="13" t="n">
        <v>2.61</v>
      </c>
      <c r="V395" s="13" t="n">
        <f aca="false">M395-SUM(N395:S395)</f>
        <v>129</v>
      </c>
    </row>
    <row r="396" customFormat="false" ht="15" hidden="false" customHeight="true" outlineLevel="0" collapsed="false">
      <c r="A396" s="13" t="n">
        <v>2025</v>
      </c>
      <c r="B396" s="13" t="s">
        <v>1023</v>
      </c>
      <c r="C396" s="13" t="s">
        <v>125</v>
      </c>
      <c r="D396" s="13" t="s">
        <v>1037</v>
      </c>
      <c r="E396" s="13" t="s">
        <v>192</v>
      </c>
      <c r="F396" s="13" t="s">
        <v>137</v>
      </c>
      <c r="G396" s="13" t="n">
        <v>43300</v>
      </c>
      <c r="H396" s="13" t="n">
        <v>607</v>
      </c>
      <c r="I396" s="13" t="n">
        <v>42693</v>
      </c>
      <c r="J396" s="13" t="n">
        <v>79</v>
      </c>
      <c r="K396" s="13" t="n">
        <v>5</v>
      </c>
      <c r="L396" s="13" t="n">
        <v>5945</v>
      </c>
      <c r="M396" s="13" t="n">
        <v>36743</v>
      </c>
      <c r="N396" s="13" t="n">
        <v>9228</v>
      </c>
      <c r="O396" s="13" t="n">
        <v>9073</v>
      </c>
      <c r="P396" s="13" t="n">
        <v>9594</v>
      </c>
      <c r="Q396" s="13" t="n">
        <v>6918</v>
      </c>
      <c r="R396" s="13" t="n">
        <v>1735</v>
      </c>
      <c r="S396" s="13" t="n">
        <v>66</v>
      </c>
      <c r="T396" s="13" t="n">
        <v>0.8622</v>
      </c>
      <c r="U396" s="13" t="n">
        <v>3.83</v>
      </c>
      <c r="V396" s="13" t="n">
        <f aca="false">M396-SUM(N396:S396)</f>
        <v>129</v>
      </c>
    </row>
    <row r="397" customFormat="false" ht="15" hidden="false" customHeight="true" outlineLevel="0" collapsed="false">
      <c r="A397" s="13" t="n">
        <v>2025</v>
      </c>
      <c r="B397" s="13" t="s">
        <v>1024</v>
      </c>
      <c r="C397" s="13" t="s">
        <v>121</v>
      </c>
      <c r="D397" s="13" t="s">
        <v>128</v>
      </c>
      <c r="E397" s="13" t="s">
        <v>124</v>
      </c>
      <c r="F397" s="13" t="s">
        <v>357</v>
      </c>
      <c r="G397" s="13" t="n">
        <v>5</v>
      </c>
      <c r="H397" s="13" t="n">
        <v>0</v>
      </c>
      <c r="I397" s="13" t="n">
        <v>5</v>
      </c>
      <c r="J397" s="13" t="n">
        <v>0</v>
      </c>
      <c r="K397" s="13" t="n">
        <v>0</v>
      </c>
      <c r="L397" s="13" t="n">
        <v>0</v>
      </c>
      <c r="M397" s="13" t="n">
        <v>5</v>
      </c>
      <c r="N397" s="13" t="n">
        <v>0</v>
      </c>
      <c r="O397" s="13" t="n">
        <v>1</v>
      </c>
      <c r="P397" s="13" t="n">
        <v>2</v>
      </c>
      <c r="Q397" s="13" t="n">
        <v>2</v>
      </c>
      <c r="R397" s="13" t="n">
        <v>0</v>
      </c>
      <c r="S397" s="13" t="n">
        <v>0</v>
      </c>
      <c r="T397" s="13" t="n">
        <v>1</v>
      </c>
      <c r="U397" s="13" t="n">
        <v>3.8</v>
      </c>
      <c r="V397" s="13" t="n">
        <f aca="false">M397-SUM(N397:S397)</f>
        <v>0</v>
      </c>
    </row>
    <row r="398" customFormat="false" ht="15" hidden="false" customHeight="true" outlineLevel="0" collapsed="false">
      <c r="A398" s="13" t="n">
        <v>2025</v>
      </c>
      <c r="B398" s="13" t="s">
        <v>1024</v>
      </c>
      <c r="C398" s="13" t="s">
        <v>121</v>
      </c>
      <c r="D398" s="13" t="s">
        <v>128</v>
      </c>
      <c r="E398" s="13" t="s">
        <v>122</v>
      </c>
      <c r="F398" s="13" t="s">
        <v>357</v>
      </c>
      <c r="G398" s="13" t="n">
        <v>58</v>
      </c>
      <c r="H398" s="13" t="n">
        <v>1</v>
      </c>
      <c r="I398" s="13" t="n">
        <v>57</v>
      </c>
      <c r="J398" s="13" t="n">
        <v>0</v>
      </c>
      <c r="K398" s="13" t="n">
        <v>0</v>
      </c>
      <c r="L398" s="13" t="n">
        <v>1</v>
      </c>
      <c r="M398" s="13" t="n">
        <v>56</v>
      </c>
      <c r="N398" s="13" t="n">
        <v>2</v>
      </c>
      <c r="O398" s="13" t="n">
        <v>11</v>
      </c>
      <c r="P398" s="13" t="n">
        <v>27</v>
      </c>
      <c r="Q398" s="13" t="n">
        <v>16</v>
      </c>
      <c r="R398" s="13" t="n">
        <v>0</v>
      </c>
      <c r="S398" s="13" t="n">
        <v>0</v>
      </c>
      <c r="T398" s="13" t="n">
        <v>0.9825</v>
      </c>
      <c r="U398" s="13" t="n">
        <v>3.91</v>
      </c>
      <c r="V398" s="13" t="n">
        <f aca="false">M398-SUM(N398:S398)</f>
        <v>0</v>
      </c>
    </row>
    <row r="399" customFormat="false" ht="15" hidden="false" customHeight="true" outlineLevel="0" collapsed="false">
      <c r="A399" s="13" t="n">
        <v>2025</v>
      </c>
      <c r="B399" s="13" t="s">
        <v>1024</v>
      </c>
      <c r="C399" s="13" t="s">
        <v>121</v>
      </c>
      <c r="D399" s="13" t="s">
        <v>128</v>
      </c>
      <c r="E399" s="13" t="s">
        <v>192</v>
      </c>
      <c r="F399" s="13" t="s">
        <v>652</v>
      </c>
      <c r="G399" s="13" t="n">
        <v>63</v>
      </c>
      <c r="H399" s="13" t="n">
        <v>1</v>
      </c>
      <c r="I399" s="13" t="n">
        <v>62</v>
      </c>
      <c r="J399" s="13" t="n">
        <v>0</v>
      </c>
      <c r="K399" s="13" t="n">
        <v>0</v>
      </c>
      <c r="L399" s="13" t="n">
        <v>1</v>
      </c>
      <c r="M399" s="13" t="n">
        <v>61</v>
      </c>
      <c r="N399" s="13" t="n">
        <v>2</v>
      </c>
      <c r="O399" s="13" t="n">
        <v>12</v>
      </c>
      <c r="P399" s="13" t="n">
        <v>29</v>
      </c>
      <c r="Q399" s="13" t="n">
        <v>18</v>
      </c>
      <c r="R399" s="13" t="n">
        <v>0</v>
      </c>
      <c r="S399" s="13" t="n">
        <v>0</v>
      </c>
      <c r="T399" s="13" t="n">
        <v>0.9839</v>
      </c>
      <c r="U399" s="13" t="n">
        <v>3.9</v>
      </c>
      <c r="V399" s="13" t="n">
        <f aca="false">M399-SUM(N399:S399)</f>
        <v>0</v>
      </c>
    </row>
    <row r="400" customFormat="false" ht="15" hidden="false" customHeight="true" outlineLevel="0" collapsed="false">
      <c r="A400" s="13" t="n">
        <v>2025</v>
      </c>
      <c r="B400" s="13" t="s">
        <v>1024</v>
      </c>
      <c r="C400" s="13" t="s">
        <v>121</v>
      </c>
      <c r="D400" s="13" t="s">
        <v>1033</v>
      </c>
      <c r="E400" s="13" t="s">
        <v>124</v>
      </c>
      <c r="F400" s="13" t="s">
        <v>357</v>
      </c>
      <c r="G400" s="13" t="n">
        <v>238</v>
      </c>
      <c r="H400" s="13" t="n">
        <v>1</v>
      </c>
      <c r="I400" s="13" t="n">
        <v>237</v>
      </c>
      <c r="J400" s="13" t="n">
        <v>0</v>
      </c>
      <c r="K400" s="13" t="n">
        <v>0</v>
      </c>
      <c r="L400" s="13" t="n">
        <v>7</v>
      </c>
      <c r="M400" s="13" t="n">
        <v>230</v>
      </c>
      <c r="N400" s="13" t="n">
        <v>74</v>
      </c>
      <c r="O400" s="13" t="n">
        <v>93</v>
      </c>
      <c r="P400" s="13" t="n">
        <v>52</v>
      </c>
      <c r="Q400" s="13" t="n">
        <v>10</v>
      </c>
      <c r="R400" s="13" t="n">
        <v>1</v>
      </c>
      <c r="S400" s="13" t="n">
        <v>0</v>
      </c>
      <c r="T400" s="13" t="n">
        <v>0.9705</v>
      </c>
      <c r="U400" s="13" t="n">
        <v>4.85</v>
      </c>
      <c r="V400" s="13" t="n">
        <f aca="false">M400-SUM(N400:S400)</f>
        <v>0</v>
      </c>
    </row>
    <row r="401" customFormat="false" ht="15" hidden="false" customHeight="true" outlineLevel="0" collapsed="false">
      <c r="A401" s="13" t="n">
        <v>2025</v>
      </c>
      <c r="B401" s="13" t="s">
        <v>1024</v>
      </c>
      <c r="C401" s="13" t="s">
        <v>121</v>
      </c>
      <c r="D401" s="13" t="s">
        <v>1033</v>
      </c>
      <c r="E401" s="13" t="s">
        <v>122</v>
      </c>
      <c r="F401" s="13" t="s">
        <v>357</v>
      </c>
      <c r="G401" s="13" t="n">
        <v>677</v>
      </c>
      <c r="H401" s="13" t="n">
        <v>1</v>
      </c>
      <c r="I401" s="13" t="n">
        <v>676</v>
      </c>
      <c r="J401" s="13" t="n">
        <v>0</v>
      </c>
      <c r="K401" s="13" t="n">
        <v>0</v>
      </c>
      <c r="L401" s="13" t="n">
        <v>8</v>
      </c>
      <c r="M401" s="13" t="n">
        <v>668</v>
      </c>
      <c r="N401" s="13" t="n">
        <v>261</v>
      </c>
      <c r="O401" s="13" t="n">
        <v>238</v>
      </c>
      <c r="P401" s="13" t="n">
        <v>140</v>
      </c>
      <c r="Q401" s="13" t="n">
        <v>29</v>
      </c>
      <c r="R401" s="13" t="n">
        <v>0</v>
      </c>
      <c r="S401" s="13" t="n">
        <v>0</v>
      </c>
      <c r="T401" s="13" t="n">
        <v>0.9882</v>
      </c>
      <c r="U401" s="13" t="n">
        <v>5.03</v>
      </c>
      <c r="V401" s="13" t="n">
        <f aca="false">M401-SUM(N401:S401)</f>
        <v>0</v>
      </c>
    </row>
    <row r="402" customFormat="false" ht="15" hidden="false" customHeight="true" outlineLevel="0" collapsed="false">
      <c r="A402" s="13" t="n">
        <v>2025</v>
      </c>
      <c r="B402" s="13" t="s">
        <v>1024</v>
      </c>
      <c r="C402" s="13" t="s">
        <v>121</v>
      </c>
      <c r="D402" s="13" t="s">
        <v>1033</v>
      </c>
      <c r="E402" s="13" t="s">
        <v>192</v>
      </c>
      <c r="F402" s="13" t="s">
        <v>652</v>
      </c>
      <c r="G402" s="13" t="n">
        <v>915</v>
      </c>
      <c r="H402" s="13" t="n">
        <v>2</v>
      </c>
      <c r="I402" s="13" t="n">
        <v>913</v>
      </c>
      <c r="J402" s="13" t="n">
        <v>0</v>
      </c>
      <c r="K402" s="13" t="n">
        <v>0</v>
      </c>
      <c r="L402" s="13" t="n">
        <v>15</v>
      </c>
      <c r="M402" s="13" t="n">
        <v>898</v>
      </c>
      <c r="N402" s="13" t="n">
        <v>335</v>
      </c>
      <c r="O402" s="13" t="n">
        <v>331</v>
      </c>
      <c r="P402" s="13" t="n">
        <v>192</v>
      </c>
      <c r="Q402" s="13" t="n">
        <v>39</v>
      </c>
      <c r="R402" s="13" t="n">
        <v>1</v>
      </c>
      <c r="S402" s="13" t="n">
        <v>0</v>
      </c>
      <c r="T402" s="13" t="n">
        <v>0.9836</v>
      </c>
      <c r="U402" s="13" t="n">
        <v>4.99</v>
      </c>
      <c r="V402" s="13" t="n">
        <f aca="false">M402-SUM(N402:S402)</f>
        <v>0</v>
      </c>
    </row>
    <row r="403" customFormat="false" ht="15" hidden="false" customHeight="true" outlineLevel="0" collapsed="false">
      <c r="A403" s="13" t="n">
        <v>2025</v>
      </c>
      <c r="B403" s="13" t="s">
        <v>1024</v>
      </c>
      <c r="C403" s="13" t="s">
        <v>121</v>
      </c>
      <c r="D403" s="13" t="s">
        <v>1034</v>
      </c>
      <c r="E403" s="13" t="s">
        <v>124</v>
      </c>
      <c r="F403" s="13" t="s">
        <v>357</v>
      </c>
      <c r="G403" s="13" t="n">
        <v>457</v>
      </c>
      <c r="H403" s="13" t="n">
        <v>4</v>
      </c>
      <c r="I403" s="13" t="n">
        <v>453</v>
      </c>
      <c r="J403" s="13" t="n">
        <v>0</v>
      </c>
      <c r="K403" s="13" t="n">
        <v>0</v>
      </c>
      <c r="L403" s="13" t="n">
        <v>14</v>
      </c>
      <c r="M403" s="13" t="n">
        <v>439</v>
      </c>
      <c r="N403" s="13" t="n">
        <v>87</v>
      </c>
      <c r="O403" s="13" t="n">
        <v>146</v>
      </c>
      <c r="P403" s="13" t="n">
        <v>154</v>
      </c>
      <c r="Q403" s="13" t="n">
        <v>49</v>
      </c>
      <c r="R403" s="13" t="n">
        <v>3</v>
      </c>
      <c r="S403" s="13" t="n">
        <v>0</v>
      </c>
      <c r="T403" s="13" t="n">
        <v>0.9691</v>
      </c>
      <c r="U403" s="13" t="n">
        <v>4.46</v>
      </c>
      <c r="V403" s="13" t="n">
        <f aca="false">M403-SUM(N403:S403)</f>
        <v>0</v>
      </c>
    </row>
    <row r="404" customFormat="false" ht="15" hidden="false" customHeight="true" outlineLevel="0" collapsed="false">
      <c r="A404" s="13" t="n">
        <v>2025</v>
      </c>
      <c r="B404" s="13" t="s">
        <v>1024</v>
      </c>
      <c r="C404" s="13" t="s">
        <v>121</v>
      </c>
      <c r="D404" s="13" t="s">
        <v>1034</v>
      </c>
      <c r="E404" s="13" t="s">
        <v>122</v>
      </c>
      <c r="F404" s="13" t="s">
        <v>357</v>
      </c>
      <c r="G404" s="13" t="n">
        <v>275</v>
      </c>
      <c r="H404" s="13" t="n">
        <v>0</v>
      </c>
      <c r="I404" s="13" t="n">
        <v>275</v>
      </c>
      <c r="J404" s="13" t="n">
        <v>0</v>
      </c>
      <c r="K404" s="13" t="n">
        <v>0</v>
      </c>
      <c r="L404" s="13" t="n">
        <v>7</v>
      </c>
      <c r="M404" s="13" t="n">
        <v>268</v>
      </c>
      <c r="N404" s="13" t="n">
        <v>52</v>
      </c>
      <c r="O404" s="13" t="n">
        <v>104</v>
      </c>
      <c r="P404" s="13" t="n">
        <v>91</v>
      </c>
      <c r="Q404" s="13" t="n">
        <v>21</v>
      </c>
      <c r="R404" s="13" t="n">
        <v>0</v>
      </c>
      <c r="S404" s="13" t="n">
        <v>0</v>
      </c>
      <c r="T404" s="13" t="n">
        <v>0.9745</v>
      </c>
      <c r="U404" s="13" t="n">
        <v>4.58</v>
      </c>
      <c r="V404" s="13" t="n">
        <f aca="false">M404-SUM(N404:S404)</f>
        <v>0</v>
      </c>
    </row>
    <row r="405" customFormat="false" ht="15" hidden="false" customHeight="true" outlineLevel="0" collapsed="false">
      <c r="A405" s="13" t="n">
        <v>2025</v>
      </c>
      <c r="B405" s="13" t="s">
        <v>1024</v>
      </c>
      <c r="C405" s="13" t="s">
        <v>121</v>
      </c>
      <c r="D405" s="13" t="s">
        <v>1034</v>
      </c>
      <c r="E405" s="13" t="s">
        <v>192</v>
      </c>
      <c r="F405" s="13" t="s">
        <v>652</v>
      </c>
      <c r="G405" s="13" t="n">
        <v>732</v>
      </c>
      <c r="H405" s="13" t="n">
        <v>4</v>
      </c>
      <c r="I405" s="13" t="n">
        <v>728</v>
      </c>
      <c r="J405" s="13" t="n">
        <v>0</v>
      </c>
      <c r="K405" s="13" t="n">
        <v>0</v>
      </c>
      <c r="L405" s="13" t="n">
        <v>21</v>
      </c>
      <c r="M405" s="13" t="n">
        <v>707</v>
      </c>
      <c r="N405" s="13" t="n">
        <v>139</v>
      </c>
      <c r="O405" s="13" t="n">
        <v>250</v>
      </c>
      <c r="P405" s="13" t="n">
        <v>245</v>
      </c>
      <c r="Q405" s="13" t="n">
        <v>70</v>
      </c>
      <c r="R405" s="13" t="n">
        <v>3</v>
      </c>
      <c r="S405" s="13" t="n">
        <v>0</v>
      </c>
      <c r="T405" s="13" t="n">
        <v>0.9712</v>
      </c>
      <c r="U405" s="13" t="n">
        <v>4.51</v>
      </c>
      <c r="V405" s="13" t="n">
        <f aca="false">M405-SUM(N405:S405)</f>
        <v>0</v>
      </c>
    </row>
    <row r="406" customFormat="false" ht="15" hidden="false" customHeight="true" outlineLevel="0" collapsed="false">
      <c r="A406" s="13" t="n">
        <v>2025</v>
      </c>
      <c r="B406" s="13" t="s">
        <v>1024</v>
      </c>
      <c r="C406" s="13" t="s">
        <v>121</v>
      </c>
      <c r="D406" s="13" t="s">
        <v>1035</v>
      </c>
      <c r="E406" s="13" t="s">
        <v>124</v>
      </c>
      <c r="F406" s="13" t="s">
        <v>357</v>
      </c>
      <c r="G406" s="13" t="n">
        <v>515</v>
      </c>
      <c r="H406" s="13" t="n">
        <v>4</v>
      </c>
      <c r="I406" s="13" t="n">
        <v>511</v>
      </c>
      <c r="J406" s="13" t="n">
        <v>0</v>
      </c>
      <c r="K406" s="13" t="n">
        <v>0</v>
      </c>
      <c r="L406" s="13" t="n">
        <v>50</v>
      </c>
      <c r="M406" s="13" t="n">
        <v>461</v>
      </c>
      <c r="N406" s="13" t="n">
        <v>62</v>
      </c>
      <c r="O406" s="13" t="n">
        <v>146</v>
      </c>
      <c r="P406" s="13" t="n">
        <v>192</v>
      </c>
      <c r="Q406" s="13" t="n">
        <v>60</v>
      </c>
      <c r="R406" s="13" t="n">
        <v>1</v>
      </c>
      <c r="S406" s="13" t="n">
        <v>0</v>
      </c>
      <c r="T406" s="13" t="n">
        <v>0.9022</v>
      </c>
      <c r="U406" s="13" t="n">
        <v>4.02</v>
      </c>
      <c r="V406" s="13" t="n">
        <f aca="false">M406-SUM(N406:S406)</f>
        <v>0</v>
      </c>
    </row>
    <row r="407" customFormat="false" ht="15" hidden="false" customHeight="true" outlineLevel="0" collapsed="false">
      <c r="A407" s="13" t="n">
        <v>2025</v>
      </c>
      <c r="B407" s="13" t="s">
        <v>1024</v>
      </c>
      <c r="C407" s="13" t="s">
        <v>121</v>
      </c>
      <c r="D407" s="13" t="s">
        <v>1035</v>
      </c>
      <c r="E407" s="13" t="s">
        <v>122</v>
      </c>
      <c r="F407" s="13" t="s">
        <v>357</v>
      </c>
      <c r="G407" s="13" t="n">
        <v>247</v>
      </c>
      <c r="H407" s="13" t="n">
        <v>0</v>
      </c>
      <c r="I407" s="13" t="n">
        <v>247</v>
      </c>
      <c r="J407" s="13" t="n">
        <v>0</v>
      </c>
      <c r="K407" s="13" t="n">
        <v>0</v>
      </c>
      <c r="L407" s="13" t="n">
        <v>12</v>
      </c>
      <c r="M407" s="13" t="n">
        <v>235</v>
      </c>
      <c r="N407" s="13" t="n">
        <v>61</v>
      </c>
      <c r="O407" s="13" t="n">
        <v>84</v>
      </c>
      <c r="P407" s="13" t="n">
        <v>73</v>
      </c>
      <c r="Q407" s="13" t="n">
        <v>17</v>
      </c>
      <c r="R407" s="13" t="n">
        <v>0</v>
      </c>
      <c r="S407" s="13" t="n">
        <v>0</v>
      </c>
      <c r="T407" s="13" t="n">
        <v>0.9514</v>
      </c>
      <c r="U407" s="13" t="n">
        <v>4.57</v>
      </c>
      <c r="V407" s="13" t="n">
        <f aca="false">M407-SUM(N407:S407)</f>
        <v>0</v>
      </c>
    </row>
    <row r="408" customFormat="false" ht="15" hidden="false" customHeight="true" outlineLevel="0" collapsed="false">
      <c r="A408" s="13" t="n">
        <v>2025</v>
      </c>
      <c r="B408" s="13" t="s">
        <v>1024</v>
      </c>
      <c r="C408" s="13" t="s">
        <v>121</v>
      </c>
      <c r="D408" s="13" t="s">
        <v>1035</v>
      </c>
      <c r="E408" s="13" t="s">
        <v>192</v>
      </c>
      <c r="F408" s="13" t="s">
        <v>652</v>
      </c>
      <c r="G408" s="13" t="n">
        <v>762</v>
      </c>
      <c r="H408" s="13" t="n">
        <v>4</v>
      </c>
      <c r="I408" s="13" t="n">
        <v>758</v>
      </c>
      <c r="J408" s="13" t="n">
        <v>0</v>
      </c>
      <c r="K408" s="13" t="n">
        <v>0</v>
      </c>
      <c r="L408" s="13" t="n">
        <v>62</v>
      </c>
      <c r="M408" s="13" t="n">
        <v>696</v>
      </c>
      <c r="N408" s="13" t="n">
        <v>123</v>
      </c>
      <c r="O408" s="13" t="n">
        <v>230</v>
      </c>
      <c r="P408" s="13" t="n">
        <v>265</v>
      </c>
      <c r="Q408" s="13" t="n">
        <v>77</v>
      </c>
      <c r="R408" s="13" t="n">
        <v>1</v>
      </c>
      <c r="S408" s="13" t="n">
        <v>0</v>
      </c>
      <c r="T408" s="13" t="n">
        <v>0.9182</v>
      </c>
      <c r="U408" s="13" t="n">
        <v>4.2</v>
      </c>
      <c r="V408" s="13" t="n">
        <f aca="false">M408-SUM(N408:S408)</f>
        <v>0</v>
      </c>
    </row>
    <row r="409" customFormat="false" ht="15" hidden="false" customHeight="true" outlineLevel="0" collapsed="false">
      <c r="A409" s="13" t="n">
        <v>2025</v>
      </c>
      <c r="B409" s="13" t="s">
        <v>1024</v>
      </c>
      <c r="C409" s="13" t="s">
        <v>121</v>
      </c>
      <c r="D409" s="13" t="s">
        <v>203</v>
      </c>
      <c r="E409" s="13" t="s">
        <v>124</v>
      </c>
      <c r="F409" s="13" t="s">
        <v>357</v>
      </c>
      <c r="G409" s="13" t="n">
        <v>39</v>
      </c>
      <c r="H409" s="13" t="n">
        <v>0</v>
      </c>
      <c r="I409" s="13" t="n">
        <v>39</v>
      </c>
      <c r="J409" s="13" t="n">
        <v>0</v>
      </c>
      <c r="K409" s="13" t="n">
        <v>0</v>
      </c>
      <c r="L409" s="13" t="n">
        <v>3</v>
      </c>
      <c r="M409" s="13" t="n">
        <v>36</v>
      </c>
      <c r="N409" s="13" t="n">
        <v>1</v>
      </c>
      <c r="O409" s="13" t="n">
        <v>7</v>
      </c>
      <c r="P409" s="13" t="n">
        <v>7</v>
      </c>
      <c r="Q409" s="13" t="n">
        <v>13</v>
      </c>
      <c r="R409" s="13" t="n">
        <v>8</v>
      </c>
      <c r="S409" s="13" t="n">
        <v>0</v>
      </c>
      <c r="T409" s="13" t="n">
        <v>0.9231</v>
      </c>
      <c r="U409" s="13" t="n">
        <v>3.18</v>
      </c>
      <c r="V409" s="13" t="n">
        <f aca="false">M409-SUM(N409:S409)</f>
        <v>0</v>
      </c>
    </row>
    <row r="410" customFormat="false" ht="15" hidden="false" customHeight="true" outlineLevel="0" collapsed="false">
      <c r="A410" s="13" t="n">
        <v>2025</v>
      </c>
      <c r="B410" s="13" t="s">
        <v>1024</v>
      </c>
      <c r="C410" s="13" t="s">
        <v>121</v>
      </c>
      <c r="D410" s="13" t="s">
        <v>203</v>
      </c>
      <c r="E410" s="13" t="s">
        <v>122</v>
      </c>
      <c r="F410" s="13" t="s">
        <v>357</v>
      </c>
      <c r="G410" s="13" t="n">
        <v>16</v>
      </c>
      <c r="H410" s="13" t="n">
        <v>0</v>
      </c>
      <c r="I410" s="13" t="n">
        <v>16</v>
      </c>
      <c r="J410" s="13" t="n">
        <v>0</v>
      </c>
      <c r="K410" s="13" t="n">
        <v>0</v>
      </c>
      <c r="L410" s="13" t="n">
        <v>0</v>
      </c>
      <c r="M410" s="13" t="n">
        <v>16</v>
      </c>
      <c r="N410" s="13" t="n">
        <v>3</v>
      </c>
      <c r="O410" s="13" t="n">
        <v>4</v>
      </c>
      <c r="P410" s="13" t="n">
        <v>3</v>
      </c>
      <c r="Q410" s="13" t="n">
        <v>5</v>
      </c>
      <c r="R410" s="13" t="n">
        <v>1</v>
      </c>
      <c r="S410" s="13" t="n">
        <v>0</v>
      </c>
      <c r="T410" s="13" t="n">
        <v>1</v>
      </c>
      <c r="U410" s="13" t="n">
        <v>4.19</v>
      </c>
      <c r="V410" s="13" t="n">
        <f aca="false">M410-SUM(N410:S410)</f>
        <v>0</v>
      </c>
    </row>
    <row r="411" customFormat="false" ht="15" hidden="false" customHeight="true" outlineLevel="0" collapsed="false">
      <c r="A411" s="13" t="n">
        <v>2025</v>
      </c>
      <c r="B411" s="13" t="s">
        <v>1024</v>
      </c>
      <c r="C411" s="13" t="s">
        <v>121</v>
      </c>
      <c r="D411" s="13" t="s">
        <v>203</v>
      </c>
      <c r="E411" s="13" t="s">
        <v>192</v>
      </c>
      <c r="F411" s="13" t="s">
        <v>652</v>
      </c>
      <c r="G411" s="13" t="n">
        <v>55</v>
      </c>
      <c r="H411" s="13" t="n">
        <v>0</v>
      </c>
      <c r="I411" s="13" t="n">
        <v>55</v>
      </c>
      <c r="J411" s="13" t="n">
        <v>0</v>
      </c>
      <c r="K411" s="13" t="n">
        <v>0</v>
      </c>
      <c r="L411" s="13" t="n">
        <v>3</v>
      </c>
      <c r="M411" s="13" t="n">
        <v>52</v>
      </c>
      <c r="N411" s="13" t="n">
        <v>4</v>
      </c>
      <c r="O411" s="13" t="n">
        <v>11</v>
      </c>
      <c r="P411" s="13" t="n">
        <v>10</v>
      </c>
      <c r="Q411" s="13" t="n">
        <v>18</v>
      </c>
      <c r="R411" s="13" t="n">
        <v>9</v>
      </c>
      <c r="S411" s="13" t="n">
        <v>0</v>
      </c>
      <c r="T411" s="13" t="n">
        <v>0.9455</v>
      </c>
      <c r="U411" s="13" t="n">
        <v>3.47</v>
      </c>
      <c r="V411" s="13" t="n">
        <f aca="false">M411-SUM(N411:S411)</f>
        <v>0</v>
      </c>
    </row>
    <row r="412" customFormat="false" ht="15" hidden="false" customHeight="true" outlineLevel="0" collapsed="false">
      <c r="A412" s="13" t="n">
        <v>2025</v>
      </c>
      <c r="B412" s="13" t="s">
        <v>1024</v>
      </c>
      <c r="C412" s="13" t="s">
        <v>121</v>
      </c>
      <c r="D412" s="13" t="s">
        <v>1037</v>
      </c>
      <c r="E412" s="13" t="s">
        <v>192</v>
      </c>
      <c r="F412" s="13" t="s">
        <v>1038</v>
      </c>
      <c r="G412" s="13" t="n">
        <v>2527</v>
      </c>
      <c r="H412" s="13" t="n">
        <v>11</v>
      </c>
      <c r="I412" s="13" t="n">
        <v>2516</v>
      </c>
      <c r="J412" s="13" t="n">
        <v>0</v>
      </c>
      <c r="K412" s="13" t="n">
        <v>0</v>
      </c>
      <c r="L412" s="13" t="n">
        <v>102</v>
      </c>
      <c r="M412" s="13" t="n">
        <v>2414</v>
      </c>
      <c r="N412" s="13" t="n">
        <v>603</v>
      </c>
      <c r="O412" s="13" t="n">
        <v>834</v>
      </c>
      <c r="P412" s="13" t="n">
        <v>741</v>
      </c>
      <c r="Q412" s="13" t="n">
        <v>222</v>
      </c>
      <c r="R412" s="13" t="n">
        <v>14</v>
      </c>
      <c r="S412" s="13" t="n">
        <v>0</v>
      </c>
      <c r="T412" s="13" t="n">
        <v>0.9595</v>
      </c>
      <c r="U412" s="13" t="n">
        <v>4.55</v>
      </c>
      <c r="V412" s="13" t="n">
        <f aca="false">M412-SUM(N412:S412)</f>
        <v>0</v>
      </c>
    </row>
    <row r="413" customFormat="false" ht="15" hidden="false" customHeight="true" outlineLevel="0" collapsed="false">
      <c r="A413" s="13" t="n">
        <v>2025</v>
      </c>
      <c r="B413" s="13" t="s">
        <v>1024</v>
      </c>
      <c r="C413" s="13" t="s">
        <v>125</v>
      </c>
      <c r="D413" s="13" t="s">
        <v>128</v>
      </c>
      <c r="E413" s="13" t="s">
        <v>124</v>
      </c>
      <c r="F413" s="13" t="s">
        <v>357</v>
      </c>
      <c r="G413" s="13" t="n">
        <v>16</v>
      </c>
      <c r="H413" s="13" t="n">
        <v>3</v>
      </c>
      <c r="I413" s="13" t="n">
        <v>13</v>
      </c>
      <c r="J413" s="13" t="n">
        <v>0</v>
      </c>
      <c r="K413" s="13" t="n">
        <v>0</v>
      </c>
      <c r="L413" s="13" t="n">
        <v>5</v>
      </c>
      <c r="M413" s="13" t="n">
        <v>8</v>
      </c>
      <c r="N413" s="13" t="n">
        <v>0</v>
      </c>
      <c r="O413" s="13" t="n">
        <v>0</v>
      </c>
      <c r="P413" s="13" t="n">
        <v>0</v>
      </c>
      <c r="Q413" s="13" t="n">
        <v>4</v>
      </c>
      <c r="R413" s="13" t="n">
        <v>0</v>
      </c>
      <c r="S413" s="13" t="n">
        <v>0</v>
      </c>
      <c r="T413" s="13" t="n">
        <v>0.6154</v>
      </c>
      <c r="U413" s="13" t="n">
        <v>0.92</v>
      </c>
      <c r="V413" s="13" t="n">
        <f aca="false">M413-SUM(N413:S413)</f>
        <v>4</v>
      </c>
    </row>
    <row r="414" customFormat="false" ht="15" hidden="false" customHeight="true" outlineLevel="0" collapsed="false">
      <c r="A414" s="13" t="n">
        <v>2025</v>
      </c>
      <c r="B414" s="13" t="s">
        <v>1024</v>
      </c>
      <c r="C414" s="13" t="s">
        <v>125</v>
      </c>
      <c r="D414" s="13" t="s">
        <v>128</v>
      </c>
      <c r="E414" s="13" t="s">
        <v>122</v>
      </c>
      <c r="F414" s="13" t="s">
        <v>357</v>
      </c>
      <c r="G414" s="13" t="n">
        <v>22</v>
      </c>
      <c r="H414" s="13" t="n">
        <v>3</v>
      </c>
      <c r="I414" s="13" t="n">
        <v>19</v>
      </c>
      <c r="J414" s="13" t="n">
        <v>0</v>
      </c>
      <c r="K414" s="13" t="n">
        <v>0</v>
      </c>
      <c r="L414" s="13" t="n">
        <v>11</v>
      </c>
      <c r="M414" s="13" t="n">
        <v>8</v>
      </c>
      <c r="N414" s="13" t="n">
        <v>0</v>
      </c>
      <c r="O414" s="13" t="n">
        <v>2</v>
      </c>
      <c r="P414" s="13" t="n">
        <v>0</v>
      </c>
      <c r="Q414" s="13" t="n">
        <v>3</v>
      </c>
      <c r="R414" s="13" t="n">
        <v>1</v>
      </c>
      <c r="S414" s="13" t="n">
        <v>0</v>
      </c>
      <c r="T414" s="13" t="n">
        <v>0.4211</v>
      </c>
      <c r="U414" s="13" t="n">
        <v>1.11</v>
      </c>
      <c r="V414" s="13" t="n">
        <f aca="false">M414-SUM(N414:S414)</f>
        <v>2</v>
      </c>
    </row>
    <row r="415" customFormat="false" ht="15" hidden="false" customHeight="true" outlineLevel="0" collapsed="false">
      <c r="A415" s="13" t="n">
        <v>2025</v>
      </c>
      <c r="B415" s="13" t="s">
        <v>1024</v>
      </c>
      <c r="C415" s="13" t="s">
        <v>125</v>
      </c>
      <c r="D415" s="13" t="s">
        <v>128</v>
      </c>
      <c r="E415" s="13" t="s">
        <v>192</v>
      </c>
      <c r="F415" s="13" t="s">
        <v>652</v>
      </c>
      <c r="G415" s="13" t="n">
        <v>38</v>
      </c>
      <c r="H415" s="13" t="n">
        <v>6</v>
      </c>
      <c r="I415" s="13" t="n">
        <v>32</v>
      </c>
      <c r="J415" s="13" t="n">
        <v>0</v>
      </c>
      <c r="K415" s="13" t="n">
        <v>0</v>
      </c>
      <c r="L415" s="13" t="n">
        <v>16</v>
      </c>
      <c r="M415" s="13" t="n">
        <v>16</v>
      </c>
      <c r="N415" s="13" t="n">
        <v>0</v>
      </c>
      <c r="O415" s="13" t="n">
        <v>2</v>
      </c>
      <c r="P415" s="13" t="n">
        <v>0</v>
      </c>
      <c r="Q415" s="13" t="n">
        <v>7</v>
      </c>
      <c r="R415" s="13" t="n">
        <v>1</v>
      </c>
      <c r="S415" s="13" t="n">
        <v>0</v>
      </c>
      <c r="T415" s="13" t="n">
        <v>0.5</v>
      </c>
      <c r="U415" s="13" t="n">
        <v>1.03</v>
      </c>
      <c r="V415" s="13" t="n">
        <f aca="false">M415-SUM(N415:S415)</f>
        <v>6</v>
      </c>
    </row>
    <row r="416" customFormat="false" ht="15" hidden="false" customHeight="true" outlineLevel="0" collapsed="false">
      <c r="A416" s="13" t="n">
        <v>2025</v>
      </c>
      <c r="B416" s="13" t="s">
        <v>1024</v>
      </c>
      <c r="C416" s="13" t="s">
        <v>125</v>
      </c>
      <c r="D416" s="13" t="s">
        <v>1033</v>
      </c>
      <c r="E416" s="13" t="s">
        <v>124</v>
      </c>
      <c r="F416" s="13" t="s">
        <v>357</v>
      </c>
      <c r="G416" s="13" t="n">
        <v>49</v>
      </c>
      <c r="H416" s="13" t="n">
        <v>8</v>
      </c>
      <c r="I416" s="13" t="n">
        <v>41</v>
      </c>
      <c r="J416" s="13" t="n">
        <v>1</v>
      </c>
      <c r="K416" s="13" t="n">
        <v>0</v>
      </c>
      <c r="L416" s="13" t="n">
        <v>5</v>
      </c>
      <c r="M416" s="13" t="n">
        <v>36</v>
      </c>
      <c r="N416" s="13" t="n">
        <v>24</v>
      </c>
      <c r="O416" s="13" t="n">
        <v>5</v>
      </c>
      <c r="P416" s="13" t="n">
        <v>3</v>
      </c>
      <c r="Q416" s="13" t="n">
        <v>3</v>
      </c>
      <c r="R416" s="13" t="n">
        <v>1</v>
      </c>
      <c r="S416" s="13" t="n">
        <v>0</v>
      </c>
      <c r="T416" s="13" t="n">
        <v>0.878</v>
      </c>
      <c r="U416" s="13" t="n">
        <v>4.68</v>
      </c>
      <c r="V416" s="13" t="n">
        <f aca="false">M416-SUM(N416:S416)</f>
        <v>0</v>
      </c>
    </row>
    <row r="417" customFormat="false" ht="15" hidden="false" customHeight="true" outlineLevel="0" collapsed="false">
      <c r="A417" s="13" t="n">
        <v>2025</v>
      </c>
      <c r="B417" s="13" t="s">
        <v>1024</v>
      </c>
      <c r="C417" s="13" t="s">
        <v>125</v>
      </c>
      <c r="D417" s="13" t="s">
        <v>1033</v>
      </c>
      <c r="E417" s="13" t="s">
        <v>122</v>
      </c>
      <c r="F417" s="13" t="s">
        <v>357</v>
      </c>
      <c r="G417" s="13" t="n">
        <v>98</v>
      </c>
      <c r="H417" s="13" t="n">
        <v>13</v>
      </c>
      <c r="I417" s="13" t="n">
        <v>85</v>
      </c>
      <c r="J417" s="13" t="n">
        <v>1</v>
      </c>
      <c r="K417" s="13" t="n">
        <v>0</v>
      </c>
      <c r="L417" s="13" t="n">
        <v>2</v>
      </c>
      <c r="M417" s="13" t="n">
        <v>83</v>
      </c>
      <c r="N417" s="13" t="n">
        <v>43</v>
      </c>
      <c r="O417" s="13" t="n">
        <v>19</v>
      </c>
      <c r="P417" s="13" t="n">
        <v>8</v>
      </c>
      <c r="Q417" s="13" t="n">
        <v>12</v>
      </c>
      <c r="R417" s="13" t="n">
        <v>1</v>
      </c>
      <c r="S417" s="13" t="n">
        <v>0</v>
      </c>
      <c r="T417" s="13" t="n">
        <v>0.9765</v>
      </c>
      <c r="U417" s="13" t="n">
        <v>4.98</v>
      </c>
      <c r="V417" s="13" t="n">
        <f aca="false">M417-SUM(N417:S417)</f>
        <v>0</v>
      </c>
    </row>
    <row r="418" customFormat="false" ht="15" hidden="false" customHeight="true" outlineLevel="0" collapsed="false">
      <c r="A418" s="13" t="n">
        <v>2025</v>
      </c>
      <c r="B418" s="13" t="s">
        <v>1024</v>
      </c>
      <c r="C418" s="13" t="s">
        <v>125</v>
      </c>
      <c r="D418" s="13" t="s">
        <v>1033</v>
      </c>
      <c r="E418" s="13" t="s">
        <v>192</v>
      </c>
      <c r="F418" s="13" t="s">
        <v>652</v>
      </c>
      <c r="G418" s="13" t="n">
        <v>147</v>
      </c>
      <c r="H418" s="13" t="n">
        <v>21</v>
      </c>
      <c r="I418" s="13" t="n">
        <v>126</v>
      </c>
      <c r="J418" s="13" t="n">
        <v>2</v>
      </c>
      <c r="K418" s="13" t="n">
        <v>0</v>
      </c>
      <c r="L418" s="13" t="n">
        <v>7</v>
      </c>
      <c r="M418" s="13" t="n">
        <v>119</v>
      </c>
      <c r="N418" s="13" t="n">
        <v>67</v>
      </c>
      <c r="O418" s="13" t="n">
        <v>24</v>
      </c>
      <c r="P418" s="13" t="n">
        <v>11</v>
      </c>
      <c r="Q418" s="13" t="n">
        <v>15</v>
      </c>
      <c r="R418" s="13" t="n">
        <v>2</v>
      </c>
      <c r="S418" s="13" t="n">
        <v>0</v>
      </c>
      <c r="T418" s="13" t="n">
        <v>0.9444</v>
      </c>
      <c r="U418" s="13" t="n">
        <v>4.88</v>
      </c>
      <c r="V418" s="13" t="n">
        <f aca="false">M418-SUM(N418:S418)</f>
        <v>0</v>
      </c>
    </row>
    <row r="419" customFormat="false" ht="15" hidden="false" customHeight="true" outlineLevel="0" collapsed="false">
      <c r="A419" s="13" t="n">
        <v>2025</v>
      </c>
      <c r="B419" s="13" t="s">
        <v>1024</v>
      </c>
      <c r="C419" s="13" t="s">
        <v>125</v>
      </c>
      <c r="D419" s="13" t="s">
        <v>1034</v>
      </c>
      <c r="E419" s="13" t="s">
        <v>124</v>
      </c>
      <c r="F419" s="13" t="s">
        <v>357</v>
      </c>
      <c r="G419" s="13" t="n">
        <v>39</v>
      </c>
      <c r="H419" s="13" t="n">
        <v>5</v>
      </c>
      <c r="I419" s="13" t="n">
        <v>34</v>
      </c>
      <c r="J419" s="13" t="n">
        <v>0</v>
      </c>
      <c r="K419" s="13" t="n">
        <v>0</v>
      </c>
      <c r="L419" s="13" t="n">
        <v>8</v>
      </c>
      <c r="M419" s="13" t="n">
        <v>26</v>
      </c>
      <c r="N419" s="13" t="n">
        <v>0</v>
      </c>
      <c r="O419" s="13" t="n">
        <v>1</v>
      </c>
      <c r="P419" s="13" t="n">
        <v>4</v>
      </c>
      <c r="Q419" s="13" t="n">
        <v>19</v>
      </c>
      <c r="R419" s="13" t="n">
        <v>1</v>
      </c>
      <c r="S419" s="13" t="n">
        <v>0</v>
      </c>
      <c r="T419" s="13" t="n">
        <v>0.7647</v>
      </c>
      <c r="U419" s="13" t="n">
        <v>2.35</v>
      </c>
      <c r="V419" s="13" t="n">
        <f aca="false">M419-SUM(N419:S419)</f>
        <v>1</v>
      </c>
    </row>
    <row r="420" customFormat="false" ht="15" hidden="false" customHeight="true" outlineLevel="0" collapsed="false">
      <c r="A420" s="13" t="n">
        <v>2025</v>
      </c>
      <c r="B420" s="13" t="s">
        <v>1024</v>
      </c>
      <c r="C420" s="13" t="s">
        <v>125</v>
      </c>
      <c r="D420" s="13" t="s">
        <v>1034</v>
      </c>
      <c r="E420" s="13" t="s">
        <v>122</v>
      </c>
      <c r="F420" s="13" t="s">
        <v>357</v>
      </c>
      <c r="G420" s="13" t="n">
        <v>8</v>
      </c>
      <c r="H420" s="13" t="n">
        <v>0</v>
      </c>
      <c r="I420" s="13" t="n">
        <v>8</v>
      </c>
      <c r="J420" s="13" t="n">
        <v>1</v>
      </c>
      <c r="K420" s="13" t="n">
        <v>0</v>
      </c>
      <c r="L420" s="13" t="n">
        <v>4</v>
      </c>
      <c r="M420" s="13" t="n">
        <v>4</v>
      </c>
      <c r="N420" s="13" t="n">
        <v>0</v>
      </c>
      <c r="O420" s="13" t="n">
        <v>0</v>
      </c>
      <c r="P420" s="13" t="n">
        <v>2</v>
      </c>
      <c r="Q420" s="13" t="n">
        <v>1</v>
      </c>
      <c r="R420" s="13" t="n">
        <v>1</v>
      </c>
      <c r="S420" s="13" t="n">
        <v>0</v>
      </c>
      <c r="T420" s="13" t="n">
        <v>0.5</v>
      </c>
      <c r="U420" s="13" t="n">
        <v>1.63</v>
      </c>
      <c r="V420" s="13" t="n">
        <f aca="false">M420-SUM(N420:S420)</f>
        <v>0</v>
      </c>
    </row>
    <row r="421" customFormat="false" ht="15" hidden="false" customHeight="true" outlineLevel="0" collapsed="false">
      <c r="A421" s="13" t="n">
        <v>2025</v>
      </c>
      <c r="B421" s="13" t="s">
        <v>1024</v>
      </c>
      <c r="C421" s="13" t="s">
        <v>125</v>
      </c>
      <c r="D421" s="13" t="s">
        <v>1034</v>
      </c>
      <c r="E421" s="13" t="s">
        <v>192</v>
      </c>
      <c r="F421" s="13" t="s">
        <v>652</v>
      </c>
      <c r="G421" s="13" t="n">
        <v>47</v>
      </c>
      <c r="H421" s="13" t="n">
        <v>5</v>
      </c>
      <c r="I421" s="13" t="n">
        <v>42</v>
      </c>
      <c r="J421" s="13" t="n">
        <v>1</v>
      </c>
      <c r="K421" s="13" t="n">
        <v>0</v>
      </c>
      <c r="L421" s="13" t="n">
        <v>12</v>
      </c>
      <c r="M421" s="13" t="n">
        <v>30</v>
      </c>
      <c r="N421" s="13" t="n">
        <v>0</v>
      </c>
      <c r="O421" s="13" t="n">
        <v>1</v>
      </c>
      <c r="P421" s="13" t="n">
        <v>6</v>
      </c>
      <c r="Q421" s="13" t="n">
        <v>20</v>
      </c>
      <c r="R421" s="13" t="n">
        <v>2</v>
      </c>
      <c r="S421" s="13" t="n">
        <v>0</v>
      </c>
      <c r="T421" s="13" t="n">
        <v>0.7143</v>
      </c>
      <c r="U421" s="13" t="n">
        <v>2.21</v>
      </c>
      <c r="V421" s="13" t="n">
        <f aca="false">M421-SUM(N421:S421)</f>
        <v>1</v>
      </c>
    </row>
    <row r="422" customFormat="false" ht="15" hidden="false" customHeight="true" outlineLevel="0" collapsed="false">
      <c r="A422" s="13" t="n">
        <v>2025</v>
      </c>
      <c r="B422" s="13" t="s">
        <v>1024</v>
      </c>
      <c r="C422" s="13" t="s">
        <v>125</v>
      </c>
      <c r="D422" s="13" t="s">
        <v>1035</v>
      </c>
      <c r="E422" s="13" t="s">
        <v>124</v>
      </c>
      <c r="F422" s="13" t="s">
        <v>357</v>
      </c>
      <c r="G422" s="13" t="n">
        <v>52</v>
      </c>
      <c r="H422" s="13" t="n">
        <v>4</v>
      </c>
      <c r="I422" s="13" t="n">
        <v>48</v>
      </c>
      <c r="J422" s="13" t="n">
        <v>0</v>
      </c>
      <c r="K422" s="13" t="n">
        <v>0</v>
      </c>
      <c r="L422" s="13" t="n">
        <v>26</v>
      </c>
      <c r="M422" s="13" t="n">
        <v>22</v>
      </c>
      <c r="N422" s="13" t="n">
        <v>0</v>
      </c>
      <c r="O422" s="13" t="n">
        <v>2</v>
      </c>
      <c r="P422" s="13" t="n">
        <v>7</v>
      </c>
      <c r="Q422" s="13" t="n">
        <v>11</v>
      </c>
      <c r="R422" s="13" t="n">
        <v>2</v>
      </c>
      <c r="S422" s="13" t="n">
        <v>0</v>
      </c>
      <c r="T422" s="13" t="n">
        <v>0.4583</v>
      </c>
      <c r="U422" s="13" t="n">
        <v>1.56</v>
      </c>
      <c r="V422" s="13" t="n">
        <f aca="false">M422-SUM(N422:S422)</f>
        <v>0</v>
      </c>
    </row>
    <row r="423" customFormat="false" ht="15" hidden="false" customHeight="true" outlineLevel="0" collapsed="false">
      <c r="A423" s="13" t="n">
        <v>2025</v>
      </c>
      <c r="B423" s="13" t="s">
        <v>1024</v>
      </c>
      <c r="C423" s="13" t="s">
        <v>125</v>
      </c>
      <c r="D423" s="13" t="s">
        <v>1035</v>
      </c>
      <c r="E423" s="13" t="s">
        <v>122</v>
      </c>
      <c r="F423" s="13" t="s">
        <v>357</v>
      </c>
      <c r="G423" s="13" t="n">
        <v>32</v>
      </c>
      <c r="H423" s="13" t="n">
        <v>0</v>
      </c>
      <c r="I423" s="13" t="n">
        <v>32</v>
      </c>
      <c r="J423" s="13" t="n">
        <v>1</v>
      </c>
      <c r="K423" s="13" t="n">
        <v>0</v>
      </c>
      <c r="L423" s="13" t="n">
        <v>22</v>
      </c>
      <c r="M423" s="13" t="n">
        <v>10</v>
      </c>
      <c r="N423" s="13" t="n">
        <v>2</v>
      </c>
      <c r="O423" s="13" t="n">
        <v>0</v>
      </c>
      <c r="P423" s="13" t="n">
        <v>4</v>
      </c>
      <c r="Q423" s="13" t="n">
        <v>4</v>
      </c>
      <c r="R423" s="13" t="n">
        <v>0</v>
      </c>
      <c r="S423" s="13" t="n">
        <v>0</v>
      </c>
      <c r="T423" s="13" t="n">
        <v>0.3125</v>
      </c>
      <c r="U423" s="13" t="n">
        <v>1.25</v>
      </c>
      <c r="V423" s="13" t="n">
        <f aca="false">M423-SUM(N423:S423)</f>
        <v>0</v>
      </c>
    </row>
    <row r="424" customFormat="false" ht="15" hidden="false" customHeight="true" outlineLevel="0" collapsed="false">
      <c r="A424" s="13" t="n">
        <v>2025</v>
      </c>
      <c r="B424" s="13" t="s">
        <v>1024</v>
      </c>
      <c r="C424" s="13" t="s">
        <v>125</v>
      </c>
      <c r="D424" s="13" t="s">
        <v>1035</v>
      </c>
      <c r="E424" s="13" t="s">
        <v>192</v>
      </c>
      <c r="F424" s="13" t="s">
        <v>652</v>
      </c>
      <c r="G424" s="13" t="n">
        <v>84</v>
      </c>
      <c r="H424" s="13" t="n">
        <v>4</v>
      </c>
      <c r="I424" s="13" t="n">
        <v>80</v>
      </c>
      <c r="J424" s="13" t="n">
        <v>1</v>
      </c>
      <c r="K424" s="13" t="n">
        <v>0</v>
      </c>
      <c r="L424" s="13" t="n">
        <v>48</v>
      </c>
      <c r="M424" s="13" t="n">
        <v>32</v>
      </c>
      <c r="N424" s="13" t="n">
        <v>2</v>
      </c>
      <c r="O424" s="13" t="n">
        <v>2</v>
      </c>
      <c r="P424" s="13" t="n">
        <v>11</v>
      </c>
      <c r="Q424" s="13" t="n">
        <v>15</v>
      </c>
      <c r="R424" s="13" t="n">
        <v>2</v>
      </c>
      <c r="S424" s="13" t="n">
        <v>0</v>
      </c>
      <c r="T424" s="13" t="n">
        <v>0.4</v>
      </c>
      <c r="U424" s="13" t="n">
        <v>1.44</v>
      </c>
      <c r="V424" s="13" t="n">
        <f aca="false">M424-SUM(N424:S424)</f>
        <v>0</v>
      </c>
    </row>
    <row r="425" customFormat="false" ht="15" hidden="false" customHeight="true" outlineLevel="0" collapsed="false">
      <c r="A425" s="13" t="n">
        <v>2025</v>
      </c>
      <c r="B425" s="13" t="s">
        <v>1024</v>
      </c>
      <c r="C425" s="13" t="s">
        <v>125</v>
      </c>
      <c r="D425" s="13" t="s">
        <v>203</v>
      </c>
      <c r="E425" s="13" t="s">
        <v>124</v>
      </c>
      <c r="F425" s="13" t="s">
        <v>357</v>
      </c>
      <c r="G425" s="13" t="n">
        <v>3</v>
      </c>
      <c r="H425" s="13" t="n">
        <v>0</v>
      </c>
      <c r="I425" s="13" t="n">
        <v>3</v>
      </c>
      <c r="J425" s="13" t="n">
        <v>0</v>
      </c>
      <c r="K425" s="13" t="n">
        <v>0</v>
      </c>
      <c r="L425" s="13" t="n">
        <v>2</v>
      </c>
      <c r="M425" s="13" t="n">
        <v>1</v>
      </c>
      <c r="N425" s="13" t="n">
        <v>0</v>
      </c>
      <c r="O425" s="13" t="n">
        <v>0</v>
      </c>
      <c r="P425" s="13" t="n">
        <v>0</v>
      </c>
      <c r="Q425" s="13" t="n">
        <v>1</v>
      </c>
      <c r="R425" s="13" t="n">
        <v>0</v>
      </c>
      <c r="S425" s="13" t="n">
        <v>0</v>
      </c>
      <c r="T425" s="13" t="n">
        <v>0.3333</v>
      </c>
      <c r="U425" s="13" t="n">
        <v>1</v>
      </c>
      <c r="V425" s="13" t="n">
        <f aca="false">M425-SUM(N425:S425)</f>
        <v>0</v>
      </c>
    </row>
    <row r="426" customFormat="false" ht="15" hidden="false" customHeight="true" outlineLevel="0" collapsed="false">
      <c r="A426" s="13" t="n">
        <v>2025</v>
      </c>
      <c r="B426" s="13" t="s">
        <v>1024</v>
      </c>
      <c r="C426" s="13" t="s">
        <v>125</v>
      </c>
      <c r="D426" s="13" t="s">
        <v>203</v>
      </c>
      <c r="E426" s="13" t="s">
        <v>122</v>
      </c>
      <c r="F426" s="13" t="s">
        <v>357</v>
      </c>
      <c r="G426" s="13" t="n">
        <v>2</v>
      </c>
      <c r="H426" s="13" t="n">
        <v>0</v>
      </c>
      <c r="I426" s="13" t="n">
        <v>2</v>
      </c>
      <c r="J426" s="13" t="n">
        <v>0</v>
      </c>
      <c r="K426" s="13" t="n">
        <v>0</v>
      </c>
      <c r="L426" s="13" t="n">
        <v>0</v>
      </c>
      <c r="M426" s="13" t="n">
        <v>2</v>
      </c>
      <c r="N426" s="13" t="n">
        <v>0</v>
      </c>
      <c r="O426" s="13" t="n">
        <v>1</v>
      </c>
      <c r="P426" s="13" t="n">
        <v>0</v>
      </c>
      <c r="Q426" s="13" t="n">
        <v>1</v>
      </c>
      <c r="R426" s="13" t="n">
        <v>0</v>
      </c>
      <c r="S426" s="13" t="n">
        <v>0</v>
      </c>
      <c r="T426" s="13" t="n">
        <v>1</v>
      </c>
      <c r="U426" s="13" t="n">
        <v>4</v>
      </c>
      <c r="V426" s="13" t="n">
        <f aca="false">M426-SUM(N426:S426)</f>
        <v>0</v>
      </c>
    </row>
    <row r="427" customFormat="false" ht="15" hidden="false" customHeight="true" outlineLevel="0" collapsed="false">
      <c r="A427" s="13" t="n">
        <v>2025</v>
      </c>
      <c r="B427" s="13" t="s">
        <v>1024</v>
      </c>
      <c r="C427" s="13" t="s">
        <v>125</v>
      </c>
      <c r="D427" s="13" t="s">
        <v>203</v>
      </c>
      <c r="E427" s="13" t="s">
        <v>192</v>
      </c>
      <c r="F427" s="13" t="s">
        <v>652</v>
      </c>
      <c r="G427" s="13" t="n">
        <v>5</v>
      </c>
      <c r="H427" s="13" t="n">
        <v>0</v>
      </c>
      <c r="I427" s="13" t="n">
        <v>5</v>
      </c>
      <c r="J427" s="13" t="n">
        <v>0</v>
      </c>
      <c r="K427" s="13" t="n">
        <v>0</v>
      </c>
      <c r="L427" s="13" t="n">
        <v>2</v>
      </c>
      <c r="M427" s="13" t="n">
        <v>3</v>
      </c>
      <c r="N427" s="13" t="n">
        <v>0</v>
      </c>
      <c r="O427" s="13" t="n">
        <v>1</v>
      </c>
      <c r="P427" s="13" t="n">
        <v>0</v>
      </c>
      <c r="Q427" s="13" t="n">
        <v>2</v>
      </c>
      <c r="R427" s="13" t="n">
        <v>0</v>
      </c>
      <c r="S427" s="13" t="n">
        <v>0</v>
      </c>
      <c r="T427" s="13" t="n">
        <v>0.6</v>
      </c>
      <c r="U427" s="13" t="n">
        <v>2.2</v>
      </c>
      <c r="V427" s="13" t="n">
        <f aca="false">M427-SUM(N427:S427)</f>
        <v>0</v>
      </c>
    </row>
    <row r="428" customFormat="false" ht="15" hidden="false" customHeight="true" outlineLevel="0" collapsed="false">
      <c r="A428" s="13" t="n">
        <v>2025</v>
      </c>
      <c r="B428" s="13" t="s">
        <v>1024</v>
      </c>
      <c r="C428" s="13" t="s">
        <v>125</v>
      </c>
      <c r="D428" s="13" t="s">
        <v>1037</v>
      </c>
      <c r="E428" s="13" t="s">
        <v>192</v>
      </c>
      <c r="F428" s="13" t="s">
        <v>1038</v>
      </c>
      <c r="G428" s="13" t="n">
        <v>321</v>
      </c>
      <c r="H428" s="13" t="n">
        <v>36</v>
      </c>
      <c r="I428" s="13" t="n">
        <v>285</v>
      </c>
      <c r="J428" s="13" t="n">
        <v>4</v>
      </c>
      <c r="K428" s="13" t="n">
        <v>0</v>
      </c>
      <c r="L428" s="13" t="n">
        <v>85</v>
      </c>
      <c r="M428" s="13" t="n">
        <v>200</v>
      </c>
      <c r="N428" s="13" t="n">
        <v>69</v>
      </c>
      <c r="O428" s="13" t="n">
        <v>30</v>
      </c>
      <c r="P428" s="13" t="n">
        <v>28</v>
      </c>
      <c r="Q428" s="13" t="n">
        <v>59</v>
      </c>
      <c r="R428" s="13" t="n">
        <v>7</v>
      </c>
      <c r="S428" s="13" t="n">
        <v>0</v>
      </c>
      <c r="T428" s="13" t="n">
        <v>0.7018</v>
      </c>
      <c r="U428" s="13" t="n">
        <v>3.04</v>
      </c>
      <c r="V428" s="13" t="n">
        <f aca="false">M428-SUM(N428:S428)</f>
        <v>7</v>
      </c>
    </row>
    <row r="429" customFormat="false" ht="15" hidden="false" customHeight="true" outlineLevel="0" collapsed="false">
      <c r="A429" s="13" t="n">
        <v>2025</v>
      </c>
      <c r="B429" s="13" t="s">
        <v>1024</v>
      </c>
      <c r="C429" s="13" t="s">
        <v>125</v>
      </c>
      <c r="D429" s="13" t="s">
        <v>1037</v>
      </c>
      <c r="E429" s="13" t="s">
        <v>192</v>
      </c>
      <c r="F429" s="13" t="s">
        <v>137</v>
      </c>
      <c r="G429" s="13" t="n">
        <v>2848</v>
      </c>
      <c r="H429" s="13" t="n">
        <v>47</v>
      </c>
      <c r="I429" s="13" t="n">
        <v>2801</v>
      </c>
      <c r="J429" s="13" t="n">
        <v>4</v>
      </c>
      <c r="K429" s="13" t="n">
        <v>0</v>
      </c>
      <c r="L429" s="13" t="n">
        <v>187</v>
      </c>
      <c r="M429" s="13" t="n">
        <v>2614</v>
      </c>
      <c r="N429" s="13" t="n">
        <v>672</v>
      </c>
      <c r="O429" s="13" t="n">
        <v>864</v>
      </c>
      <c r="P429" s="13" t="n">
        <v>769</v>
      </c>
      <c r="Q429" s="13" t="n">
        <v>281</v>
      </c>
      <c r="R429" s="13" t="n">
        <v>21</v>
      </c>
      <c r="S429" s="13" t="n">
        <v>0</v>
      </c>
      <c r="T429" s="13" t="n">
        <v>0.9346</v>
      </c>
      <c r="U429" s="13" t="n">
        <v>4.4</v>
      </c>
      <c r="V429" s="13" t="n">
        <f aca="false">M429-SUM(N429:S429)</f>
        <v>7</v>
      </c>
    </row>
    <row r="430" customFormat="false" ht="15" hidden="false" customHeight="true" outlineLevel="0" collapsed="false">
      <c r="A430" s="13" t="n">
        <v>2025</v>
      </c>
      <c r="B430" s="13" t="s">
        <v>1025</v>
      </c>
      <c r="C430" s="13" t="s">
        <v>121</v>
      </c>
      <c r="D430" s="13" t="s">
        <v>128</v>
      </c>
      <c r="E430" s="13" t="s">
        <v>124</v>
      </c>
      <c r="F430" s="13" t="s">
        <v>357</v>
      </c>
      <c r="G430" s="13" t="n">
        <v>13</v>
      </c>
      <c r="H430" s="13" t="n">
        <v>0</v>
      </c>
      <c r="I430" s="13" t="n">
        <v>13</v>
      </c>
      <c r="J430" s="13" t="n">
        <v>0</v>
      </c>
      <c r="K430" s="13" t="n">
        <v>0</v>
      </c>
      <c r="L430" s="13" t="n">
        <v>1</v>
      </c>
      <c r="M430" s="13" t="n">
        <v>12</v>
      </c>
      <c r="N430" s="13" t="n">
        <v>3</v>
      </c>
      <c r="O430" s="13" t="n">
        <v>0</v>
      </c>
      <c r="P430" s="13" t="n">
        <v>1</v>
      </c>
      <c r="Q430" s="13" t="n">
        <v>8</v>
      </c>
      <c r="R430" s="13" t="n">
        <v>0</v>
      </c>
      <c r="S430" s="13" t="n">
        <v>0</v>
      </c>
      <c r="T430" s="13" t="n">
        <v>0.9231</v>
      </c>
      <c r="U430" s="13" t="n">
        <v>3.54</v>
      </c>
      <c r="V430" s="13" t="n">
        <f aca="false">M430-SUM(N430:S430)</f>
        <v>0</v>
      </c>
    </row>
    <row r="431" customFormat="false" ht="15" hidden="false" customHeight="true" outlineLevel="0" collapsed="false">
      <c r="A431" s="13" t="n">
        <v>2025</v>
      </c>
      <c r="B431" s="13" t="s">
        <v>1025</v>
      </c>
      <c r="C431" s="13" t="s">
        <v>121</v>
      </c>
      <c r="D431" s="13" t="s">
        <v>128</v>
      </c>
      <c r="E431" s="13" t="s">
        <v>122</v>
      </c>
      <c r="F431" s="13" t="s">
        <v>357</v>
      </c>
      <c r="G431" s="13" t="n">
        <v>116</v>
      </c>
      <c r="H431" s="13" t="n">
        <v>1</v>
      </c>
      <c r="I431" s="13" t="n">
        <v>115</v>
      </c>
      <c r="J431" s="13" t="n">
        <v>0</v>
      </c>
      <c r="K431" s="13" t="n">
        <v>0</v>
      </c>
      <c r="L431" s="13" t="n">
        <v>4</v>
      </c>
      <c r="M431" s="13" t="n">
        <v>111</v>
      </c>
      <c r="N431" s="13" t="n">
        <v>3</v>
      </c>
      <c r="O431" s="13" t="n">
        <v>32</v>
      </c>
      <c r="P431" s="13" t="n">
        <v>48</v>
      </c>
      <c r="Q431" s="13" t="n">
        <v>24</v>
      </c>
      <c r="R431" s="13" t="n">
        <v>4</v>
      </c>
      <c r="S431" s="13" t="n">
        <v>0</v>
      </c>
      <c r="T431" s="13" t="n">
        <v>0.9652</v>
      </c>
      <c r="U431" s="13" t="n">
        <v>3.91</v>
      </c>
      <c r="V431" s="13" t="n">
        <f aca="false">M431-SUM(N431:S431)</f>
        <v>0</v>
      </c>
    </row>
    <row r="432" customFormat="false" ht="15" hidden="false" customHeight="true" outlineLevel="0" collapsed="false">
      <c r="A432" s="13" t="n">
        <v>2025</v>
      </c>
      <c r="B432" s="13" t="s">
        <v>1025</v>
      </c>
      <c r="C432" s="13" t="s">
        <v>121</v>
      </c>
      <c r="D432" s="13" t="s">
        <v>128</v>
      </c>
      <c r="E432" s="13" t="s">
        <v>192</v>
      </c>
      <c r="F432" s="13" t="s">
        <v>652</v>
      </c>
      <c r="G432" s="13" t="n">
        <v>129</v>
      </c>
      <c r="H432" s="13" t="n">
        <v>1</v>
      </c>
      <c r="I432" s="13" t="n">
        <v>128</v>
      </c>
      <c r="J432" s="13" t="n">
        <v>0</v>
      </c>
      <c r="K432" s="13" t="n">
        <v>0</v>
      </c>
      <c r="L432" s="13" t="n">
        <v>5</v>
      </c>
      <c r="M432" s="13" t="n">
        <v>123</v>
      </c>
      <c r="N432" s="13" t="n">
        <v>6</v>
      </c>
      <c r="O432" s="13" t="n">
        <v>32</v>
      </c>
      <c r="P432" s="13" t="n">
        <v>49</v>
      </c>
      <c r="Q432" s="13" t="n">
        <v>32</v>
      </c>
      <c r="R432" s="13" t="n">
        <v>4</v>
      </c>
      <c r="S432" s="13" t="n">
        <v>0</v>
      </c>
      <c r="T432" s="13" t="n">
        <v>0.9609</v>
      </c>
      <c r="U432" s="13" t="n">
        <v>3.88</v>
      </c>
      <c r="V432" s="13" t="n">
        <f aca="false">M432-SUM(N432:S432)</f>
        <v>0</v>
      </c>
    </row>
    <row r="433" customFormat="false" ht="15" hidden="false" customHeight="true" outlineLevel="0" collapsed="false">
      <c r="A433" s="13" t="n">
        <v>2025</v>
      </c>
      <c r="B433" s="13" t="s">
        <v>1025</v>
      </c>
      <c r="C433" s="13" t="s">
        <v>121</v>
      </c>
      <c r="D433" s="13" t="s">
        <v>1033</v>
      </c>
      <c r="E433" s="13" t="s">
        <v>124</v>
      </c>
      <c r="F433" s="13" t="s">
        <v>357</v>
      </c>
      <c r="G433" s="13" t="n">
        <v>370</v>
      </c>
      <c r="H433" s="13" t="n">
        <v>0</v>
      </c>
      <c r="I433" s="13" t="n">
        <v>370</v>
      </c>
      <c r="J433" s="13" t="n">
        <v>19</v>
      </c>
      <c r="K433" s="13" t="n">
        <v>0</v>
      </c>
      <c r="L433" s="13" t="n">
        <v>20</v>
      </c>
      <c r="M433" s="13" t="n">
        <v>350</v>
      </c>
      <c r="N433" s="13" t="n">
        <v>161</v>
      </c>
      <c r="O433" s="13" t="n">
        <v>110</v>
      </c>
      <c r="P433" s="13" t="n">
        <v>53</v>
      </c>
      <c r="Q433" s="13" t="n">
        <v>26</v>
      </c>
      <c r="R433" s="13" t="n">
        <v>0</v>
      </c>
      <c r="S433" s="13" t="n">
        <v>0</v>
      </c>
      <c r="T433" s="13" t="n">
        <v>0.9459</v>
      </c>
      <c r="U433" s="13" t="n">
        <v>4.88</v>
      </c>
      <c r="V433" s="13" t="n">
        <f aca="false">M433-SUM(N433:S433)</f>
        <v>0</v>
      </c>
    </row>
    <row r="434" customFormat="false" ht="15" hidden="false" customHeight="true" outlineLevel="0" collapsed="false">
      <c r="A434" s="13" t="n">
        <v>2025</v>
      </c>
      <c r="B434" s="13" t="s">
        <v>1025</v>
      </c>
      <c r="C434" s="13" t="s">
        <v>121</v>
      </c>
      <c r="D434" s="13" t="s">
        <v>1033</v>
      </c>
      <c r="E434" s="13" t="s">
        <v>122</v>
      </c>
      <c r="F434" s="13" t="s">
        <v>357</v>
      </c>
      <c r="G434" s="13" t="n">
        <v>751</v>
      </c>
      <c r="H434" s="13" t="n">
        <v>0</v>
      </c>
      <c r="I434" s="13" t="n">
        <v>751</v>
      </c>
      <c r="J434" s="13" t="n">
        <v>6</v>
      </c>
      <c r="K434" s="13" t="n">
        <v>0</v>
      </c>
      <c r="L434" s="13" t="n">
        <v>9</v>
      </c>
      <c r="M434" s="13" t="n">
        <v>742</v>
      </c>
      <c r="N434" s="13" t="n">
        <v>328</v>
      </c>
      <c r="O434" s="13" t="n">
        <v>224</v>
      </c>
      <c r="P434" s="13" t="n">
        <v>171</v>
      </c>
      <c r="Q434" s="13" t="n">
        <v>17</v>
      </c>
      <c r="R434" s="13" t="n">
        <v>2</v>
      </c>
      <c r="S434" s="13" t="n">
        <v>0</v>
      </c>
      <c r="T434" s="13" t="n">
        <v>0.988</v>
      </c>
      <c r="U434" s="13" t="n">
        <v>5.1</v>
      </c>
      <c r="V434" s="13" t="n">
        <f aca="false">M434-SUM(N434:S434)</f>
        <v>0</v>
      </c>
    </row>
    <row r="435" customFormat="false" ht="15" hidden="false" customHeight="true" outlineLevel="0" collapsed="false">
      <c r="A435" s="13" t="n">
        <v>2025</v>
      </c>
      <c r="B435" s="13" t="s">
        <v>1025</v>
      </c>
      <c r="C435" s="13" t="s">
        <v>121</v>
      </c>
      <c r="D435" s="13" t="s">
        <v>1033</v>
      </c>
      <c r="E435" s="13" t="s">
        <v>192</v>
      </c>
      <c r="F435" s="13" t="s">
        <v>652</v>
      </c>
      <c r="G435" s="13" t="n">
        <v>1121</v>
      </c>
      <c r="H435" s="13" t="n">
        <v>0</v>
      </c>
      <c r="I435" s="13" t="n">
        <v>1121</v>
      </c>
      <c r="J435" s="13" t="n">
        <v>25</v>
      </c>
      <c r="K435" s="13" t="n">
        <v>0</v>
      </c>
      <c r="L435" s="13" t="n">
        <v>29</v>
      </c>
      <c r="M435" s="13" t="n">
        <v>1092</v>
      </c>
      <c r="N435" s="13" t="n">
        <v>489</v>
      </c>
      <c r="O435" s="13" t="n">
        <v>334</v>
      </c>
      <c r="P435" s="13" t="n">
        <v>224</v>
      </c>
      <c r="Q435" s="13" t="n">
        <v>43</v>
      </c>
      <c r="R435" s="13" t="n">
        <v>2</v>
      </c>
      <c r="S435" s="13" t="n">
        <v>0</v>
      </c>
      <c r="T435" s="13" t="n">
        <v>0.9741</v>
      </c>
      <c r="U435" s="13" t="n">
        <v>5.02</v>
      </c>
      <c r="V435" s="13" t="n">
        <f aca="false">M435-SUM(N435:S435)</f>
        <v>0</v>
      </c>
    </row>
    <row r="436" customFormat="false" ht="15" hidden="false" customHeight="true" outlineLevel="0" collapsed="false">
      <c r="A436" s="13" t="n">
        <v>2025</v>
      </c>
      <c r="B436" s="13" t="s">
        <v>1025</v>
      </c>
      <c r="C436" s="13" t="s">
        <v>121</v>
      </c>
      <c r="D436" s="13" t="s">
        <v>1034</v>
      </c>
      <c r="E436" s="13" t="s">
        <v>124</v>
      </c>
      <c r="F436" s="13" t="s">
        <v>357</v>
      </c>
      <c r="G436" s="13" t="n">
        <v>312</v>
      </c>
      <c r="H436" s="13" t="n">
        <v>1</v>
      </c>
      <c r="I436" s="13" t="n">
        <v>311</v>
      </c>
      <c r="J436" s="13" t="n">
        <v>1</v>
      </c>
      <c r="K436" s="13" t="n">
        <v>0</v>
      </c>
      <c r="L436" s="13" t="n">
        <v>9</v>
      </c>
      <c r="M436" s="13" t="n">
        <v>302</v>
      </c>
      <c r="N436" s="13" t="n">
        <v>117</v>
      </c>
      <c r="O436" s="13" t="n">
        <v>120</v>
      </c>
      <c r="P436" s="13" t="n">
        <v>46</v>
      </c>
      <c r="Q436" s="13" t="n">
        <v>17</v>
      </c>
      <c r="R436" s="13" t="n">
        <v>2</v>
      </c>
      <c r="S436" s="13" t="n">
        <v>0</v>
      </c>
      <c r="T436" s="13" t="n">
        <v>0.9711</v>
      </c>
      <c r="U436" s="13" t="n">
        <v>4.95</v>
      </c>
      <c r="V436" s="13" t="n">
        <f aca="false">M436-SUM(N436:S436)</f>
        <v>0</v>
      </c>
    </row>
    <row r="437" customFormat="false" ht="15" hidden="false" customHeight="true" outlineLevel="0" collapsed="false">
      <c r="A437" s="13" t="n">
        <v>2025</v>
      </c>
      <c r="B437" s="13" t="s">
        <v>1025</v>
      </c>
      <c r="C437" s="13" t="s">
        <v>121</v>
      </c>
      <c r="D437" s="13" t="s">
        <v>1034</v>
      </c>
      <c r="E437" s="13" t="s">
        <v>122</v>
      </c>
      <c r="F437" s="13" t="s">
        <v>357</v>
      </c>
      <c r="G437" s="13" t="n">
        <v>101</v>
      </c>
      <c r="H437" s="13" t="n">
        <v>0</v>
      </c>
      <c r="I437" s="13" t="n">
        <v>101</v>
      </c>
      <c r="J437" s="13" t="n">
        <v>0</v>
      </c>
      <c r="K437" s="13" t="n">
        <v>0</v>
      </c>
      <c r="L437" s="13" t="n">
        <v>6</v>
      </c>
      <c r="M437" s="13" t="n">
        <v>95</v>
      </c>
      <c r="N437" s="13" t="n">
        <v>34</v>
      </c>
      <c r="O437" s="13" t="n">
        <v>27</v>
      </c>
      <c r="P437" s="13" t="n">
        <v>24</v>
      </c>
      <c r="Q437" s="13" t="n">
        <v>10</v>
      </c>
      <c r="R437" s="13" t="n">
        <v>0</v>
      </c>
      <c r="S437" s="13" t="n">
        <v>0</v>
      </c>
      <c r="T437" s="13" t="n">
        <v>0.9406</v>
      </c>
      <c r="U437" s="13" t="n">
        <v>4.6</v>
      </c>
      <c r="V437" s="13" t="n">
        <f aca="false">M437-SUM(N437:S437)</f>
        <v>0</v>
      </c>
    </row>
    <row r="438" customFormat="false" ht="15" hidden="false" customHeight="true" outlineLevel="0" collapsed="false">
      <c r="A438" s="13" t="n">
        <v>2025</v>
      </c>
      <c r="B438" s="13" t="s">
        <v>1025</v>
      </c>
      <c r="C438" s="13" t="s">
        <v>121</v>
      </c>
      <c r="D438" s="13" t="s">
        <v>1034</v>
      </c>
      <c r="E438" s="13" t="s">
        <v>192</v>
      </c>
      <c r="F438" s="13" t="s">
        <v>652</v>
      </c>
      <c r="G438" s="13" t="n">
        <v>413</v>
      </c>
      <c r="H438" s="13" t="n">
        <v>1</v>
      </c>
      <c r="I438" s="13" t="n">
        <v>412</v>
      </c>
      <c r="J438" s="13" t="n">
        <v>1</v>
      </c>
      <c r="K438" s="13" t="n">
        <v>0</v>
      </c>
      <c r="L438" s="13" t="n">
        <v>15</v>
      </c>
      <c r="M438" s="13" t="n">
        <v>397</v>
      </c>
      <c r="N438" s="13" t="n">
        <v>151</v>
      </c>
      <c r="O438" s="13" t="n">
        <v>147</v>
      </c>
      <c r="P438" s="13" t="n">
        <v>70</v>
      </c>
      <c r="Q438" s="13" t="n">
        <v>27</v>
      </c>
      <c r="R438" s="13" t="n">
        <v>2</v>
      </c>
      <c r="S438" s="13" t="n">
        <v>0</v>
      </c>
      <c r="T438" s="13" t="n">
        <v>0.9636</v>
      </c>
      <c r="U438" s="13" t="n">
        <v>4.87</v>
      </c>
      <c r="V438" s="13" t="n">
        <f aca="false">M438-SUM(N438:S438)</f>
        <v>0</v>
      </c>
    </row>
    <row r="439" customFormat="false" ht="15" hidden="false" customHeight="true" outlineLevel="0" collapsed="false">
      <c r="A439" s="13" t="n">
        <v>2025</v>
      </c>
      <c r="B439" s="13" t="s">
        <v>1025</v>
      </c>
      <c r="C439" s="13" t="s">
        <v>121</v>
      </c>
      <c r="D439" s="13" t="s">
        <v>1035</v>
      </c>
      <c r="E439" s="13" t="s">
        <v>124</v>
      </c>
      <c r="F439" s="13" t="s">
        <v>357</v>
      </c>
      <c r="G439" s="13" t="n">
        <v>501</v>
      </c>
      <c r="H439" s="13" t="n">
        <v>2</v>
      </c>
      <c r="I439" s="13" t="n">
        <v>499</v>
      </c>
      <c r="J439" s="13" t="n">
        <v>5</v>
      </c>
      <c r="K439" s="13" t="n">
        <v>0</v>
      </c>
      <c r="L439" s="13" t="n">
        <v>41</v>
      </c>
      <c r="M439" s="13" t="n">
        <v>458</v>
      </c>
      <c r="N439" s="13" t="n">
        <v>64</v>
      </c>
      <c r="O439" s="13" t="n">
        <v>162</v>
      </c>
      <c r="P439" s="13" t="n">
        <v>149</v>
      </c>
      <c r="Q439" s="13" t="n">
        <v>75</v>
      </c>
      <c r="R439" s="13" t="n">
        <v>8</v>
      </c>
      <c r="S439" s="13" t="n">
        <v>0</v>
      </c>
      <c r="T439" s="13" t="n">
        <v>0.9178</v>
      </c>
      <c r="U439" s="13" t="n">
        <v>4.07</v>
      </c>
      <c r="V439" s="13" t="n">
        <f aca="false">M439-SUM(N439:S439)</f>
        <v>0</v>
      </c>
    </row>
    <row r="440" customFormat="false" ht="15" hidden="false" customHeight="true" outlineLevel="0" collapsed="false">
      <c r="A440" s="13" t="n">
        <v>2025</v>
      </c>
      <c r="B440" s="13" t="s">
        <v>1025</v>
      </c>
      <c r="C440" s="13" t="s">
        <v>121</v>
      </c>
      <c r="D440" s="13" t="s">
        <v>1035</v>
      </c>
      <c r="E440" s="13" t="s">
        <v>122</v>
      </c>
      <c r="F440" s="13" t="s">
        <v>357</v>
      </c>
      <c r="G440" s="13" t="n">
        <v>289</v>
      </c>
      <c r="H440" s="13" t="n">
        <v>0</v>
      </c>
      <c r="I440" s="13" t="n">
        <v>289</v>
      </c>
      <c r="J440" s="13" t="n">
        <v>0</v>
      </c>
      <c r="K440" s="13" t="n">
        <v>0</v>
      </c>
      <c r="L440" s="13" t="n">
        <v>24</v>
      </c>
      <c r="M440" s="13" t="n">
        <v>265</v>
      </c>
      <c r="N440" s="13" t="n">
        <v>48</v>
      </c>
      <c r="O440" s="13" t="n">
        <v>86</v>
      </c>
      <c r="P440" s="13" t="n">
        <v>97</v>
      </c>
      <c r="Q440" s="13" t="n">
        <v>32</v>
      </c>
      <c r="R440" s="13" t="n">
        <v>2</v>
      </c>
      <c r="S440" s="13" t="n">
        <v>0</v>
      </c>
      <c r="T440" s="13" t="n">
        <v>0.917</v>
      </c>
      <c r="U440" s="13" t="n">
        <v>4.17</v>
      </c>
      <c r="V440" s="13" t="n">
        <f aca="false">M440-SUM(N440:S440)</f>
        <v>0</v>
      </c>
    </row>
    <row r="441" customFormat="false" ht="15" hidden="false" customHeight="true" outlineLevel="0" collapsed="false">
      <c r="A441" s="13" t="n">
        <v>2025</v>
      </c>
      <c r="B441" s="13" t="s">
        <v>1025</v>
      </c>
      <c r="C441" s="13" t="s">
        <v>121</v>
      </c>
      <c r="D441" s="13" t="s">
        <v>1035</v>
      </c>
      <c r="E441" s="13" t="s">
        <v>192</v>
      </c>
      <c r="F441" s="13" t="s">
        <v>652</v>
      </c>
      <c r="G441" s="13" t="n">
        <v>790</v>
      </c>
      <c r="H441" s="13" t="n">
        <v>2</v>
      </c>
      <c r="I441" s="13" t="n">
        <v>788</v>
      </c>
      <c r="J441" s="13" t="n">
        <v>5</v>
      </c>
      <c r="K441" s="13" t="n">
        <v>0</v>
      </c>
      <c r="L441" s="13" t="n">
        <v>65</v>
      </c>
      <c r="M441" s="13" t="n">
        <v>723</v>
      </c>
      <c r="N441" s="13" t="n">
        <v>112</v>
      </c>
      <c r="O441" s="13" t="n">
        <v>248</v>
      </c>
      <c r="P441" s="13" t="n">
        <v>246</v>
      </c>
      <c r="Q441" s="13" t="n">
        <v>107</v>
      </c>
      <c r="R441" s="13" t="n">
        <v>10</v>
      </c>
      <c r="S441" s="13" t="n">
        <v>0</v>
      </c>
      <c r="T441" s="13" t="n">
        <v>0.9175</v>
      </c>
      <c r="U441" s="13" t="n">
        <v>4.11</v>
      </c>
      <c r="V441" s="13" t="n">
        <f aca="false">M441-SUM(N441:S441)</f>
        <v>0</v>
      </c>
    </row>
    <row r="442" customFormat="false" ht="15" hidden="false" customHeight="true" outlineLevel="0" collapsed="false">
      <c r="A442" s="13" t="n">
        <v>2025</v>
      </c>
      <c r="B442" s="13" t="s">
        <v>1025</v>
      </c>
      <c r="C442" s="13" t="s">
        <v>121</v>
      </c>
      <c r="D442" s="13" t="s">
        <v>203</v>
      </c>
      <c r="E442" s="13" t="s">
        <v>122</v>
      </c>
      <c r="F442" s="13" t="s">
        <v>357</v>
      </c>
      <c r="G442" s="13" t="n">
        <v>2</v>
      </c>
      <c r="H442" s="13" t="n">
        <v>0</v>
      </c>
      <c r="I442" s="13" t="n">
        <v>2</v>
      </c>
      <c r="J442" s="13" t="n">
        <v>0</v>
      </c>
      <c r="K442" s="13" t="n">
        <v>0</v>
      </c>
      <c r="L442" s="13" t="n">
        <v>0</v>
      </c>
      <c r="M442" s="13" t="n">
        <v>2</v>
      </c>
      <c r="N442" s="13" t="n">
        <v>0</v>
      </c>
      <c r="O442" s="13" t="n">
        <v>0</v>
      </c>
      <c r="P442" s="13" t="n">
        <v>1</v>
      </c>
      <c r="Q442" s="13" t="n">
        <v>0</v>
      </c>
      <c r="R442" s="13" t="n">
        <v>1</v>
      </c>
      <c r="S442" s="13" t="n">
        <v>0</v>
      </c>
      <c r="T442" s="13" t="n">
        <v>1</v>
      </c>
      <c r="U442" s="13" t="n">
        <v>3</v>
      </c>
      <c r="V442" s="13" t="n">
        <f aca="false">M442-SUM(N442:S442)</f>
        <v>0</v>
      </c>
    </row>
    <row r="443" customFormat="false" ht="15" hidden="false" customHeight="true" outlineLevel="0" collapsed="false">
      <c r="A443" s="13" t="n">
        <v>2025</v>
      </c>
      <c r="B443" s="13" t="s">
        <v>1025</v>
      </c>
      <c r="C443" s="13" t="s">
        <v>121</v>
      </c>
      <c r="D443" s="13" t="s">
        <v>203</v>
      </c>
      <c r="E443" s="13" t="s">
        <v>192</v>
      </c>
      <c r="F443" s="13" t="s">
        <v>652</v>
      </c>
      <c r="G443" s="13" t="n">
        <v>2</v>
      </c>
      <c r="H443" s="13" t="n">
        <v>0</v>
      </c>
      <c r="I443" s="13" t="n">
        <v>2</v>
      </c>
      <c r="J443" s="13" t="n">
        <v>0</v>
      </c>
      <c r="K443" s="13" t="n">
        <v>0</v>
      </c>
      <c r="L443" s="13" t="n">
        <v>0</v>
      </c>
      <c r="M443" s="13" t="n">
        <v>2</v>
      </c>
      <c r="N443" s="13" t="n">
        <v>0</v>
      </c>
      <c r="O443" s="13" t="n">
        <v>0</v>
      </c>
      <c r="P443" s="13" t="n">
        <v>1</v>
      </c>
      <c r="Q443" s="13" t="n">
        <v>0</v>
      </c>
      <c r="R443" s="13" t="n">
        <v>1</v>
      </c>
      <c r="S443" s="13" t="n">
        <v>0</v>
      </c>
      <c r="T443" s="13" t="n">
        <v>1</v>
      </c>
      <c r="U443" s="13" t="n">
        <v>3</v>
      </c>
      <c r="V443" s="13" t="n">
        <f aca="false">M443-SUM(N443:S443)</f>
        <v>0</v>
      </c>
    </row>
    <row r="444" customFormat="false" ht="15" hidden="false" customHeight="true" outlineLevel="0" collapsed="false">
      <c r="A444" s="13" t="n">
        <v>2025</v>
      </c>
      <c r="B444" s="13" t="s">
        <v>1025</v>
      </c>
      <c r="C444" s="13" t="s">
        <v>121</v>
      </c>
      <c r="D444" s="13" t="s">
        <v>1037</v>
      </c>
      <c r="E444" s="13" t="s">
        <v>192</v>
      </c>
      <c r="F444" s="13" t="s">
        <v>1038</v>
      </c>
      <c r="G444" s="13" t="n">
        <v>2455</v>
      </c>
      <c r="H444" s="13" t="n">
        <v>4</v>
      </c>
      <c r="I444" s="13" t="n">
        <v>2451</v>
      </c>
      <c r="J444" s="13" t="n">
        <v>31</v>
      </c>
      <c r="K444" s="13" t="n">
        <v>0</v>
      </c>
      <c r="L444" s="13" t="n">
        <v>114</v>
      </c>
      <c r="M444" s="13" t="n">
        <v>2337</v>
      </c>
      <c r="N444" s="13" t="n">
        <v>758</v>
      </c>
      <c r="O444" s="13" t="n">
        <v>761</v>
      </c>
      <c r="P444" s="13" t="n">
        <v>590</v>
      </c>
      <c r="Q444" s="13" t="n">
        <v>209</v>
      </c>
      <c r="R444" s="13" t="n">
        <v>19</v>
      </c>
      <c r="S444" s="13" t="n">
        <v>0</v>
      </c>
      <c r="T444" s="13" t="n">
        <v>0.9535</v>
      </c>
      <c r="U444" s="13" t="n">
        <v>4.64</v>
      </c>
      <c r="V444" s="13" t="n">
        <f aca="false">M444-SUM(N444:S444)</f>
        <v>0</v>
      </c>
    </row>
    <row r="445" customFormat="false" ht="15" hidden="false" customHeight="true" outlineLevel="0" collapsed="false">
      <c r="A445" s="13" t="n">
        <v>2025</v>
      </c>
      <c r="B445" s="13" t="s">
        <v>1025</v>
      </c>
      <c r="C445" s="13" t="s">
        <v>125</v>
      </c>
      <c r="D445" s="13" t="s">
        <v>128</v>
      </c>
      <c r="E445" s="13" t="s">
        <v>124</v>
      </c>
      <c r="F445" s="13" t="s">
        <v>357</v>
      </c>
      <c r="G445" s="13" t="n">
        <v>21</v>
      </c>
      <c r="H445" s="13" t="n">
        <v>5</v>
      </c>
      <c r="I445" s="13" t="n">
        <v>16</v>
      </c>
      <c r="J445" s="13" t="n">
        <v>0</v>
      </c>
      <c r="K445" s="13" t="n">
        <v>0</v>
      </c>
      <c r="L445" s="13" t="n">
        <v>2</v>
      </c>
      <c r="M445" s="13" t="n">
        <v>14</v>
      </c>
      <c r="N445" s="13" t="n">
        <v>0</v>
      </c>
      <c r="O445" s="13" t="n">
        <v>0</v>
      </c>
      <c r="P445" s="13" t="n">
        <v>0</v>
      </c>
      <c r="Q445" s="13" t="n">
        <v>3</v>
      </c>
      <c r="R445" s="13" t="n">
        <v>4</v>
      </c>
      <c r="S445" s="13" t="n">
        <v>1</v>
      </c>
      <c r="T445" s="13" t="n">
        <v>0.875</v>
      </c>
      <c r="U445" s="13" t="n">
        <v>1.13</v>
      </c>
      <c r="V445" s="13" t="n">
        <f aca="false">M445-SUM(N445:S445)</f>
        <v>6</v>
      </c>
    </row>
    <row r="446" customFormat="false" ht="15" hidden="false" customHeight="true" outlineLevel="0" collapsed="false">
      <c r="A446" s="13" t="n">
        <v>2025</v>
      </c>
      <c r="B446" s="13" t="s">
        <v>1025</v>
      </c>
      <c r="C446" s="13" t="s">
        <v>125</v>
      </c>
      <c r="D446" s="13" t="s">
        <v>128</v>
      </c>
      <c r="E446" s="13" t="s">
        <v>122</v>
      </c>
      <c r="F446" s="13" t="s">
        <v>357</v>
      </c>
      <c r="G446" s="13" t="n">
        <v>29</v>
      </c>
      <c r="H446" s="13" t="n">
        <v>2</v>
      </c>
      <c r="I446" s="13" t="n">
        <v>27</v>
      </c>
      <c r="J446" s="13" t="n">
        <v>0</v>
      </c>
      <c r="K446" s="13" t="n">
        <v>0</v>
      </c>
      <c r="L446" s="13" t="n">
        <v>5</v>
      </c>
      <c r="M446" s="13" t="n">
        <v>22</v>
      </c>
      <c r="N446" s="13" t="n">
        <v>0</v>
      </c>
      <c r="O446" s="13" t="n">
        <v>1</v>
      </c>
      <c r="P446" s="13" t="n">
        <v>9</v>
      </c>
      <c r="Q446" s="13" t="n">
        <v>3</v>
      </c>
      <c r="R446" s="13" t="n">
        <v>2</v>
      </c>
      <c r="S446" s="13" t="n">
        <v>0</v>
      </c>
      <c r="T446" s="13" t="n">
        <v>0.8148</v>
      </c>
      <c r="U446" s="13" t="n">
        <v>2</v>
      </c>
      <c r="V446" s="13" t="n">
        <f aca="false">M446-SUM(N446:S446)</f>
        <v>7</v>
      </c>
    </row>
    <row r="447" customFormat="false" ht="15" hidden="false" customHeight="true" outlineLevel="0" collapsed="false">
      <c r="A447" s="13" t="n">
        <v>2025</v>
      </c>
      <c r="B447" s="13" t="s">
        <v>1025</v>
      </c>
      <c r="C447" s="13" t="s">
        <v>125</v>
      </c>
      <c r="D447" s="13" t="s">
        <v>128</v>
      </c>
      <c r="E447" s="13" t="s">
        <v>192</v>
      </c>
      <c r="F447" s="13" t="s">
        <v>652</v>
      </c>
      <c r="G447" s="13" t="n">
        <v>50</v>
      </c>
      <c r="H447" s="13" t="n">
        <v>7</v>
      </c>
      <c r="I447" s="13" t="n">
        <v>43</v>
      </c>
      <c r="J447" s="13" t="n">
        <v>0</v>
      </c>
      <c r="K447" s="13" t="n">
        <v>0</v>
      </c>
      <c r="L447" s="13" t="n">
        <v>7</v>
      </c>
      <c r="M447" s="13" t="n">
        <v>36</v>
      </c>
      <c r="N447" s="13" t="n">
        <v>0</v>
      </c>
      <c r="O447" s="13" t="n">
        <v>1</v>
      </c>
      <c r="P447" s="13" t="n">
        <v>9</v>
      </c>
      <c r="Q447" s="13" t="n">
        <v>6</v>
      </c>
      <c r="R447" s="13" t="n">
        <v>6</v>
      </c>
      <c r="S447" s="13" t="n">
        <v>1</v>
      </c>
      <c r="T447" s="13" t="n">
        <v>0.8372</v>
      </c>
      <c r="U447" s="13" t="n">
        <v>1.67</v>
      </c>
      <c r="V447" s="13" t="n">
        <f aca="false">M447-SUM(N447:S447)</f>
        <v>13</v>
      </c>
    </row>
    <row r="448" customFormat="false" ht="15" hidden="false" customHeight="true" outlineLevel="0" collapsed="false">
      <c r="A448" s="13" t="n">
        <v>2025</v>
      </c>
      <c r="B448" s="13" t="s">
        <v>1025</v>
      </c>
      <c r="C448" s="13" t="s">
        <v>125</v>
      </c>
      <c r="D448" s="13" t="s">
        <v>1033</v>
      </c>
      <c r="E448" s="13" t="s">
        <v>124</v>
      </c>
      <c r="F448" s="13" t="s">
        <v>357</v>
      </c>
      <c r="G448" s="13" t="n">
        <v>94</v>
      </c>
      <c r="H448" s="13" t="n">
        <v>5</v>
      </c>
      <c r="I448" s="13" t="n">
        <v>89</v>
      </c>
      <c r="J448" s="13" t="n">
        <v>1</v>
      </c>
      <c r="K448" s="13" t="n">
        <v>0</v>
      </c>
      <c r="L448" s="13" t="n">
        <v>5</v>
      </c>
      <c r="M448" s="13" t="n">
        <v>84</v>
      </c>
      <c r="N448" s="13" t="n">
        <v>52</v>
      </c>
      <c r="O448" s="13" t="n">
        <v>16</v>
      </c>
      <c r="P448" s="13" t="n">
        <v>6</v>
      </c>
      <c r="Q448" s="13" t="n">
        <v>9</v>
      </c>
      <c r="R448" s="13" t="n">
        <v>1</v>
      </c>
      <c r="S448" s="13" t="n">
        <v>0</v>
      </c>
      <c r="T448" s="13" t="n">
        <v>0.9438</v>
      </c>
      <c r="U448" s="13" t="n">
        <v>5</v>
      </c>
      <c r="V448" s="13" t="n">
        <f aca="false">M448-SUM(N448:S448)</f>
        <v>0</v>
      </c>
    </row>
    <row r="449" customFormat="false" ht="15" hidden="false" customHeight="true" outlineLevel="0" collapsed="false">
      <c r="A449" s="13" t="n">
        <v>2025</v>
      </c>
      <c r="B449" s="13" t="s">
        <v>1025</v>
      </c>
      <c r="C449" s="13" t="s">
        <v>125</v>
      </c>
      <c r="D449" s="13" t="s">
        <v>1033</v>
      </c>
      <c r="E449" s="13" t="s">
        <v>122</v>
      </c>
      <c r="F449" s="13" t="s">
        <v>357</v>
      </c>
      <c r="G449" s="13" t="n">
        <v>179</v>
      </c>
      <c r="H449" s="13" t="n">
        <v>12</v>
      </c>
      <c r="I449" s="13" t="n">
        <v>167</v>
      </c>
      <c r="J449" s="13" t="n">
        <v>3</v>
      </c>
      <c r="K449" s="13" t="n">
        <v>0</v>
      </c>
      <c r="L449" s="13" t="n">
        <v>3</v>
      </c>
      <c r="M449" s="13" t="n">
        <v>164</v>
      </c>
      <c r="N449" s="13" t="n">
        <v>123</v>
      </c>
      <c r="O449" s="13" t="n">
        <v>28</v>
      </c>
      <c r="P449" s="13" t="n">
        <v>12</v>
      </c>
      <c r="Q449" s="13" t="n">
        <v>1</v>
      </c>
      <c r="R449" s="13" t="n">
        <v>0</v>
      </c>
      <c r="S449" s="13" t="n">
        <v>0</v>
      </c>
      <c r="T449" s="13" t="n">
        <v>0.982</v>
      </c>
      <c r="U449" s="13" t="n">
        <v>5.56</v>
      </c>
      <c r="V449" s="13" t="n">
        <f aca="false">M449-SUM(N449:S449)</f>
        <v>0</v>
      </c>
    </row>
    <row r="450" customFormat="false" ht="15" hidden="false" customHeight="true" outlineLevel="0" collapsed="false">
      <c r="A450" s="13" t="n">
        <v>2025</v>
      </c>
      <c r="B450" s="13" t="s">
        <v>1025</v>
      </c>
      <c r="C450" s="13" t="s">
        <v>125</v>
      </c>
      <c r="D450" s="13" t="s">
        <v>1033</v>
      </c>
      <c r="E450" s="13" t="s">
        <v>192</v>
      </c>
      <c r="F450" s="13" t="s">
        <v>652</v>
      </c>
      <c r="G450" s="13" t="n">
        <v>273</v>
      </c>
      <c r="H450" s="13" t="n">
        <v>17</v>
      </c>
      <c r="I450" s="13" t="n">
        <v>256</v>
      </c>
      <c r="J450" s="13" t="n">
        <v>4</v>
      </c>
      <c r="K450" s="13" t="n">
        <v>0</v>
      </c>
      <c r="L450" s="13" t="n">
        <v>8</v>
      </c>
      <c r="M450" s="13" t="n">
        <v>248</v>
      </c>
      <c r="N450" s="13" t="n">
        <v>175</v>
      </c>
      <c r="O450" s="13" t="n">
        <v>44</v>
      </c>
      <c r="P450" s="13" t="n">
        <v>18</v>
      </c>
      <c r="Q450" s="13" t="n">
        <v>10</v>
      </c>
      <c r="R450" s="13" t="n">
        <v>1</v>
      </c>
      <c r="S450" s="13" t="n">
        <v>0</v>
      </c>
      <c r="T450" s="13" t="n">
        <v>0.9688</v>
      </c>
      <c r="U450" s="13" t="n">
        <v>5.37</v>
      </c>
      <c r="V450" s="13" t="n">
        <f aca="false">M450-SUM(N450:S450)</f>
        <v>0</v>
      </c>
    </row>
    <row r="451" customFormat="false" ht="15" hidden="false" customHeight="true" outlineLevel="0" collapsed="false">
      <c r="A451" s="13" t="n">
        <v>2025</v>
      </c>
      <c r="B451" s="13" t="s">
        <v>1025</v>
      </c>
      <c r="C451" s="13" t="s">
        <v>125</v>
      </c>
      <c r="D451" s="13" t="s">
        <v>1034</v>
      </c>
      <c r="E451" s="13" t="s">
        <v>124</v>
      </c>
      <c r="F451" s="13" t="s">
        <v>357</v>
      </c>
      <c r="G451" s="13" t="n">
        <v>26</v>
      </c>
      <c r="H451" s="13" t="n">
        <v>1</v>
      </c>
      <c r="I451" s="13" t="n">
        <v>25</v>
      </c>
      <c r="J451" s="13" t="n">
        <v>1</v>
      </c>
      <c r="K451" s="13" t="n">
        <v>0</v>
      </c>
      <c r="L451" s="13" t="n">
        <v>5</v>
      </c>
      <c r="M451" s="13" t="n">
        <v>20</v>
      </c>
      <c r="N451" s="13" t="n">
        <v>0</v>
      </c>
      <c r="O451" s="13" t="n">
        <v>3</v>
      </c>
      <c r="P451" s="13" t="n">
        <v>7</v>
      </c>
      <c r="Q451" s="13" t="n">
        <v>7</v>
      </c>
      <c r="R451" s="13" t="n">
        <v>3</v>
      </c>
      <c r="S451" s="13" t="n">
        <v>0</v>
      </c>
      <c r="T451" s="13" t="n">
        <v>0.8</v>
      </c>
      <c r="U451" s="13" t="n">
        <v>2.8</v>
      </c>
      <c r="V451" s="13" t="n">
        <f aca="false">M451-SUM(N451:S451)</f>
        <v>0</v>
      </c>
    </row>
    <row r="452" customFormat="false" ht="15" hidden="false" customHeight="true" outlineLevel="0" collapsed="false">
      <c r="A452" s="13" t="n">
        <v>2025</v>
      </c>
      <c r="B452" s="13" t="s">
        <v>1025</v>
      </c>
      <c r="C452" s="13" t="s">
        <v>125</v>
      </c>
      <c r="D452" s="13" t="s">
        <v>1034</v>
      </c>
      <c r="E452" s="13" t="s">
        <v>122</v>
      </c>
      <c r="F452" s="13" t="s">
        <v>357</v>
      </c>
      <c r="G452" s="13" t="n">
        <v>10</v>
      </c>
      <c r="H452" s="13" t="n">
        <v>1</v>
      </c>
      <c r="I452" s="13" t="n">
        <v>9</v>
      </c>
      <c r="J452" s="13" t="n">
        <v>0</v>
      </c>
      <c r="K452" s="13" t="n">
        <v>0</v>
      </c>
      <c r="L452" s="13" t="n">
        <v>0</v>
      </c>
      <c r="M452" s="13" t="n">
        <v>9</v>
      </c>
      <c r="N452" s="13" t="n">
        <v>0</v>
      </c>
      <c r="O452" s="13" t="n">
        <v>5</v>
      </c>
      <c r="P452" s="13" t="n">
        <v>2</v>
      </c>
      <c r="Q452" s="13" t="n">
        <v>2</v>
      </c>
      <c r="R452" s="13" t="n">
        <v>0</v>
      </c>
      <c r="S452" s="13" t="n">
        <v>0</v>
      </c>
      <c r="T452" s="13" t="n">
        <v>1</v>
      </c>
      <c r="U452" s="13" t="n">
        <v>4.33</v>
      </c>
      <c r="V452" s="13" t="n">
        <f aca="false">M452-SUM(N452:S452)</f>
        <v>0</v>
      </c>
    </row>
    <row r="453" customFormat="false" ht="15" hidden="false" customHeight="true" outlineLevel="0" collapsed="false">
      <c r="A453" s="13" t="n">
        <v>2025</v>
      </c>
      <c r="B453" s="13" t="s">
        <v>1025</v>
      </c>
      <c r="C453" s="13" t="s">
        <v>125</v>
      </c>
      <c r="D453" s="13" t="s">
        <v>1034</v>
      </c>
      <c r="E453" s="13" t="s">
        <v>192</v>
      </c>
      <c r="F453" s="13" t="s">
        <v>652</v>
      </c>
      <c r="G453" s="13" t="n">
        <v>36</v>
      </c>
      <c r="H453" s="13" t="n">
        <v>2</v>
      </c>
      <c r="I453" s="13" t="n">
        <v>34</v>
      </c>
      <c r="J453" s="13" t="n">
        <v>1</v>
      </c>
      <c r="K453" s="13" t="n">
        <v>0</v>
      </c>
      <c r="L453" s="13" t="n">
        <v>5</v>
      </c>
      <c r="M453" s="13" t="n">
        <v>29</v>
      </c>
      <c r="N453" s="13" t="n">
        <v>0</v>
      </c>
      <c r="O453" s="13" t="n">
        <v>8</v>
      </c>
      <c r="P453" s="13" t="n">
        <v>9</v>
      </c>
      <c r="Q453" s="13" t="n">
        <v>9</v>
      </c>
      <c r="R453" s="13" t="n">
        <v>3</v>
      </c>
      <c r="S453" s="13" t="n">
        <v>0</v>
      </c>
      <c r="T453" s="13" t="n">
        <v>0.8529</v>
      </c>
      <c r="U453" s="13" t="n">
        <v>3.21</v>
      </c>
      <c r="V453" s="13" t="n">
        <f aca="false">M453-SUM(N453:S453)</f>
        <v>0</v>
      </c>
    </row>
    <row r="454" customFormat="false" ht="15" hidden="false" customHeight="true" outlineLevel="0" collapsed="false">
      <c r="A454" s="13" t="n">
        <v>2025</v>
      </c>
      <c r="B454" s="13" t="s">
        <v>1025</v>
      </c>
      <c r="C454" s="13" t="s">
        <v>125</v>
      </c>
      <c r="D454" s="13" t="s">
        <v>1035</v>
      </c>
      <c r="E454" s="13" t="s">
        <v>124</v>
      </c>
      <c r="F454" s="13" t="s">
        <v>357</v>
      </c>
      <c r="G454" s="13" t="n">
        <v>68</v>
      </c>
      <c r="H454" s="13" t="n">
        <v>2</v>
      </c>
      <c r="I454" s="13" t="n">
        <v>66</v>
      </c>
      <c r="J454" s="13" t="n">
        <v>1</v>
      </c>
      <c r="K454" s="13" t="n">
        <v>0</v>
      </c>
      <c r="L454" s="13" t="n">
        <v>21</v>
      </c>
      <c r="M454" s="13" t="n">
        <v>45</v>
      </c>
      <c r="N454" s="13" t="n">
        <v>1</v>
      </c>
      <c r="O454" s="13" t="n">
        <v>3</v>
      </c>
      <c r="P454" s="13" t="n">
        <v>12</v>
      </c>
      <c r="Q454" s="13" t="n">
        <v>24</v>
      </c>
      <c r="R454" s="13" t="n">
        <v>5</v>
      </c>
      <c r="S454" s="13" t="n">
        <v>0</v>
      </c>
      <c r="T454" s="13" t="n">
        <v>0.6818</v>
      </c>
      <c r="U454" s="13" t="n">
        <v>2.29</v>
      </c>
      <c r="V454" s="13" t="n">
        <f aca="false">M454-SUM(N454:S454)</f>
        <v>0</v>
      </c>
    </row>
    <row r="455" customFormat="false" ht="15" hidden="false" customHeight="true" outlineLevel="0" collapsed="false">
      <c r="A455" s="13" t="n">
        <v>2025</v>
      </c>
      <c r="B455" s="13" t="s">
        <v>1025</v>
      </c>
      <c r="C455" s="13" t="s">
        <v>125</v>
      </c>
      <c r="D455" s="13" t="s">
        <v>1035</v>
      </c>
      <c r="E455" s="13" t="s">
        <v>122</v>
      </c>
      <c r="F455" s="13" t="s">
        <v>357</v>
      </c>
      <c r="G455" s="13" t="n">
        <v>19</v>
      </c>
      <c r="H455" s="13" t="n">
        <v>2</v>
      </c>
      <c r="I455" s="13" t="n">
        <v>17</v>
      </c>
      <c r="J455" s="13" t="n">
        <v>1</v>
      </c>
      <c r="K455" s="13" t="n">
        <v>0</v>
      </c>
      <c r="L455" s="13" t="n">
        <v>6</v>
      </c>
      <c r="M455" s="13" t="n">
        <v>11</v>
      </c>
      <c r="N455" s="13" t="n">
        <v>1</v>
      </c>
      <c r="O455" s="13" t="n">
        <v>0</v>
      </c>
      <c r="P455" s="13" t="n">
        <v>4</v>
      </c>
      <c r="Q455" s="13" t="n">
        <v>6</v>
      </c>
      <c r="R455" s="13" t="n">
        <v>0</v>
      </c>
      <c r="S455" s="13" t="n">
        <v>0</v>
      </c>
      <c r="T455" s="13" t="n">
        <v>0.6471</v>
      </c>
      <c r="U455" s="13" t="n">
        <v>2.35</v>
      </c>
      <c r="V455" s="13" t="n">
        <f aca="false">M455-SUM(N455:S455)</f>
        <v>0</v>
      </c>
    </row>
    <row r="456" customFormat="false" ht="15" hidden="false" customHeight="true" outlineLevel="0" collapsed="false">
      <c r="A456" s="13" t="n">
        <v>2025</v>
      </c>
      <c r="B456" s="13" t="s">
        <v>1025</v>
      </c>
      <c r="C456" s="13" t="s">
        <v>125</v>
      </c>
      <c r="D456" s="13" t="s">
        <v>1035</v>
      </c>
      <c r="E456" s="13" t="s">
        <v>192</v>
      </c>
      <c r="F456" s="13" t="s">
        <v>652</v>
      </c>
      <c r="G456" s="13" t="n">
        <v>87</v>
      </c>
      <c r="H456" s="13" t="n">
        <v>4</v>
      </c>
      <c r="I456" s="13" t="n">
        <v>83</v>
      </c>
      <c r="J456" s="13" t="n">
        <v>2</v>
      </c>
      <c r="K456" s="13" t="n">
        <v>0</v>
      </c>
      <c r="L456" s="13" t="n">
        <v>27</v>
      </c>
      <c r="M456" s="13" t="n">
        <v>56</v>
      </c>
      <c r="N456" s="13" t="n">
        <v>2</v>
      </c>
      <c r="O456" s="13" t="n">
        <v>3</v>
      </c>
      <c r="P456" s="13" t="n">
        <v>16</v>
      </c>
      <c r="Q456" s="13" t="n">
        <v>30</v>
      </c>
      <c r="R456" s="13" t="n">
        <v>5</v>
      </c>
      <c r="S456" s="13" t="n">
        <v>0</v>
      </c>
      <c r="T456" s="13" t="n">
        <v>0.6747</v>
      </c>
      <c r="U456" s="13" t="n">
        <v>2.3</v>
      </c>
      <c r="V456" s="13" t="n">
        <f aca="false">M456-SUM(N456:S456)</f>
        <v>0</v>
      </c>
    </row>
    <row r="457" customFormat="false" ht="15" hidden="false" customHeight="true" outlineLevel="0" collapsed="false">
      <c r="A457" s="13" t="n">
        <v>2025</v>
      </c>
      <c r="B457" s="13" t="s">
        <v>1025</v>
      </c>
      <c r="C457" s="13" t="s">
        <v>125</v>
      </c>
      <c r="D457" s="13" t="s">
        <v>203</v>
      </c>
      <c r="E457" s="13" t="s">
        <v>124</v>
      </c>
      <c r="F457" s="13" t="s">
        <v>357</v>
      </c>
      <c r="G457" s="13" t="n">
        <v>2</v>
      </c>
      <c r="H457" s="13" t="n">
        <v>0</v>
      </c>
      <c r="I457" s="13" t="n">
        <v>2</v>
      </c>
      <c r="J457" s="13" t="n">
        <v>0</v>
      </c>
      <c r="K457" s="13" t="n">
        <v>0</v>
      </c>
      <c r="L457" s="13" t="n">
        <v>1</v>
      </c>
      <c r="M457" s="13" t="n">
        <v>1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1</v>
      </c>
      <c r="S457" s="13" t="n">
        <v>0</v>
      </c>
      <c r="T457" s="13" t="n">
        <v>0.5</v>
      </c>
      <c r="U457" s="13" t="n">
        <v>1</v>
      </c>
      <c r="V457" s="13" t="n">
        <f aca="false">M457-SUM(N457:S457)</f>
        <v>0</v>
      </c>
    </row>
    <row r="458" customFormat="false" ht="15" hidden="false" customHeight="true" outlineLevel="0" collapsed="false">
      <c r="A458" s="13" t="n">
        <v>2025</v>
      </c>
      <c r="B458" s="13" t="s">
        <v>1025</v>
      </c>
      <c r="C458" s="13" t="s">
        <v>125</v>
      </c>
      <c r="D458" s="13" t="s">
        <v>203</v>
      </c>
      <c r="E458" s="13" t="s">
        <v>122</v>
      </c>
      <c r="F458" s="13" t="s">
        <v>357</v>
      </c>
      <c r="G458" s="13" t="n">
        <v>1</v>
      </c>
      <c r="H458" s="13" t="n">
        <v>0</v>
      </c>
      <c r="I458" s="13" t="n">
        <v>1</v>
      </c>
      <c r="J458" s="13" t="n">
        <v>0</v>
      </c>
      <c r="K458" s="13" t="n">
        <v>0</v>
      </c>
      <c r="L458" s="13" t="n">
        <v>1</v>
      </c>
      <c r="M458" s="13" t="n">
        <v>0</v>
      </c>
      <c r="N458" s="13" t="n">
        <v>0</v>
      </c>
      <c r="O458" s="13" t="n">
        <v>0</v>
      </c>
      <c r="P458" s="13" t="n">
        <v>0</v>
      </c>
      <c r="Q458" s="13" t="n">
        <v>0</v>
      </c>
      <c r="R458" s="13" t="n">
        <v>0</v>
      </c>
      <c r="S458" s="13" t="n">
        <v>0</v>
      </c>
      <c r="T458" s="13" t="n">
        <v>0</v>
      </c>
      <c r="U458" s="13" t="n">
        <v>0</v>
      </c>
      <c r="V458" s="13" t="n">
        <f aca="false">M458-SUM(N458:S458)</f>
        <v>0</v>
      </c>
    </row>
    <row r="459" customFormat="false" ht="15" hidden="false" customHeight="true" outlineLevel="0" collapsed="false">
      <c r="A459" s="13" t="n">
        <v>2025</v>
      </c>
      <c r="B459" s="13" t="s">
        <v>1025</v>
      </c>
      <c r="C459" s="13" t="s">
        <v>125</v>
      </c>
      <c r="D459" s="13" t="s">
        <v>203</v>
      </c>
      <c r="E459" s="13" t="s">
        <v>192</v>
      </c>
      <c r="F459" s="13" t="s">
        <v>652</v>
      </c>
      <c r="G459" s="13" t="n">
        <v>3</v>
      </c>
      <c r="H459" s="13" t="n">
        <v>0</v>
      </c>
      <c r="I459" s="13" t="n">
        <v>3</v>
      </c>
      <c r="J459" s="13" t="n">
        <v>0</v>
      </c>
      <c r="K459" s="13" t="n">
        <v>0</v>
      </c>
      <c r="L459" s="13" t="n">
        <v>2</v>
      </c>
      <c r="M459" s="13" t="n">
        <v>1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1</v>
      </c>
      <c r="S459" s="13" t="n">
        <v>0</v>
      </c>
      <c r="T459" s="13" t="n">
        <v>0.3333</v>
      </c>
      <c r="U459" s="13" t="n">
        <v>0.67</v>
      </c>
      <c r="V459" s="13" t="n">
        <f aca="false">M459-SUM(N459:S459)</f>
        <v>0</v>
      </c>
    </row>
    <row r="460" customFormat="false" ht="15" hidden="false" customHeight="true" outlineLevel="0" collapsed="false">
      <c r="A460" s="13" t="n">
        <v>2025</v>
      </c>
      <c r="B460" s="13" t="s">
        <v>1025</v>
      </c>
      <c r="C460" s="13" t="s">
        <v>125</v>
      </c>
      <c r="D460" s="13" t="s">
        <v>1037</v>
      </c>
      <c r="E460" s="13" t="s">
        <v>192</v>
      </c>
      <c r="F460" s="13" t="s">
        <v>1038</v>
      </c>
      <c r="G460" s="13" t="n">
        <v>449</v>
      </c>
      <c r="H460" s="13" t="n">
        <v>30</v>
      </c>
      <c r="I460" s="13" t="n">
        <v>419</v>
      </c>
      <c r="J460" s="13" t="n">
        <v>7</v>
      </c>
      <c r="K460" s="13" t="n">
        <v>0</v>
      </c>
      <c r="L460" s="13" t="n">
        <v>49</v>
      </c>
      <c r="M460" s="13" t="n">
        <v>370</v>
      </c>
      <c r="N460" s="13" t="n">
        <v>177</v>
      </c>
      <c r="O460" s="13" t="n">
        <v>56</v>
      </c>
      <c r="P460" s="13" t="n">
        <v>52</v>
      </c>
      <c r="Q460" s="13" t="n">
        <v>55</v>
      </c>
      <c r="R460" s="13" t="n">
        <v>16</v>
      </c>
      <c r="S460" s="13" t="n">
        <v>1</v>
      </c>
      <c r="T460" s="13" t="n">
        <v>0.8831</v>
      </c>
      <c r="U460" s="13" t="n">
        <v>4.17</v>
      </c>
      <c r="V460" s="13" t="n">
        <f aca="false">M460-SUM(N460:S460)</f>
        <v>13</v>
      </c>
    </row>
    <row r="461" customFormat="false" ht="15" hidden="false" customHeight="true" outlineLevel="0" collapsed="false">
      <c r="A461" s="13" t="n">
        <v>2025</v>
      </c>
      <c r="B461" s="13" t="s">
        <v>1025</v>
      </c>
      <c r="C461" s="13" t="s">
        <v>125</v>
      </c>
      <c r="D461" s="13" t="s">
        <v>1037</v>
      </c>
      <c r="E461" s="13" t="s">
        <v>192</v>
      </c>
      <c r="F461" s="13" t="s">
        <v>137</v>
      </c>
      <c r="G461" s="13" t="n">
        <v>2904</v>
      </c>
      <c r="H461" s="13" t="n">
        <v>34</v>
      </c>
      <c r="I461" s="13" t="n">
        <v>2870</v>
      </c>
      <c r="J461" s="13" t="n">
        <v>38</v>
      </c>
      <c r="K461" s="13" t="n">
        <v>0</v>
      </c>
      <c r="L461" s="13" t="n">
        <v>163</v>
      </c>
      <c r="M461" s="13" t="n">
        <v>2707</v>
      </c>
      <c r="N461" s="13" t="n">
        <v>935</v>
      </c>
      <c r="O461" s="13" t="n">
        <v>817</v>
      </c>
      <c r="P461" s="13" t="n">
        <v>642</v>
      </c>
      <c r="Q461" s="13" t="n">
        <v>264</v>
      </c>
      <c r="R461" s="13" t="n">
        <v>35</v>
      </c>
      <c r="S461" s="13" t="n">
        <v>1</v>
      </c>
      <c r="T461" s="13" t="n">
        <v>0.9559</v>
      </c>
      <c r="U461" s="13" t="n">
        <v>4.63</v>
      </c>
      <c r="V461" s="13" t="n">
        <f aca="false">M461-SUM(N461:S461)</f>
        <v>13</v>
      </c>
    </row>
    <row r="462" customFormat="false" ht="15" hidden="false" customHeight="true" outlineLevel="0" collapsed="false">
      <c r="A462" s="13" t="n">
        <v>2025</v>
      </c>
      <c r="B462" s="13" t="s">
        <v>1026</v>
      </c>
      <c r="C462" s="13" t="s">
        <v>121</v>
      </c>
      <c r="D462" s="13" t="s">
        <v>128</v>
      </c>
      <c r="E462" s="13" t="s">
        <v>124</v>
      </c>
      <c r="F462" s="13" t="s">
        <v>357</v>
      </c>
      <c r="G462" s="13" t="n">
        <v>29</v>
      </c>
      <c r="H462" s="13" t="n">
        <v>0</v>
      </c>
      <c r="I462" s="13" t="n">
        <v>29</v>
      </c>
      <c r="J462" s="13" t="n">
        <v>0</v>
      </c>
      <c r="K462" s="13" t="n">
        <v>0</v>
      </c>
      <c r="L462" s="13" t="n">
        <v>2</v>
      </c>
      <c r="M462" s="13" t="n">
        <v>27</v>
      </c>
      <c r="N462" s="13" t="n">
        <v>3</v>
      </c>
      <c r="O462" s="13" t="n">
        <v>6</v>
      </c>
      <c r="P462" s="13" t="n">
        <v>8</v>
      </c>
      <c r="Q462" s="13" t="n">
        <v>5</v>
      </c>
      <c r="R462" s="13" t="n">
        <v>5</v>
      </c>
      <c r="S462" s="13" t="n">
        <v>0</v>
      </c>
      <c r="T462" s="13" t="n">
        <v>0.931</v>
      </c>
      <c r="U462" s="13" t="n">
        <v>3.62</v>
      </c>
      <c r="V462" s="13" t="n">
        <f aca="false">M462-SUM(N462:S462)</f>
        <v>0</v>
      </c>
    </row>
    <row r="463" customFormat="false" ht="15" hidden="false" customHeight="true" outlineLevel="0" collapsed="false">
      <c r="A463" s="13" t="n">
        <v>2025</v>
      </c>
      <c r="B463" s="13" t="s">
        <v>1026</v>
      </c>
      <c r="C463" s="13" t="s">
        <v>121</v>
      </c>
      <c r="D463" s="13" t="s">
        <v>128</v>
      </c>
      <c r="E463" s="13" t="s">
        <v>122</v>
      </c>
      <c r="F463" s="13" t="s">
        <v>357</v>
      </c>
      <c r="G463" s="13" t="n">
        <v>34</v>
      </c>
      <c r="H463" s="13" t="n">
        <v>0</v>
      </c>
      <c r="I463" s="13" t="n">
        <v>34</v>
      </c>
      <c r="J463" s="13" t="n">
        <v>0</v>
      </c>
      <c r="K463" s="13" t="n">
        <v>0</v>
      </c>
      <c r="L463" s="13" t="n">
        <v>0</v>
      </c>
      <c r="M463" s="13" t="n">
        <v>34</v>
      </c>
      <c r="N463" s="13" t="n">
        <v>1</v>
      </c>
      <c r="O463" s="13" t="n">
        <v>8</v>
      </c>
      <c r="P463" s="13" t="n">
        <v>22</v>
      </c>
      <c r="Q463" s="13" t="n">
        <v>3</v>
      </c>
      <c r="R463" s="13" t="n">
        <v>0</v>
      </c>
      <c r="S463" s="13" t="n">
        <v>0</v>
      </c>
      <c r="T463" s="13" t="n">
        <v>1</v>
      </c>
      <c r="U463" s="13" t="n">
        <v>4.21</v>
      </c>
      <c r="V463" s="13" t="n">
        <f aca="false">M463-SUM(N463:S463)</f>
        <v>0</v>
      </c>
    </row>
    <row r="464" customFormat="false" ht="15" hidden="false" customHeight="true" outlineLevel="0" collapsed="false">
      <c r="A464" s="13" t="n">
        <v>2025</v>
      </c>
      <c r="B464" s="13" t="s">
        <v>1026</v>
      </c>
      <c r="C464" s="13" t="s">
        <v>121</v>
      </c>
      <c r="D464" s="13" t="s">
        <v>128</v>
      </c>
      <c r="E464" s="13" t="s">
        <v>192</v>
      </c>
      <c r="F464" s="13" t="s">
        <v>652</v>
      </c>
      <c r="G464" s="13" t="n">
        <v>63</v>
      </c>
      <c r="H464" s="13" t="n">
        <v>0</v>
      </c>
      <c r="I464" s="13" t="n">
        <v>63</v>
      </c>
      <c r="J464" s="13" t="n">
        <v>0</v>
      </c>
      <c r="K464" s="13" t="n">
        <v>0</v>
      </c>
      <c r="L464" s="13" t="n">
        <v>2</v>
      </c>
      <c r="M464" s="13" t="n">
        <v>61</v>
      </c>
      <c r="N464" s="13" t="n">
        <v>4</v>
      </c>
      <c r="O464" s="13" t="n">
        <v>14</v>
      </c>
      <c r="P464" s="13" t="n">
        <v>30</v>
      </c>
      <c r="Q464" s="13" t="n">
        <v>8</v>
      </c>
      <c r="R464" s="13" t="n">
        <v>5</v>
      </c>
      <c r="S464" s="13" t="n">
        <v>0</v>
      </c>
      <c r="T464" s="13" t="n">
        <v>0.9683</v>
      </c>
      <c r="U464" s="13" t="n">
        <v>3.94</v>
      </c>
      <c r="V464" s="13" t="n">
        <f aca="false">M464-SUM(N464:S464)</f>
        <v>0</v>
      </c>
    </row>
    <row r="465" customFormat="false" ht="15" hidden="false" customHeight="true" outlineLevel="0" collapsed="false">
      <c r="A465" s="13" t="n">
        <v>2025</v>
      </c>
      <c r="B465" s="13" t="s">
        <v>1026</v>
      </c>
      <c r="C465" s="13" t="s">
        <v>121</v>
      </c>
      <c r="D465" s="13" t="s">
        <v>1033</v>
      </c>
      <c r="E465" s="13" t="s">
        <v>124</v>
      </c>
      <c r="F465" s="13" t="s">
        <v>357</v>
      </c>
      <c r="G465" s="13" t="n">
        <v>76</v>
      </c>
      <c r="H465" s="13" t="n">
        <v>1</v>
      </c>
      <c r="I465" s="13" t="n">
        <v>75</v>
      </c>
      <c r="J465" s="13" t="n">
        <v>0</v>
      </c>
      <c r="K465" s="13" t="n">
        <v>0</v>
      </c>
      <c r="L465" s="13" t="n">
        <v>8</v>
      </c>
      <c r="M465" s="13" t="n">
        <v>67</v>
      </c>
      <c r="N465" s="13" t="n">
        <v>12</v>
      </c>
      <c r="O465" s="13" t="n">
        <v>19</v>
      </c>
      <c r="P465" s="13" t="n">
        <v>21</v>
      </c>
      <c r="Q465" s="13" t="n">
        <v>13</v>
      </c>
      <c r="R465" s="13" t="n">
        <v>2</v>
      </c>
      <c r="S465" s="13" t="n">
        <v>0</v>
      </c>
      <c r="T465" s="13" t="n">
        <v>0.8933</v>
      </c>
      <c r="U465" s="13" t="n">
        <v>3.92</v>
      </c>
      <c r="V465" s="13" t="n">
        <f aca="false">M465-SUM(N465:S465)</f>
        <v>0</v>
      </c>
    </row>
    <row r="466" customFormat="false" ht="15" hidden="false" customHeight="true" outlineLevel="0" collapsed="false">
      <c r="A466" s="13" t="n">
        <v>2025</v>
      </c>
      <c r="B466" s="13" t="s">
        <v>1026</v>
      </c>
      <c r="C466" s="13" t="s">
        <v>121</v>
      </c>
      <c r="D466" s="13" t="s">
        <v>1033</v>
      </c>
      <c r="E466" s="13" t="s">
        <v>122</v>
      </c>
      <c r="F466" s="13" t="s">
        <v>357</v>
      </c>
      <c r="G466" s="13" t="n">
        <v>179</v>
      </c>
      <c r="H466" s="13" t="n">
        <v>1</v>
      </c>
      <c r="I466" s="13" t="n">
        <v>178</v>
      </c>
      <c r="J466" s="13" t="n">
        <v>0</v>
      </c>
      <c r="K466" s="13" t="n">
        <v>0</v>
      </c>
      <c r="L466" s="13" t="n">
        <v>1</v>
      </c>
      <c r="M466" s="13" t="n">
        <v>177</v>
      </c>
      <c r="N466" s="13" t="n">
        <v>73</v>
      </c>
      <c r="O466" s="13" t="n">
        <v>65</v>
      </c>
      <c r="P466" s="13" t="n">
        <v>34</v>
      </c>
      <c r="Q466" s="13" t="n">
        <v>5</v>
      </c>
      <c r="R466" s="13" t="n">
        <v>0</v>
      </c>
      <c r="S466" s="13" t="n">
        <v>0</v>
      </c>
      <c r="T466" s="13" t="n">
        <v>0.9944</v>
      </c>
      <c r="U466" s="13" t="n">
        <v>5.13</v>
      </c>
      <c r="V466" s="13" t="n">
        <f aca="false">M466-SUM(N466:S466)</f>
        <v>0</v>
      </c>
    </row>
    <row r="467" customFormat="false" ht="15" hidden="false" customHeight="true" outlineLevel="0" collapsed="false">
      <c r="A467" s="13" t="n">
        <v>2025</v>
      </c>
      <c r="B467" s="13" t="s">
        <v>1026</v>
      </c>
      <c r="C467" s="13" t="s">
        <v>121</v>
      </c>
      <c r="D467" s="13" t="s">
        <v>1033</v>
      </c>
      <c r="E467" s="13" t="s">
        <v>192</v>
      </c>
      <c r="F467" s="13" t="s">
        <v>652</v>
      </c>
      <c r="G467" s="13" t="n">
        <v>255</v>
      </c>
      <c r="H467" s="13" t="n">
        <v>2</v>
      </c>
      <c r="I467" s="13" t="n">
        <v>253</v>
      </c>
      <c r="J467" s="13" t="n">
        <v>0</v>
      </c>
      <c r="K467" s="13" t="n">
        <v>0</v>
      </c>
      <c r="L467" s="13" t="n">
        <v>9</v>
      </c>
      <c r="M467" s="13" t="n">
        <v>244</v>
      </c>
      <c r="N467" s="13" t="n">
        <v>85</v>
      </c>
      <c r="O467" s="13" t="n">
        <v>84</v>
      </c>
      <c r="P467" s="13" t="n">
        <v>55</v>
      </c>
      <c r="Q467" s="13" t="n">
        <v>18</v>
      </c>
      <c r="R467" s="13" t="n">
        <v>2</v>
      </c>
      <c r="S467" s="13" t="n">
        <v>0</v>
      </c>
      <c r="T467" s="13" t="n">
        <v>0.9644</v>
      </c>
      <c r="U467" s="13" t="n">
        <v>4.77</v>
      </c>
      <c r="V467" s="13" t="n">
        <f aca="false">M467-SUM(N467:S467)</f>
        <v>0</v>
      </c>
    </row>
    <row r="468" customFormat="false" ht="15" hidden="false" customHeight="true" outlineLevel="0" collapsed="false">
      <c r="A468" s="13" t="n">
        <v>2025</v>
      </c>
      <c r="B468" s="13" t="s">
        <v>1026</v>
      </c>
      <c r="C468" s="13" t="s">
        <v>121</v>
      </c>
      <c r="D468" s="13" t="s">
        <v>1034</v>
      </c>
      <c r="E468" s="13" t="s">
        <v>124</v>
      </c>
      <c r="F468" s="13" t="s">
        <v>357</v>
      </c>
      <c r="G468" s="13" t="n">
        <v>84</v>
      </c>
      <c r="H468" s="13" t="n">
        <v>0</v>
      </c>
      <c r="I468" s="13" t="n">
        <v>84</v>
      </c>
      <c r="J468" s="13" t="n">
        <v>0</v>
      </c>
      <c r="K468" s="13" t="n">
        <v>0</v>
      </c>
      <c r="L468" s="13" t="n">
        <v>6</v>
      </c>
      <c r="M468" s="13" t="n">
        <v>78</v>
      </c>
      <c r="N468" s="13" t="n">
        <v>39</v>
      </c>
      <c r="O468" s="13" t="n">
        <v>21</v>
      </c>
      <c r="P468" s="13" t="n">
        <v>12</v>
      </c>
      <c r="Q468" s="13" t="n">
        <v>6</v>
      </c>
      <c r="R468" s="13" t="n">
        <v>0</v>
      </c>
      <c r="S468" s="13" t="n">
        <v>0</v>
      </c>
      <c r="T468" s="13" t="n">
        <v>0.9286</v>
      </c>
      <c r="U468" s="13" t="n">
        <v>4.82</v>
      </c>
      <c r="V468" s="13" t="n">
        <f aca="false">M468-SUM(N468:S468)</f>
        <v>0</v>
      </c>
    </row>
    <row r="469" customFormat="false" ht="15" hidden="false" customHeight="true" outlineLevel="0" collapsed="false">
      <c r="A469" s="13" t="n">
        <v>2025</v>
      </c>
      <c r="B469" s="13" t="s">
        <v>1026</v>
      </c>
      <c r="C469" s="13" t="s">
        <v>121</v>
      </c>
      <c r="D469" s="13" t="s">
        <v>1034</v>
      </c>
      <c r="E469" s="13" t="s">
        <v>122</v>
      </c>
      <c r="F469" s="13" t="s">
        <v>357</v>
      </c>
      <c r="G469" s="13" t="n">
        <v>54</v>
      </c>
      <c r="H469" s="13" t="n">
        <v>0</v>
      </c>
      <c r="I469" s="13" t="n">
        <v>54</v>
      </c>
      <c r="J469" s="13" t="n">
        <v>0</v>
      </c>
      <c r="K469" s="13" t="n">
        <v>0</v>
      </c>
      <c r="L469" s="13" t="n">
        <v>2</v>
      </c>
      <c r="M469" s="13" t="n">
        <v>52</v>
      </c>
      <c r="N469" s="13" t="n">
        <v>22</v>
      </c>
      <c r="O469" s="13" t="n">
        <v>13</v>
      </c>
      <c r="P469" s="13" t="n">
        <v>14</v>
      </c>
      <c r="Q469" s="13" t="n">
        <v>3</v>
      </c>
      <c r="R469" s="13" t="n">
        <v>0</v>
      </c>
      <c r="S469" s="13" t="n">
        <v>0</v>
      </c>
      <c r="T469" s="13" t="n">
        <v>0.963</v>
      </c>
      <c r="U469" s="13" t="n">
        <v>4.85</v>
      </c>
      <c r="V469" s="13" t="n">
        <f aca="false">M469-SUM(N469:S469)</f>
        <v>0</v>
      </c>
    </row>
    <row r="470" customFormat="false" ht="15" hidden="false" customHeight="true" outlineLevel="0" collapsed="false">
      <c r="A470" s="13" t="n">
        <v>2025</v>
      </c>
      <c r="B470" s="13" t="s">
        <v>1026</v>
      </c>
      <c r="C470" s="13" t="s">
        <v>121</v>
      </c>
      <c r="D470" s="13" t="s">
        <v>1034</v>
      </c>
      <c r="E470" s="13" t="s">
        <v>192</v>
      </c>
      <c r="F470" s="13" t="s">
        <v>652</v>
      </c>
      <c r="G470" s="13" t="n">
        <v>138</v>
      </c>
      <c r="H470" s="13" t="n">
        <v>0</v>
      </c>
      <c r="I470" s="13" t="n">
        <v>138</v>
      </c>
      <c r="J470" s="13" t="n">
        <v>0</v>
      </c>
      <c r="K470" s="13" t="n">
        <v>0</v>
      </c>
      <c r="L470" s="13" t="n">
        <v>8</v>
      </c>
      <c r="M470" s="13" t="n">
        <v>130</v>
      </c>
      <c r="N470" s="13" t="n">
        <v>61</v>
      </c>
      <c r="O470" s="13" t="n">
        <v>34</v>
      </c>
      <c r="P470" s="13" t="n">
        <v>26</v>
      </c>
      <c r="Q470" s="13" t="n">
        <v>9</v>
      </c>
      <c r="R470" s="13" t="n">
        <v>0</v>
      </c>
      <c r="S470" s="13" t="n">
        <v>0</v>
      </c>
      <c r="T470" s="13" t="n">
        <v>0.942</v>
      </c>
      <c r="U470" s="13" t="n">
        <v>4.83</v>
      </c>
      <c r="V470" s="13" t="n">
        <f aca="false">M470-SUM(N470:S470)</f>
        <v>0</v>
      </c>
    </row>
    <row r="471" customFormat="false" ht="15" hidden="false" customHeight="true" outlineLevel="0" collapsed="false">
      <c r="A471" s="13" t="n">
        <v>2025</v>
      </c>
      <c r="B471" s="13" t="s">
        <v>1026</v>
      </c>
      <c r="C471" s="13" t="s">
        <v>121</v>
      </c>
      <c r="D471" s="13" t="s">
        <v>1035</v>
      </c>
      <c r="E471" s="13" t="s">
        <v>124</v>
      </c>
      <c r="F471" s="13" t="s">
        <v>357</v>
      </c>
      <c r="G471" s="13" t="n">
        <v>178</v>
      </c>
      <c r="H471" s="13" t="n">
        <v>3</v>
      </c>
      <c r="I471" s="13" t="n">
        <v>175</v>
      </c>
      <c r="J471" s="13" t="n">
        <v>0</v>
      </c>
      <c r="K471" s="13" t="n">
        <v>0</v>
      </c>
      <c r="L471" s="13" t="n">
        <v>25</v>
      </c>
      <c r="M471" s="13" t="n">
        <v>150</v>
      </c>
      <c r="N471" s="13" t="n">
        <v>50</v>
      </c>
      <c r="O471" s="13" t="n">
        <v>63</v>
      </c>
      <c r="P471" s="13" t="n">
        <v>27</v>
      </c>
      <c r="Q471" s="13" t="n">
        <v>8</v>
      </c>
      <c r="R471" s="13" t="n">
        <v>2</v>
      </c>
      <c r="S471" s="13" t="n">
        <v>0</v>
      </c>
      <c r="T471" s="13" t="n">
        <v>0.8571</v>
      </c>
      <c r="U471" s="13" t="n">
        <v>4.29</v>
      </c>
      <c r="V471" s="13" t="n">
        <f aca="false">M471-SUM(N471:S471)</f>
        <v>0</v>
      </c>
    </row>
    <row r="472" customFormat="false" ht="15" hidden="false" customHeight="true" outlineLevel="0" collapsed="false">
      <c r="A472" s="13" t="n">
        <v>2025</v>
      </c>
      <c r="B472" s="13" t="s">
        <v>1026</v>
      </c>
      <c r="C472" s="13" t="s">
        <v>121</v>
      </c>
      <c r="D472" s="13" t="s">
        <v>1035</v>
      </c>
      <c r="E472" s="13" t="s">
        <v>122</v>
      </c>
      <c r="F472" s="13" t="s">
        <v>357</v>
      </c>
      <c r="G472" s="13" t="n">
        <v>45</v>
      </c>
      <c r="H472" s="13" t="n">
        <v>0</v>
      </c>
      <c r="I472" s="13" t="n">
        <v>45</v>
      </c>
      <c r="J472" s="13" t="n">
        <v>0</v>
      </c>
      <c r="K472" s="13" t="n">
        <v>0</v>
      </c>
      <c r="L472" s="13" t="n">
        <v>0</v>
      </c>
      <c r="M472" s="13" t="n">
        <v>45</v>
      </c>
      <c r="N472" s="13" t="n">
        <v>8</v>
      </c>
      <c r="O472" s="13" t="n">
        <v>15</v>
      </c>
      <c r="P472" s="13" t="n">
        <v>20</v>
      </c>
      <c r="Q472" s="13" t="n">
        <v>2</v>
      </c>
      <c r="R472" s="13" t="n">
        <v>0</v>
      </c>
      <c r="S472" s="13" t="n">
        <v>0</v>
      </c>
      <c r="T472" s="13" t="n">
        <v>1</v>
      </c>
      <c r="U472" s="13" t="n">
        <v>4.64</v>
      </c>
      <c r="V472" s="13" t="n">
        <f aca="false">M472-SUM(N472:S472)</f>
        <v>0</v>
      </c>
    </row>
    <row r="473" customFormat="false" ht="15" hidden="false" customHeight="true" outlineLevel="0" collapsed="false">
      <c r="A473" s="13" t="n">
        <v>2025</v>
      </c>
      <c r="B473" s="13" t="s">
        <v>1026</v>
      </c>
      <c r="C473" s="13" t="s">
        <v>121</v>
      </c>
      <c r="D473" s="13" t="s">
        <v>1035</v>
      </c>
      <c r="E473" s="13" t="s">
        <v>192</v>
      </c>
      <c r="F473" s="13" t="s">
        <v>652</v>
      </c>
      <c r="G473" s="13" t="n">
        <v>223</v>
      </c>
      <c r="H473" s="13" t="n">
        <v>3</v>
      </c>
      <c r="I473" s="13" t="n">
        <v>220</v>
      </c>
      <c r="J473" s="13" t="n">
        <v>0</v>
      </c>
      <c r="K473" s="13" t="n">
        <v>0</v>
      </c>
      <c r="L473" s="13" t="n">
        <v>25</v>
      </c>
      <c r="M473" s="13" t="n">
        <v>195</v>
      </c>
      <c r="N473" s="13" t="n">
        <v>58</v>
      </c>
      <c r="O473" s="13" t="n">
        <v>78</v>
      </c>
      <c r="P473" s="13" t="n">
        <v>47</v>
      </c>
      <c r="Q473" s="13" t="n">
        <v>10</v>
      </c>
      <c r="R473" s="13" t="n">
        <v>2</v>
      </c>
      <c r="S473" s="13" t="n">
        <v>0</v>
      </c>
      <c r="T473" s="13" t="n">
        <v>0.8864</v>
      </c>
      <c r="U473" s="13" t="n">
        <v>4.36</v>
      </c>
      <c r="V473" s="13" t="n">
        <f aca="false">M473-SUM(N473:S473)</f>
        <v>0</v>
      </c>
    </row>
    <row r="474" customFormat="false" ht="15" hidden="false" customHeight="true" outlineLevel="0" collapsed="false">
      <c r="A474" s="13" t="n">
        <v>2025</v>
      </c>
      <c r="B474" s="13" t="s">
        <v>1026</v>
      </c>
      <c r="C474" s="13" t="s">
        <v>121</v>
      </c>
      <c r="D474" s="13" t="s">
        <v>1037</v>
      </c>
      <c r="E474" s="13" t="s">
        <v>192</v>
      </c>
      <c r="F474" s="13" t="s">
        <v>1038</v>
      </c>
      <c r="G474" s="13" t="n">
        <v>679</v>
      </c>
      <c r="H474" s="13" t="n">
        <v>5</v>
      </c>
      <c r="I474" s="13" t="n">
        <v>674</v>
      </c>
      <c r="J474" s="13" t="n">
        <v>0</v>
      </c>
      <c r="K474" s="13" t="n">
        <v>0</v>
      </c>
      <c r="L474" s="13" t="n">
        <v>44</v>
      </c>
      <c r="M474" s="13" t="n">
        <v>630</v>
      </c>
      <c r="N474" s="13" t="n">
        <v>208</v>
      </c>
      <c r="O474" s="13" t="n">
        <v>210</v>
      </c>
      <c r="P474" s="13" t="n">
        <v>158</v>
      </c>
      <c r="Q474" s="13" t="n">
        <v>45</v>
      </c>
      <c r="R474" s="13" t="n">
        <v>9</v>
      </c>
      <c r="S474" s="13" t="n">
        <v>0</v>
      </c>
      <c r="T474" s="13" t="n">
        <v>0.9347</v>
      </c>
      <c r="U474" s="13" t="n">
        <v>4.57</v>
      </c>
      <c r="V474" s="13" t="n">
        <f aca="false">M474-SUM(N474:S474)</f>
        <v>0</v>
      </c>
    </row>
    <row r="475" customFormat="false" ht="15" hidden="false" customHeight="true" outlineLevel="0" collapsed="false">
      <c r="A475" s="13" t="n">
        <v>2025</v>
      </c>
      <c r="B475" s="13" t="s">
        <v>1026</v>
      </c>
      <c r="C475" s="13" t="s">
        <v>125</v>
      </c>
      <c r="D475" s="13" t="s">
        <v>128</v>
      </c>
      <c r="E475" s="13" t="s">
        <v>124</v>
      </c>
      <c r="F475" s="13" t="s">
        <v>357</v>
      </c>
      <c r="G475" s="13" t="n">
        <v>1</v>
      </c>
      <c r="H475" s="13" t="n">
        <v>1</v>
      </c>
      <c r="I475" s="13" t="n">
        <v>0</v>
      </c>
      <c r="J475" s="13" t="n">
        <v>0</v>
      </c>
      <c r="K475" s="13" t="n">
        <v>0</v>
      </c>
      <c r="L475" s="13" t="n">
        <v>0</v>
      </c>
      <c r="M475" s="13" t="n">
        <v>0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0</v>
      </c>
      <c r="T475" s="13" t="n">
        <v>0</v>
      </c>
      <c r="U475" s="13" t="n">
        <v>0</v>
      </c>
      <c r="V475" s="13" t="n">
        <f aca="false">M475-SUM(N475:S475)</f>
        <v>0</v>
      </c>
    </row>
    <row r="476" customFormat="false" ht="15" hidden="false" customHeight="true" outlineLevel="0" collapsed="false">
      <c r="A476" s="13" t="n">
        <v>2025</v>
      </c>
      <c r="B476" s="13" t="s">
        <v>1026</v>
      </c>
      <c r="C476" s="13" t="s">
        <v>125</v>
      </c>
      <c r="D476" s="13" t="s">
        <v>128</v>
      </c>
      <c r="E476" s="13" t="s">
        <v>122</v>
      </c>
      <c r="F476" s="13" t="s">
        <v>357</v>
      </c>
      <c r="G476" s="13" t="n">
        <v>6</v>
      </c>
      <c r="H476" s="13" t="n">
        <v>1</v>
      </c>
      <c r="I476" s="13" t="n">
        <v>5</v>
      </c>
      <c r="J476" s="13" t="n">
        <v>1</v>
      </c>
      <c r="K476" s="13" t="n">
        <v>0</v>
      </c>
      <c r="L476" s="13" t="n">
        <v>2</v>
      </c>
      <c r="M476" s="13" t="n">
        <v>3</v>
      </c>
      <c r="N476" s="13" t="n">
        <v>0</v>
      </c>
      <c r="O476" s="13" t="n">
        <v>0</v>
      </c>
      <c r="P476" s="13" t="n">
        <v>1</v>
      </c>
      <c r="Q476" s="13" t="n">
        <v>0</v>
      </c>
      <c r="R476" s="13" t="n">
        <v>1</v>
      </c>
      <c r="S476" s="13" t="n">
        <v>0</v>
      </c>
      <c r="T476" s="13" t="n">
        <v>0.6</v>
      </c>
      <c r="U476" s="13" t="n">
        <v>1.2</v>
      </c>
      <c r="V476" s="13" t="n">
        <f aca="false">M476-SUM(N476:S476)</f>
        <v>1</v>
      </c>
    </row>
    <row r="477" customFormat="false" ht="15" hidden="false" customHeight="true" outlineLevel="0" collapsed="false">
      <c r="A477" s="13" t="n">
        <v>2025</v>
      </c>
      <c r="B477" s="13" t="s">
        <v>1026</v>
      </c>
      <c r="C477" s="13" t="s">
        <v>125</v>
      </c>
      <c r="D477" s="13" t="s">
        <v>128</v>
      </c>
      <c r="E477" s="13" t="s">
        <v>192</v>
      </c>
      <c r="F477" s="13" t="s">
        <v>652</v>
      </c>
      <c r="G477" s="13" t="n">
        <v>7</v>
      </c>
      <c r="H477" s="13" t="n">
        <v>2</v>
      </c>
      <c r="I477" s="13" t="n">
        <v>5</v>
      </c>
      <c r="J477" s="13" t="n">
        <v>1</v>
      </c>
      <c r="K477" s="13" t="n">
        <v>0</v>
      </c>
      <c r="L477" s="13" t="n">
        <v>2</v>
      </c>
      <c r="M477" s="13" t="n">
        <v>3</v>
      </c>
      <c r="N477" s="13" t="n">
        <v>0</v>
      </c>
      <c r="O477" s="13" t="n">
        <v>0</v>
      </c>
      <c r="P477" s="13" t="n">
        <v>1</v>
      </c>
      <c r="Q477" s="13" t="n">
        <v>0</v>
      </c>
      <c r="R477" s="13" t="n">
        <v>1</v>
      </c>
      <c r="S477" s="13" t="n">
        <v>0</v>
      </c>
      <c r="T477" s="13" t="n">
        <v>0.6</v>
      </c>
      <c r="U477" s="13" t="n">
        <v>1.2</v>
      </c>
      <c r="V477" s="13" t="n">
        <f aca="false">M477-SUM(N477:S477)</f>
        <v>1</v>
      </c>
    </row>
    <row r="478" customFormat="false" ht="15" hidden="false" customHeight="true" outlineLevel="0" collapsed="false">
      <c r="A478" s="13" t="n">
        <v>2025</v>
      </c>
      <c r="B478" s="13" t="s">
        <v>1026</v>
      </c>
      <c r="C478" s="13" t="s">
        <v>125</v>
      </c>
      <c r="D478" s="13" t="s">
        <v>1033</v>
      </c>
      <c r="E478" s="13" t="s">
        <v>124</v>
      </c>
      <c r="F478" s="13" t="s">
        <v>357</v>
      </c>
      <c r="G478" s="13" t="n">
        <v>35</v>
      </c>
      <c r="H478" s="13" t="n">
        <v>6</v>
      </c>
      <c r="I478" s="13" t="n">
        <v>29</v>
      </c>
      <c r="J478" s="13" t="n">
        <v>3</v>
      </c>
      <c r="K478" s="13" t="n">
        <v>0</v>
      </c>
      <c r="L478" s="13" t="n">
        <v>4</v>
      </c>
      <c r="M478" s="13" t="n">
        <v>25</v>
      </c>
      <c r="N478" s="13" t="n">
        <v>13</v>
      </c>
      <c r="O478" s="13" t="n">
        <v>9</v>
      </c>
      <c r="P478" s="13" t="n">
        <v>1</v>
      </c>
      <c r="Q478" s="13" t="n">
        <v>2</v>
      </c>
      <c r="R478" s="13" t="n">
        <v>0</v>
      </c>
      <c r="S478" s="13" t="n">
        <v>0</v>
      </c>
      <c r="T478" s="13" t="n">
        <v>0.8621</v>
      </c>
      <c r="U478" s="13" t="n">
        <v>4.59</v>
      </c>
      <c r="V478" s="13" t="n">
        <f aca="false">M478-SUM(N478:S478)</f>
        <v>0</v>
      </c>
    </row>
    <row r="479" customFormat="false" ht="15" hidden="false" customHeight="true" outlineLevel="0" collapsed="false">
      <c r="A479" s="13" t="n">
        <v>2025</v>
      </c>
      <c r="B479" s="13" t="s">
        <v>1026</v>
      </c>
      <c r="C479" s="13" t="s">
        <v>125</v>
      </c>
      <c r="D479" s="13" t="s">
        <v>1033</v>
      </c>
      <c r="E479" s="13" t="s">
        <v>122</v>
      </c>
      <c r="F479" s="13" t="s">
        <v>357</v>
      </c>
      <c r="G479" s="13" t="n">
        <v>35</v>
      </c>
      <c r="H479" s="13" t="n">
        <v>6</v>
      </c>
      <c r="I479" s="13" t="n">
        <v>29</v>
      </c>
      <c r="J479" s="13" t="n">
        <v>0</v>
      </c>
      <c r="K479" s="13" t="n">
        <v>0</v>
      </c>
      <c r="L479" s="13" t="n">
        <v>0</v>
      </c>
      <c r="M479" s="13" t="n">
        <v>29</v>
      </c>
      <c r="N479" s="13" t="n">
        <v>13</v>
      </c>
      <c r="O479" s="13" t="n">
        <v>11</v>
      </c>
      <c r="P479" s="13" t="n">
        <v>3</v>
      </c>
      <c r="Q479" s="13" t="n">
        <v>1</v>
      </c>
      <c r="R479" s="13" t="n">
        <v>1</v>
      </c>
      <c r="S479" s="13" t="n">
        <v>0</v>
      </c>
      <c r="T479" s="13" t="n">
        <v>1</v>
      </c>
      <c r="U479" s="13" t="n">
        <v>5.17</v>
      </c>
      <c r="V479" s="13" t="n">
        <f aca="false">M479-SUM(N479:S479)</f>
        <v>0</v>
      </c>
    </row>
    <row r="480" customFormat="false" ht="15" hidden="false" customHeight="true" outlineLevel="0" collapsed="false">
      <c r="A480" s="13" t="n">
        <v>2025</v>
      </c>
      <c r="B480" s="13" t="s">
        <v>1026</v>
      </c>
      <c r="C480" s="13" t="s">
        <v>125</v>
      </c>
      <c r="D480" s="13" t="s">
        <v>1033</v>
      </c>
      <c r="E480" s="13" t="s">
        <v>192</v>
      </c>
      <c r="F480" s="13" t="s">
        <v>652</v>
      </c>
      <c r="G480" s="13" t="n">
        <v>70</v>
      </c>
      <c r="H480" s="13" t="n">
        <v>12</v>
      </c>
      <c r="I480" s="13" t="n">
        <v>58</v>
      </c>
      <c r="J480" s="13" t="n">
        <v>3</v>
      </c>
      <c r="K480" s="13" t="n">
        <v>0</v>
      </c>
      <c r="L480" s="13" t="n">
        <v>4</v>
      </c>
      <c r="M480" s="13" t="n">
        <v>54</v>
      </c>
      <c r="N480" s="13" t="n">
        <v>26</v>
      </c>
      <c r="O480" s="13" t="n">
        <v>20</v>
      </c>
      <c r="P480" s="13" t="n">
        <v>4</v>
      </c>
      <c r="Q480" s="13" t="n">
        <v>3</v>
      </c>
      <c r="R480" s="13" t="n">
        <v>1</v>
      </c>
      <c r="S480" s="13" t="n">
        <v>0</v>
      </c>
      <c r="T480" s="13" t="n">
        <v>0.931</v>
      </c>
      <c r="U480" s="13" t="n">
        <v>4.88</v>
      </c>
      <c r="V480" s="13" t="n">
        <f aca="false">M480-SUM(N480:S480)</f>
        <v>0</v>
      </c>
    </row>
    <row r="481" customFormat="false" ht="15" hidden="false" customHeight="true" outlineLevel="0" collapsed="false">
      <c r="A481" s="13" t="n">
        <v>2025</v>
      </c>
      <c r="B481" s="13" t="s">
        <v>1026</v>
      </c>
      <c r="C481" s="13" t="s">
        <v>125</v>
      </c>
      <c r="D481" s="13" t="s">
        <v>1034</v>
      </c>
      <c r="E481" s="13" t="s">
        <v>124</v>
      </c>
      <c r="F481" s="13" t="s">
        <v>357</v>
      </c>
      <c r="G481" s="13" t="n">
        <v>8</v>
      </c>
      <c r="H481" s="13" t="n">
        <v>1</v>
      </c>
      <c r="I481" s="13" t="n">
        <v>7</v>
      </c>
      <c r="J481" s="13" t="n">
        <v>1</v>
      </c>
      <c r="K481" s="13" t="n">
        <v>0</v>
      </c>
      <c r="L481" s="13" t="n">
        <v>1</v>
      </c>
      <c r="M481" s="13" t="n">
        <v>6</v>
      </c>
      <c r="N481" s="13" t="n">
        <v>0</v>
      </c>
      <c r="O481" s="13" t="n">
        <v>2</v>
      </c>
      <c r="P481" s="13" t="n">
        <v>3</v>
      </c>
      <c r="Q481" s="13" t="n">
        <v>1</v>
      </c>
      <c r="R481" s="13" t="n">
        <v>0</v>
      </c>
      <c r="S481" s="13" t="n">
        <v>0</v>
      </c>
      <c r="T481" s="13" t="n">
        <v>0.8571</v>
      </c>
      <c r="U481" s="13" t="n">
        <v>3.57</v>
      </c>
      <c r="V481" s="13" t="n">
        <f aca="false">M481-SUM(N481:S481)</f>
        <v>0</v>
      </c>
    </row>
    <row r="482" customFormat="false" ht="15" hidden="false" customHeight="true" outlineLevel="0" collapsed="false">
      <c r="A482" s="13" t="n">
        <v>2025</v>
      </c>
      <c r="B482" s="13" t="s">
        <v>1026</v>
      </c>
      <c r="C482" s="13" t="s">
        <v>125</v>
      </c>
      <c r="D482" s="13" t="s">
        <v>1034</v>
      </c>
      <c r="E482" s="13" t="s">
        <v>122</v>
      </c>
      <c r="F482" s="13" t="s">
        <v>357</v>
      </c>
      <c r="G482" s="13" t="n">
        <v>6</v>
      </c>
      <c r="H482" s="13" t="n">
        <v>1</v>
      </c>
      <c r="I482" s="13" t="n">
        <v>5</v>
      </c>
      <c r="J482" s="13" t="n">
        <v>0</v>
      </c>
      <c r="K482" s="13" t="n">
        <v>0</v>
      </c>
      <c r="L482" s="13" t="n">
        <v>0</v>
      </c>
      <c r="M482" s="13" t="n">
        <v>5</v>
      </c>
      <c r="N482" s="13" t="n">
        <v>0</v>
      </c>
      <c r="O482" s="13" t="n">
        <v>0</v>
      </c>
      <c r="P482" s="13" t="n">
        <v>0</v>
      </c>
      <c r="Q482" s="13" t="n">
        <v>5</v>
      </c>
      <c r="R482" s="13" t="n">
        <v>0</v>
      </c>
      <c r="S482" s="13" t="n">
        <v>0</v>
      </c>
      <c r="T482" s="13" t="n">
        <v>1</v>
      </c>
      <c r="U482" s="13" t="n">
        <v>3</v>
      </c>
      <c r="V482" s="13" t="n">
        <f aca="false">M482-SUM(N482:S482)</f>
        <v>0</v>
      </c>
    </row>
    <row r="483" customFormat="false" ht="15" hidden="false" customHeight="true" outlineLevel="0" collapsed="false">
      <c r="A483" s="13" t="n">
        <v>2025</v>
      </c>
      <c r="B483" s="13" t="s">
        <v>1026</v>
      </c>
      <c r="C483" s="13" t="s">
        <v>125</v>
      </c>
      <c r="D483" s="13" t="s">
        <v>1034</v>
      </c>
      <c r="E483" s="13" t="s">
        <v>192</v>
      </c>
      <c r="F483" s="13" t="s">
        <v>652</v>
      </c>
      <c r="G483" s="13" t="n">
        <v>14</v>
      </c>
      <c r="H483" s="13" t="n">
        <v>2</v>
      </c>
      <c r="I483" s="13" t="n">
        <v>12</v>
      </c>
      <c r="J483" s="13" t="n">
        <v>1</v>
      </c>
      <c r="K483" s="13" t="n">
        <v>0</v>
      </c>
      <c r="L483" s="13" t="n">
        <v>1</v>
      </c>
      <c r="M483" s="13" t="n">
        <v>11</v>
      </c>
      <c r="N483" s="13" t="n">
        <v>0</v>
      </c>
      <c r="O483" s="13" t="n">
        <v>2</v>
      </c>
      <c r="P483" s="13" t="n">
        <v>3</v>
      </c>
      <c r="Q483" s="13" t="n">
        <v>6</v>
      </c>
      <c r="R483" s="13" t="n">
        <v>0</v>
      </c>
      <c r="S483" s="13" t="n">
        <v>0</v>
      </c>
      <c r="T483" s="13" t="n">
        <v>0.9167</v>
      </c>
      <c r="U483" s="13" t="n">
        <v>3.33</v>
      </c>
      <c r="V483" s="13" t="n">
        <f aca="false">M483-SUM(N483:S483)</f>
        <v>0</v>
      </c>
    </row>
    <row r="484" customFormat="false" ht="15" hidden="false" customHeight="true" outlineLevel="0" collapsed="false">
      <c r="A484" s="13" t="n">
        <v>2025</v>
      </c>
      <c r="B484" s="13" t="s">
        <v>1026</v>
      </c>
      <c r="C484" s="13" t="s">
        <v>125</v>
      </c>
      <c r="D484" s="13" t="s">
        <v>1035</v>
      </c>
      <c r="E484" s="13" t="s">
        <v>124</v>
      </c>
      <c r="F484" s="13" t="s">
        <v>357</v>
      </c>
      <c r="G484" s="13" t="n">
        <v>10</v>
      </c>
      <c r="H484" s="13" t="n">
        <v>2</v>
      </c>
      <c r="I484" s="13" t="n">
        <v>8</v>
      </c>
      <c r="J484" s="13" t="n">
        <v>0</v>
      </c>
      <c r="K484" s="13" t="n">
        <v>0</v>
      </c>
      <c r="L484" s="13" t="n">
        <v>4</v>
      </c>
      <c r="M484" s="13" t="n">
        <v>4</v>
      </c>
      <c r="N484" s="13" t="n">
        <v>0</v>
      </c>
      <c r="O484" s="13" t="n">
        <v>1</v>
      </c>
      <c r="P484" s="13" t="n">
        <v>0</v>
      </c>
      <c r="Q484" s="13" t="n">
        <v>3</v>
      </c>
      <c r="R484" s="13" t="n">
        <v>0</v>
      </c>
      <c r="S484" s="13" t="n">
        <v>0</v>
      </c>
      <c r="T484" s="13" t="n">
        <v>0.5</v>
      </c>
      <c r="U484" s="13" t="n">
        <v>1.75</v>
      </c>
      <c r="V484" s="13" t="n">
        <f aca="false">M484-SUM(N484:S484)</f>
        <v>0</v>
      </c>
    </row>
    <row r="485" customFormat="false" ht="15" hidden="false" customHeight="true" outlineLevel="0" collapsed="false">
      <c r="A485" s="13" t="n">
        <v>2025</v>
      </c>
      <c r="B485" s="13" t="s">
        <v>1026</v>
      </c>
      <c r="C485" s="13" t="s">
        <v>125</v>
      </c>
      <c r="D485" s="13" t="s">
        <v>1035</v>
      </c>
      <c r="E485" s="13" t="s">
        <v>122</v>
      </c>
      <c r="F485" s="13" t="s">
        <v>357</v>
      </c>
      <c r="G485" s="13" t="n">
        <v>2</v>
      </c>
      <c r="H485" s="13" t="n">
        <v>0</v>
      </c>
      <c r="I485" s="13" t="n">
        <v>2</v>
      </c>
      <c r="J485" s="13" t="n">
        <v>0</v>
      </c>
      <c r="K485" s="13" t="n">
        <v>0</v>
      </c>
      <c r="L485" s="13" t="n">
        <v>0</v>
      </c>
      <c r="M485" s="13" t="n">
        <v>2</v>
      </c>
      <c r="N485" s="13" t="n">
        <v>0</v>
      </c>
      <c r="O485" s="13" t="n">
        <v>0</v>
      </c>
      <c r="P485" s="13" t="n">
        <v>0</v>
      </c>
      <c r="Q485" s="13" t="n">
        <v>1</v>
      </c>
      <c r="R485" s="13" t="n">
        <v>1</v>
      </c>
      <c r="S485" s="13" t="n">
        <v>0</v>
      </c>
      <c r="T485" s="13" t="n">
        <v>1</v>
      </c>
      <c r="U485" s="13" t="n">
        <v>2.5</v>
      </c>
      <c r="V485" s="13" t="n">
        <f aca="false">M485-SUM(N485:S485)</f>
        <v>0</v>
      </c>
    </row>
    <row r="486" customFormat="false" ht="15" hidden="false" customHeight="true" outlineLevel="0" collapsed="false">
      <c r="A486" s="13" t="n">
        <v>2025</v>
      </c>
      <c r="B486" s="13" t="s">
        <v>1026</v>
      </c>
      <c r="C486" s="13" t="s">
        <v>125</v>
      </c>
      <c r="D486" s="13" t="s">
        <v>1035</v>
      </c>
      <c r="E486" s="13" t="s">
        <v>192</v>
      </c>
      <c r="F486" s="13" t="s">
        <v>652</v>
      </c>
      <c r="G486" s="13" t="n">
        <v>12</v>
      </c>
      <c r="H486" s="13" t="n">
        <v>2</v>
      </c>
      <c r="I486" s="13" t="n">
        <v>10</v>
      </c>
      <c r="J486" s="13" t="n">
        <v>0</v>
      </c>
      <c r="K486" s="13" t="n">
        <v>0</v>
      </c>
      <c r="L486" s="13" t="n">
        <v>4</v>
      </c>
      <c r="M486" s="13" t="n">
        <v>6</v>
      </c>
      <c r="N486" s="13" t="n">
        <v>0</v>
      </c>
      <c r="O486" s="13" t="n">
        <v>1</v>
      </c>
      <c r="P486" s="13" t="n">
        <v>0</v>
      </c>
      <c r="Q486" s="13" t="n">
        <v>4</v>
      </c>
      <c r="R486" s="13" t="n">
        <v>1</v>
      </c>
      <c r="S486" s="13" t="n">
        <v>0</v>
      </c>
      <c r="T486" s="13" t="n">
        <v>0.6</v>
      </c>
      <c r="U486" s="13" t="n">
        <v>1.9</v>
      </c>
      <c r="V486" s="13" t="n">
        <f aca="false">M486-SUM(N486:S486)</f>
        <v>0</v>
      </c>
    </row>
    <row r="487" customFormat="false" ht="15" hidden="false" customHeight="true" outlineLevel="0" collapsed="false">
      <c r="A487" s="13" t="n">
        <v>2025</v>
      </c>
      <c r="B487" s="13" t="s">
        <v>1026</v>
      </c>
      <c r="C487" s="13" t="s">
        <v>125</v>
      </c>
      <c r="D487" s="13" t="s">
        <v>1037</v>
      </c>
      <c r="E487" s="13" t="s">
        <v>192</v>
      </c>
      <c r="F487" s="13" t="s">
        <v>1038</v>
      </c>
      <c r="G487" s="13" t="n">
        <v>103</v>
      </c>
      <c r="H487" s="13" t="n">
        <v>18</v>
      </c>
      <c r="I487" s="13" t="n">
        <v>85</v>
      </c>
      <c r="J487" s="13" t="n">
        <v>5</v>
      </c>
      <c r="K487" s="13" t="n">
        <v>0</v>
      </c>
      <c r="L487" s="13" t="n">
        <v>11</v>
      </c>
      <c r="M487" s="13" t="n">
        <v>74</v>
      </c>
      <c r="N487" s="13" t="n">
        <v>26</v>
      </c>
      <c r="O487" s="13" t="n">
        <v>23</v>
      </c>
      <c r="P487" s="13" t="n">
        <v>8</v>
      </c>
      <c r="Q487" s="13" t="n">
        <v>13</v>
      </c>
      <c r="R487" s="13" t="n">
        <v>3</v>
      </c>
      <c r="S487" s="13" t="n">
        <v>0</v>
      </c>
      <c r="T487" s="13" t="n">
        <v>0.8706</v>
      </c>
      <c r="U487" s="13" t="n">
        <v>4.09</v>
      </c>
      <c r="V487" s="13" t="n">
        <f aca="false">M487-SUM(N487:S487)</f>
        <v>1</v>
      </c>
    </row>
    <row r="488" customFormat="false" ht="15" hidden="false" customHeight="true" outlineLevel="0" collapsed="false">
      <c r="A488" s="13" t="n">
        <v>2025</v>
      </c>
      <c r="B488" s="13" t="s">
        <v>1026</v>
      </c>
      <c r="C488" s="13" t="s">
        <v>125</v>
      </c>
      <c r="D488" s="13" t="s">
        <v>1037</v>
      </c>
      <c r="E488" s="13" t="s">
        <v>192</v>
      </c>
      <c r="F488" s="13" t="s">
        <v>137</v>
      </c>
      <c r="G488" s="13" t="n">
        <v>782</v>
      </c>
      <c r="H488" s="13" t="n">
        <v>23</v>
      </c>
      <c r="I488" s="13" t="n">
        <v>759</v>
      </c>
      <c r="J488" s="13" t="n">
        <v>5</v>
      </c>
      <c r="K488" s="13" t="n">
        <v>0</v>
      </c>
      <c r="L488" s="13" t="n">
        <v>55</v>
      </c>
      <c r="M488" s="13" t="n">
        <v>704</v>
      </c>
      <c r="N488" s="13" t="n">
        <v>234</v>
      </c>
      <c r="O488" s="13" t="n">
        <v>233</v>
      </c>
      <c r="P488" s="13" t="n">
        <v>166</v>
      </c>
      <c r="Q488" s="13" t="n">
        <v>58</v>
      </c>
      <c r="R488" s="13" t="n">
        <v>12</v>
      </c>
      <c r="S488" s="13" t="n">
        <v>0</v>
      </c>
      <c r="T488" s="13" t="n">
        <v>0.9337</v>
      </c>
      <c r="U488" s="13" t="n">
        <v>4.55</v>
      </c>
      <c r="V488" s="13" t="n">
        <f aca="false">M488-SUM(N488:S488)</f>
        <v>1</v>
      </c>
    </row>
    <row r="489" customFormat="false" ht="15" hidden="false" customHeight="true" outlineLevel="0" collapsed="false">
      <c r="A489" s="13" t="n">
        <v>2025</v>
      </c>
      <c r="B489" s="13" t="s">
        <v>1027</v>
      </c>
      <c r="C489" s="13" t="s">
        <v>121</v>
      </c>
      <c r="D489" s="13" t="s">
        <v>128</v>
      </c>
      <c r="E489" s="13" t="s">
        <v>124</v>
      </c>
      <c r="F489" s="13" t="s">
        <v>357</v>
      </c>
      <c r="G489" s="13" t="n">
        <v>1709</v>
      </c>
      <c r="H489" s="13" t="n">
        <v>6</v>
      </c>
      <c r="I489" s="13" t="n">
        <v>1703</v>
      </c>
      <c r="J489" s="13" t="n">
        <v>0</v>
      </c>
      <c r="K489" s="13" t="n">
        <v>2</v>
      </c>
      <c r="L489" s="13" t="n">
        <v>260</v>
      </c>
      <c r="M489" s="13" t="n">
        <v>1441</v>
      </c>
      <c r="N489" s="13" t="n">
        <v>1</v>
      </c>
      <c r="O489" s="13" t="n">
        <v>25</v>
      </c>
      <c r="P489" s="13" t="n">
        <v>230</v>
      </c>
      <c r="Q489" s="13" t="n">
        <v>524</v>
      </c>
      <c r="R489" s="13" t="n">
        <v>600</v>
      </c>
      <c r="S489" s="13" t="n">
        <v>61</v>
      </c>
      <c r="T489" s="13" t="n">
        <v>0.8462</v>
      </c>
      <c r="U489" s="13" t="n">
        <v>2.28</v>
      </c>
      <c r="V489" s="13" t="n">
        <f aca="false">M489-SUM(N489:S489)</f>
        <v>0</v>
      </c>
    </row>
    <row r="490" customFormat="false" ht="15" hidden="false" customHeight="true" outlineLevel="0" collapsed="false">
      <c r="A490" s="13" t="n">
        <v>2025</v>
      </c>
      <c r="B490" s="13" t="s">
        <v>1027</v>
      </c>
      <c r="C490" s="13" t="s">
        <v>121</v>
      </c>
      <c r="D490" s="13" t="s">
        <v>128</v>
      </c>
      <c r="E490" s="13" t="s">
        <v>122</v>
      </c>
      <c r="F490" s="13" t="s">
        <v>357</v>
      </c>
      <c r="G490" s="13" t="n">
        <v>2692</v>
      </c>
      <c r="H490" s="13" t="n">
        <v>14</v>
      </c>
      <c r="I490" s="13" t="n">
        <v>2678</v>
      </c>
      <c r="J490" s="13" t="n">
        <v>0</v>
      </c>
      <c r="K490" s="13" t="n">
        <v>0</v>
      </c>
      <c r="L490" s="13" t="n">
        <v>195</v>
      </c>
      <c r="M490" s="13" t="n">
        <v>2483</v>
      </c>
      <c r="N490" s="13" t="n">
        <v>7</v>
      </c>
      <c r="O490" s="13" t="n">
        <v>157</v>
      </c>
      <c r="P490" s="13" t="n">
        <v>603</v>
      </c>
      <c r="Q490" s="13" t="n">
        <v>1018</v>
      </c>
      <c r="R490" s="13" t="n">
        <v>659</v>
      </c>
      <c r="S490" s="13" t="n">
        <v>39</v>
      </c>
      <c r="T490" s="13" t="n">
        <v>0.9272</v>
      </c>
      <c r="U490" s="13" t="n">
        <v>2.86</v>
      </c>
      <c r="V490" s="13" t="n">
        <f aca="false">M490-SUM(N490:S490)</f>
        <v>0</v>
      </c>
    </row>
    <row r="491" customFormat="false" ht="15" hidden="false" customHeight="true" outlineLevel="0" collapsed="false">
      <c r="A491" s="13" t="n">
        <v>2025</v>
      </c>
      <c r="B491" s="13" t="s">
        <v>1027</v>
      </c>
      <c r="C491" s="13" t="s">
        <v>121</v>
      </c>
      <c r="D491" s="13" t="s">
        <v>128</v>
      </c>
      <c r="E491" s="13" t="s">
        <v>192</v>
      </c>
      <c r="F491" s="13" t="s">
        <v>652</v>
      </c>
      <c r="G491" s="13" t="n">
        <v>4401</v>
      </c>
      <c r="H491" s="13" t="n">
        <v>20</v>
      </c>
      <c r="I491" s="13" t="n">
        <v>4381</v>
      </c>
      <c r="J491" s="13" t="n">
        <v>0</v>
      </c>
      <c r="K491" s="13" t="n">
        <v>2</v>
      </c>
      <c r="L491" s="13" t="n">
        <v>455</v>
      </c>
      <c r="M491" s="13" t="n">
        <v>3924</v>
      </c>
      <c r="N491" s="13" t="n">
        <v>8</v>
      </c>
      <c r="O491" s="13" t="n">
        <v>182</v>
      </c>
      <c r="P491" s="13" t="n">
        <v>833</v>
      </c>
      <c r="Q491" s="13" t="n">
        <v>1542</v>
      </c>
      <c r="R491" s="13" t="n">
        <v>1259</v>
      </c>
      <c r="S491" s="13" t="n">
        <v>100</v>
      </c>
      <c r="T491" s="13" t="n">
        <v>0.8957</v>
      </c>
      <c r="U491" s="13" t="n">
        <v>2.63</v>
      </c>
      <c r="V491" s="13" t="n">
        <f aca="false">M491-SUM(N491:S491)</f>
        <v>0</v>
      </c>
    </row>
    <row r="492" customFormat="false" ht="15" hidden="false" customHeight="true" outlineLevel="0" collapsed="false">
      <c r="A492" s="13" t="n">
        <v>2025</v>
      </c>
      <c r="B492" s="13" t="s">
        <v>1027</v>
      </c>
      <c r="C492" s="13" t="s">
        <v>121</v>
      </c>
      <c r="D492" s="13" t="s">
        <v>1033</v>
      </c>
      <c r="E492" s="13" t="s">
        <v>124</v>
      </c>
      <c r="F492" s="13" t="s">
        <v>357</v>
      </c>
      <c r="G492" s="13" t="n">
        <v>1260</v>
      </c>
      <c r="H492" s="13" t="n">
        <v>3</v>
      </c>
      <c r="I492" s="13" t="n">
        <v>1257</v>
      </c>
      <c r="J492" s="13" t="n">
        <v>0</v>
      </c>
      <c r="K492" s="13" t="n">
        <v>6</v>
      </c>
      <c r="L492" s="13" t="n">
        <v>164</v>
      </c>
      <c r="M492" s="13" t="n">
        <v>1087</v>
      </c>
      <c r="N492" s="13" t="n">
        <v>226</v>
      </c>
      <c r="O492" s="13" t="n">
        <v>205</v>
      </c>
      <c r="P492" s="13" t="n">
        <v>305</v>
      </c>
      <c r="Q492" s="13" t="n">
        <v>259</v>
      </c>
      <c r="R492" s="13" t="n">
        <v>92</v>
      </c>
      <c r="S492" s="13" t="n">
        <v>0</v>
      </c>
      <c r="T492" s="13" t="n">
        <v>0.8648</v>
      </c>
      <c r="U492" s="13" t="n">
        <v>3.63</v>
      </c>
      <c r="V492" s="13" t="n">
        <f aca="false">M492-SUM(N492:S492)</f>
        <v>0</v>
      </c>
    </row>
    <row r="493" customFormat="false" ht="15" hidden="false" customHeight="true" outlineLevel="0" collapsed="false">
      <c r="A493" s="13" t="n">
        <v>2025</v>
      </c>
      <c r="B493" s="13" t="s">
        <v>1027</v>
      </c>
      <c r="C493" s="13" t="s">
        <v>121</v>
      </c>
      <c r="D493" s="13" t="s">
        <v>1033</v>
      </c>
      <c r="E493" s="13" t="s">
        <v>122</v>
      </c>
      <c r="F493" s="13" t="s">
        <v>357</v>
      </c>
      <c r="G493" s="13" t="n">
        <v>2449</v>
      </c>
      <c r="H493" s="13" t="n">
        <v>13</v>
      </c>
      <c r="I493" s="13" t="n">
        <v>2436</v>
      </c>
      <c r="J493" s="13" t="n">
        <v>0</v>
      </c>
      <c r="K493" s="13" t="n">
        <v>3</v>
      </c>
      <c r="L493" s="13" t="n">
        <v>273</v>
      </c>
      <c r="M493" s="13" t="n">
        <v>2160</v>
      </c>
      <c r="N493" s="13" t="n">
        <v>215</v>
      </c>
      <c r="O493" s="13" t="n">
        <v>385</v>
      </c>
      <c r="P493" s="13" t="n">
        <v>653</v>
      </c>
      <c r="Q493" s="13" t="n">
        <v>771</v>
      </c>
      <c r="R493" s="13" t="n">
        <v>136</v>
      </c>
      <c r="S493" s="13" t="n">
        <v>0</v>
      </c>
      <c r="T493" s="13" t="n">
        <v>0.8867</v>
      </c>
      <c r="U493" s="13" t="n">
        <v>3.45</v>
      </c>
      <c r="V493" s="13" t="n">
        <f aca="false">M493-SUM(N493:S493)</f>
        <v>0</v>
      </c>
    </row>
    <row r="494" customFormat="false" ht="15" hidden="false" customHeight="true" outlineLevel="0" collapsed="false">
      <c r="A494" s="13" t="n">
        <v>2025</v>
      </c>
      <c r="B494" s="13" t="s">
        <v>1027</v>
      </c>
      <c r="C494" s="13" t="s">
        <v>121</v>
      </c>
      <c r="D494" s="13" t="s">
        <v>1033</v>
      </c>
      <c r="E494" s="13" t="s">
        <v>192</v>
      </c>
      <c r="F494" s="13" t="s">
        <v>652</v>
      </c>
      <c r="G494" s="13" t="n">
        <v>3709</v>
      </c>
      <c r="H494" s="13" t="n">
        <v>16</v>
      </c>
      <c r="I494" s="13" t="n">
        <v>3693</v>
      </c>
      <c r="J494" s="13" t="n">
        <v>0</v>
      </c>
      <c r="K494" s="13" t="n">
        <v>9</v>
      </c>
      <c r="L494" s="13" t="n">
        <v>437</v>
      </c>
      <c r="M494" s="13" t="n">
        <v>3247</v>
      </c>
      <c r="N494" s="13" t="n">
        <v>441</v>
      </c>
      <c r="O494" s="13" t="n">
        <v>590</v>
      </c>
      <c r="P494" s="13" t="n">
        <v>958</v>
      </c>
      <c r="Q494" s="13" t="n">
        <v>1030</v>
      </c>
      <c r="R494" s="13" t="n">
        <v>228</v>
      </c>
      <c r="S494" s="13" t="n">
        <v>0</v>
      </c>
      <c r="T494" s="13" t="n">
        <v>0.8792</v>
      </c>
      <c r="U494" s="13" t="n">
        <v>3.51</v>
      </c>
      <c r="V494" s="13" t="n">
        <f aca="false">M494-SUM(N494:S494)</f>
        <v>0</v>
      </c>
    </row>
    <row r="495" customFormat="false" ht="15" hidden="false" customHeight="true" outlineLevel="0" collapsed="false">
      <c r="A495" s="13" t="n">
        <v>2025</v>
      </c>
      <c r="B495" s="13" t="s">
        <v>1027</v>
      </c>
      <c r="C495" s="13" t="s">
        <v>121</v>
      </c>
      <c r="D495" s="13" t="s">
        <v>1034</v>
      </c>
      <c r="E495" s="13" t="s">
        <v>124</v>
      </c>
      <c r="F495" s="13" t="s">
        <v>357</v>
      </c>
      <c r="G495" s="13" t="n">
        <v>309</v>
      </c>
      <c r="H495" s="13" t="n">
        <v>0</v>
      </c>
      <c r="I495" s="13" t="n">
        <v>309</v>
      </c>
      <c r="J495" s="13" t="n">
        <v>0</v>
      </c>
      <c r="K495" s="13" t="n">
        <v>0</v>
      </c>
      <c r="L495" s="13" t="n">
        <v>51</v>
      </c>
      <c r="M495" s="13" t="n">
        <v>258</v>
      </c>
      <c r="N495" s="13" t="n">
        <v>44</v>
      </c>
      <c r="O495" s="13" t="n">
        <v>62</v>
      </c>
      <c r="P495" s="13" t="n">
        <v>77</v>
      </c>
      <c r="Q495" s="13" t="n">
        <v>57</v>
      </c>
      <c r="R495" s="13" t="n">
        <v>18</v>
      </c>
      <c r="S495" s="13" t="n">
        <v>0</v>
      </c>
      <c r="T495" s="13" t="n">
        <v>0.835</v>
      </c>
      <c r="U495" s="13" t="n">
        <v>3.52</v>
      </c>
      <c r="V495" s="13" t="n">
        <f aca="false">M495-SUM(N495:S495)</f>
        <v>0</v>
      </c>
    </row>
    <row r="496" customFormat="false" ht="15" hidden="false" customHeight="true" outlineLevel="0" collapsed="false">
      <c r="A496" s="13" t="n">
        <v>2025</v>
      </c>
      <c r="B496" s="13" t="s">
        <v>1027</v>
      </c>
      <c r="C496" s="13" t="s">
        <v>121</v>
      </c>
      <c r="D496" s="13" t="s">
        <v>1034</v>
      </c>
      <c r="E496" s="13" t="s">
        <v>122</v>
      </c>
      <c r="F496" s="13" t="s">
        <v>357</v>
      </c>
      <c r="G496" s="13" t="n">
        <v>103</v>
      </c>
      <c r="H496" s="13" t="n">
        <v>0</v>
      </c>
      <c r="I496" s="13" t="n">
        <v>103</v>
      </c>
      <c r="J496" s="13" t="n">
        <v>0</v>
      </c>
      <c r="K496" s="13" t="n">
        <v>0</v>
      </c>
      <c r="L496" s="13" t="n">
        <v>15</v>
      </c>
      <c r="M496" s="13" t="n">
        <v>88</v>
      </c>
      <c r="N496" s="13" t="n">
        <v>5</v>
      </c>
      <c r="O496" s="13" t="n">
        <v>18</v>
      </c>
      <c r="P496" s="13" t="n">
        <v>27</v>
      </c>
      <c r="Q496" s="13" t="n">
        <v>37</v>
      </c>
      <c r="R496" s="13" t="n">
        <v>1</v>
      </c>
      <c r="S496" s="13" t="n">
        <v>0</v>
      </c>
      <c r="T496" s="13" t="n">
        <v>0.8544</v>
      </c>
      <c r="U496" s="13" t="n">
        <v>3.31</v>
      </c>
      <c r="V496" s="13" t="n">
        <f aca="false">M496-SUM(N496:S496)</f>
        <v>0</v>
      </c>
    </row>
    <row r="497" customFormat="false" ht="15" hidden="false" customHeight="true" outlineLevel="0" collapsed="false">
      <c r="A497" s="13" t="n">
        <v>2025</v>
      </c>
      <c r="B497" s="13" t="s">
        <v>1027</v>
      </c>
      <c r="C497" s="13" t="s">
        <v>121</v>
      </c>
      <c r="D497" s="13" t="s">
        <v>1034</v>
      </c>
      <c r="E497" s="13" t="s">
        <v>192</v>
      </c>
      <c r="F497" s="13" t="s">
        <v>652</v>
      </c>
      <c r="G497" s="13" t="n">
        <v>412</v>
      </c>
      <c r="H497" s="13" t="n">
        <v>0</v>
      </c>
      <c r="I497" s="13" t="n">
        <v>412</v>
      </c>
      <c r="J497" s="13" t="n">
        <v>0</v>
      </c>
      <c r="K497" s="13" t="n">
        <v>0</v>
      </c>
      <c r="L497" s="13" t="n">
        <v>66</v>
      </c>
      <c r="M497" s="13" t="n">
        <v>346</v>
      </c>
      <c r="N497" s="13" t="n">
        <v>49</v>
      </c>
      <c r="O497" s="13" t="n">
        <v>80</v>
      </c>
      <c r="P497" s="13" t="n">
        <v>104</v>
      </c>
      <c r="Q497" s="13" t="n">
        <v>94</v>
      </c>
      <c r="R497" s="13" t="n">
        <v>19</v>
      </c>
      <c r="S497" s="13" t="n">
        <v>0</v>
      </c>
      <c r="T497" s="13" t="n">
        <v>0.8398</v>
      </c>
      <c r="U497" s="13" t="n">
        <v>3.47</v>
      </c>
      <c r="V497" s="13" t="n">
        <f aca="false">M497-SUM(N497:S497)</f>
        <v>0</v>
      </c>
    </row>
    <row r="498" customFormat="false" ht="15" hidden="false" customHeight="true" outlineLevel="0" collapsed="false">
      <c r="A498" s="13" t="n">
        <v>2025</v>
      </c>
      <c r="B498" s="13" t="s">
        <v>1027</v>
      </c>
      <c r="C498" s="13" t="s">
        <v>121</v>
      </c>
      <c r="D498" s="13" t="s">
        <v>1035</v>
      </c>
      <c r="E498" s="13" t="s">
        <v>124</v>
      </c>
      <c r="F498" s="13" t="s">
        <v>357</v>
      </c>
      <c r="G498" s="13" t="n">
        <v>1774</v>
      </c>
      <c r="H498" s="13" t="n">
        <v>11</v>
      </c>
      <c r="I498" s="13" t="n">
        <v>1763</v>
      </c>
      <c r="J498" s="13" t="n">
        <v>0</v>
      </c>
      <c r="K498" s="13" t="n">
        <v>0</v>
      </c>
      <c r="L498" s="13" t="n">
        <v>544</v>
      </c>
      <c r="M498" s="13" t="n">
        <v>1219</v>
      </c>
      <c r="N498" s="13" t="n">
        <v>33</v>
      </c>
      <c r="O498" s="13" t="n">
        <v>143</v>
      </c>
      <c r="P498" s="13" t="n">
        <v>374</v>
      </c>
      <c r="Q498" s="13" t="n">
        <v>547</v>
      </c>
      <c r="R498" s="13" t="n">
        <v>122</v>
      </c>
      <c r="S498" s="13" t="n">
        <v>0</v>
      </c>
      <c r="T498" s="13" t="n">
        <v>0.6914</v>
      </c>
      <c r="U498" s="13" t="n">
        <v>2.44</v>
      </c>
      <c r="V498" s="13" t="n">
        <f aca="false">M498-SUM(N498:S498)</f>
        <v>0</v>
      </c>
    </row>
    <row r="499" customFormat="false" ht="15" hidden="false" customHeight="true" outlineLevel="0" collapsed="false">
      <c r="A499" s="13" t="n">
        <v>2025</v>
      </c>
      <c r="B499" s="13" t="s">
        <v>1027</v>
      </c>
      <c r="C499" s="13" t="s">
        <v>121</v>
      </c>
      <c r="D499" s="13" t="s">
        <v>1035</v>
      </c>
      <c r="E499" s="13" t="s">
        <v>122</v>
      </c>
      <c r="F499" s="13" t="s">
        <v>357</v>
      </c>
      <c r="G499" s="13" t="n">
        <v>598</v>
      </c>
      <c r="H499" s="13" t="n">
        <v>4</v>
      </c>
      <c r="I499" s="13" t="n">
        <v>594</v>
      </c>
      <c r="J499" s="13" t="n">
        <v>0</v>
      </c>
      <c r="K499" s="13" t="n">
        <v>0</v>
      </c>
      <c r="L499" s="13" t="n">
        <v>167</v>
      </c>
      <c r="M499" s="13" t="n">
        <v>427</v>
      </c>
      <c r="N499" s="13" t="n">
        <v>8</v>
      </c>
      <c r="O499" s="13" t="n">
        <v>66</v>
      </c>
      <c r="P499" s="13" t="n">
        <v>174</v>
      </c>
      <c r="Q499" s="13" t="n">
        <v>164</v>
      </c>
      <c r="R499" s="13" t="n">
        <v>15</v>
      </c>
      <c r="S499" s="13" t="n">
        <v>0</v>
      </c>
      <c r="T499" s="13" t="n">
        <v>0.7189</v>
      </c>
      <c r="U499" s="13" t="n">
        <v>2.69</v>
      </c>
      <c r="V499" s="13" t="n">
        <f aca="false">M499-SUM(N499:S499)</f>
        <v>0</v>
      </c>
    </row>
    <row r="500" customFormat="false" ht="15" hidden="false" customHeight="true" outlineLevel="0" collapsed="false">
      <c r="A500" s="13" t="n">
        <v>2025</v>
      </c>
      <c r="B500" s="13" t="s">
        <v>1027</v>
      </c>
      <c r="C500" s="13" t="s">
        <v>121</v>
      </c>
      <c r="D500" s="13" t="s">
        <v>1035</v>
      </c>
      <c r="E500" s="13" t="s">
        <v>192</v>
      </c>
      <c r="F500" s="13" t="s">
        <v>652</v>
      </c>
      <c r="G500" s="13" t="n">
        <v>2372</v>
      </c>
      <c r="H500" s="13" t="n">
        <v>15</v>
      </c>
      <c r="I500" s="13" t="n">
        <v>2357</v>
      </c>
      <c r="J500" s="13" t="n">
        <v>0</v>
      </c>
      <c r="K500" s="13" t="n">
        <v>0</v>
      </c>
      <c r="L500" s="13" t="n">
        <v>711</v>
      </c>
      <c r="M500" s="13" t="n">
        <v>1646</v>
      </c>
      <c r="N500" s="13" t="n">
        <v>41</v>
      </c>
      <c r="O500" s="13" t="n">
        <v>209</v>
      </c>
      <c r="P500" s="13" t="n">
        <v>548</v>
      </c>
      <c r="Q500" s="13" t="n">
        <v>711</v>
      </c>
      <c r="R500" s="13" t="n">
        <v>137</v>
      </c>
      <c r="S500" s="13" t="n">
        <v>0</v>
      </c>
      <c r="T500" s="13" t="n">
        <v>0.6983</v>
      </c>
      <c r="U500" s="13" t="n">
        <v>2.5</v>
      </c>
      <c r="V500" s="13" t="n">
        <f aca="false">M500-SUM(N500:S500)</f>
        <v>0</v>
      </c>
    </row>
    <row r="501" customFormat="false" ht="15" hidden="false" customHeight="true" outlineLevel="0" collapsed="false">
      <c r="A501" s="13" t="n">
        <v>2025</v>
      </c>
      <c r="B501" s="13" t="s">
        <v>1027</v>
      </c>
      <c r="C501" s="13" t="s">
        <v>121</v>
      </c>
      <c r="D501" s="13" t="s">
        <v>203</v>
      </c>
      <c r="E501" s="13" t="s">
        <v>124</v>
      </c>
      <c r="F501" s="13" t="s">
        <v>357</v>
      </c>
      <c r="G501" s="13" t="n">
        <v>38</v>
      </c>
      <c r="H501" s="13" t="n">
        <v>0</v>
      </c>
      <c r="I501" s="13" t="n">
        <v>38</v>
      </c>
      <c r="J501" s="13" t="n">
        <v>0</v>
      </c>
      <c r="K501" s="13" t="n">
        <v>0</v>
      </c>
      <c r="L501" s="13" t="n">
        <v>2</v>
      </c>
      <c r="M501" s="13" t="n">
        <v>36</v>
      </c>
      <c r="N501" s="13" t="n">
        <v>0</v>
      </c>
      <c r="O501" s="13" t="n">
        <v>1</v>
      </c>
      <c r="P501" s="13" t="n">
        <v>4</v>
      </c>
      <c r="Q501" s="13" t="n">
        <v>14</v>
      </c>
      <c r="R501" s="13" t="n">
        <v>15</v>
      </c>
      <c r="S501" s="13" t="n">
        <v>2</v>
      </c>
      <c r="T501" s="13" t="n">
        <v>0.9474</v>
      </c>
      <c r="U501" s="13" t="n">
        <v>2.5</v>
      </c>
      <c r="V501" s="13" t="n">
        <f aca="false">M501-SUM(N501:S501)</f>
        <v>0</v>
      </c>
    </row>
    <row r="502" customFormat="false" ht="15" hidden="false" customHeight="true" outlineLevel="0" collapsed="false">
      <c r="A502" s="13" t="n">
        <v>2025</v>
      </c>
      <c r="B502" s="13" t="s">
        <v>1027</v>
      </c>
      <c r="C502" s="13" t="s">
        <v>121</v>
      </c>
      <c r="D502" s="13" t="s">
        <v>203</v>
      </c>
      <c r="E502" s="13" t="s">
        <v>122</v>
      </c>
      <c r="F502" s="13" t="s">
        <v>357</v>
      </c>
      <c r="G502" s="13" t="n">
        <v>1</v>
      </c>
      <c r="H502" s="13" t="n">
        <v>0</v>
      </c>
      <c r="I502" s="13" t="n">
        <v>1</v>
      </c>
      <c r="J502" s="13" t="n">
        <v>0</v>
      </c>
      <c r="K502" s="13" t="n">
        <v>0</v>
      </c>
      <c r="L502" s="13" t="n">
        <v>0</v>
      </c>
      <c r="M502" s="13" t="n">
        <v>1</v>
      </c>
      <c r="N502" s="13" t="n">
        <v>0</v>
      </c>
      <c r="O502" s="13" t="n">
        <v>0</v>
      </c>
      <c r="P502" s="13" t="n">
        <v>1</v>
      </c>
      <c r="Q502" s="13" t="n">
        <v>0</v>
      </c>
      <c r="R502" s="13" t="n">
        <v>0</v>
      </c>
      <c r="S502" s="13" t="n">
        <v>0</v>
      </c>
      <c r="T502" s="13" t="n">
        <v>1</v>
      </c>
      <c r="U502" s="13" t="n">
        <v>4</v>
      </c>
      <c r="V502" s="13" t="n">
        <f aca="false">M502-SUM(N502:S502)</f>
        <v>0</v>
      </c>
    </row>
    <row r="503" customFormat="false" ht="15" hidden="false" customHeight="true" outlineLevel="0" collapsed="false">
      <c r="A503" s="13" t="n">
        <v>2025</v>
      </c>
      <c r="B503" s="13" t="s">
        <v>1027</v>
      </c>
      <c r="C503" s="13" t="s">
        <v>121</v>
      </c>
      <c r="D503" s="13" t="s">
        <v>203</v>
      </c>
      <c r="E503" s="13" t="s">
        <v>192</v>
      </c>
      <c r="F503" s="13" t="s">
        <v>652</v>
      </c>
      <c r="G503" s="13" t="n">
        <v>39</v>
      </c>
      <c r="H503" s="13" t="n">
        <v>0</v>
      </c>
      <c r="I503" s="13" t="n">
        <v>39</v>
      </c>
      <c r="J503" s="13" t="n">
        <v>0</v>
      </c>
      <c r="K503" s="13" t="n">
        <v>0</v>
      </c>
      <c r="L503" s="13" t="n">
        <v>2</v>
      </c>
      <c r="M503" s="13" t="n">
        <v>37</v>
      </c>
      <c r="N503" s="13" t="n">
        <v>0</v>
      </c>
      <c r="O503" s="13" t="n">
        <v>1</v>
      </c>
      <c r="P503" s="13" t="n">
        <v>5</v>
      </c>
      <c r="Q503" s="13" t="n">
        <v>14</v>
      </c>
      <c r="R503" s="13" t="n">
        <v>15</v>
      </c>
      <c r="S503" s="13" t="n">
        <v>2</v>
      </c>
      <c r="T503" s="13" t="n">
        <v>0.9487</v>
      </c>
      <c r="U503" s="13" t="n">
        <v>2.54</v>
      </c>
      <c r="V503" s="13" t="n">
        <f aca="false">M503-SUM(N503:S503)</f>
        <v>0</v>
      </c>
    </row>
    <row r="504" customFormat="false" ht="15" hidden="false" customHeight="true" outlineLevel="0" collapsed="false">
      <c r="A504" s="13" t="n">
        <v>2025</v>
      </c>
      <c r="B504" s="13" t="s">
        <v>1027</v>
      </c>
      <c r="C504" s="13" t="s">
        <v>121</v>
      </c>
      <c r="D504" s="13" t="s">
        <v>1037</v>
      </c>
      <c r="E504" s="13" t="s">
        <v>192</v>
      </c>
      <c r="F504" s="13" t="s">
        <v>1038</v>
      </c>
      <c r="G504" s="13" t="n">
        <v>10933</v>
      </c>
      <c r="H504" s="13" t="n">
        <v>51</v>
      </c>
      <c r="I504" s="13" t="n">
        <v>10882</v>
      </c>
      <c r="J504" s="13" t="n">
        <v>0</v>
      </c>
      <c r="K504" s="13" t="n">
        <v>11</v>
      </c>
      <c r="L504" s="13" t="n">
        <v>1671</v>
      </c>
      <c r="M504" s="13" t="n">
        <v>9200</v>
      </c>
      <c r="N504" s="13" t="n">
        <v>539</v>
      </c>
      <c r="O504" s="13" t="n">
        <v>1062</v>
      </c>
      <c r="P504" s="13" t="n">
        <v>2448</v>
      </c>
      <c r="Q504" s="13" t="n">
        <v>3391</v>
      </c>
      <c r="R504" s="13" t="n">
        <v>1658</v>
      </c>
      <c r="S504" s="13" t="n">
        <v>102</v>
      </c>
      <c r="T504" s="13" t="n">
        <v>0.8454</v>
      </c>
      <c r="U504" s="13" t="n">
        <v>2.93</v>
      </c>
      <c r="V504" s="13" t="n">
        <f aca="false">M504-SUM(N504:S504)</f>
        <v>0</v>
      </c>
    </row>
    <row r="505" customFormat="false" ht="15" hidden="false" customHeight="true" outlineLevel="0" collapsed="false">
      <c r="A505" s="13" t="n">
        <v>2025</v>
      </c>
      <c r="B505" s="13" t="s">
        <v>1027</v>
      </c>
      <c r="C505" s="13" t="s">
        <v>125</v>
      </c>
      <c r="D505" s="13" t="s">
        <v>128</v>
      </c>
      <c r="E505" s="13" t="s">
        <v>124</v>
      </c>
      <c r="F505" s="13" t="s">
        <v>357</v>
      </c>
      <c r="G505" s="13" t="n">
        <v>543</v>
      </c>
      <c r="H505" s="13" t="n">
        <v>16</v>
      </c>
      <c r="I505" s="13" t="n">
        <v>527</v>
      </c>
      <c r="J505" s="13" t="n">
        <v>88</v>
      </c>
      <c r="K505" s="13" t="n">
        <v>6</v>
      </c>
      <c r="L505" s="13" t="n">
        <v>216</v>
      </c>
      <c r="M505" s="13" t="n">
        <v>305</v>
      </c>
      <c r="N505" s="13" t="n">
        <v>0</v>
      </c>
      <c r="O505" s="13" t="n">
        <v>9</v>
      </c>
      <c r="P505" s="13" t="n">
        <v>33</v>
      </c>
      <c r="Q505" s="13" t="n">
        <v>72</v>
      </c>
      <c r="R505" s="13" t="n">
        <v>141</v>
      </c>
      <c r="S505" s="13" t="n">
        <v>45</v>
      </c>
      <c r="T505" s="13" t="n">
        <v>0.5787</v>
      </c>
      <c r="U505" s="13" t="n">
        <v>1.37</v>
      </c>
      <c r="V505" s="13" t="n">
        <f aca="false">M505-SUM(N505:S505)</f>
        <v>5</v>
      </c>
    </row>
    <row r="506" customFormat="false" ht="15" hidden="false" customHeight="true" outlineLevel="0" collapsed="false">
      <c r="A506" s="13" t="n">
        <v>2025</v>
      </c>
      <c r="B506" s="13" t="s">
        <v>1027</v>
      </c>
      <c r="C506" s="13" t="s">
        <v>125</v>
      </c>
      <c r="D506" s="13" t="s">
        <v>128</v>
      </c>
      <c r="E506" s="13" t="s">
        <v>122</v>
      </c>
      <c r="F506" s="13" t="s">
        <v>357</v>
      </c>
      <c r="G506" s="13" t="n">
        <v>679</v>
      </c>
      <c r="H506" s="13" t="n">
        <v>11</v>
      </c>
      <c r="I506" s="13" t="n">
        <v>668</v>
      </c>
      <c r="J506" s="13" t="n">
        <v>61</v>
      </c>
      <c r="K506" s="13" t="n">
        <v>1</v>
      </c>
      <c r="L506" s="13" t="n">
        <v>182</v>
      </c>
      <c r="M506" s="13" t="n">
        <v>485</v>
      </c>
      <c r="N506" s="13" t="n">
        <v>0</v>
      </c>
      <c r="O506" s="13" t="n">
        <v>5</v>
      </c>
      <c r="P506" s="13" t="n">
        <v>31</v>
      </c>
      <c r="Q506" s="13" t="n">
        <v>142</v>
      </c>
      <c r="R506" s="13" t="n">
        <v>257</v>
      </c>
      <c r="S506" s="13" t="n">
        <v>50</v>
      </c>
      <c r="T506" s="13" t="n">
        <v>0.726</v>
      </c>
      <c r="U506" s="13" t="n">
        <v>1.71</v>
      </c>
      <c r="V506" s="13" t="n">
        <f aca="false">M506-SUM(N506:S506)</f>
        <v>0</v>
      </c>
    </row>
    <row r="507" customFormat="false" ht="15" hidden="false" customHeight="true" outlineLevel="0" collapsed="false">
      <c r="A507" s="13" t="n">
        <v>2025</v>
      </c>
      <c r="B507" s="13" t="s">
        <v>1027</v>
      </c>
      <c r="C507" s="13" t="s">
        <v>125</v>
      </c>
      <c r="D507" s="13" t="s">
        <v>128</v>
      </c>
      <c r="E507" s="13" t="s">
        <v>192</v>
      </c>
      <c r="F507" s="13" t="s">
        <v>652</v>
      </c>
      <c r="G507" s="13" t="n">
        <v>1222</v>
      </c>
      <c r="H507" s="13" t="n">
        <v>27</v>
      </c>
      <c r="I507" s="13" t="n">
        <v>1195</v>
      </c>
      <c r="J507" s="13" t="n">
        <v>149</v>
      </c>
      <c r="K507" s="13" t="n">
        <v>7</v>
      </c>
      <c r="L507" s="13" t="n">
        <v>398</v>
      </c>
      <c r="M507" s="13" t="n">
        <v>790</v>
      </c>
      <c r="N507" s="13" t="n">
        <v>0</v>
      </c>
      <c r="O507" s="13" t="n">
        <v>14</v>
      </c>
      <c r="P507" s="13" t="n">
        <v>64</v>
      </c>
      <c r="Q507" s="13" t="n">
        <v>214</v>
      </c>
      <c r="R507" s="13" t="n">
        <v>398</v>
      </c>
      <c r="S507" s="13" t="n">
        <v>95</v>
      </c>
      <c r="T507" s="13" t="n">
        <v>0.6611</v>
      </c>
      <c r="U507" s="13" t="n">
        <v>1.56</v>
      </c>
      <c r="V507" s="13" t="n">
        <f aca="false">M507-SUM(N507:S507)</f>
        <v>5</v>
      </c>
    </row>
    <row r="508" customFormat="false" ht="15" hidden="false" customHeight="true" outlineLevel="0" collapsed="false">
      <c r="A508" s="13" t="n">
        <v>2025</v>
      </c>
      <c r="B508" s="13" t="s">
        <v>1027</v>
      </c>
      <c r="C508" s="13" t="s">
        <v>125</v>
      </c>
      <c r="D508" s="13" t="s">
        <v>1033</v>
      </c>
      <c r="E508" s="13" t="s">
        <v>124</v>
      </c>
      <c r="F508" s="13" t="s">
        <v>357</v>
      </c>
      <c r="G508" s="13" t="n">
        <v>259</v>
      </c>
      <c r="H508" s="13" t="n">
        <v>16</v>
      </c>
      <c r="I508" s="13" t="n">
        <v>243</v>
      </c>
      <c r="J508" s="13" t="n">
        <v>19</v>
      </c>
      <c r="K508" s="13" t="n">
        <v>1</v>
      </c>
      <c r="L508" s="13" t="n">
        <v>39</v>
      </c>
      <c r="M508" s="13" t="n">
        <v>203</v>
      </c>
      <c r="N508" s="13" t="n">
        <v>114</v>
      </c>
      <c r="O508" s="13" t="n">
        <v>22</v>
      </c>
      <c r="P508" s="13" t="n">
        <v>18</v>
      </c>
      <c r="Q508" s="13" t="n">
        <v>29</v>
      </c>
      <c r="R508" s="13" t="n">
        <v>20</v>
      </c>
      <c r="S508" s="13" t="n">
        <v>0</v>
      </c>
      <c r="T508" s="13" t="n">
        <v>0.8354</v>
      </c>
      <c r="U508" s="13" t="n">
        <v>4.09</v>
      </c>
      <c r="V508" s="13" t="n">
        <f aca="false">M508-SUM(N508:S508)</f>
        <v>0</v>
      </c>
    </row>
    <row r="509" customFormat="false" ht="15" hidden="false" customHeight="true" outlineLevel="0" collapsed="false">
      <c r="A509" s="13" t="n">
        <v>2025</v>
      </c>
      <c r="B509" s="13" t="s">
        <v>1027</v>
      </c>
      <c r="C509" s="13" t="s">
        <v>125</v>
      </c>
      <c r="D509" s="13" t="s">
        <v>1033</v>
      </c>
      <c r="E509" s="13" t="s">
        <v>122</v>
      </c>
      <c r="F509" s="13" t="s">
        <v>357</v>
      </c>
      <c r="G509" s="13" t="n">
        <v>441</v>
      </c>
      <c r="H509" s="13" t="n">
        <v>30</v>
      </c>
      <c r="I509" s="13" t="n">
        <v>411</v>
      </c>
      <c r="J509" s="13" t="n">
        <v>24</v>
      </c>
      <c r="K509" s="13" t="n">
        <v>1</v>
      </c>
      <c r="L509" s="13" t="n">
        <v>43</v>
      </c>
      <c r="M509" s="13" t="n">
        <v>367</v>
      </c>
      <c r="N509" s="13" t="n">
        <v>190</v>
      </c>
      <c r="O509" s="13" t="n">
        <v>66</v>
      </c>
      <c r="P509" s="13" t="n">
        <v>48</v>
      </c>
      <c r="Q509" s="13" t="n">
        <v>44</v>
      </c>
      <c r="R509" s="13" t="n">
        <v>19</v>
      </c>
      <c r="S509" s="13" t="n">
        <v>0</v>
      </c>
      <c r="T509" s="13" t="n">
        <v>0.8929</v>
      </c>
      <c r="U509" s="13" t="n">
        <v>4.46</v>
      </c>
      <c r="V509" s="13" t="n">
        <f aca="false">M509-SUM(N509:S509)</f>
        <v>0</v>
      </c>
    </row>
    <row r="510" customFormat="false" ht="15" hidden="false" customHeight="true" outlineLevel="0" collapsed="false">
      <c r="A510" s="13" t="n">
        <v>2025</v>
      </c>
      <c r="B510" s="13" t="s">
        <v>1027</v>
      </c>
      <c r="C510" s="13" t="s">
        <v>125</v>
      </c>
      <c r="D510" s="13" t="s">
        <v>1033</v>
      </c>
      <c r="E510" s="13" t="s">
        <v>192</v>
      </c>
      <c r="F510" s="13" t="s">
        <v>652</v>
      </c>
      <c r="G510" s="13" t="n">
        <v>700</v>
      </c>
      <c r="H510" s="13" t="n">
        <v>46</v>
      </c>
      <c r="I510" s="13" t="n">
        <v>654</v>
      </c>
      <c r="J510" s="13" t="n">
        <v>43</v>
      </c>
      <c r="K510" s="13" t="n">
        <v>2</v>
      </c>
      <c r="L510" s="13" t="n">
        <v>82</v>
      </c>
      <c r="M510" s="13" t="n">
        <v>570</v>
      </c>
      <c r="N510" s="13" t="n">
        <v>304</v>
      </c>
      <c r="O510" s="13" t="n">
        <v>88</v>
      </c>
      <c r="P510" s="13" t="n">
        <v>66</v>
      </c>
      <c r="Q510" s="13" t="n">
        <v>73</v>
      </c>
      <c r="R510" s="13" t="n">
        <v>39</v>
      </c>
      <c r="S510" s="13" t="n">
        <v>0</v>
      </c>
      <c r="T510" s="13" t="n">
        <v>0.8716</v>
      </c>
      <c r="U510" s="13" t="n">
        <v>4.32</v>
      </c>
      <c r="V510" s="13" t="n">
        <f aca="false">M510-SUM(N510:S510)</f>
        <v>0</v>
      </c>
    </row>
    <row r="511" customFormat="false" ht="15" hidden="false" customHeight="true" outlineLevel="0" collapsed="false">
      <c r="A511" s="13" t="n">
        <v>2025</v>
      </c>
      <c r="B511" s="13" t="s">
        <v>1027</v>
      </c>
      <c r="C511" s="13" t="s">
        <v>125</v>
      </c>
      <c r="D511" s="13" t="s">
        <v>1034</v>
      </c>
      <c r="E511" s="13" t="s">
        <v>124</v>
      </c>
      <c r="F511" s="13" t="s">
        <v>357</v>
      </c>
      <c r="G511" s="13" t="n">
        <v>58</v>
      </c>
      <c r="H511" s="13" t="n">
        <v>3</v>
      </c>
      <c r="I511" s="13" t="n">
        <v>55</v>
      </c>
      <c r="J511" s="13" t="n">
        <v>9</v>
      </c>
      <c r="K511" s="13" t="n">
        <v>0</v>
      </c>
      <c r="L511" s="13" t="n">
        <v>26</v>
      </c>
      <c r="M511" s="13" t="n">
        <v>29</v>
      </c>
      <c r="N511" s="13" t="n">
        <v>2</v>
      </c>
      <c r="O511" s="13" t="n">
        <v>6</v>
      </c>
      <c r="P511" s="13" t="n">
        <v>4</v>
      </c>
      <c r="Q511" s="13" t="n">
        <v>14</v>
      </c>
      <c r="R511" s="13" t="n">
        <v>3</v>
      </c>
      <c r="S511" s="13" t="n">
        <v>0</v>
      </c>
      <c r="T511" s="13" t="n">
        <v>0.5273</v>
      </c>
      <c r="U511" s="13" t="n">
        <v>1.93</v>
      </c>
      <c r="V511" s="13" t="n">
        <f aca="false">M511-SUM(N511:S511)</f>
        <v>0</v>
      </c>
    </row>
    <row r="512" customFormat="false" ht="15" hidden="false" customHeight="true" outlineLevel="0" collapsed="false">
      <c r="A512" s="13" t="n">
        <v>2025</v>
      </c>
      <c r="B512" s="13" t="s">
        <v>1027</v>
      </c>
      <c r="C512" s="13" t="s">
        <v>125</v>
      </c>
      <c r="D512" s="13" t="s">
        <v>1034</v>
      </c>
      <c r="E512" s="13" t="s">
        <v>122</v>
      </c>
      <c r="F512" s="13" t="s">
        <v>357</v>
      </c>
      <c r="G512" s="13" t="n">
        <v>13</v>
      </c>
      <c r="H512" s="13" t="n">
        <v>0</v>
      </c>
      <c r="I512" s="13" t="n">
        <v>13</v>
      </c>
      <c r="J512" s="13" t="n">
        <v>0</v>
      </c>
      <c r="K512" s="13" t="n">
        <v>0</v>
      </c>
      <c r="L512" s="13" t="n">
        <v>5</v>
      </c>
      <c r="M512" s="13" t="n">
        <v>8</v>
      </c>
      <c r="N512" s="13" t="n">
        <v>0</v>
      </c>
      <c r="O512" s="13" t="n">
        <v>2</v>
      </c>
      <c r="P512" s="13" t="n">
        <v>3</v>
      </c>
      <c r="Q512" s="13" t="n">
        <v>3</v>
      </c>
      <c r="R512" s="13" t="n">
        <v>0</v>
      </c>
      <c r="S512" s="13" t="n">
        <v>0</v>
      </c>
      <c r="T512" s="13" t="n">
        <v>0.6154</v>
      </c>
      <c r="U512" s="13" t="n">
        <v>2.38</v>
      </c>
      <c r="V512" s="13" t="n">
        <f aca="false">M512-SUM(N512:S512)</f>
        <v>0</v>
      </c>
    </row>
    <row r="513" customFormat="false" ht="15" hidden="false" customHeight="true" outlineLevel="0" collapsed="false">
      <c r="A513" s="13" t="n">
        <v>2025</v>
      </c>
      <c r="B513" s="13" t="s">
        <v>1027</v>
      </c>
      <c r="C513" s="13" t="s">
        <v>125</v>
      </c>
      <c r="D513" s="13" t="s">
        <v>1034</v>
      </c>
      <c r="E513" s="13" t="s">
        <v>192</v>
      </c>
      <c r="F513" s="13" t="s">
        <v>652</v>
      </c>
      <c r="G513" s="13" t="n">
        <v>71</v>
      </c>
      <c r="H513" s="13" t="n">
        <v>3</v>
      </c>
      <c r="I513" s="13" t="n">
        <v>68</v>
      </c>
      <c r="J513" s="13" t="n">
        <v>9</v>
      </c>
      <c r="K513" s="13" t="n">
        <v>0</v>
      </c>
      <c r="L513" s="13" t="n">
        <v>31</v>
      </c>
      <c r="M513" s="13" t="n">
        <v>37</v>
      </c>
      <c r="N513" s="13" t="n">
        <v>2</v>
      </c>
      <c r="O513" s="13" t="n">
        <v>8</v>
      </c>
      <c r="P513" s="13" t="n">
        <v>7</v>
      </c>
      <c r="Q513" s="13" t="n">
        <v>17</v>
      </c>
      <c r="R513" s="13" t="n">
        <v>3</v>
      </c>
      <c r="S513" s="13" t="n">
        <v>0</v>
      </c>
      <c r="T513" s="13" t="n">
        <v>0.5441</v>
      </c>
      <c r="U513" s="13" t="n">
        <v>2.01</v>
      </c>
      <c r="V513" s="13" t="n">
        <f aca="false">M513-SUM(N513:S513)</f>
        <v>0</v>
      </c>
    </row>
    <row r="514" customFormat="false" ht="15" hidden="false" customHeight="true" outlineLevel="0" collapsed="false">
      <c r="A514" s="13" t="n">
        <v>2025</v>
      </c>
      <c r="B514" s="13" t="s">
        <v>1027</v>
      </c>
      <c r="C514" s="13" t="s">
        <v>125</v>
      </c>
      <c r="D514" s="13" t="s">
        <v>1035</v>
      </c>
      <c r="E514" s="13" t="s">
        <v>124</v>
      </c>
      <c r="F514" s="13" t="s">
        <v>357</v>
      </c>
      <c r="G514" s="13" t="n">
        <v>322</v>
      </c>
      <c r="H514" s="13" t="n">
        <v>16</v>
      </c>
      <c r="I514" s="13" t="n">
        <v>306</v>
      </c>
      <c r="J514" s="13" t="n">
        <v>35</v>
      </c>
      <c r="K514" s="13" t="n">
        <v>3</v>
      </c>
      <c r="L514" s="13" t="n">
        <v>190</v>
      </c>
      <c r="M514" s="13" t="n">
        <v>113</v>
      </c>
      <c r="N514" s="13" t="n">
        <v>0</v>
      </c>
      <c r="O514" s="13" t="n">
        <v>8</v>
      </c>
      <c r="P514" s="13" t="n">
        <v>17</v>
      </c>
      <c r="Q514" s="13" t="n">
        <v>56</v>
      </c>
      <c r="R514" s="13" t="n">
        <v>32</v>
      </c>
      <c r="S514" s="13" t="n">
        <v>0</v>
      </c>
      <c r="T514" s="13" t="n">
        <v>0.3693</v>
      </c>
      <c r="U514" s="13" t="n">
        <v>1.11</v>
      </c>
      <c r="V514" s="13" t="n">
        <f aca="false">M514-SUM(N514:S514)</f>
        <v>0</v>
      </c>
    </row>
    <row r="515" customFormat="false" ht="15" hidden="false" customHeight="true" outlineLevel="0" collapsed="false">
      <c r="A515" s="13" t="n">
        <v>2025</v>
      </c>
      <c r="B515" s="13" t="s">
        <v>1027</v>
      </c>
      <c r="C515" s="13" t="s">
        <v>125</v>
      </c>
      <c r="D515" s="13" t="s">
        <v>1035</v>
      </c>
      <c r="E515" s="13" t="s">
        <v>122</v>
      </c>
      <c r="F515" s="13" t="s">
        <v>357</v>
      </c>
      <c r="G515" s="13" t="n">
        <v>67</v>
      </c>
      <c r="H515" s="13" t="n">
        <v>4</v>
      </c>
      <c r="I515" s="13" t="n">
        <v>63</v>
      </c>
      <c r="J515" s="13" t="n">
        <v>5</v>
      </c>
      <c r="K515" s="13" t="n">
        <v>0</v>
      </c>
      <c r="L515" s="13" t="n">
        <v>42</v>
      </c>
      <c r="M515" s="13" t="n">
        <v>21</v>
      </c>
      <c r="N515" s="13" t="n">
        <v>0</v>
      </c>
      <c r="O515" s="13" t="n">
        <v>0</v>
      </c>
      <c r="P515" s="13" t="n">
        <v>7</v>
      </c>
      <c r="Q515" s="13" t="n">
        <v>12</v>
      </c>
      <c r="R515" s="13" t="n">
        <v>2</v>
      </c>
      <c r="S515" s="13" t="n">
        <v>0</v>
      </c>
      <c r="T515" s="13" t="n">
        <v>0.3333</v>
      </c>
      <c r="U515" s="13" t="n">
        <v>1.08</v>
      </c>
      <c r="V515" s="13" t="n">
        <f aca="false">M515-SUM(N515:S515)</f>
        <v>0</v>
      </c>
    </row>
    <row r="516" customFormat="false" ht="15" hidden="false" customHeight="true" outlineLevel="0" collapsed="false">
      <c r="A516" s="13" t="n">
        <v>2025</v>
      </c>
      <c r="B516" s="13" t="s">
        <v>1027</v>
      </c>
      <c r="C516" s="13" t="s">
        <v>125</v>
      </c>
      <c r="D516" s="13" t="s">
        <v>1035</v>
      </c>
      <c r="E516" s="13" t="s">
        <v>192</v>
      </c>
      <c r="F516" s="13" t="s">
        <v>652</v>
      </c>
      <c r="G516" s="13" t="n">
        <v>389</v>
      </c>
      <c r="H516" s="13" t="n">
        <v>20</v>
      </c>
      <c r="I516" s="13" t="n">
        <v>369</v>
      </c>
      <c r="J516" s="13" t="n">
        <v>40</v>
      </c>
      <c r="K516" s="13" t="n">
        <v>3</v>
      </c>
      <c r="L516" s="13" t="n">
        <v>232</v>
      </c>
      <c r="M516" s="13" t="n">
        <v>134</v>
      </c>
      <c r="N516" s="13" t="n">
        <v>0</v>
      </c>
      <c r="O516" s="13" t="n">
        <v>8</v>
      </c>
      <c r="P516" s="13" t="n">
        <v>24</v>
      </c>
      <c r="Q516" s="13" t="n">
        <v>68</v>
      </c>
      <c r="R516" s="13" t="n">
        <v>34</v>
      </c>
      <c r="S516" s="13" t="n">
        <v>0</v>
      </c>
      <c r="T516" s="13" t="n">
        <v>0.3631</v>
      </c>
      <c r="U516" s="13" t="n">
        <v>1.11</v>
      </c>
      <c r="V516" s="13" t="n">
        <f aca="false">M516-SUM(N516:S516)</f>
        <v>0</v>
      </c>
    </row>
    <row r="517" customFormat="false" ht="15" hidden="false" customHeight="true" outlineLevel="0" collapsed="false">
      <c r="A517" s="13" t="n">
        <v>2025</v>
      </c>
      <c r="B517" s="13" t="s">
        <v>1027</v>
      </c>
      <c r="C517" s="13" t="s">
        <v>125</v>
      </c>
      <c r="D517" s="13" t="s">
        <v>203</v>
      </c>
      <c r="E517" s="13" t="s">
        <v>124</v>
      </c>
      <c r="F517" s="13" t="s">
        <v>357</v>
      </c>
      <c r="G517" s="13" t="n">
        <v>7</v>
      </c>
      <c r="H517" s="13" t="n">
        <v>0</v>
      </c>
      <c r="I517" s="13" t="n">
        <v>7</v>
      </c>
      <c r="J517" s="13" t="n">
        <v>0</v>
      </c>
      <c r="K517" s="13" t="n">
        <v>1</v>
      </c>
      <c r="L517" s="13" t="n">
        <v>4</v>
      </c>
      <c r="M517" s="13" t="n">
        <v>2</v>
      </c>
      <c r="N517" s="13" t="n">
        <v>0</v>
      </c>
      <c r="O517" s="13" t="n">
        <v>0</v>
      </c>
      <c r="P517" s="13" t="n">
        <v>0</v>
      </c>
      <c r="Q517" s="13" t="n">
        <v>2</v>
      </c>
      <c r="R517" s="13" t="n">
        <v>0</v>
      </c>
      <c r="S517" s="13" t="n">
        <v>0</v>
      </c>
      <c r="T517" s="13" t="n">
        <v>0.2857</v>
      </c>
      <c r="U517" s="13" t="n">
        <v>0.86</v>
      </c>
      <c r="V517" s="13" t="n">
        <f aca="false">M517-SUM(N517:S517)</f>
        <v>0</v>
      </c>
    </row>
    <row r="518" customFormat="false" ht="15" hidden="false" customHeight="true" outlineLevel="0" collapsed="false">
      <c r="A518" s="13" t="n">
        <v>2025</v>
      </c>
      <c r="B518" s="13" t="s">
        <v>1027</v>
      </c>
      <c r="C518" s="13" t="s">
        <v>125</v>
      </c>
      <c r="D518" s="13" t="s">
        <v>203</v>
      </c>
      <c r="E518" s="13" t="s">
        <v>192</v>
      </c>
      <c r="F518" s="13" t="s">
        <v>652</v>
      </c>
      <c r="G518" s="13" t="n">
        <v>7</v>
      </c>
      <c r="H518" s="13" t="n">
        <v>0</v>
      </c>
      <c r="I518" s="13" t="n">
        <v>7</v>
      </c>
      <c r="J518" s="13" t="n">
        <v>0</v>
      </c>
      <c r="K518" s="13" t="n">
        <v>1</v>
      </c>
      <c r="L518" s="13" t="n">
        <v>4</v>
      </c>
      <c r="M518" s="13" t="n">
        <v>2</v>
      </c>
      <c r="N518" s="13" t="n">
        <v>0</v>
      </c>
      <c r="O518" s="13" t="n">
        <v>0</v>
      </c>
      <c r="P518" s="13" t="n">
        <v>0</v>
      </c>
      <c r="Q518" s="13" t="n">
        <v>2</v>
      </c>
      <c r="R518" s="13" t="n">
        <v>0</v>
      </c>
      <c r="S518" s="13" t="n">
        <v>0</v>
      </c>
      <c r="T518" s="13" t="n">
        <v>0.2857</v>
      </c>
      <c r="U518" s="13" t="n">
        <v>0.86</v>
      </c>
      <c r="V518" s="13" t="n">
        <f aca="false">M518-SUM(N518:S518)</f>
        <v>0</v>
      </c>
    </row>
    <row r="519" customFormat="false" ht="15" hidden="false" customHeight="true" outlineLevel="0" collapsed="false">
      <c r="A519" s="13" t="n">
        <v>2025</v>
      </c>
      <c r="B519" s="13" t="s">
        <v>1027</v>
      </c>
      <c r="C519" s="13" t="s">
        <v>125</v>
      </c>
      <c r="D519" s="13" t="s">
        <v>1037</v>
      </c>
      <c r="E519" s="13" t="s">
        <v>192</v>
      </c>
      <c r="F519" s="13" t="s">
        <v>1038</v>
      </c>
      <c r="G519" s="13" t="n">
        <v>2389</v>
      </c>
      <c r="H519" s="13" t="n">
        <v>96</v>
      </c>
      <c r="I519" s="13" t="n">
        <v>2293</v>
      </c>
      <c r="J519" s="13" t="n">
        <v>241</v>
      </c>
      <c r="K519" s="13" t="n">
        <v>13</v>
      </c>
      <c r="L519" s="13" t="n">
        <v>747</v>
      </c>
      <c r="M519" s="13" t="n">
        <v>1533</v>
      </c>
      <c r="N519" s="13" t="n">
        <v>306</v>
      </c>
      <c r="O519" s="13" t="n">
        <v>118</v>
      </c>
      <c r="P519" s="13" t="n">
        <v>161</v>
      </c>
      <c r="Q519" s="13" t="n">
        <v>374</v>
      </c>
      <c r="R519" s="13" t="n">
        <v>474</v>
      </c>
      <c r="S519" s="13" t="n">
        <v>95</v>
      </c>
      <c r="T519" s="13" t="n">
        <v>0.6686</v>
      </c>
      <c r="U519" s="13" t="n">
        <v>2.28</v>
      </c>
      <c r="V519" s="13" t="n">
        <f aca="false">M519-SUM(N519:S519)</f>
        <v>5</v>
      </c>
    </row>
    <row r="520" customFormat="false" ht="15" hidden="false" customHeight="true" outlineLevel="0" collapsed="false">
      <c r="A520" s="13" t="n">
        <v>2025</v>
      </c>
      <c r="B520" s="13" t="s">
        <v>1027</v>
      </c>
      <c r="C520" s="13" t="s">
        <v>125</v>
      </c>
      <c r="D520" s="13" t="s">
        <v>1037</v>
      </c>
      <c r="E520" s="13" t="s">
        <v>192</v>
      </c>
      <c r="F520" s="13" t="s">
        <v>137</v>
      </c>
      <c r="G520" s="13" t="n">
        <v>13322</v>
      </c>
      <c r="H520" s="13" t="n">
        <v>147</v>
      </c>
      <c r="I520" s="13" t="n">
        <v>13175</v>
      </c>
      <c r="J520" s="13" t="n">
        <v>241</v>
      </c>
      <c r="K520" s="13" t="n">
        <v>24</v>
      </c>
      <c r="L520" s="13" t="n">
        <v>2418</v>
      </c>
      <c r="M520" s="13" t="n">
        <v>10733</v>
      </c>
      <c r="N520" s="13" t="n">
        <v>845</v>
      </c>
      <c r="O520" s="13" t="n">
        <v>1180</v>
      </c>
      <c r="P520" s="13" t="n">
        <v>2609</v>
      </c>
      <c r="Q520" s="13" t="n">
        <v>3765</v>
      </c>
      <c r="R520" s="13" t="n">
        <v>2132</v>
      </c>
      <c r="S520" s="13" t="n">
        <v>197</v>
      </c>
      <c r="T520" s="13" t="n">
        <v>0.8298</v>
      </c>
      <c r="U520" s="13" t="n">
        <v>2.87</v>
      </c>
      <c r="V520" s="13" t="n">
        <f aca="false">M520-SUM(N520:S520)</f>
        <v>5</v>
      </c>
    </row>
    <row r="521" customFormat="false" ht="15" hidden="false" customHeight="true" outlineLevel="0" collapsed="false">
      <c r="A521" s="13" t="n">
        <v>2025</v>
      </c>
      <c r="B521" s="13" t="s">
        <v>1028</v>
      </c>
      <c r="C521" s="13" t="s">
        <v>121</v>
      </c>
      <c r="D521" s="13" t="s">
        <v>128</v>
      </c>
      <c r="E521" s="13" t="s">
        <v>124</v>
      </c>
      <c r="F521" s="13" t="s">
        <v>357</v>
      </c>
      <c r="G521" s="13" t="n">
        <v>18</v>
      </c>
      <c r="H521" s="13" t="n">
        <v>0</v>
      </c>
      <c r="I521" s="13" t="n">
        <v>18</v>
      </c>
      <c r="J521" s="13" t="n">
        <v>0</v>
      </c>
      <c r="K521" s="13" t="n">
        <v>0</v>
      </c>
      <c r="L521" s="13" t="n">
        <v>2</v>
      </c>
      <c r="M521" s="13" t="n">
        <v>16</v>
      </c>
      <c r="N521" s="13" t="n">
        <v>0</v>
      </c>
      <c r="O521" s="13" t="n">
        <v>0</v>
      </c>
      <c r="P521" s="13" t="n">
        <v>2</v>
      </c>
      <c r="Q521" s="13" t="n">
        <v>6</v>
      </c>
      <c r="R521" s="13" t="n">
        <v>8</v>
      </c>
      <c r="S521" s="13" t="n">
        <v>0</v>
      </c>
      <c r="T521" s="13" t="n">
        <v>0.8889</v>
      </c>
      <c r="U521" s="13" t="n">
        <v>2.33</v>
      </c>
      <c r="V521" s="13" t="n">
        <f aca="false">M521-SUM(N521:S521)</f>
        <v>0</v>
      </c>
    </row>
    <row r="522" customFormat="false" ht="15" hidden="false" customHeight="true" outlineLevel="0" collapsed="false">
      <c r="A522" s="13" t="n">
        <v>2025</v>
      </c>
      <c r="B522" s="13" t="s">
        <v>1028</v>
      </c>
      <c r="C522" s="13" t="s">
        <v>121</v>
      </c>
      <c r="D522" s="13" t="s">
        <v>128</v>
      </c>
      <c r="E522" s="13" t="s">
        <v>122</v>
      </c>
      <c r="F522" s="13" t="s">
        <v>357</v>
      </c>
      <c r="G522" s="13" t="n">
        <v>114</v>
      </c>
      <c r="H522" s="13" t="n">
        <v>0</v>
      </c>
      <c r="I522" s="13" t="n">
        <v>114</v>
      </c>
      <c r="J522" s="13" t="n">
        <v>2</v>
      </c>
      <c r="K522" s="13" t="n">
        <v>0</v>
      </c>
      <c r="L522" s="13" t="n">
        <v>5</v>
      </c>
      <c r="M522" s="13" t="n">
        <v>109</v>
      </c>
      <c r="N522" s="13" t="n">
        <v>8</v>
      </c>
      <c r="O522" s="13" t="n">
        <v>25</v>
      </c>
      <c r="P522" s="13" t="n">
        <v>39</v>
      </c>
      <c r="Q522" s="13" t="n">
        <v>29</v>
      </c>
      <c r="R522" s="13" t="n">
        <v>7</v>
      </c>
      <c r="S522" s="13" t="n">
        <v>1</v>
      </c>
      <c r="T522" s="13" t="n">
        <v>0.9561</v>
      </c>
      <c r="U522" s="13" t="n">
        <v>3.78</v>
      </c>
      <c r="V522" s="13" t="n">
        <f aca="false">M522-SUM(N522:S522)</f>
        <v>0</v>
      </c>
    </row>
    <row r="523" customFormat="false" ht="15" hidden="false" customHeight="true" outlineLevel="0" collapsed="false">
      <c r="A523" s="13" t="n">
        <v>2025</v>
      </c>
      <c r="B523" s="13" t="s">
        <v>1028</v>
      </c>
      <c r="C523" s="13" t="s">
        <v>121</v>
      </c>
      <c r="D523" s="13" t="s">
        <v>128</v>
      </c>
      <c r="E523" s="13" t="s">
        <v>192</v>
      </c>
      <c r="F523" s="13" t="s">
        <v>652</v>
      </c>
      <c r="G523" s="13" t="n">
        <v>132</v>
      </c>
      <c r="H523" s="13" t="n">
        <v>0</v>
      </c>
      <c r="I523" s="13" t="n">
        <v>132</v>
      </c>
      <c r="J523" s="13" t="n">
        <v>2</v>
      </c>
      <c r="K523" s="13" t="n">
        <v>0</v>
      </c>
      <c r="L523" s="13" t="n">
        <v>7</v>
      </c>
      <c r="M523" s="13" t="n">
        <v>125</v>
      </c>
      <c r="N523" s="13" t="n">
        <v>8</v>
      </c>
      <c r="O523" s="13" t="n">
        <v>25</v>
      </c>
      <c r="P523" s="13" t="n">
        <v>41</v>
      </c>
      <c r="Q523" s="13" t="n">
        <v>35</v>
      </c>
      <c r="R523" s="13" t="n">
        <v>15</v>
      </c>
      <c r="S523" s="13" t="n">
        <v>1</v>
      </c>
      <c r="T523" s="13" t="n">
        <v>0.947</v>
      </c>
      <c r="U523" s="13" t="n">
        <v>3.58</v>
      </c>
      <c r="V523" s="13" t="n">
        <f aca="false">M523-SUM(N523:S523)</f>
        <v>0</v>
      </c>
    </row>
    <row r="524" customFormat="false" ht="15" hidden="false" customHeight="true" outlineLevel="0" collapsed="false">
      <c r="A524" s="13" t="n">
        <v>2025</v>
      </c>
      <c r="B524" s="13" t="s">
        <v>1028</v>
      </c>
      <c r="C524" s="13" t="s">
        <v>121</v>
      </c>
      <c r="D524" s="13" t="s">
        <v>1033</v>
      </c>
      <c r="E524" s="13" t="s">
        <v>124</v>
      </c>
      <c r="F524" s="13" t="s">
        <v>357</v>
      </c>
      <c r="G524" s="13" t="n">
        <v>193</v>
      </c>
      <c r="H524" s="13" t="n">
        <v>0</v>
      </c>
      <c r="I524" s="13" t="n">
        <v>193</v>
      </c>
      <c r="J524" s="13" t="n">
        <v>3</v>
      </c>
      <c r="K524" s="13" t="n">
        <v>0</v>
      </c>
      <c r="L524" s="13" t="n">
        <v>16</v>
      </c>
      <c r="M524" s="13" t="n">
        <v>177</v>
      </c>
      <c r="N524" s="13" t="n">
        <v>41</v>
      </c>
      <c r="O524" s="13" t="n">
        <v>38</v>
      </c>
      <c r="P524" s="13" t="n">
        <v>52</v>
      </c>
      <c r="Q524" s="13" t="n">
        <v>42</v>
      </c>
      <c r="R524" s="13" t="n">
        <v>4</v>
      </c>
      <c r="S524" s="13" t="n">
        <v>0</v>
      </c>
      <c r="T524" s="13" t="n">
        <v>0.9171</v>
      </c>
      <c r="U524" s="13" t="n">
        <v>4.03</v>
      </c>
      <c r="V524" s="13" t="n">
        <f aca="false">M524-SUM(N524:S524)</f>
        <v>0</v>
      </c>
    </row>
    <row r="525" customFormat="false" ht="15" hidden="false" customHeight="true" outlineLevel="0" collapsed="false">
      <c r="A525" s="13" t="n">
        <v>2025</v>
      </c>
      <c r="B525" s="13" t="s">
        <v>1028</v>
      </c>
      <c r="C525" s="13" t="s">
        <v>121</v>
      </c>
      <c r="D525" s="13" t="s">
        <v>1033</v>
      </c>
      <c r="E525" s="13" t="s">
        <v>122</v>
      </c>
      <c r="F525" s="13" t="s">
        <v>357</v>
      </c>
      <c r="G525" s="13" t="n">
        <v>634</v>
      </c>
      <c r="H525" s="13" t="n">
        <v>0</v>
      </c>
      <c r="I525" s="13" t="n">
        <v>634</v>
      </c>
      <c r="J525" s="13" t="n">
        <v>10</v>
      </c>
      <c r="K525" s="13" t="n">
        <v>0</v>
      </c>
      <c r="L525" s="13" t="n">
        <v>32</v>
      </c>
      <c r="M525" s="13" t="n">
        <v>602</v>
      </c>
      <c r="N525" s="13" t="n">
        <v>175</v>
      </c>
      <c r="O525" s="13" t="n">
        <v>154</v>
      </c>
      <c r="P525" s="13" t="n">
        <v>174</v>
      </c>
      <c r="Q525" s="13" t="n">
        <v>92</v>
      </c>
      <c r="R525" s="13" t="n">
        <v>7</v>
      </c>
      <c r="S525" s="13" t="n">
        <v>0</v>
      </c>
      <c r="T525" s="13" t="n">
        <v>0.9495</v>
      </c>
      <c r="U525" s="13" t="n">
        <v>4.43</v>
      </c>
      <c r="V525" s="13" t="n">
        <f aca="false">M525-SUM(N525:S525)</f>
        <v>0</v>
      </c>
    </row>
    <row r="526" customFormat="false" ht="15" hidden="false" customHeight="true" outlineLevel="0" collapsed="false">
      <c r="A526" s="13" t="n">
        <v>2025</v>
      </c>
      <c r="B526" s="13" t="s">
        <v>1028</v>
      </c>
      <c r="C526" s="13" t="s">
        <v>121</v>
      </c>
      <c r="D526" s="13" t="s">
        <v>1033</v>
      </c>
      <c r="E526" s="13" t="s">
        <v>192</v>
      </c>
      <c r="F526" s="13" t="s">
        <v>652</v>
      </c>
      <c r="G526" s="13" t="n">
        <v>827</v>
      </c>
      <c r="H526" s="13" t="n">
        <v>0</v>
      </c>
      <c r="I526" s="13" t="n">
        <v>827</v>
      </c>
      <c r="J526" s="13" t="n">
        <v>13</v>
      </c>
      <c r="K526" s="13" t="n">
        <v>0</v>
      </c>
      <c r="L526" s="13" t="n">
        <v>48</v>
      </c>
      <c r="M526" s="13" t="n">
        <v>779</v>
      </c>
      <c r="N526" s="13" t="n">
        <v>216</v>
      </c>
      <c r="O526" s="13" t="n">
        <v>192</v>
      </c>
      <c r="P526" s="13" t="n">
        <v>226</v>
      </c>
      <c r="Q526" s="13" t="n">
        <v>134</v>
      </c>
      <c r="R526" s="13" t="n">
        <v>11</v>
      </c>
      <c r="S526" s="13" t="n">
        <v>0</v>
      </c>
      <c r="T526" s="13" t="n">
        <v>0.942</v>
      </c>
      <c r="U526" s="13" t="n">
        <v>4.33</v>
      </c>
      <c r="V526" s="13" t="n">
        <f aca="false">M526-SUM(N526:S526)</f>
        <v>0</v>
      </c>
    </row>
    <row r="527" customFormat="false" ht="15" hidden="false" customHeight="true" outlineLevel="0" collapsed="false">
      <c r="A527" s="13" t="n">
        <v>2025</v>
      </c>
      <c r="B527" s="13" t="s">
        <v>1028</v>
      </c>
      <c r="C527" s="13" t="s">
        <v>121</v>
      </c>
      <c r="D527" s="13" t="s">
        <v>1034</v>
      </c>
      <c r="E527" s="13" t="s">
        <v>124</v>
      </c>
      <c r="F527" s="13" t="s">
        <v>357</v>
      </c>
      <c r="G527" s="13" t="n">
        <v>118</v>
      </c>
      <c r="H527" s="13" t="n">
        <v>0</v>
      </c>
      <c r="I527" s="13" t="n">
        <v>118</v>
      </c>
      <c r="J527" s="13" t="n">
        <v>1</v>
      </c>
      <c r="K527" s="13" t="n">
        <v>0</v>
      </c>
      <c r="L527" s="13" t="n">
        <v>11</v>
      </c>
      <c r="M527" s="13" t="n">
        <v>107</v>
      </c>
      <c r="N527" s="13" t="n">
        <v>18</v>
      </c>
      <c r="O527" s="13" t="n">
        <v>31</v>
      </c>
      <c r="P527" s="13" t="n">
        <v>35</v>
      </c>
      <c r="Q527" s="13" t="n">
        <v>19</v>
      </c>
      <c r="R527" s="13" t="n">
        <v>4</v>
      </c>
      <c r="S527" s="13" t="n">
        <v>0</v>
      </c>
      <c r="T527" s="13" t="n">
        <v>0.9068</v>
      </c>
      <c r="U527" s="13" t="n">
        <v>3.97</v>
      </c>
      <c r="V527" s="13" t="n">
        <f aca="false">M527-SUM(N527:S527)</f>
        <v>0</v>
      </c>
    </row>
    <row r="528" customFormat="false" ht="15" hidden="false" customHeight="true" outlineLevel="0" collapsed="false">
      <c r="A528" s="13" t="n">
        <v>2025</v>
      </c>
      <c r="B528" s="13" t="s">
        <v>1028</v>
      </c>
      <c r="C528" s="13" t="s">
        <v>121</v>
      </c>
      <c r="D528" s="13" t="s">
        <v>1034</v>
      </c>
      <c r="E528" s="13" t="s">
        <v>122</v>
      </c>
      <c r="F528" s="13" t="s">
        <v>357</v>
      </c>
      <c r="G528" s="13" t="n">
        <v>53</v>
      </c>
      <c r="H528" s="13" t="n">
        <v>1</v>
      </c>
      <c r="I528" s="13" t="n">
        <v>52</v>
      </c>
      <c r="J528" s="13" t="n">
        <v>0</v>
      </c>
      <c r="K528" s="13" t="n">
        <v>0</v>
      </c>
      <c r="L528" s="13" t="n">
        <v>5</v>
      </c>
      <c r="M528" s="13" t="n">
        <v>47</v>
      </c>
      <c r="N528" s="13" t="n">
        <v>13</v>
      </c>
      <c r="O528" s="13" t="n">
        <v>17</v>
      </c>
      <c r="P528" s="13" t="n">
        <v>13</v>
      </c>
      <c r="Q528" s="13" t="n">
        <v>3</v>
      </c>
      <c r="R528" s="13" t="n">
        <v>1</v>
      </c>
      <c r="S528" s="13" t="n">
        <v>0</v>
      </c>
      <c r="T528" s="13" t="n">
        <v>0.9038</v>
      </c>
      <c r="U528" s="13" t="n">
        <v>4.35</v>
      </c>
      <c r="V528" s="13" t="n">
        <f aca="false">M528-SUM(N528:S528)</f>
        <v>0</v>
      </c>
    </row>
    <row r="529" customFormat="false" ht="15" hidden="false" customHeight="true" outlineLevel="0" collapsed="false">
      <c r="A529" s="13" t="n">
        <v>2025</v>
      </c>
      <c r="B529" s="13" t="s">
        <v>1028</v>
      </c>
      <c r="C529" s="13" t="s">
        <v>121</v>
      </c>
      <c r="D529" s="13" t="s">
        <v>1034</v>
      </c>
      <c r="E529" s="13" t="s">
        <v>192</v>
      </c>
      <c r="F529" s="13" t="s">
        <v>652</v>
      </c>
      <c r="G529" s="13" t="n">
        <v>171</v>
      </c>
      <c r="H529" s="13" t="n">
        <v>1</v>
      </c>
      <c r="I529" s="13" t="n">
        <v>170</v>
      </c>
      <c r="J529" s="13" t="n">
        <v>1</v>
      </c>
      <c r="K529" s="13" t="n">
        <v>0</v>
      </c>
      <c r="L529" s="13" t="n">
        <v>16</v>
      </c>
      <c r="M529" s="13" t="n">
        <v>154</v>
      </c>
      <c r="N529" s="13" t="n">
        <v>31</v>
      </c>
      <c r="O529" s="13" t="n">
        <v>48</v>
      </c>
      <c r="P529" s="13" t="n">
        <v>48</v>
      </c>
      <c r="Q529" s="13" t="n">
        <v>22</v>
      </c>
      <c r="R529" s="13" t="n">
        <v>5</v>
      </c>
      <c r="S529" s="13" t="n">
        <v>0</v>
      </c>
      <c r="T529" s="13" t="n">
        <v>0.9059</v>
      </c>
      <c r="U529" s="13" t="n">
        <v>4.08</v>
      </c>
      <c r="V529" s="13" t="n">
        <f aca="false">M529-SUM(N529:S529)</f>
        <v>0</v>
      </c>
    </row>
    <row r="530" customFormat="false" ht="15" hidden="false" customHeight="true" outlineLevel="0" collapsed="false">
      <c r="A530" s="13" t="n">
        <v>2025</v>
      </c>
      <c r="B530" s="13" t="s">
        <v>1028</v>
      </c>
      <c r="C530" s="13" t="s">
        <v>121</v>
      </c>
      <c r="D530" s="13" t="s">
        <v>1035</v>
      </c>
      <c r="E530" s="13" t="s">
        <v>124</v>
      </c>
      <c r="F530" s="13" t="s">
        <v>357</v>
      </c>
      <c r="G530" s="13" t="n">
        <v>466</v>
      </c>
      <c r="H530" s="13" t="n">
        <v>1</v>
      </c>
      <c r="I530" s="13" t="n">
        <v>465</v>
      </c>
      <c r="J530" s="13" t="n">
        <v>10</v>
      </c>
      <c r="K530" s="13" t="n">
        <v>0</v>
      </c>
      <c r="L530" s="13" t="n">
        <v>65</v>
      </c>
      <c r="M530" s="13" t="n">
        <v>400</v>
      </c>
      <c r="N530" s="13" t="n">
        <v>33</v>
      </c>
      <c r="O530" s="13" t="n">
        <v>90</v>
      </c>
      <c r="P530" s="13" t="n">
        <v>150</v>
      </c>
      <c r="Q530" s="13" t="n">
        <v>109</v>
      </c>
      <c r="R530" s="13" t="n">
        <v>18</v>
      </c>
      <c r="S530" s="13" t="n">
        <v>0</v>
      </c>
      <c r="T530" s="13" t="n">
        <v>0.8602</v>
      </c>
      <c r="U530" s="13" t="n">
        <v>3.46</v>
      </c>
      <c r="V530" s="13" t="n">
        <f aca="false">M530-SUM(N530:S530)</f>
        <v>0</v>
      </c>
    </row>
    <row r="531" customFormat="false" ht="15" hidden="false" customHeight="true" outlineLevel="0" collapsed="false">
      <c r="A531" s="13" t="n">
        <v>2025</v>
      </c>
      <c r="B531" s="13" t="s">
        <v>1028</v>
      </c>
      <c r="C531" s="13" t="s">
        <v>121</v>
      </c>
      <c r="D531" s="13" t="s">
        <v>1035</v>
      </c>
      <c r="E531" s="13" t="s">
        <v>122</v>
      </c>
      <c r="F531" s="13" t="s">
        <v>357</v>
      </c>
      <c r="G531" s="13" t="n">
        <v>262</v>
      </c>
      <c r="H531" s="13" t="n">
        <v>0</v>
      </c>
      <c r="I531" s="13" t="n">
        <v>262</v>
      </c>
      <c r="J531" s="13" t="n">
        <v>4</v>
      </c>
      <c r="K531" s="13" t="n">
        <v>0</v>
      </c>
      <c r="L531" s="13" t="n">
        <v>28</v>
      </c>
      <c r="M531" s="13" t="n">
        <v>234</v>
      </c>
      <c r="N531" s="13" t="n">
        <v>41</v>
      </c>
      <c r="O531" s="13" t="n">
        <v>65</v>
      </c>
      <c r="P531" s="13" t="n">
        <v>91</v>
      </c>
      <c r="Q531" s="13" t="n">
        <v>35</v>
      </c>
      <c r="R531" s="13" t="n">
        <v>2</v>
      </c>
      <c r="S531" s="13" t="n">
        <v>0</v>
      </c>
      <c r="T531" s="13" t="n">
        <v>0.8931</v>
      </c>
      <c r="U531" s="13" t="n">
        <v>3.98</v>
      </c>
      <c r="V531" s="13" t="n">
        <f aca="false">M531-SUM(N531:S531)</f>
        <v>0</v>
      </c>
    </row>
    <row r="532" customFormat="false" ht="15" hidden="false" customHeight="true" outlineLevel="0" collapsed="false">
      <c r="A532" s="13" t="n">
        <v>2025</v>
      </c>
      <c r="B532" s="13" t="s">
        <v>1028</v>
      </c>
      <c r="C532" s="13" t="s">
        <v>121</v>
      </c>
      <c r="D532" s="13" t="s">
        <v>1035</v>
      </c>
      <c r="E532" s="13" t="s">
        <v>192</v>
      </c>
      <c r="F532" s="13" t="s">
        <v>652</v>
      </c>
      <c r="G532" s="13" t="n">
        <v>728</v>
      </c>
      <c r="H532" s="13" t="n">
        <v>1</v>
      </c>
      <c r="I532" s="13" t="n">
        <v>727</v>
      </c>
      <c r="J532" s="13" t="n">
        <v>14</v>
      </c>
      <c r="K532" s="13" t="n">
        <v>0</v>
      </c>
      <c r="L532" s="13" t="n">
        <v>93</v>
      </c>
      <c r="M532" s="13" t="n">
        <v>634</v>
      </c>
      <c r="N532" s="13" t="n">
        <v>74</v>
      </c>
      <c r="O532" s="13" t="n">
        <v>155</v>
      </c>
      <c r="P532" s="13" t="n">
        <v>241</v>
      </c>
      <c r="Q532" s="13" t="n">
        <v>144</v>
      </c>
      <c r="R532" s="13" t="n">
        <v>20</v>
      </c>
      <c r="S532" s="13" t="n">
        <v>0</v>
      </c>
      <c r="T532" s="13" t="n">
        <v>0.8721</v>
      </c>
      <c r="U532" s="13" t="n">
        <v>3.65</v>
      </c>
      <c r="V532" s="13" t="n">
        <f aca="false">M532-SUM(N532:S532)</f>
        <v>0</v>
      </c>
    </row>
    <row r="533" customFormat="false" ht="15" hidden="false" customHeight="true" outlineLevel="0" collapsed="false">
      <c r="A533" s="13" t="n">
        <v>2025</v>
      </c>
      <c r="B533" s="13" t="s">
        <v>1028</v>
      </c>
      <c r="C533" s="13" t="s">
        <v>121</v>
      </c>
      <c r="D533" s="13" t="s">
        <v>203</v>
      </c>
      <c r="E533" s="13" t="s">
        <v>124</v>
      </c>
      <c r="F533" s="13" t="s">
        <v>357</v>
      </c>
      <c r="G533" s="13" t="n">
        <v>284</v>
      </c>
      <c r="H533" s="13" t="n">
        <v>0</v>
      </c>
      <c r="I533" s="13" t="n">
        <v>284</v>
      </c>
      <c r="J533" s="13" t="n">
        <v>8</v>
      </c>
      <c r="K533" s="13" t="n">
        <v>0</v>
      </c>
      <c r="L533" s="13" t="n">
        <v>32</v>
      </c>
      <c r="M533" s="13" t="n">
        <v>252</v>
      </c>
      <c r="N533" s="13" t="n">
        <v>4</v>
      </c>
      <c r="O533" s="13" t="n">
        <v>20</v>
      </c>
      <c r="P533" s="13" t="n">
        <v>61</v>
      </c>
      <c r="Q533" s="13" t="n">
        <v>91</v>
      </c>
      <c r="R533" s="13" t="n">
        <v>73</v>
      </c>
      <c r="S533" s="13" t="n">
        <v>3</v>
      </c>
      <c r="T533" s="13" t="n">
        <v>0.8873</v>
      </c>
      <c r="U533" s="13" t="n">
        <v>2.78</v>
      </c>
      <c r="V533" s="13" t="n">
        <f aca="false">M533-SUM(N533:S533)</f>
        <v>0</v>
      </c>
    </row>
    <row r="534" customFormat="false" ht="15" hidden="false" customHeight="true" outlineLevel="0" collapsed="false">
      <c r="A534" s="13" t="n">
        <v>2025</v>
      </c>
      <c r="B534" s="13" t="s">
        <v>1028</v>
      </c>
      <c r="C534" s="13" t="s">
        <v>121</v>
      </c>
      <c r="D534" s="13" t="s">
        <v>203</v>
      </c>
      <c r="E534" s="13" t="s">
        <v>122</v>
      </c>
      <c r="F534" s="13" t="s">
        <v>357</v>
      </c>
      <c r="G534" s="13" t="n">
        <v>240</v>
      </c>
      <c r="H534" s="13" t="n">
        <v>2</v>
      </c>
      <c r="I534" s="13" t="n">
        <v>238</v>
      </c>
      <c r="J534" s="13" t="n">
        <v>5</v>
      </c>
      <c r="K534" s="13" t="n">
        <v>0</v>
      </c>
      <c r="L534" s="13" t="n">
        <v>18</v>
      </c>
      <c r="M534" s="13" t="n">
        <v>220</v>
      </c>
      <c r="N534" s="13" t="n">
        <v>14</v>
      </c>
      <c r="O534" s="13" t="n">
        <v>43</v>
      </c>
      <c r="P534" s="13" t="n">
        <v>72</v>
      </c>
      <c r="Q534" s="13" t="n">
        <v>59</v>
      </c>
      <c r="R534" s="13" t="n">
        <v>32</v>
      </c>
      <c r="S534" s="13" t="n">
        <v>0</v>
      </c>
      <c r="T534" s="13" t="n">
        <v>0.9244</v>
      </c>
      <c r="U534" s="13" t="n">
        <v>3.48</v>
      </c>
      <c r="V534" s="13" t="n">
        <f aca="false">M534-SUM(N534:S534)</f>
        <v>0</v>
      </c>
    </row>
    <row r="535" customFormat="false" ht="15" hidden="false" customHeight="true" outlineLevel="0" collapsed="false">
      <c r="A535" s="13" t="n">
        <v>2025</v>
      </c>
      <c r="B535" s="13" t="s">
        <v>1028</v>
      </c>
      <c r="C535" s="13" t="s">
        <v>121</v>
      </c>
      <c r="D535" s="13" t="s">
        <v>203</v>
      </c>
      <c r="E535" s="13" t="s">
        <v>192</v>
      </c>
      <c r="F535" s="13" t="s">
        <v>652</v>
      </c>
      <c r="G535" s="13" t="n">
        <v>524</v>
      </c>
      <c r="H535" s="13" t="n">
        <v>2</v>
      </c>
      <c r="I535" s="13" t="n">
        <v>522</v>
      </c>
      <c r="J535" s="13" t="n">
        <v>13</v>
      </c>
      <c r="K535" s="13" t="n">
        <v>0</v>
      </c>
      <c r="L535" s="13" t="n">
        <v>50</v>
      </c>
      <c r="M535" s="13" t="n">
        <v>472</v>
      </c>
      <c r="N535" s="13" t="n">
        <v>18</v>
      </c>
      <c r="O535" s="13" t="n">
        <v>63</v>
      </c>
      <c r="P535" s="13" t="n">
        <v>133</v>
      </c>
      <c r="Q535" s="13" t="n">
        <v>150</v>
      </c>
      <c r="R535" s="13" t="n">
        <v>105</v>
      </c>
      <c r="S535" s="13" t="n">
        <v>3</v>
      </c>
      <c r="T535" s="13" t="n">
        <v>0.9042</v>
      </c>
      <c r="U535" s="13" t="n">
        <v>3.1</v>
      </c>
      <c r="V535" s="13" t="n">
        <f aca="false">M535-SUM(N535:S535)</f>
        <v>0</v>
      </c>
    </row>
    <row r="536" customFormat="false" ht="15" hidden="false" customHeight="true" outlineLevel="0" collapsed="false">
      <c r="A536" s="13" t="n">
        <v>2025</v>
      </c>
      <c r="B536" s="13" t="s">
        <v>1028</v>
      </c>
      <c r="C536" s="13" t="s">
        <v>121</v>
      </c>
      <c r="D536" s="13" t="s">
        <v>1037</v>
      </c>
      <c r="E536" s="13" t="s">
        <v>192</v>
      </c>
      <c r="F536" s="13" t="s">
        <v>1038</v>
      </c>
      <c r="G536" s="13" t="n">
        <v>2382</v>
      </c>
      <c r="H536" s="13" t="n">
        <v>4</v>
      </c>
      <c r="I536" s="13" t="n">
        <v>2378</v>
      </c>
      <c r="J536" s="13" t="n">
        <v>43</v>
      </c>
      <c r="K536" s="13" t="n">
        <v>0</v>
      </c>
      <c r="L536" s="13" t="n">
        <v>214</v>
      </c>
      <c r="M536" s="13" t="n">
        <v>2164</v>
      </c>
      <c r="N536" s="13" t="n">
        <v>347</v>
      </c>
      <c r="O536" s="13" t="n">
        <v>483</v>
      </c>
      <c r="P536" s="13" t="n">
        <v>689</v>
      </c>
      <c r="Q536" s="13" t="n">
        <v>485</v>
      </c>
      <c r="R536" s="13" t="n">
        <v>156</v>
      </c>
      <c r="S536" s="13" t="n">
        <v>4</v>
      </c>
      <c r="T536" s="13" t="n">
        <v>0.91</v>
      </c>
      <c r="U536" s="13" t="n">
        <v>3.79</v>
      </c>
      <c r="V536" s="13" t="n">
        <f aca="false">M536-SUM(N536:S536)</f>
        <v>0</v>
      </c>
    </row>
    <row r="537" customFormat="false" ht="15" hidden="false" customHeight="true" outlineLevel="0" collapsed="false">
      <c r="A537" s="13" t="n">
        <v>2025</v>
      </c>
      <c r="B537" s="13" t="s">
        <v>1028</v>
      </c>
      <c r="C537" s="13" t="s">
        <v>125</v>
      </c>
      <c r="D537" s="13" t="s">
        <v>128</v>
      </c>
      <c r="E537" s="13" t="s">
        <v>124</v>
      </c>
      <c r="F537" s="13" t="s">
        <v>357</v>
      </c>
      <c r="G537" s="13" t="n">
        <v>46</v>
      </c>
      <c r="H537" s="13" t="n">
        <v>3</v>
      </c>
      <c r="I537" s="13" t="n">
        <v>43</v>
      </c>
      <c r="J537" s="13" t="n">
        <v>3</v>
      </c>
      <c r="K537" s="13" t="n">
        <v>0</v>
      </c>
      <c r="L537" s="13" t="n">
        <v>8</v>
      </c>
      <c r="M537" s="13" t="n">
        <v>35</v>
      </c>
      <c r="N537" s="13" t="n">
        <v>0</v>
      </c>
      <c r="O537" s="13" t="n">
        <v>1</v>
      </c>
      <c r="P537" s="13" t="n">
        <v>6</v>
      </c>
      <c r="Q537" s="13" t="n">
        <v>12</v>
      </c>
      <c r="R537" s="13" t="n">
        <v>15</v>
      </c>
      <c r="S537" s="13" t="n">
        <v>1</v>
      </c>
      <c r="T537" s="13" t="n">
        <v>0.814</v>
      </c>
      <c r="U537" s="13" t="n">
        <v>2.23</v>
      </c>
      <c r="V537" s="13" t="n">
        <f aca="false">M537-SUM(N537:S537)</f>
        <v>0</v>
      </c>
    </row>
    <row r="538" customFormat="false" ht="15" hidden="false" customHeight="true" outlineLevel="0" collapsed="false">
      <c r="A538" s="13" t="n">
        <v>2025</v>
      </c>
      <c r="B538" s="13" t="s">
        <v>1028</v>
      </c>
      <c r="C538" s="13" t="s">
        <v>125</v>
      </c>
      <c r="D538" s="13" t="s">
        <v>128</v>
      </c>
      <c r="E538" s="13" t="s">
        <v>122</v>
      </c>
      <c r="F538" s="13" t="s">
        <v>357</v>
      </c>
      <c r="G538" s="13" t="n">
        <v>91</v>
      </c>
      <c r="H538" s="13" t="n">
        <v>2</v>
      </c>
      <c r="I538" s="13" t="n">
        <v>89</v>
      </c>
      <c r="J538" s="13" t="n">
        <v>14</v>
      </c>
      <c r="K538" s="13" t="n">
        <v>0</v>
      </c>
      <c r="L538" s="13" t="n">
        <v>27</v>
      </c>
      <c r="M538" s="13" t="n">
        <v>62</v>
      </c>
      <c r="N538" s="13" t="n">
        <v>1</v>
      </c>
      <c r="O538" s="13" t="n">
        <v>3</v>
      </c>
      <c r="P538" s="13" t="n">
        <v>11</v>
      </c>
      <c r="Q538" s="13" t="n">
        <v>27</v>
      </c>
      <c r="R538" s="13" t="n">
        <v>17</v>
      </c>
      <c r="S538" s="13" t="n">
        <v>3</v>
      </c>
      <c r="T538" s="13" t="n">
        <v>0.6966</v>
      </c>
      <c r="U538" s="13" t="n">
        <v>2.06</v>
      </c>
      <c r="V538" s="13" t="n">
        <f aca="false">M538-SUM(N538:S538)</f>
        <v>0</v>
      </c>
    </row>
    <row r="539" customFormat="false" ht="15" hidden="false" customHeight="true" outlineLevel="0" collapsed="false">
      <c r="A539" s="13" t="n">
        <v>2025</v>
      </c>
      <c r="B539" s="13" t="s">
        <v>1028</v>
      </c>
      <c r="C539" s="13" t="s">
        <v>125</v>
      </c>
      <c r="D539" s="13" t="s">
        <v>128</v>
      </c>
      <c r="E539" s="13" t="s">
        <v>192</v>
      </c>
      <c r="F539" s="13" t="s">
        <v>652</v>
      </c>
      <c r="G539" s="13" t="n">
        <v>137</v>
      </c>
      <c r="H539" s="13" t="n">
        <v>5</v>
      </c>
      <c r="I539" s="13" t="n">
        <v>132</v>
      </c>
      <c r="J539" s="13" t="n">
        <v>17</v>
      </c>
      <c r="K539" s="13" t="n">
        <v>0</v>
      </c>
      <c r="L539" s="13" t="n">
        <v>35</v>
      </c>
      <c r="M539" s="13" t="n">
        <v>97</v>
      </c>
      <c r="N539" s="13" t="n">
        <v>1</v>
      </c>
      <c r="O539" s="13" t="n">
        <v>4</v>
      </c>
      <c r="P539" s="13" t="n">
        <v>17</v>
      </c>
      <c r="Q539" s="13" t="n">
        <v>39</v>
      </c>
      <c r="R539" s="13" t="n">
        <v>32</v>
      </c>
      <c r="S539" s="13" t="n">
        <v>4</v>
      </c>
      <c r="T539" s="13" t="n">
        <v>0.7348</v>
      </c>
      <c r="U539" s="13" t="n">
        <v>2.11</v>
      </c>
      <c r="V539" s="13" t="n">
        <f aca="false">M539-SUM(N539:S539)</f>
        <v>0</v>
      </c>
    </row>
    <row r="540" customFormat="false" ht="15" hidden="false" customHeight="true" outlineLevel="0" collapsed="false">
      <c r="A540" s="13" t="n">
        <v>2025</v>
      </c>
      <c r="B540" s="13" t="s">
        <v>1028</v>
      </c>
      <c r="C540" s="13" t="s">
        <v>125</v>
      </c>
      <c r="D540" s="13" t="s">
        <v>1033</v>
      </c>
      <c r="E540" s="13" t="s">
        <v>124</v>
      </c>
      <c r="F540" s="13" t="s">
        <v>357</v>
      </c>
      <c r="G540" s="13" t="n">
        <v>23</v>
      </c>
      <c r="H540" s="13" t="n">
        <v>2</v>
      </c>
      <c r="I540" s="13" t="n">
        <v>21</v>
      </c>
      <c r="J540" s="13" t="n">
        <v>4</v>
      </c>
      <c r="K540" s="13" t="n">
        <v>0</v>
      </c>
      <c r="L540" s="13" t="n">
        <v>8</v>
      </c>
      <c r="M540" s="13" t="n">
        <v>13</v>
      </c>
      <c r="N540" s="13" t="n">
        <v>2</v>
      </c>
      <c r="O540" s="13" t="n">
        <v>0</v>
      </c>
      <c r="P540" s="13" t="n">
        <v>4</v>
      </c>
      <c r="Q540" s="13" t="n">
        <v>6</v>
      </c>
      <c r="R540" s="13" t="n">
        <v>1</v>
      </c>
      <c r="S540" s="13" t="n">
        <v>0</v>
      </c>
      <c r="T540" s="13" t="n">
        <v>0.619</v>
      </c>
      <c r="U540" s="13" t="n">
        <v>2.29</v>
      </c>
      <c r="V540" s="13" t="n">
        <f aca="false">M540-SUM(N540:S540)</f>
        <v>0</v>
      </c>
    </row>
    <row r="541" customFormat="false" ht="15" hidden="false" customHeight="true" outlineLevel="0" collapsed="false">
      <c r="A541" s="13" t="n">
        <v>2025</v>
      </c>
      <c r="B541" s="13" t="s">
        <v>1028</v>
      </c>
      <c r="C541" s="13" t="s">
        <v>125</v>
      </c>
      <c r="D541" s="13" t="s">
        <v>1033</v>
      </c>
      <c r="E541" s="13" t="s">
        <v>122</v>
      </c>
      <c r="F541" s="13" t="s">
        <v>357</v>
      </c>
      <c r="G541" s="13" t="n">
        <v>61</v>
      </c>
      <c r="H541" s="13" t="n">
        <v>4</v>
      </c>
      <c r="I541" s="13" t="n">
        <v>57</v>
      </c>
      <c r="J541" s="13" t="n">
        <v>1</v>
      </c>
      <c r="K541" s="13" t="n">
        <v>0</v>
      </c>
      <c r="L541" s="13" t="n">
        <v>3</v>
      </c>
      <c r="M541" s="13" t="n">
        <v>54</v>
      </c>
      <c r="N541" s="13" t="n">
        <v>11</v>
      </c>
      <c r="O541" s="13" t="n">
        <v>8</v>
      </c>
      <c r="P541" s="13" t="n">
        <v>14</v>
      </c>
      <c r="Q541" s="13" t="n">
        <v>18</v>
      </c>
      <c r="R541" s="13" t="n">
        <v>3</v>
      </c>
      <c r="S541" s="13" t="n">
        <v>0</v>
      </c>
      <c r="T541" s="13" t="n">
        <v>0.9474</v>
      </c>
      <c r="U541" s="13" t="n">
        <v>3.89</v>
      </c>
      <c r="V541" s="13" t="n">
        <f aca="false">M541-SUM(N541:S541)</f>
        <v>0</v>
      </c>
    </row>
    <row r="542" customFormat="false" ht="15" hidden="false" customHeight="true" outlineLevel="0" collapsed="false">
      <c r="A542" s="13" t="n">
        <v>2025</v>
      </c>
      <c r="B542" s="13" t="s">
        <v>1028</v>
      </c>
      <c r="C542" s="13" t="s">
        <v>125</v>
      </c>
      <c r="D542" s="13" t="s">
        <v>1033</v>
      </c>
      <c r="E542" s="13" t="s">
        <v>192</v>
      </c>
      <c r="F542" s="13" t="s">
        <v>652</v>
      </c>
      <c r="G542" s="13" t="n">
        <v>84</v>
      </c>
      <c r="H542" s="13" t="n">
        <v>6</v>
      </c>
      <c r="I542" s="13" t="n">
        <v>78</v>
      </c>
      <c r="J542" s="13" t="n">
        <v>5</v>
      </c>
      <c r="K542" s="13" t="n">
        <v>0</v>
      </c>
      <c r="L542" s="13" t="n">
        <v>11</v>
      </c>
      <c r="M542" s="13" t="n">
        <v>67</v>
      </c>
      <c r="N542" s="13" t="n">
        <v>13</v>
      </c>
      <c r="O542" s="13" t="n">
        <v>8</v>
      </c>
      <c r="P542" s="13" t="n">
        <v>18</v>
      </c>
      <c r="Q542" s="13" t="n">
        <v>24</v>
      </c>
      <c r="R542" s="13" t="n">
        <v>4</v>
      </c>
      <c r="S542" s="13" t="n">
        <v>0</v>
      </c>
      <c r="T542" s="13" t="n">
        <v>0.859</v>
      </c>
      <c r="U542" s="13" t="n">
        <v>3.46</v>
      </c>
      <c r="V542" s="13" t="n">
        <f aca="false">M542-SUM(N542:S542)</f>
        <v>0</v>
      </c>
    </row>
    <row r="543" customFormat="false" ht="15" hidden="false" customHeight="true" outlineLevel="0" collapsed="false">
      <c r="A543" s="13" t="n">
        <v>2025</v>
      </c>
      <c r="B543" s="13" t="s">
        <v>1028</v>
      </c>
      <c r="C543" s="13" t="s">
        <v>125</v>
      </c>
      <c r="D543" s="13" t="s">
        <v>1034</v>
      </c>
      <c r="E543" s="13" t="s">
        <v>124</v>
      </c>
      <c r="F543" s="13" t="s">
        <v>357</v>
      </c>
      <c r="G543" s="13" t="n">
        <v>14</v>
      </c>
      <c r="H543" s="13" t="n">
        <v>1</v>
      </c>
      <c r="I543" s="13" t="n">
        <v>13</v>
      </c>
      <c r="J543" s="13" t="n">
        <v>1</v>
      </c>
      <c r="K543" s="13" t="n">
        <v>0</v>
      </c>
      <c r="L543" s="13" t="n">
        <v>5</v>
      </c>
      <c r="M543" s="13" t="n">
        <v>8</v>
      </c>
      <c r="N543" s="13" t="n">
        <v>0</v>
      </c>
      <c r="O543" s="13" t="n">
        <v>0</v>
      </c>
      <c r="P543" s="13" t="n">
        <v>1</v>
      </c>
      <c r="Q543" s="13" t="n">
        <v>4</v>
      </c>
      <c r="R543" s="13" t="n">
        <v>3</v>
      </c>
      <c r="S543" s="13" t="n">
        <v>0</v>
      </c>
      <c r="T543" s="13" t="n">
        <v>0.6154</v>
      </c>
      <c r="U543" s="13" t="n">
        <v>1.69</v>
      </c>
      <c r="V543" s="13" t="n">
        <f aca="false">M543-SUM(N543:S543)</f>
        <v>0</v>
      </c>
    </row>
    <row r="544" customFormat="false" ht="15" hidden="false" customHeight="true" outlineLevel="0" collapsed="false">
      <c r="A544" s="13" t="n">
        <v>2025</v>
      </c>
      <c r="B544" s="13" t="s">
        <v>1028</v>
      </c>
      <c r="C544" s="13" t="s">
        <v>125</v>
      </c>
      <c r="D544" s="13" t="s">
        <v>1034</v>
      </c>
      <c r="E544" s="13" t="s">
        <v>122</v>
      </c>
      <c r="F544" s="13" t="s">
        <v>357</v>
      </c>
      <c r="G544" s="13" t="n">
        <v>2</v>
      </c>
      <c r="H544" s="13" t="n">
        <v>0</v>
      </c>
      <c r="I544" s="13" t="n">
        <v>2</v>
      </c>
      <c r="J544" s="13" t="n">
        <v>0</v>
      </c>
      <c r="K544" s="13" t="n">
        <v>0</v>
      </c>
      <c r="L544" s="13" t="n">
        <v>0</v>
      </c>
      <c r="M544" s="13" t="n">
        <v>2</v>
      </c>
      <c r="N544" s="13" t="n">
        <v>0</v>
      </c>
      <c r="O544" s="13" t="n">
        <v>0</v>
      </c>
      <c r="P544" s="13" t="n">
        <v>1</v>
      </c>
      <c r="Q544" s="13" t="n">
        <v>1</v>
      </c>
      <c r="R544" s="13" t="n">
        <v>0</v>
      </c>
      <c r="S544" s="13" t="n">
        <v>0</v>
      </c>
      <c r="T544" s="13" t="n">
        <v>1</v>
      </c>
      <c r="U544" s="13" t="n">
        <v>3.5</v>
      </c>
      <c r="V544" s="13" t="n">
        <f aca="false">M544-SUM(N544:S544)</f>
        <v>0</v>
      </c>
    </row>
    <row r="545" customFormat="false" ht="15" hidden="false" customHeight="true" outlineLevel="0" collapsed="false">
      <c r="A545" s="13" t="n">
        <v>2025</v>
      </c>
      <c r="B545" s="13" t="s">
        <v>1028</v>
      </c>
      <c r="C545" s="13" t="s">
        <v>125</v>
      </c>
      <c r="D545" s="13" t="s">
        <v>1034</v>
      </c>
      <c r="E545" s="13" t="s">
        <v>192</v>
      </c>
      <c r="F545" s="13" t="s">
        <v>652</v>
      </c>
      <c r="G545" s="13" t="n">
        <v>16</v>
      </c>
      <c r="H545" s="13" t="n">
        <v>1</v>
      </c>
      <c r="I545" s="13" t="n">
        <v>15</v>
      </c>
      <c r="J545" s="13" t="n">
        <v>1</v>
      </c>
      <c r="K545" s="13" t="n">
        <v>0</v>
      </c>
      <c r="L545" s="13" t="n">
        <v>5</v>
      </c>
      <c r="M545" s="13" t="n">
        <v>10</v>
      </c>
      <c r="N545" s="13" t="n">
        <v>0</v>
      </c>
      <c r="O545" s="13" t="n">
        <v>0</v>
      </c>
      <c r="P545" s="13" t="n">
        <v>2</v>
      </c>
      <c r="Q545" s="13" t="n">
        <v>5</v>
      </c>
      <c r="R545" s="13" t="n">
        <v>3</v>
      </c>
      <c r="S545" s="13" t="n">
        <v>0</v>
      </c>
      <c r="T545" s="13" t="n">
        <v>0.6667</v>
      </c>
      <c r="U545" s="13" t="n">
        <v>1.93</v>
      </c>
      <c r="V545" s="13" t="n">
        <f aca="false">M545-SUM(N545:S545)</f>
        <v>0</v>
      </c>
    </row>
    <row r="546" customFormat="false" ht="15" hidden="false" customHeight="true" outlineLevel="0" collapsed="false">
      <c r="A546" s="13" t="n">
        <v>2025</v>
      </c>
      <c r="B546" s="13" t="s">
        <v>1028</v>
      </c>
      <c r="C546" s="13" t="s">
        <v>125</v>
      </c>
      <c r="D546" s="13" t="s">
        <v>1035</v>
      </c>
      <c r="E546" s="13" t="s">
        <v>124</v>
      </c>
      <c r="F546" s="13" t="s">
        <v>357</v>
      </c>
      <c r="G546" s="13" t="n">
        <v>52</v>
      </c>
      <c r="H546" s="13" t="n">
        <v>1</v>
      </c>
      <c r="I546" s="13" t="n">
        <v>51</v>
      </c>
      <c r="J546" s="13" t="n">
        <v>5</v>
      </c>
      <c r="K546" s="13" t="n">
        <v>0</v>
      </c>
      <c r="L546" s="13" t="n">
        <v>21</v>
      </c>
      <c r="M546" s="13" t="n">
        <v>30</v>
      </c>
      <c r="N546" s="13" t="n">
        <v>0</v>
      </c>
      <c r="O546" s="13" t="n">
        <v>0</v>
      </c>
      <c r="P546" s="13" t="n">
        <v>7</v>
      </c>
      <c r="Q546" s="13" t="n">
        <v>18</v>
      </c>
      <c r="R546" s="13" t="n">
        <v>5</v>
      </c>
      <c r="S546" s="13" t="n">
        <v>0</v>
      </c>
      <c r="T546" s="13" t="n">
        <v>0.5882</v>
      </c>
      <c r="U546" s="13" t="n">
        <v>1.8</v>
      </c>
      <c r="V546" s="13" t="n">
        <f aca="false">M546-SUM(N546:S546)</f>
        <v>0</v>
      </c>
    </row>
    <row r="547" customFormat="false" ht="15" hidden="false" customHeight="true" outlineLevel="0" collapsed="false">
      <c r="A547" s="13" t="n">
        <v>2025</v>
      </c>
      <c r="B547" s="13" t="s">
        <v>1028</v>
      </c>
      <c r="C547" s="13" t="s">
        <v>125</v>
      </c>
      <c r="D547" s="13" t="s">
        <v>1035</v>
      </c>
      <c r="E547" s="13" t="s">
        <v>122</v>
      </c>
      <c r="F547" s="13" t="s">
        <v>357</v>
      </c>
      <c r="G547" s="13" t="n">
        <v>37</v>
      </c>
      <c r="H547" s="13" t="n">
        <v>1</v>
      </c>
      <c r="I547" s="13" t="n">
        <v>36</v>
      </c>
      <c r="J547" s="13" t="n">
        <v>2</v>
      </c>
      <c r="K547" s="13" t="n">
        <v>0</v>
      </c>
      <c r="L547" s="13" t="n">
        <v>15</v>
      </c>
      <c r="M547" s="13" t="n">
        <v>21</v>
      </c>
      <c r="N547" s="13" t="n">
        <v>0</v>
      </c>
      <c r="O547" s="13" t="n">
        <v>1</v>
      </c>
      <c r="P547" s="13" t="n">
        <v>4</v>
      </c>
      <c r="Q547" s="13" t="n">
        <v>13</v>
      </c>
      <c r="R547" s="13" t="n">
        <v>3</v>
      </c>
      <c r="S547" s="13" t="n">
        <v>0</v>
      </c>
      <c r="T547" s="13" t="n">
        <v>0.5833</v>
      </c>
      <c r="U547" s="13" t="n">
        <v>1.83</v>
      </c>
      <c r="V547" s="13" t="n">
        <f aca="false">M547-SUM(N547:S547)</f>
        <v>0</v>
      </c>
    </row>
    <row r="548" customFormat="false" ht="15" hidden="false" customHeight="true" outlineLevel="0" collapsed="false">
      <c r="A548" s="13" t="n">
        <v>2025</v>
      </c>
      <c r="B548" s="13" t="s">
        <v>1028</v>
      </c>
      <c r="C548" s="13" t="s">
        <v>125</v>
      </c>
      <c r="D548" s="13" t="s">
        <v>1035</v>
      </c>
      <c r="E548" s="13" t="s">
        <v>192</v>
      </c>
      <c r="F548" s="13" t="s">
        <v>652</v>
      </c>
      <c r="G548" s="13" t="n">
        <v>89</v>
      </c>
      <c r="H548" s="13" t="n">
        <v>2</v>
      </c>
      <c r="I548" s="13" t="n">
        <v>87</v>
      </c>
      <c r="J548" s="13" t="n">
        <v>7</v>
      </c>
      <c r="K548" s="13" t="n">
        <v>0</v>
      </c>
      <c r="L548" s="13" t="n">
        <v>36</v>
      </c>
      <c r="M548" s="13" t="n">
        <v>51</v>
      </c>
      <c r="N548" s="13" t="n">
        <v>0</v>
      </c>
      <c r="O548" s="13" t="n">
        <v>1</v>
      </c>
      <c r="P548" s="13" t="n">
        <v>11</v>
      </c>
      <c r="Q548" s="13" t="n">
        <v>31</v>
      </c>
      <c r="R548" s="13" t="n">
        <v>8</v>
      </c>
      <c r="S548" s="13" t="n">
        <v>0</v>
      </c>
      <c r="T548" s="13" t="n">
        <v>0.5862</v>
      </c>
      <c r="U548" s="13" t="n">
        <v>1.82</v>
      </c>
      <c r="V548" s="13" t="n">
        <f aca="false">M548-SUM(N548:S548)</f>
        <v>0</v>
      </c>
    </row>
    <row r="549" customFormat="false" ht="15" hidden="false" customHeight="true" outlineLevel="0" collapsed="false">
      <c r="A549" s="13" t="n">
        <v>2025</v>
      </c>
      <c r="B549" s="13" t="s">
        <v>1028</v>
      </c>
      <c r="C549" s="13" t="s">
        <v>125</v>
      </c>
      <c r="D549" s="13" t="s">
        <v>203</v>
      </c>
      <c r="E549" s="13" t="s">
        <v>124</v>
      </c>
      <c r="F549" s="13" t="s">
        <v>357</v>
      </c>
      <c r="G549" s="13" t="n">
        <v>99</v>
      </c>
      <c r="H549" s="13" t="n">
        <v>1</v>
      </c>
      <c r="I549" s="13" t="n">
        <v>98</v>
      </c>
      <c r="J549" s="13" t="n">
        <v>3</v>
      </c>
      <c r="K549" s="13" t="n">
        <v>0</v>
      </c>
      <c r="L549" s="13" t="n">
        <v>23</v>
      </c>
      <c r="M549" s="13" t="n">
        <v>75</v>
      </c>
      <c r="N549" s="13" t="n">
        <v>0</v>
      </c>
      <c r="O549" s="13" t="n">
        <v>3</v>
      </c>
      <c r="P549" s="13" t="n">
        <v>5</v>
      </c>
      <c r="Q549" s="13" t="n">
        <v>30</v>
      </c>
      <c r="R549" s="13" t="n">
        <v>34</v>
      </c>
      <c r="S549" s="13" t="n">
        <v>3</v>
      </c>
      <c r="T549" s="13" t="n">
        <v>0.7653</v>
      </c>
      <c r="U549" s="13" t="n">
        <v>2</v>
      </c>
      <c r="V549" s="13" t="n">
        <f aca="false">M549-SUM(N549:S549)</f>
        <v>0</v>
      </c>
    </row>
    <row r="550" customFormat="false" ht="15" hidden="false" customHeight="true" outlineLevel="0" collapsed="false">
      <c r="A550" s="13" t="n">
        <v>2025</v>
      </c>
      <c r="B550" s="13" t="s">
        <v>1028</v>
      </c>
      <c r="C550" s="13" t="s">
        <v>125</v>
      </c>
      <c r="D550" s="13" t="s">
        <v>203</v>
      </c>
      <c r="E550" s="13" t="s">
        <v>122</v>
      </c>
      <c r="F550" s="13" t="s">
        <v>357</v>
      </c>
      <c r="G550" s="13" t="n">
        <v>69</v>
      </c>
      <c r="H550" s="13" t="n">
        <v>0</v>
      </c>
      <c r="I550" s="13" t="n">
        <v>69</v>
      </c>
      <c r="J550" s="13" t="n">
        <v>7</v>
      </c>
      <c r="K550" s="13" t="n">
        <v>0</v>
      </c>
      <c r="L550" s="13" t="n">
        <v>23</v>
      </c>
      <c r="M550" s="13" t="n">
        <v>46</v>
      </c>
      <c r="N550" s="13" t="n">
        <v>0</v>
      </c>
      <c r="O550" s="13" t="n">
        <v>2</v>
      </c>
      <c r="P550" s="13" t="n">
        <v>10</v>
      </c>
      <c r="Q550" s="13" t="n">
        <v>16</v>
      </c>
      <c r="R550" s="13" t="n">
        <v>18</v>
      </c>
      <c r="S550" s="13" t="n">
        <v>0</v>
      </c>
      <c r="T550" s="13" t="n">
        <v>0.6667</v>
      </c>
      <c r="U550" s="13" t="n">
        <v>1.94</v>
      </c>
      <c r="V550" s="13" t="n">
        <f aca="false">M550-SUM(N550:S550)</f>
        <v>0</v>
      </c>
    </row>
    <row r="551" customFormat="false" ht="15" hidden="false" customHeight="true" outlineLevel="0" collapsed="false">
      <c r="A551" s="13" t="n">
        <v>2025</v>
      </c>
      <c r="B551" s="13" t="s">
        <v>1028</v>
      </c>
      <c r="C551" s="13" t="s">
        <v>125</v>
      </c>
      <c r="D551" s="13" t="s">
        <v>203</v>
      </c>
      <c r="E551" s="13" t="s">
        <v>192</v>
      </c>
      <c r="F551" s="13" t="s">
        <v>652</v>
      </c>
      <c r="G551" s="13" t="n">
        <v>168</v>
      </c>
      <c r="H551" s="13" t="n">
        <v>1</v>
      </c>
      <c r="I551" s="13" t="n">
        <v>167</v>
      </c>
      <c r="J551" s="13" t="n">
        <v>10</v>
      </c>
      <c r="K551" s="13" t="n">
        <v>0</v>
      </c>
      <c r="L551" s="13" t="n">
        <v>46</v>
      </c>
      <c r="M551" s="13" t="n">
        <v>121</v>
      </c>
      <c r="N551" s="13" t="n">
        <v>0</v>
      </c>
      <c r="O551" s="13" t="n">
        <v>5</v>
      </c>
      <c r="P551" s="13" t="n">
        <v>15</v>
      </c>
      <c r="Q551" s="13" t="n">
        <v>46</v>
      </c>
      <c r="R551" s="13" t="n">
        <v>52</v>
      </c>
      <c r="S551" s="13" t="n">
        <v>3</v>
      </c>
      <c r="T551" s="13" t="n">
        <v>0.7246</v>
      </c>
      <c r="U551" s="13" t="n">
        <v>1.98</v>
      </c>
      <c r="V551" s="13" t="n">
        <f aca="false">M551-SUM(N551:S551)</f>
        <v>0</v>
      </c>
    </row>
    <row r="552" customFormat="false" ht="15" hidden="false" customHeight="true" outlineLevel="0" collapsed="false">
      <c r="A552" s="13" t="n">
        <v>2025</v>
      </c>
      <c r="B552" s="13" t="s">
        <v>1028</v>
      </c>
      <c r="C552" s="13" t="s">
        <v>125</v>
      </c>
      <c r="D552" s="13" t="s">
        <v>1037</v>
      </c>
      <c r="E552" s="13" t="s">
        <v>192</v>
      </c>
      <c r="F552" s="13" t="s">
        <v>1038</v>
      </c>
      <c r="G552" s="13" t="n">
        <v>494</v>
      </c>
      <c r="H552" s="13" t="n">
        <v>15</v>
      </c>
      <c r="I552" s="13" t="n">
        <v>479</v>
      </c>
      <c r="J552" s="13" t="n">
        <v>40</v>
      </c>
      <c r="K552" s="13" t="n">
        <v>0</v>
      </c>
      <c r="L552" s="13" t="n">
        <v>133</v>
      </c>
      <c r="M552" s="13" t="n">
        <v>346</v>
      </c>
      <c r="N552" s="13" t="n">
        <v>14</v>
      </c>
      <c r="O552" s="13" t="n">
        <v>18</v>
      </c>
      <c r="P552" s="13" t="n">
        <v>63</v>
      </c>
      <c r="Q552" s="13" t="n">
        <v>145</v>
      </c>
      <c r="R552" s="13" t="n">
        <v>99</v>
      </c>
      <c r="S552" s="13" t="n">
        <v>7</v>
      </c>
      <c r="T552" s="13" t="n">
        <v>0.7223</v>
      </c>
      <c r="U552" s="13" t="n">
        <v>2.23</v>
      </c>
      <c r="V552" s="13" t="n">
        <f aca="false">M552-SUM(N552:S552)</f>
        <v>0</v>
      </c>
    </row>
    <row r="553" customFormat="false" ht="15" hidden="false" customHeight="true" outlineLevel="0" collapsed="false">
      <c r="A553" s="13" t="n">
        <v>2025</v>
      </c>
      <c r="B553" s="13" t="s">
        <v>1028</v>
      </c>
      <c r="C553" s="13" t="s">
        <v>125</v>
      </c>
      <c r="D553" s="13" t="s">
        <v>1037</v>
      </c>
      <c r="E553" s="13" t="s">
        <v>192</v>
      </c>
      <c r="F553" s="13" t="s">
        <v>137</v>
      </c>
      <c r="G553" s="13" t="n">
        <v>2876</v>
      </c>
      <c r="H553" s="13" t="n">
        <v>19</v>
      </c>
      <c r="I553" s="13" t="n">
        <v>2857</v>
      </c>
      <c r="J553" s="13" t="n">
        <v>83</v>
      </c>
      <c r="K553" s="13" t="n">
        <v>0</v>
      </c>
      <c r="L553" s="13" t="n">
        <v>347</v>
      </c>
      <c r="M553" s="13" t="n">
        <v>2510</v>
      </c>
      <c r="N553" s="13" t="n">
        <v>361</v>
      </c>
      <c r="O553" s="13" t="n">
        <v>501</v>
      </c>
      <c r="P553" s="13" t="n">
        <v>752</v>
      </c>
      <c r="Q553" s="13" t="n">
        <v>630</v>
      </c>
      <c r="R553" s="13" t="n">
        <v>255</v>
      </c>
      <c r="S553" s="13" t="n">
        <v>11</v>
      </c>
      <c r="T553" s="13" t="n">
        <v>0.9048</v>
      </c>
      <c r="U553" s="13" t="n">
        <v>3.64</v>
      </c>
      <c r="V553" s="13" t="n">
        <f aca="false">M553-SUM(N553:S553)</f>
        <v>0</v>
      </c>
    </row>
    <row r="554" customFormat="false" ht="15" hidden="false" customHeight="true" outlineLevel="0" collapsed="false">
      <c r="A554" s="13" t="n">
        <v>2025</v>
      </c>
      <c r="B554" s="13" t="s">
        <v>1029</v>
      </c>
      <c r="C554" s="13" t="s">
        <v>121</v>
      </c>
      <c r="D554" s="13" t="s">
        <v>128</v>
      </c>
      <c r="E554" s="13" t="s">
        <v>124</v>
      </c>
      <c r="F554" s="13" t="s">
        <v>357</v>
      </c>
      <c r="G554" s="13" t="n">
        <v>40</v>
      </c>
      <c r="H554" s="13" t="n">
        <v>0</v>
      </c>
      <c r="I554" s="13" t="n">
        <v>40</v>
      </c>
      <c r="J554" s="13" t="n">
        <v>0</v>
      </c>
      <c r="K554" s="13" t="n">
        <v>0</v>
      </c>
      <c r="L554" s="13" t="n">
        <v>0</v>
      </c>
      <c r="M554" s="13" t="n">
        <v>40</v>
      </c>
      <c r="N554" s="13" t="n">
        <v>1</v>
      </c>
      <c r="O554" s="13" t="n">
        <v>5</v>
      </c>
      <c r="P554" s="13" t="n">
        <v>13</v>
      </c>
      <c r="Q554" s="13" t="n">
        <v>16</v>
      </c>
      <c r="R554" s="13" t="n">
        <v>5</v>
      </c>
      <c r="S554" s="13" t="n">
        <v>0</v>
      </c>
      <c r="T554" s="13" t="n">
        <v>1</v>
      </c>
      <c r="U554" s="13" t="n">
        <v>3.53</v>
      </c>
      <c r="V554" s="13" t="n">
        <f aca="false">M554-SUM(N554:S554)</f>
        <v>0</v>
      </c>
    </row>
    <row r="555" customFormat="false" ht="15" hidden="false" customHeight="true" outlineLevel="0" collapsed="false">
      <c r="A555" s="13" t="n">
        <v>2025</v>
      </c>
      <c r="B555" s="13" t="s">
        <v>1029</v>
      </c>
      <c r="C555" s="13" t="s">
        <v>121</v>
      </c>
      <c r="D555" s="13" t="s">
        <v>128</v>
      </c>
      <c r="E555" s="13" t="s">
        <v>122</v>
      </c>
      <c r="F555" s="13" t="s">
        <v>357</v>
      </c>
      <c r="G555" s="13" t="n">
        <v>53</v>
      </c>
      <c r="H555" s="13" t="n">
        <v>0</v>
      </c>
      <c r="I555" s="13" t="n">
        <v>53</v>
      </c>
      <c r="J555" s="13" t="n">
        <v>0</v>
      </c>
      <c r="K555" s="13" t="n">
        <v>0</v>
      </c>
      <c r="L555" s="13" t="n">
        <v>5</v>
      </c>
      <c r="M555" s="13" t="n">
        <v>48</v>
      </c>
      <c r="N555" s="13" t="n">
        <v>5</v>
      </c>
      <c r="O555" s="13" t="n">
        <v>8</v>
      </c>
      <c r="P555" s="13" t="n">
        <v>13</v>
      </c>
      <c r="Q555" s="13" t="n">
        <v>21</v>
      </c>
      <c r="R555" s="13" t="n">
        <v>1</v>
      </c>
      <c r="S555" s="13" t="n">
        <v>0</v>
      </c>
      <c r="T555" s="13" t="n">
        <v>0.9057</v>
      </c>
      <c r="U555" s="13" t="n">
        <v>3.53</v>
      </c>
      <c r="V555" s="13" t="n">
        <f aca="false">M555-SUM(N555:S555)</f>
        <v>0</v>
      </c>
    </row>
    <row r="556" customFormat="false" ht="15" hidden="false" customHeight="true" outlineLevel="0" collapsed="false">
      <c r="A556" s="13" t="n">
        <v>2025</v>
      </c>
      <c r="B556" s="13" t="s">
        <v>1029</v>
      </c>
      <c r="C556" s="13" t="s">
        <v>121</v>
      </c>
      <c r="D556" s="13" t="s">
        <v>128</v>
      </c>
      <c r="E556" s="13" t="s">
        <v>192</v>
      </c>
      <c r="F556" s="13" t="s">
        <v>652</v>
      </c>
      <c r="G556" s="13" t="n">
        <v>93</v>
      </c>
      <c r="H556" s="13" t="n">
        <v>0</v>
      </c>
      <c r="I556" s="13" t="n">
        <v>93</v>
      </c>
      <c r="J556" s="13" t="n">
        <v>0</v>
      </c>
      <c r="K556" s="13" t="n">
        <v>0</v>
      </c>
      <c r="L556" s="13" t="n">
        <v>5</v>
      </c>
      <c r="M556" s="13" t="n">
        <v>88</v>
      </c>
      <c r="N556" s="13" t="n">
        <v>6</v>
      </c>
      <c r="O556" s="13" t="n">
        <v>13</v>
      </c>
      <c r="P556" s="13" t="n">
        <v>26</v>
      </c>
      <c r="Q556" s="13" t="n">
        <v>37</v>
      </c>
      <c r="R556" s="13" t="n">
        <v>6</v>
      </c>
      <c r="S556" s="13" t="n">
        <v>0</v>
      </c>
      <c r="T556" s="13" t="n">
        <v>0.9462</v>
      </c>
      <c r="U556" s="13" t="n">
        <v>3.53</v>
      </c>
      <c r="V556" s="13" t="n">
        <f aca="false">M556-SUM(N556:S556)</f>
        <v>0</v>
      </c>
    </row>
    <row r="557" customFormat="false" ht="15" hidden="false" customHeight="true" outlineLevel="0" collapsed="false">
      <c r="A557" s="13" t="n">
        <v>2025</v>
      </c>
      <c r="B557" s="13" t="s">
        <v>1029</v>
      </c>
      <c r="C557" s="13" t="s">
        <v>121</v>
      </c>
      <c r="D557" s="13" t="s">
        <v>1033</v>
      </c>
      <c r="E557" s="13" t="s">
        <v>124</v>
      </c>
      <c r="F557" s="13" t="s">
        <v>357</v>
      </c>
      <c r="G557" s="13" t="n">
        <v>160</v>
      </c>
      <c r="H557" s="13" t="n">
        <v>0</v>
      </c>
      <c r="I557" s="13" t="n">
        <v>160</v>
      </c>
      <c r="J557" s="13" t="n">
        <v>0</v>
      </c>
      <c r="K557" s="13" t="n">
        <v>0</v>
      </c>
      <c r="L557" s="13" t="n">
        <v>3</v>
      </c>
      <c r="M557" s="13" t="n">
        <v>157</v>
      </c>
      <c r="N557" s="13" t="n">
        <v>43</v>
      </c>
      <c r="O557" s="13" t="n">
        <v>39</v>
      </c>
      <c r="P557" s="13" t="n">
        <v>47</v>
      </c>
      <c r="Q557" s="13" t="n">
        <v>28</v>
      </c>
      <c r="R557" s="13" t="n">
        <v>0</v>
      </c>
      <c r="S557" s="13" t="n">
        <v>0</v>
      </c>
      <c r="T557" s="13" t="n">
        <v>0.9813</v>
      </c>
      <c r="U557" s="13" t="n">
        <v>4.53</v>
      </c>
      <c r="V557" s="13" t="n">
        <f aca="false">M557-SUM(N557:S557)</f>
        <v>0</v>
      </c>
    </row>
    <row r="558" customFormat="false" ht="15" hidden="false" customHeight="true" outlineLevel="0" collapsed="false">
      <c r="A558" s="13" t="n">
        <v>2025</v>
      </c>
      <c r="B558" s="13" t="s">
        <v>1029</v>
      </c>
      <c r="C558" s="13" t="s">
        <v>121</v>
      </c>
      <c r="D558" s="13" t="s">
        <v>1033</v>
      </c>
      <c r="E558" s="13" t="s">
        <v>122</v>
      </c>
      <c r="F558" s="13" t="s">
        <v>357</v>
      </c>
      <c r="G558" s="13" t="n">
        <v>462</v>
      </c>
      <c r="H558" s="13" t="n">
        <v>0</v>
      </c>
      <c r="I558" s="13" t="n">
        <v>462</v>
      </c>
      <c r="J558" s="13" t="n">
        <v>0</v>
      </c>
      <c r="K558" s="13" t="n">
        <v>0</v>
      </c>
      <c r="L558" s="13" t="n">
        <v>11</v>
      </c>
      <c r="M558" s="13" t="n">
        <v>451</v>
      </c>
      <c r="N558" s="13" t="n">
        <v>128</v>
      </c>
      <c r="O558" s="13" t="n">
        <v>151</v>
      </c>
      <c r="P558" s="13" t="n">
        <v>136</v>
      </c>
      <c r="Q558" s="13" t="n">
        <v>36</v>
      </c>
      <c r="R558" s="13" t="n">
        <v>0</v>
      </c>
      <c r="S558" s="13" t="n">
        <v>0</v>
      </c>
      <c r="T558" s="13" t="n">
        <v>0.9762</v>
      </c>
      <c r="U558" s="13" t="n">
        <v>4.71</v>
      </c>
      <c r="V558" s="13" t="n">
        <f aca="false">M558-SUM(N558:S558)</f>
        <v>0</v>
      </c>
    </row>
    <row r="559" customFormat="false" ht="15" hidden="false" customHeight="true" outlineLevel="0" collapsed="false">
      <c r="A559" s="13" t="n">
        <v>2025</v>
      </c>
      <c r="B559" s="13" t="s">
        <v>1029</v>
      </c>
      <c r="C559" s="13" t="s">
        <v>121</v>
      </c>
      <c r="D559" s="13" t="s">
        <v>1033</v>
      </c>
      <c r="E559" s="13" t="s">
        <v>192</v>
      </c>
      <c r="F559" s="13" t="s">
        <v>652</v>
      </c>
      <c r="G559" s="13" t="n">
        <v>622</v>
      </c>
      <c r="H559" s="13" t="n">
        <v>0</v>
      </c>
      <c r="I559" s="13" t="n">
        <v>622</v>
      </c>
      <c r="J559" s="13" t="n">
        <v>0</v>
      </c>
      <c r="K559" s="13" t="n">
        <v>0</v>
      </c>
      <c r="L559" s="13" t="n">
        <v>14</v>
      </c>
      <c r="M559" s="13" t="n">
        <v>608</v>
      </c>
      <c r="N559" s="13" t="n">
        <v>171</v>
      </c>
      <c r="O559" s="13" t="n">
        <v>190</v>
      </c>
      <c r="P559" s="13" t="n">
        <v>183</v>
      </c>
      <c r="Q559" s="13" t="n">
        <v>64</v>
      </c>
      <c r="R559" s="13" t="n">
        <v>0</v>
      </c>
      <c r="S559" s="13" t="n">
        <v>0</v>
      </c>
      <c r="T559" s="13" t="n">
        <v>0.9775</v>
      </c>
      <c r="U559" s="13" t="n">
        <v>4.66</v>
      </c>
      <c r="V559" s="13" t="n">
        <f aca="false">M559-SUM(N559:S559)</f>
        <v>0</v>
      </c>
    </row>
    <row r="560" customFormat="false" ht="15" hidden="false" customHeight="true" outlineLevel="0" collapsed="false">
      <c r="A560" s="13" t="n">
        <v>2025</v>
      </c>
      <c r="B560" s="13" t="s">
        <v>1029</v>
      </c>
      <c r="C560" s="13" t="s">
        <v>121</v>
      </c>
      <c r="D560" s="13" t="s">
        <v>1034</v>
      </c>
      <c r="E560" s="13" t="s">
        <v>124</v>
      </c>
      <c r="F560" s="13" t="s">
        <v>357</v>
      </c>
      <c r="G560" s="13" t="n">
        <v>50</v>
      </c>
      <c r="H560" s="13" t="n">
        <v>1</v>
      </c>
      <c r="I560" s="13" t="n">
        <v>49</v>
      </c>
      <c r="J560" s="13" t="n">
        <v>0</v>
      </c>
      <c r="K560" s="13" t="n">
        <v>0</v>
      </c>
      <c r="L560" s="13" t="n">
        <v>2</v>
      </c>
      <c r="M560" s="13" t="n">
        <v>47</v>
      </c>
      <c r="N560" s="13" t="n">
        <v>12</v>
      </c>
      <c r="O560" s="13" t="n">
        <v>14</v>
      </c>
      <c r="P560" s="13" t="n">
        <v>14</v>
      </c>
      <c r="Q560" s="13" t="n">
        <v>7</v>
      </c>
      <c r="R560" s="13" t="n">
        <v>0</v>
      </c>
      <c r="S560" s="13" t="n">
        <v>0</v>
      </c>
      <c r="T560" s="13" t="n">
        <v>0.9592</v>
      </c>
      <c r="U560" s="13" t="n">
        <v>4.47</v>
      </c>
      <c r="V560" s="13" t="n">
        <f aca="false">M560-SUM(N560:S560)</f>
        <v>0</v>
      </c>
    </row>
    <row r="561" customFormat="false" ht="15" hidden="false" customHeight="true" outlineLevel="0" collapsed="false">
      <c r="A561" s="13" t="n">
        <v>2025</v>
      </c>
      <c r="B561" s="13" t="s">
        <v>1029</v>
      </c>
      <c r="C561" s="13" t="s">
        <v>121</v>
      </c>
      <c r="D561" s="13" t="s">
        <v>1034</v>
      </c>
      <c r="E561" s="13" t="s">
        <v>122</v>
      </c>
      <c r="F561" s="13" t="s">
        <v>357</v>
      </c>
      <c r="G561" s="13" t="n">
        <v>46</v>
      </c>
      <c r="H561" s="13" t="n">
        <v>0</v>
      </c>
      <c r="I561" s="13" t="n">
        <v>46</v>
      </c>
      <c r="J561" s="13" t="n">
        <v>0</v>
      </c>
      <c r="K561" s="13" t="n">
        <v>0</v>
      </c>
      <c r="L561" s="13" t="n">
        <v>0</v>
      </c>
      <c r="M561" s="13" t="n">
        <v>46</v>
      </c>
      <c r="N561" s="13" t="n">
        <v>17</v>
      </c>
      <c r="O561" s="13" t="n">
        <v>14</v>
      </c>
      <c r="P561" s="13" t="n">
        <v>12</v>
      </c>
      <c r="Q561" s="13" t="n">
        <v>3</v>
      </c>
      <c r="R561" s="13" t="n">
        <v>0</v>
      </c>
      <c r="S561" s="13" t="n">
        <v>0</v>
      </c>
      <c r="T561" s="13" t="n">
        <v>1</v>
      </c>
      <c r="U561" s="13" t="n">
        <v>4.98</v>
      </c>
      <c r="V561" s="13" t="n">
        <f aca="false">M561-SUM(N561:S561)</f>
        <v>0</v>
      </c>
    </row>
    <row r="562" customFormat="false" ht="15" hidden="false" customHeight="true" outlineLevel="0" collapsed="false">
      <c r="A562" s="13" t="n">
        <v>2025</v>
      </c>
      <c r="B562" s="13" t="s">
        <v>1029</v>
      </c>
      <c r="C562" s="13" t="s">
        <v>121</v>
      </c>
      <c r="D562" s="13" t="s">
        <v>1034</v>
      </c>
      <c r="E562" s="13" t="s">
        <v>192</v>
      </c>
      <c r="F562" s="13" t="s">
        <v>652</v>
      </c>
      <c r="G562" s="13" t="n">
        <v>96</v>
      </c>
      <c r="H562" s="13" t="n">
        <v>1</v>
      </c>
      <c r="I562" s="13" t="n">
        <v>95</v>
      </c>
      <c r="J562" s="13" t="n">
        <v>0</v>
      </c>
      <c r="K562" s="13" t="n">
        <v>0</v>
      </c>
      <c r="L562" s="13" t="n">
        <v>2</v>
      </c>
      <c r="M562" s="13" t="n">
        <v>93</v>
      </c>
      <c r="N562" s="13" t="n">
        <v>29</v>
      </c>
      <c r="O562" s="13" t="n">
        <v>28</v>
      </c>
      <c r="P562" s="13" t="n">
        <v>26</v>
      </c>
      <c r="Q562" s="13" t="n">
        <v>10</v>
      </c>
      <c r="R562" s="13" t="n">
        <v>0</v>
      </c>
      <c r="S562" s="13" t="n">
        <v>0</v>
      </c>
      <c r="T562" s="13" t="n">
        <v>0.9789</v>
      </c>
      <c r="U562" s="13" t="n">
        <v>4.72</v>
      </c>
      <c r="V562" s="13" t="n">
        <f aca="false">M562-SUM(N562:S562)</f>
        <v>0</v>
      </c>
    </row>
    <row r="563" customFormat="false" ht="15" hidden="false" customHeight="true" outlineLevel="0" collapsed="false">
      <c r="A563" s="13" t="n">
        <v>2025</v>
      </c>
      <c r="B563" s="13" t="s">
        <v>1029</v>
      </c>
      <c r="C563" s="13" t="s">
        <v>121</v>
      </c>
      <c r="D563" s="13" t="s">
        <v>1035</v>
      </c>
      <c r="E563" s="13" t="s">
        <v>124</v>
      </c>
      <c r="F563" s="13" t="s">
        <v>357</v>
      </c>
      <c r="G563" s="13" t="n">
        <v>316</v>
      </c>
      <c r="H563" s="13" t="n">
        <v>0</v>
      </c>
      <c r="I563" s="13" t="n">
        <v>316</v>
      </c>
      <c r="J563" s="13" t="n">
        <v>0</v>
      </c>
      <c r="K563" s="13" t="n">
        <v>0</v>
      </c>
      <c r="L563" s="13" t="n">
        <v>68</v>
      </c>
      <c r="M563" s="13" t="n">
        <v>248</v>
      </c>
      <c r="N563" s="13" t="n">
        <v>10</v>
      </c>
      <c r="O563" s="13" t="n">
        <v>41</v>
      </c>
      <c r="P563" s="13" t="n">
        <v>100</v>
      </c>
      <c r="Q563" s="13" t="n">
        <v>94</v>
      </c>
      <c r="R563" s="13" t="n">
        <v>3</v>
      </c>
      <c r="S563" s="13" t="n">
        <v>0</v>
      </c>
      <c r="T563" s="13" t="n">
        <v>0.7848</v>
      </c>
      <c r="U563" s="13" t="n">
        <v>3.02</v>
      </c>
      <c r="V563" s="13" t="n">
        <f aca="false">M563-SUM(N563:S563)</f>
        <v>0</v>
      </c>
    </row>
    <row r="564" customFormat="false" ht="15" hidden="false" customHeight="true" outlineLevel="0" collapsed="false">
      <c r="A564" s="13" t="n">
        <v>2025</v>
      </c>
      <c r="B564" s="13" t="s">
        <v>1029</v>
      </c>
      <c r="C564" s="13" t="s">
        <v>121</v>
      </c>
      <c r="D564" s="13" t="s">
        <v>1035</v>
      </c>
      <c r="E564" s="13" t="s">
        <v>122</v>
      </c>
      <c r="F564" s="13" t="s">
        <v>357</v>
      </c>
      <c r="G564" s="13" t="n">
        <v>154</v>
      </c>
      <c r="H564" s="13" t="n">
        <v>0</v>
      </c>
      <c r="I564" s="13" t="n">
        <v>154</v>
      </c>
      <c r="J564" s="13" t="n">
        <v>0</v>
      </c>
      <c r="K564" s="13" t="n">
        <v>0</v>
      </c>
      <c r="L564" s="13" t="n">
        <v>29</v>
      </c>
      <c r="M564" s="13" t="n">
        <v>125</v>
      </c>
      <c r="N564" s="13" t="n">
        <v>23</v>
      </c>
      <c r="O564" s="13" t="n">
        <v>40</v>
      </c>
      <c r="P564" s="13" t="n">
        <v>47</v>
      </c>
      <c r="Q564" s="13" t="n">
        <v>15</v>
      </c>
      <c r="R564" s="13" t="n">
        <v>0</v>
      </c>
      <c r="S564" s="13" t="n">
        <v>0</v>
      </c>
      <c r="T564" s="13" t="n">
        <v>0.8117</v>
      </c>
      <c r="U564" s="13" t="n">
        <v>3.71</v>
      </c>
      <c r="V564" s="13" t="n">
        <f aca="false">M564-SUM(N564:S564)</f>
        <v>0</v>
      </c>
    </row>
    <row r="565" customFormat="false" ht="15" hidden="false" customHeight="true" outlineLevel="0" collapsed="false">
      <c r="A565" s="13" t="n">
        <v>2025</v>
      </c>
      <c r="B565" s="13" t="s">
        <v>1029</v>
      </c>
      <c r="C565" s="13" t="s">
        <v>121</v>
      </c>
      <c r="D565" s="13" t="s">
        <v>1035</v>
      </c>
      <c r="E565" s="13" t="s">
        <v>192</v>
      </c>
      <c r="F565" s="13" t="s">
        <v>652</v>
      </c>
      <c r="G565" s="13" t="n">
        <v>470</v>
      </c>
      <c r="H565" s="13" t="n">
        <v>0</v>
      </c>
      <c r="I565" s="13" t="n">
        <v>470</v>
      </c>
      <c r="J565" s="13" t="n">
        <v>0</v>
      </c>
      <c r="K565" s="13" t="n">
        <v>0</v>
      </c>
      <c r="L565" s="13" t="n">
        <v>97</v>
      </c>
      <c r="M565" s="13" t="n">
        <v>373</v>
      </c>
      <c r="N565" s="13" t="n">
        <v>33</v>
      </c>
      <c r="O565" s="13" t="n">
        <v>81</v>
      </c>
      <c r="P565" s="13" t="n">
        <v>147</v>
      </c>
      <c r="Q565" s="13" t="n">
        <v>109</v>
      </c>
      <c r="R565" s="13" t="n">
        <v>3</v>
      </c>
      <c r="S565" s="13" t="n">
        <v>0</v>
      </c>
      <c r="T565" s="13" t="n">
        <v>0.7936</v>
      </c>
      <c r="U565" s="13" t="n">
        <v>3.24</v>
      </c>
      <c r="V565" s="13" t="n">
        <f aca="false">M565-SUM(N565:S565)</f>
        <v>0</v>
      </c>
    </row>
    <row r="566" customFormat="false" ht="15" hidden="false" customHeight="true" outlineLevel="0" collapsed="false">
      <c r="A566" s="13" t="n">
        <v>2025</v>
      </c>
      <c r="B566" s="13" t="s">
        <v>1029</v>
      </c>
      <c r="C566" s="13" t="s">
        <v>121</v>
      </c>
      <c r="D566" s="13" t="s">
        <v>203</v>
      </c>
      <c r="E566" s="13" t="s">
        <v>122</v>
      </c>
      <c r="F566" s="13" t="s">
        <v>357</v>
      </c>
      <c r="G566" s="13" t="n">
        <v>10</v>
      </c>
      <c r="H566" s="13" t="n">
        <v>0</v>
      </c>
      <c r="I566" s="13" t="n">
        <v>10</v>
      </c>
      <c r="J566" s="13" t="n">
        <v>0</v>
      </c>
      <c r="K566" s="13" t="n">
        <v>0</v>
      </c>
      <c r="L566" s="13" t="n">
        <v>0</v>
      </c>
      <c r="M566" s="13" t="n">
        <v>10</v>
      </c>
      <c r="N566" s="13" t="n">
        <v>0</v>
      </c>
      <c r="O566" s="13" t="n">
        <v>1</v>
      </c>
      <c r="P566" s="13" t="n">
        <v>4</v>
      </c>
      <c r="Q566" s="13" t="n">
        <v>4</v>
      </c>
      <c r="R566" s="13" t="n">
        <v>1</v>
      </c>
      <c r="S566" s="13" t="n">
        <v>0</v>
      </c>
      <c r="T566" s="13" t="n">
        <v>1</v>
      </c>
      <c r="U566" s="13" t="n">
        <v>3.5</v>
      </c>
      <c r="V566" s="13" t="n">
        <f aca="false">M566-SUM(N566:S566)</f>
        <v>0</v>
      </c>
    </row>
    <row r="567" customFormat="false" ht="15" hidden="false" customHeight="true" outlineLevel="0" collapsed="false">
      <c r="A567" s="13" t="n">
        <v>2025</v>
      </c>
      <c r="B567" s="13" t="s">
        <v>1029</v>
      </c>
      <c r="C567" s="13" t="s">
        <v>121</v>
      </c>
      <c r="D567" s="13" t="s">
        <v>203</v>
      </c>
      <c r="E567" s="13" t="s">
        <v>192</v>
      </c>
      <c r="F567" s="13" t="s">
        <v>652</v>
      </c>
      <c r="G567" s="13" t="n">
        <v>10</v>
      </c>
      <c r="H567" s="13" t="n">
        <v>0</v>
      </c>
      <c r="I567" s="13" t="n">
        <v>10</v>
      </c>
      <c r="J567" s="13" t="n">
        <v>0</v>
      </c>
      <c r="K567" s="13" t="n">
        <v>0</v>
      </c>
      <c r="L567" s="13" t="n">
        <v>0</v>
      </c>
      <c r="M567" s="13" t="n">
        <v>10</v>
      </c>
      <c r="N567" s="13" t="n">
        <v>0</v>
      </c>
      <c r="O567" s="13" t="n">
        <v>1</v>
      </c>
      <c r="P567" s="13" t="n">
        <v>4</v>
      </c>
      <c r="Q567" s="13" t="n">
        <v>4</v>
      </c>
      <c r="R567" s="13" t="n">
        <v>1</v>
      </c>
      <c r="S567" s="13" t="n">
        <v>0</v>
      </c>
      <c r="T567" s="13" t="n">
        <v>1</v>
      </c>
      <c r="U567" s="13" t="n">
        <v>3.5</v>
      </c>
      <c r="V567" s="13" t="n">
        <f aca="false">M567-SUM(N567:S567)</f>
        <v>0</v>
      </c>
    </row>
    <row r="568" customFormat="false" ht="15" hidden="false" customHeight="true" outlineLevel="0" collapsed="false">
      <c r="A568" s="13" t="n">
        <v>2025</v>
      </c>
      <c r="B568" s="13" t="s">
        <v>1029</v>
      </c>
      <c r="C568" s="13" t="s">
        <v>121</v>
      </c>
      <c r="D568" s="13" t="s">
        <v>1037</v>
      </c>
      <c r="E568" s="13" t="s">
        <v>192</v>
      </c>
      <c r="F568" s="13" t="s">
        <v>1038</v>
      </c>
      <c r="G568" s="13" t="n">
        <v>1291</v>
      </c>
      <c r="H568" s="13" t="n">
        <v>1</v>
      </c>
      <c r="I568" s="13" t="n">
        <v>1290</v>
      </c>
      <c r="J568" s="13" t="n">
        <v>0</v>
      </c>
      <c r="K568" s="13" t="n">
        <v>0</v>
      </c>
      <c r="L568" s="13" t="n">
        <v>118</v>
      </c>
      <c r="M568" s="13" t="n">
        <v>1172</v>
      </c>
      <c r="N568" s="13" t="n">
        <v>239</v>
      </c>
      <c r="O568" s="13" t="n">
        <v>313</v>
      </c>
      <c r="P568" s="13" t="n">
        <v>386</v>
      </c>
      <c r="Q568" s="13" t="n">
        <v>224</v>
      </c>
      <c r="R568" s="13" t="n">
        <v>10</v>
      </c>
      <c r="S568" s="13" t="n">
        <v>0</v>
      </c>
      <c r="T568" s="13" t="n">
        <v>0.9085</v>
      </c>
      <c r="U568" s="13" t="n">
        <v>4.06</v>
      </c>
      <c r="V568" s="13" t="n">
        <f aca="false">M568-SUM(N568:S568)</f>
        <v>0</v>
      </c>
    </row>
    <row r="569" customFormat="false" ht="15" hidden="false" customHeight="true" outlineLevel="0" collapsed="false">
      <c r="A569" s="13" t="n">
        <v>2025</v>
      </c>
      <c r="B569" s="13" t="s">
        <v>1029</v>
      </c>
      <c r="C569" s="13" t="s">
        <v>125</v>
      </c>
      <c r="D569" s="13" t="s">
        <v>128</v>
      </c>
      <c r="E569" s="13" t="s">
        <v>124</v>
      </c>
      <c r="F569" s="13" t="s">
        <v>357</v>
      </c>
      <c r="G569" s="13" t="n">
        <v>5</v>
      </c>
      <c r="H569" s="13" t="n">
        <v>0</v>
      </c>
      <c r="I569" s="13" t="n">
        <v>5</v>
      </c>
      <c r="J569" s="13" t="n">
        <v>0</v>
      </c>
      <c r="K569" s="13" t="n">
        <v>0</v>
      </c>
      <c r="L569" s="13" t="n">
        <v>3</v>
      </c>
      <c r="M569" s="13" t="n">
        <v>2</v>
      </c>
      <c r="N569" s="13" t="n">
        <v>0</v>
      </c>
      <c r="O569" s="13" t="n">
        <v>0</v>
      </c>
      <c r="P569" s="13" t="n">
        <v>0</v>
      </c>
      <c r="Q569" s="13" t="n">
        <v>1</v>
      </c>
      <c r="R569" s="13" t="n">
        <v>1</v>
      </c>
      <c r="S569" s="13" t="n">
        <v>0</v>
      </c>
      <c r="T569" s="13" t="n">
        <v>0.4</v>
      </c>
      <c r="U569" s="13" t="n">
        <v>1</v>
      </c>
      <c r="V569" s="13" t="n">
        <f aca="false">M569-SUM(N569:S569)</f>
        <v>0</v>
      </c>
    </row>
    <row r="570" customFormat="false" ht="15" hidden="false" customHeight="true" outlineLevel="0" collapsed="false">
      <c r="A570" s="13" t="n">
        <v>2025</v>
      </c>
      <c r="B570" s="13" t="s">
        <v>1029</v>
      </c>
      <c r="C570" s="13" t="s">
        <v>125</v>
      </c>
      <c r="D570" s="13" t="s">
        <v>128</v>
      </c>
      <c r="E570" s="13" t="s">
        <v>122</v>
      </c>
      <c r="F570" s="13" t="s">
        <v>357</v>
      </c>
      <c r="G570" s="13" t="n">
        <v>8</v>
      </c>
      <c r="H570" s="13" t="n">
        <v>3</v>
      </c>
      <c r="I570" s="13" t="n">
        <v>5</v>
      </c>
      <c r="J570" s="13" t="n">
        <v>0</v>
      </c>
      <c r="K570" s="13" t="n">
        <v>0</v>
      </c>
      <c r="L570" s="13" t="n">
        <v>2</v>
      </c>
      <c r="M570" s="13" t="n">
        <v>3</v>
      </c>
      <c r="N570" s="13" t="n">
        <v>0</v>
      </c>
      <c r="O570" s="13" t="n">
        <v>0</v>
      </c>
      <c r="P570" s="13" t="n">
        <v>1</v>
      </c>
      <c r="Q570" s="13" t="n">
        <v>0</v>
      </c>
      <c r="R570" s="13" t="n">
        <v>0</v>
      </c>
      <c r="S570" s="13" t="n">
        <v>0</v>
      </c>
      <c r="T570" s="13" t="n">
        <v>0.6</v>
      </c>
      <c r="U570" s="13" t="n">
        <v>0.8</v>
      </c>
      <c r="V570" s="13" t="n">
        <f aca="false">M570-SUM(N570:S570)</f>
        <v>2</v>
      </c>
    </row>
    <row r="571" customFormat="false" ht="15" hidden="false" customHeight="true" outlineLevel="0" collapsed="false">
      <c r="A571" s="13" t="n">
        <v>2025</v>
      </c>
      <c r="B571" s="13" t="s">
        <v>1029</v>
      </c>
      <c r="C571" s="13" t="s">
        <v>125</v>
      </c>
      <c r="D571" s="13" t="s">
        <v>128</v>
      </c>
      <c r="E571" s="13" t="s">
        <v>192</v>
      </c>
      <c r="F571" s="13" t="s">
        <v>652</v>
      </c>
      <c r="G571" s="13" t="n">
        <v>13</v>
      </c>
      <c r="H571" s="13" t="n">
        <v>3</v>
      </c>
      <c r="I571" s="13" t="n">
        <v>10</v>
      </c>
      <c r="J571" s="13" t="n">
        <v>0</v>
      </c>
      <c r="K571" s="13" t="n">
        <v>0</v>
      </c>
      <c r="L571" s="13" t="n">
        <v>5</v>
      </c>
      <c r="M571" s="13" t="n">
        <v>5</v>
      </c>
      <c r="N571" s="13" t="n">
        <v>0</v>
      </c>
      <c r="O571" s="13" t="n">
        <v>0</v>
      </c>
      <c r="P571" s="13" t="n">
        <v>1</v>
      </c>
      <c r="Q571" s="13" t="n">
        <v>1</v>
      </c>
      <c r="R571" s="13" t="n">
        <v>1</v>
      </c>
      <c r="S571" s="13" t="n">
        <v>0</v>
      </c>
      <c r="T571" s="13" t="n">
        <v>0.5</v>
      </c>
      <c r="U571" s="13" t="n">
        <v>0.9</v>
      </c>
      <c r="V571" s="13" t="n">
        <f aca="false">M571-SUM(N571:S571)</f>
        <v>2</v>
      </c>
    </row>
    <row r="572" customFormat="false" ht="15" hidden="false" customHeight="true" outlineLevel="0" collapsed="false">
      <c r="A572" s="13" t="n">
        <v>2025</v>
      </c>
      <c r="B572" s="13" t="s">
        <v>1029</v>
      </c>
      <c r="C572" s="13" t="s">
        <v>125</v>
      </c>
      <c r="D572" s="13" t="s">
        <v>1033</v>
      </c>
      <c r="E572" s="13" t="s">
        <v>124</v>
      </c>
      <c r="F572" s="13" t="s">
        <v>357</v>
      </c>
      <c r="G572" s="13" t="n">
        <v>25</v>
      </c>
      <c r="H572" s="13" t="n">
        <v>1</v>
      </c>
      <c r="I572" s="13" t="n">
        <v>24</v>
      </c>
      <c r="J572" s="13" t="n">
        <v>0</v>
      </c>
      <c r="K572" s="13" t="n">
        <v>0</v>
      </c>
      <c r="L572" s="13" t="n">
        <v>1</v>
      </c>
      <c r="M572" s="13" t="n">
        <v>23</v>
      </c>
      <c r="N572" s="13" t="n">
        <v>12</v>
      </c>
      <c r="O572" s="13" t="n">
        <v>1</v>
      </c>
      <c r="P572" s="13" t="n">
        <v>4</v>
      </c>
      <c r="Q572" s="13" t="n">
        <v>4</v>
      </c>
      <c r="R572" s="13" t="n">
        <v>2</v>
      </c>
      <c r="S572" s="13" t="n">
        <v>0</v>
      </c>
      <c r="T572" s="13" t="n">
        <v>0.9583</v>
      </c>
      <c r="U572" s="13" t="n">
        <v>4.54</v>
      </c>
      <c r="V572" s="13" t="n">
        <f aca="false">M572-SUM(N572:S572)</f>
        <v>0</v>
      </c>
    </row>
    <row r="573" customFormat="false" ht="15" hidden="false" customHeight="true" outlineLevel="0" collapsed="false">
      <c r="A573" s="13" t="n">
        <v>2025</v>
      </c>
      <c r="B573" s="13" t="s">
        <v>1029</v>
      </c>
      <c r="C573" s="13" t="s">
        <v>125</v>
      </c>
      <c r="D573" s="13" t="s">
        <v>1033</v>
      </c>
      <c r="E573" s="13" t="s">
        <v>122</v>
      </c>
      <c r="F573" s="13" t="s">
        <v>357</v>
      </c>
      <c r="G573" s="13" t="n">
        <v>80</v>
      </c>
      <c r="H573" s="13" t="n">
        <v>6</v>
      </c>
      <c r="I573" s="13" t="n">
        <v>74</v>
      </c>
      <c r="J573" s="13" t="n">
        <v>0</v>
      </c>
      <c r="K573" s="13" t="n">
        <v>0</v>
      </c>
      <c r="L573" s="13" t="n">
        <v>3</v>
      </c>
      <c r="M573" s="13" t="n">
        <v>71</v>
      </c>
      <c r="N573" s="13" t="n">
        <v>60</v>
      </c>
      <c r="O573" s="13" t="n">
        <v>3</v>
      </c>
      <c r="P573" s="13" t="n">
        <v>5</v>
      </c>
      <c r="Q573" s="13" t="n">
        <v>2</v>
      </c>
      <c r="R573" s="13" t="n">
        <v>1</v>
      </c>
      <c r="S573" s="13" t="n">
        <v>0</v>
      </c>
      <c r="T573" s="13" t="n">
        <v>0.9595</v>
      </c>
      <c r="U573" s="13" t="n">
        <v>5.45</v>
      </c>
      <c r="V573" s="13" t="n">
        <f aca="false">M573-SUM(N573:S573)</f>
        <v>0</v>
      </c>
    </row>
    <row r="574" customFormat="false" ht="15" hidden="false" customHeight="true" outlineLevel="0" collapsed="false">
      <c r="A574" s="13" t="n">
        <v>2025</v>
      </c>
      <c r="B574" s="13" t="s">
        <v>1029</v>
      </c>
      <c r="C574" s="13" t="s">
        <v>125</v>
      </c>
      <c r="D574" s="13" t="s">
        <v>1033</v>
      </c>
      <c r="E574" s="13" t="s">
        <v>192</v>
      </c>
      <c r="F574" s="13" t="s">
        <v>652</v>
      </c>
      <c r="G574" s="13" t="n">
        <v>105</v>
      </c>
      <c r="H574" s="13" t="n">
        <v>7</v>
      </c>
      <c r="I574" s="13" t="n">
        <v>98</v>
      </c>
      <c r="J574" s="13" t="n">
        <v>0</v>
      </c>
      <c r="K574" s="13" t="n">
        <v>0</v>
      </c>
      <c r="L574" s="13" t="n">
        <v>4</v>
      </c>
      <c r="M574" s="13" t="n">
        <v>94</v>
      </c>
      <c r="N574" s="13" t="n">
        <v>72</v>
      </c>
      <c r="O574" s="13" t="n">
        <v>4</v>
      </c>
      <c r="P574" s="13" t="n">
        <v>9</v>
      </c>
      <c r="Q574" s="13" t="n">
        <v>6</v>
      </c>
      <c r="R574" s="13" t="n">
        <v>3</v>
      </c>
      <c r="S574" s="13" t="n">
        <v>0</v>
      </c>
      <c r="T574" s="13" t="n">
        <v>0.9592</v>
      </c>
      <c r="U574" s="13" t="n">
        <v>5.22</v>
      </c>
      <c r="V574" s="13" t="n">
        <f aca="false">M574-SUM(N574:S574)</f>
        <v>0</v>
      </c>
    </row>
    <row r="575" customFormat="false" ht="15" hidden="false" customHeight="true" outlineLevel="0" collapsed="false">
      <c r="A575" s="13" t="n">
        <v>2025</v>
      </c>
      <c r="B575" s="13" t="s">
        <v>1029</v>
      </c>
      <c r="C575" s="13" t="s">
        <v>125</v>
      </c>
      <c r="D575" s="13" t="s">
        <v>1034</v>
      </c>
      <c r="E575" s="13" t="s">
        <v>124</v>
      </c>
      <c r="F575" s="13" t="s">
        <v>357</v>
      </c>
      <c r="G575" s="13" t="n">
        <v>9</v>
      </c>
      <c r="H575" s="13" t="n">
        <v>0</v>
      </c>
      <c r="I575" s="13" t="n">
        <v>9</v>
      </c>
      <c r="J575" s="13" t="n">
        <v>0</v>
      </c>
      <c r="K575" s="13" t="n">
        <v>0</v>
      </c>
      <c r="L575" s="13" t="n">
        <v>3</v>
      </c>
      <c r="M575" s="13" t="n">
        <v>6</v>
      </c>
      <c r="N575" s="13" t="n">
        <v>0</v>
      </c>
      <c r="O575" s="13" t="n">
        <v>0</v>
      </c>
      <c r="P575" s="13" t="n">
        <v>1</v>
      </c>
      <c r="Q575" s="13" t="n">
        <v>5</v>
      </c>
      <c r="R575" s="13" t="n">
        <v>0</v>
      </c>
      <c r="S575" s="13" t="n">
        <v>0</v>
      </c>
      <c r="T575" s="13" t="n">
        <v>0.6667</v>
      </c>
      <c r="U575" s="13" t="n">
        <v>2.11</v>
      </c>
      <c r="V575" s="13" t="n">
        <f aca="false">M575-SUM(N575:S575)</f>
        <v>0</v>
      </c>
    </row>
    <row r="576" customFormat="false" ht="15" hidden="false" customHeight="true" outlineLevel="0" collapsed="false">
      <c r="A576" s="13" t="n">
        <v>2025</v>
      </c>
      <c r="B576" s="13" t="s">
        <v>1029</v>
      </c>
      <c r="C576" s="13" t="s">
        <v>125</v>
      </c>
      <c r="D576" s="13" t="s">
        <v>1034</v>
      </c>
      <c r="E576" s="13" t="s">
        <v>122</v>
      </c>
      <c r="F576" s="13" t="s">
        <v>357</v>
      </c>
      <c r="G576" s="13" t="n">
        <v>5</v>
      </c>
      <c r="H576" s="13" t="n">
        <v>0</v>
      </c>
      <c r="I576" s="13" t="n">
        <v>5</v>
      </c>
      <c r="J576" s="13" t="n">
        <v>0</v>
      </c>
      <c r="K576" s="13" t="n">
        <v>0</v>
      </c>
      <c r="L576" s="13" t="n">
        <v>5</v>
      </c>
      <c r="M576" s="13" t="n">
        <v>0</v>
      </c>
      <c r="N576" s="13" t="n">
        <v>0</v>
      </c>
      <c r="O576" s="13" t="n">
        <v>0</v>
      </c>
      <c r="P576" s="13" t="n">
        <v>0</v>
      </c>
      <c r="Q576" s="13" t="n">
        <v>0</v>
      </c>
      <c r="R576" s="13" t="n">
        <v>0</v>
      </c>
      <c r="S576" s="13" t="n">
        <v>0</v>
      </c>
      <c r="T576" s="13" t="n">
        <v>0</v>
      </c>
      <c r="U576" s="13" t="n">
        <v>0</v>
      </c>
      <c r="V576" s="13" t="n">
        <f aca="false">M576-SUM(N576:S576)</f>
        <v>0</v>
      </c>
    </row>
    <row r="577" customFormat="false" ht="15" hidden="false" customHeight="true" outlineLevel="0" collapsed="false">
      <c r="A577" s="13" t="n">
        <v>2025</v>
      </c>
      <c r="B577" s="13" t="s">
        <v>1029</v>
      </c>
      <c r="C577" s="13" t="s">
        <v>125</v>
      </c>
      <c r="D577" s="13" t="s">
        <v>1034</v>
      </c>
      <c r="E577" s="13" t="s">
        <v>192</v>
      </c>
      <c r="F577" s="13" t="s">
        <v>652</v>
      </c>
      <c r="G577" s="13" t="n">
        <v>14</v>
      </c>
      <c r="H577" s="13" t="n">
        <v>0</v>
      </c>
      <c r="I577" s="13" t="n">
        <v>14</v>
      </c>
      <c r="J577" s="13" t="n">
        <v>0</v>
      </c>
      <c r="K577" s="13" t="n">
        <v>0</v>
      </c>
      <c r="L577" s="13" t="n">
        <v>8</v>
      </c>
      <c r="M577" s="13" t="n">
        <v>6</v>
      </c>
      <c r="N577" s="13" t="n">
        <v>0</v>
      </c>
      <c r="O577" s="13" t="n">
        <v>0</v>
      </c>
      <c r="P577" s="13" t="n">
        <v>1</v>
      </c>
      <c r="Q577" s="13" t="n">
        <v>5</v>
      </c>
      <c r="R577" s="13" t="n">
        <v>0</v>
      </c>
      <c r="S577" s="13" t="n">
        <v>0</v>
      </c>
      <c r="T577" s="13" t="n">
        <v>0.4286</v>
      </c>
      <c r="U577" s="13" t="n">
        <v>1.36</v>
      </c>
      <c r="V577" s="13" t="n">
        <f aca="false">M577-SUM(N577:S577)</f>
        <v>0</v>
      </c>
    </row>
    <row r="578" customFormat="false" ht="15" hidden="false" customHeight="true" outlineLevel="0" collapsed="false">
      <c r="A578" s="13" t="n">
        <v>2025</v>
      </c>
      <c r="B578" s="13" t="s">
        <v>1029</v>
      </c>
      <c r="C578" s="13" t="s">
        <v>125</v>
      </c>
      <c r="D578" s="13" t="s">
        <v>1035</v>
      </c>
      <c r="E578" s="13" t="s">
        <v>124</v>
      </c>
      <c r="F578" s="13" t="s">
        <v>357</v>
      </c>
      <c r="G578" s="13" t="n">
        <v>44</v>
      </c>
      <c r="H578" s="13" t="n">
        <v>1</v>
      </c>
      <c r="I578" s="13" t="n">
        <v>43</v>
      </c>
      <c r="J578" s="13" t="n">
        <v>1</v>
      </c>
      <c r="K578" s="13" t="n">
        <v>0</v>
      </c>
      <c r="L578" s="13" t="n">
        <v>26</v>
      </c>
      <c r="M578" s="13" t="n">
        <v>17</v>
      </c>
      <c r="N578" s="13" t="n">
        <v>0</v>
      </c>
      <c r="O578" s="13" t="n">
        <v>0</v>
      </c>
      <c r="P578" s="13" t="n">
        <v>1</v>
      </c>
      <c r="Q578" s="13" t="n">
        <v>13</v>
      </c>
      <c r="R578" s="13" t="n">
        <v>3</v>
      </c>
      <c r="S578" s="13" t="n">
        <v>0</v>
      </c>
      <c r="T578" s="13" t="n">
        <v>0.3953</v>
      </c>
      <c r="U578" s="13" t="n">
        <v>1.14</v>
      </c>
      <c r="V578" s="13" t="n">
        <f aca="false">M578-SUM(N578:S578)</f>
        <v>0</v>
      </c>
    </row>
    <row r="579" customFormat="false" ht="15" hidden="false" customHeight="true" outlineLevel="0" collapsed="false">
      <c r="A579" s="13" t="n">
        <v>2025</v>
      </c>
      <c r="B579" s="13" t="s">
        <v>1029</v>
      </c>
      <c r="C579" s="13" t="s">
        <v>125</v>
      </c>
      <c r="D579" s="13" t="s">
        <v>1035</v>
      </c>
      <c r="E579" s="13" t="s">
        <v>122</v>
      </c>
      <c r="F579" s="13" t="s">
        <v>357</v>
      </c>
      <c r="G579" s="13" t="n">
        <v>6</v>
      </c>
      <c r="H579" s="13" t="n">
        <v>0</v>
      </c>
      <c r="I579" s="13" t="n">
        <v>6</v>
      </c>
      <c r="J579" s="13" t="n">
        <v>0</v>
      </c>
      <c r="K579" s="13" t="n">
        <v>0</v>
      </c>
      <c r="L579" s="13" t="n">
        <v>5</v>
      </c>
      <c r="M579" s="13" t="n">
        <v>1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1</v>
      </c>
      <c r="S579" s="13" t="n">
        <v>0</v>
      </c>
      <c r="T579" s="13" t="n">
        <v>0.1667</v>
      </c>
      <c r="U579" s="13" t="n">
        <v>0.33</v>
      </c>
      <c r="V579" s="13" t="n">
        <f aca="false">M579-SUM(N579:S579)</f>
        <v>0</v>
      </c>
    </row>
    <row r="580" customFormat="false" ht="15" hidden="false" customHeight="true" outlineLevel="0" collapsed="false">
      <c r="A580" s="13" t="n">
        <v>2025</v>
      </c>
      <c r="B580" s="13" t="s">
        <v>1029</v>
      </c>
      <c r="C580" s="13" t="s">
        <v>125</v>
      </c>
      <c r="D580" s="13" t="s">
        <v>1035</v>
      </c>
      <c r="E580" s="13" t="s">
        <v>192</v>
      </c>
      <c r="F580" s="13" t="s">
        <v>652</v>
      </c>
      <c r="G580" s="13" t="n">
        <v>50</v>
      </c>
      <c r="H580" s="13" t="n">
        <v>1</v>
      </c>
      <c r="I580" s="13" t="n">
        <v>49</v>
      </c>
      <c r="J580" s="13" t="n">
        <v>1</v>
      </c>
      <c r="K580" s="13" t="n">
        <v>0</v>
      </c>
      <c r="L580" s="13" t="n">
        <v>31</v>
      </c>
      <c r="M580" s="13" t="n">
        <v>18</v>
      </c>
      <c r="N580" s="13" t="n">
        <v>0</v>
      </c>
      <c r="O580" s="13" t="n">
        <v>0</v>
      </c>
      <c r="P580" s="13" t="n">
        <v>1</v>
      </c>
      <c r="Q580" s="13" t="n">
        <v>13</v>
      </c>
      <c r="R580" s="13" t="n">
        <v>4</v>
      </c>
      <c r="S580" s="13" t="n">
        <v>0</v>
      </c>
      <c r="T580" s="13" t="n">
        <v>0.3673</v>
      </c>
      <c r="U580" s="13" t="n">
        <v>1.04</v>
      </c>
      <c r="V580" s="13" t="n">
        <f aca="false">M580-SUM(N580:S580)</f>
        <v>0</v>
      </c>
    </row>
    <row r="581" customFormat="false" ht="15" hidden="false" customHeight="true" outlineLevel="0" collapsed="false">
      <c r="A581" s="13" t="n">
        <v>2025</v>
      </c>
      <c r="B581" s="13" t="s">
        <v>1029</v>
      </c>
      <c r="C581" s="13" t="s">
        <v>125</v>
      </c>
      <c r="D581" s="13" t="s">
        <v>1037</v>
      </c>
      <c r="E581" s="13" t="s">
        <v>192</v>
      </c>
      <c r="F581" s="13" t="s">
        <v>1038</v>
      </c>
      <c r="G581" s="13" t="n">
        <v>182</v>
      </c>
      <c r="H581" s="13" t="n">
        <v>11</v>
      </c>
      <c r="I581" s="13" t="n">
        <v>171</v>
      </c>
      <c r="J581" s="13" t="n">
        <v>1</v>
      </c>
      <c r="K581" s="13" t="n">
        <v>0</v>
      </c>
      <c r="L581" s="13" t="n">
        <v>48</v>
      </c>
      <c r="M581" s="13" t="n">
        <v>123</v>
      </c>
      <c r="N581" s="13" t="n">
        <v>72</v>
      </c>
      <c r="O581" s="13" t="n">
        <v>4</v>
      </c>
      <c r="P581" s="13" t="n">
        <v>12</v>
      </c>
      <c r="Q581" s="13" t="n">
        <v>25</v>
      </c>
      <c r="R581" s="13" t="n">
        <v>8</v>
      </c>
      <c r="S581" s="13" t="n">
        <v>0</v>
      </c>
      <c r="T581" s="13" t="n">
        <v>0.7193</v>
      </c>
      <c r="U581" s="13" t="n">
        <v>3.46</v>
      </c>
      <c r="V581" s="13" t="n">
        <f aca="false">M581-SUM(N581:S581)</f>
        <v>2</v>
      </c>
    </row>
    <row r="582" customFormat="false" ht="15" hidden="false" customHeight="true" outlineLevel="0" collapsed="false">
      <c r="A582" s="13" t="n">
        <v>2025</v>
      </c>
      <c r="B582" s="13" t="s">
        <v>1029</v>
      </c>
      <c r="C582" s="13" t="s">
        <v>125</v>
      </c>
      <c r="D582" s="13" t="s">
        <v>1037</v>
      </c>
      <c r="E582" s="13" t="s">
        <v>192</v>
      </c>
      <c r="F582" s="13" t="s">
        <v>137</v>
      </c>
      <c r="G582" s="13" t="n">
        <v>1473</v>
      </c>
      <c r="H582" s="13" t="n">
        <v>12</v>
      </c>
      <c r="I582" s="13" t="n">
        <v>1461</v>
      </c>
      <c r="J582" s="13" t="n">
        <v>1</v>
      </c>
      <c r="K582" s="13" t="n">
        <v>0</v>
      </c>
      <c r="L582" s="13" t="n">
        <v>166</v>
      </c>
      <c r="M582" s="13" t="n">
        <v>1295</v>
      </c>
      <c r="N582" s="13" t="n">
        <v>311</v>
      </c>
      <c r="O582" s="13" t="n">
        <v>317</v>
      </c>
      <c r="P582" s="13" t="n">
        <v>398</v>
      </c>
      <c r="Q582" s="13" t="n">
        <v>249</v>
      </c>
      <c r="R582" s="13" t="n">
        <v>18</v>
      </c>
      <c r="S582" s="13" t="n">
        <v>0</v>
      </c>
      <c r="T582" s="13" t="n">
        <v>0.887</v>
      </c>
      <c r="U582" s="13" t="n">
        <v>3.99</v>
      </c>
      <c r="V582" s="13" t="n">
        <f aca="false">M582-SUM(N582:S582)</f>
        <v>2</v>
      </c>
    </row>
    <row r="583" customFormat="false" ht="15" hidden="false" customHeight="true" outlineLevel="0" collapsed="false">
      <c r="A583" s="13" t="n">
        <v>2026</v>
      </c>
      <c r="B583" s="13" t="s">
        <v>1021</v>
      </c>
      <c r="C583" s="13" t="s">
        <v>121</v>
      </c>
      <c r="D583" s="13" t="s">
        <v>128</v>
      </c>
      <c r="E583" s="13" t="s">
        <v>124</v>
      </c>
      <c r="F583" s="13" t="s">
        <v>357</v>
      </c>
      <c r="G583" s="13" t="n">
        <v>3613</v>
      </c>
      <c r="H583" s="13" t="n">
        <v>119</v>
      </c>
      <c r="I583" s="13" t="n">
        <v>3494</v>
      </c>
      <c r="J583" s="13" t="n">
        <v>6</v>
      </c>
      <c r="K583" s="13" t="n">
        <v>291</v>
      </c>
      <c r="L583" s="13" t="n">
        <v>444</v>
      </c>
      <c r="M583" s="13" t="n">
        <v>2759</v>
      </c>
      <c r="N583" s="13" t="n">
        <v>72</v>
      </c>
      <c r="O583" s="13" t="n">
        <v>190</v>
      </c>
      <c r="P583" s="13" t="n">
        <v>634</v>
      </c>
      <c r="Q583" s="13" t="n">
        <v>1078</v>
      </c>
      <c r="R583" s="13" t="n">
        <v>759</v>
      </c>
      <c r="S583" s="13" t="n">
        <v>26</v>
      </c>
      <c r="T583" s="13" t="n">
        <v>0.7896</v>
      </c>
      <c r="U583" s="13" t="n">
        <v>2.49</v>
      </c>
      <c r="V583" s="13" t="n">
        <f aca="false">M583-SUM(N583:S583)</f>
        <v>0</v>
      </c>
    </row>
    <row r="584" customFormat="false" ht="15" hidden="false" customHeight="true" outlineLevel="0" collapsed="false">
      <c r="A584" s="13" t="n">
        <v>2026</v>
      </c>
      <c r="B584" s="13" t="s">
        <v>1021</v>
      </c>
      <c r="C584" s="13" t="s">
        <v>121</v>
      </c>
      <c r="D584" s="13" t="s">
        <v>128</v>
      </c>
      <c r="E584" s="13" t="s">
        <v>122</v>
      </c>
      <c r="F584" s="13" t="s">
        <v>357</v>
      </c>
      <c r="G584" s="13" t="n">
        <v>10069</v>
      </c>
      <c r="H584" s="13" t="n">
        <v>57</v>
      </c>
      <c r="I584" s="13" t="n">
        <v>10012</v>
      </c>
      <c r="J584" s="13" t="n">
        <v>10</v>
      </c>
      <c r="K584" s="13" t="n">
        <v>26</v>
      </c>
      <c r="L584" s="13" t="n">
        <v>810</v>
      </c>
      <c r="M584" s="13" t="n">
        <v>9176</v>
      </c>
      <c r="N584" s="13" t="n">
        <v>348</v>
      </c>
      <c r="O584" s="13" t="n">
        <v>1511</v>
      </c>
      <c r="P584" s="13" t="n">
        <v>3023</v>
      </c>
      <c r="Q584" s="13" t="n">
        <v>3108</v>
      </c>
      <c r="R584" s="13" t="n">
        <v>1153</v>
      </c>
      <c r="S584" s="13" t="n">
        <v>33</v>
      </c>
      <c r="T584" s="13" t="n">
        <v>0.9165</v>
      </c>
      <c r="U584" s="13" t="n">
        <v>3.34</v>
      </c>
      <c r="V584" s="13" t="n">
        <f aca="false">M584-SUM(N584:S584)</f>
        <v>0</v>
      </c>
    </row>
    <row r="585" customFormat="false" ht="15" hidden="false" customHeight="true" outlineLevel="0" collapsed="false">
      <c r="A585" s="13" t="n">
        <v>2026</v>
      </c>
      <c r="B585" s="13" t="s">
        <v>1021</v>
      </c>
      <c r="C585" s="13" t="s">
        <v>121</v>
      </c>
      <c r="D585" s="13" t="s">
        <v>128</v>
      </c>
      <c r="E585" s="13" t="s">
        <v>192</v>
      </c>
      <c r="F585" s="13" t="s">
        <v>652</v>
      </c>
      <c r="G585" s="13" t="n">
        <v>13682</v>
      </c>
      <c r="H585" s="13" t="n">
        <v>176</v>
      </c>
      <c r="I585" s="13" t="n">
        <v>13506</v>
      </c>
      <c r="J585" s="13" t="n">
        <v>16</v>
      </c>
      <c r="K585" s="13" t="n">
        <v>317</v>
      </c>
      <c r="L585" s="13" t="n">
        <v>1254</v>
      </c>
      <c r="M585" s="13" t="n">
        <v>11935</v>
      </c>
      <c r="N585" s="13" t="n">
        <v>420</v>
      </c>
      <c r="O585" s="13" t="n">
        <v>1701</v>
      </c>
      <c r="P585" s="13" t="n">
        <v>3657</v>
      </c>
      <c r="Q585" s="13" t="n">
        <v>4186</v>
      </c>
      <c r="R585" s="13" t="n">
        <v>1912</v>
      </c>
      <c r="S585" s="13" t="n">
        <v>59</v>
      </c>
      <c r="T585" s="13" t="n">
        <v>0.8837</v>
      </c>
      <c r="U585" s="13" t="n">
        <v>3.12</v>
      </c>
      <c r="V585" s="13" t="n">
        <f aca="false">M585-SUM(N585:S585)</f>
        <v>0</v>
      </c>
    </row>
    <row r="586" customFormat="false" ht="15" hidden="false" customHeight="true" outlineLevel="0" collapsed="false">
      <c r="A586" s="13" t="n">
        <v>2026</v>
      </c>
      <c r="B586" s="13" t="s">
        <v>1021</v>
      </c>
      <c r="C586" s="13" t="s">
        <v>121</v>
      </c>
      <c r="D586" s="13" t="s">
        <v>1033</v>
      </c>
      <c r="E586" s="13" t="s">
        <v>124</v>
      </c>
      <c r="F586" s="13" t="s">
        <v>357</v>
      </c>
      <c r="G586" s="13" t="n">
        <v>6833</v>
      </c>
      <c r="H586" s="13" t="n">
        <v>31</v>
      </c>
      <c r="I586" s="13" t="n">
        <v>6802</v>
      </c>
      <c r="J586" s="13" t="n">
        <v>10</v>
      </c>
      <c r="K586" s="13" t="n">
        <v>9</v>
      </c>
      <c r="L586" s="13" t="n">
        <v>369</v>
      </c>
      <c r="M586" s="13" t="n">
        <v>6424</v>
      </c>
      <c r="N586" s="13" t="n">
        <v>2706</v>
      </c>
      <c r="O586" s="13" t="n">
        <v>1470</v>
      </c>
      <c r="P586" s="13" t="n">
        <v>1354</v>
      </c>
      <c r="Q586" s="13" t="n">
        <v>781</v>
      </c>
      <c r="R586" s="13" t="n">
        <v>112</v>
      </c>
      <c r="S586" s="13" t="n">
        <v>1</v>
      </c>
      <c r="T586" s="13" t="n">
        <v>0.9444</v>
      </c>
      <c r="U586" s="13" t="n">
        <v>4.64</v>
      </c>
      <c r="V586" s="13" t="n">
        <f aca="false">M586-SUM(N586:S586)</f>
        <v>0</v>
      </c>
    </row>
    <row r="587" customFormat="false" ht="15" hidden="false" customHeight="true" outlineLevel="0" collapsed="false">
      <c r="A587" s="13" t="n">
        <v>2026</v>
      </c>
      <c r="B587" s="13" t="s">
        <v>1021</v>
      </c>
      <c r="C587" s="13" t="s">
        <v>121</v>
      </c>
      <c r="D587" s="13" t="s">
        <v>1033</v>
      </c>
      <c r="E587" s="13" t="s">
        <v>122</v>
      </c>
      <c r="F587" s="13" t="s">
        <v>357</v>
      </c>
      <c r="G587" s="13" t="n">
        <v>18042</v>
      </c>
      <c r="H587" s="13" t="n">
        <v>38</v>
      </c>
      <c r="I587" s="13" t="n">
        <v>18004</v>
      </c>
      <c r="J587" s="13" t="n">
        <v>21</v>
      </c>
      <c r="K587" s="13" t="n">
        <v>4</v>
      </c>
      <c r="L587" s="13" t="n">
        <v>505</v>
      </c>
      <c r="M587" s="13" t="n">
        <v>17494</v>
      </c>
      <c r="N587" s="13" t="n">
        <v>8544</v>
      </c>
      <c r="O587" s="13" t="n">
        <v>4213</v>
      </c>
      <c r="P587" s="13" t="n">
        <v>3275</v>
      </c>
      <c r="Q587" s="13" t="n">
        <v>1348</v>
      </c>
      <c r="R587" s="13" t="n">
        <v>114</v>
      </c>
      <c r="S587" s="13" t="n">
        <v>0</v>
      </c>
      <c r="T587" s="13" t="n">
        <v>0.9717</v>
      </c>
      <c r="U587" s="13" t="n">
        <v>4.98</v>
      </c>
      <c r="V587" s="13" t="n">
        <f aca="false">M587-SUM(N587:S587)</f>
        <v>0</v>
      </c>
    </row>
    <row r="588" customFormat="false" ht="15" hidden="false" customHeight="true" outlineLevel="0" collapsed="false">
      <c r="A588" s="13" t="n">
        <v>2026</v>
      </c>
      <c r="B588" s="13" t="s">
        <v>1021</v>
      </c>
      <c r="C588" s="13" t="s">
        <v>121</v>
      </c>
      <c r="D588" s="13" t="s">
        <v>1033</v>
      </c>
      <c r="E588" s="13" t="s">
        <v>192</v>
      </c>
      <c r="F588" s="13" t="s">
        <v>652</v>
      </c>
      <c r="G588" s="13" t="n">
        <v>24875</v>
      </c>
      <c r="H588" s="13" t="n">
        <v>69</v>
      </c>
      <c r="I588" s="13" t="n">
        <v>24806</v>
      </c>
      <c r="J588" s="13" t="n">
        <v>31</v>
      </c>
      <c r="K588" s="13" t="n">
        <v>13</v>
      </c>
      <c r="L588" s="13" t="n">
        <v>874</v>
      </c>
      <c r="M588" s="13" t="n">
        <v>23918</v>
      </c>
      <c r="N588" s="13" t="n">
        <v>11250</v>
      </c>
      <c r="O588" s="13" t="n">
        <v>5683</v>
      </c>
      <c r="P588" s="13" t="n">
        <v>4629</v>
      </c>
      <c r="Q588" s="13" t="n">
        <v>2129</v>
      </c>
      <c r="R588" s="13" t="n">
        <v>226</v>
      </c>
      <c r="S588" s="13" t="n">
        <v>1</v>
      </c>
      <c r="T588" s="13" t="n">
        <v>0.9642</v>
      </c>
      <c r="U588" s="13" t="n">
        <v>4.89</v>
      </c>
      <c r="V588" s="13" t="n">
        <f aca="false">M588-SUM(N588:S588)</f>
        <v>0</v>
      </c>
    </row>
    <row r="589" customFormat="false" ht="15" hidden="false" customHeight="true" outlineLevel="0" collapsed="false">
      <c r="A589" s="13" t="n">
        <v>2026</v>
      </c>
      <c r="B589" s="13" t="s">
        <v>1021</v>
      </c>
      <c r="C589" s="13" t="s">
        <v>121</v>
      </c>
      <c r="D589" s="13" t="s">
        <v>1034</v>
      </c>
      <c r="E589" s="13" t="s">
        <v>124</v>
      </c>
      <c r="F589" s="13" t="s">
        <v>357</v>
      </c>
      <c r="G589" s="13" t="n">
        <v>5448</v>
      </c>
      <c r="H589" s="13" t="n">
        <v>10</v>
      </c>
      <c r="I589" s="13" t="n">
        <v>5438</v>
      </c>
      <c r="J589" s="13" t="n">
        <v>4</v>
      </c>
      <c r="K589" s="13" t="n">
        <v>0</v>
      </c>
      <c r="L589" s="13" t="n">
        <v>268</v>
      </c>
      <c r="M589" s="13" t="n">
        <v>5170</v>
      </c>
      <c r="N589" s="13" t="n">
        <v>1870</v>
      </c>
      <c r="O589" s="13" t="n">
        <v>1511</v>
      </c>
      <c r="P589" s="13" t="n">
        <v>1129</v>
      </c>
      <c r="Q589" s="13" t="n">
        <v>578</v>
      </c>
      <c r="R589" s="13" t="n">
        <v>82</v>
      </c>
      <c r="S589" s="13" t="n">
        <v>0</v>
      </c>
      <c r="T589" s="13" t="n">
        <v>0.9507</v>
      </c>
      <c r="U589" s="13" t="n">
        <v>4.63</v>
      </c>
      <c r="V589" s="13" t="n">
        <f aca="false">M589-SUM(N589:S589)</f>
        <v>0</v>
      </c>
    </row>
    <row r="590" customFormat="false" ht="15" hidden="false" customHeight="true" outlineLevel="0" collapsed="false">
      <c r="A590" s="13" t="n">
        <v>2026</v>
      </c>
      <c r="B590" s="13" t="s">
        <v>1021</v>
      </c>
      <c r="C590" s="13" t="s">
        <v>121</v>
      </c>
      <c r="D590" s="13" t="s">
        <v>1034</v>
      </c>
      <c r="E590" s="13" t="s">
        <v>122</v>
      </c>
      <c r="F590" s="13" t="s">
        <v>357</v>
      </c>
      <c r="G590" s="13" t="n">
        <v>3084</v>
      </c>
      <c r="H590" s="13" t="n">
        <v>11</v>
      </c>
      <c r="I590" s="13" t="n">
        <v>3073</v>
      </c>
      <c r="J590" s="13" t="n">
        <v>2</v>
      </c>
      <c r="K590" s="13" t="n">
        <v>1</v>
      </c>
      <c r="L590" s="13" t="n">
        <v>115</v>
      </c>
      <c r="M590" s="13" t="n">
        <v>2957</v>
      </c>
      <c r="N590" s="13" t="n">
        <v>1244</v>
      </c>
      <c r="O590" s="13" t="n">
        <v>798</v>
      </c>
      <c r="P590" s="13" t="n">
        <v>636</v>
      </c>
      <c r="Q590" s="13" t="n">
        <v>267</v>
      </c>
      <c r="R590" s="13" t="n">
        <v>12</v>
      </c>
      <c r="S590" s="13" t="n">
        <v>0</v>
      </c>
      <c r="T590" s="13" t="n">
        <v>0.9623</v>
      </c>
      <c r="U590" s="13" t="n">
        <v>4.82</v>
      </c>
      <c r="V590" s="13" t="n">
        <f aca="false">M590-SUM(N590:S590)</f>
        <v>0</v>
      </c>
    </row>
    <row r="591" customFormat="false" ht="15" hidden="false" customHeight="true" outlineLevel="0" collapsed="false">
      <c r="A591" s="13" t="n">
        <v>2026</v>
      </c>
      <c r="B591" s="13" t="s">
        <v>1021</v>
      </c>
      <c r="C591" s="13" t="s">
        <v>121</v>
      </c>
      <c r="D591" s="13" t="s">
        <v>1034</v>
      </c>
      <c r="E591" s="13" t="s">
        <v>192</v>
      </c>
      <c r="F591" s="13" t="s">
        <v>652</v>
      </c>
      <c r="G591" s="13" t="n">
        <v>8532</v>
      </c>
      <c r="H591" s="13" t="n">
        <v>21</v>
      </c>
      <c r="I591" s="13" t="n">
        <v>8511</v>
      </c>
      <c r="J591" s="13" t="n">
        <v>6</v>
      </c>
      <c r="K591" s="13" t="n">
        <v>1</v>
      </c>
      <c r="L591" s="13" t="n">
        <v>383</v>
      </c>
      <c r="M591" s="13" t="n">
        <v>8127</v>
      </c>
      <c r="N591" s="13" t="n">
        <v>3114</v>
      </c>
      <c r="O591" s="13" t="n">
        <v>2309</v>
      </c>
      <c r="P591" s="13" t="n">
        <v>1765</v>
      </c>
      <c r="Q591" s="13" t="n">
        <v>845</v>
      </c>
      <c r="R591" s="13" t="n">
        <v>94</v>
      </c>
      <c r="S591" s="13" t="n">
        <v>0</v>
      </c>
      <c r="T591" s="13" t="n">
        <v>0.9549</v>
      </c>
      <c r="U591" s="13" t="n">
        <v>4.7</v>
      </c>
      <c r="V591" s="13" t="n">
        <f aca="false">M591-SUM(N591:S591)</f>
        <v>0</v>
      </c>
    </row>
    <row r="592" customFormat="false" ht="15" hidden="false" customHeight="true" outlineLevel="0" collapsed="false">
      <c r="A592" s="13" t="n">
        <v>2026</v>
      </c>
      <c r="B592" s="13" t="s">
        <v>1021</v>
      </c>
      <c r="C592" s="13" t="s">
        <v>121</v>
      </c>
      <c r="D592" s="13" t="s">
        <v>1035</v>
      </c>
      <c r="E592" s="13" t="s">
        <v>124</v>
      </c>
      <c r="F592" s="13" t="s">
        <v>357</v>
      </c>
      <c r="G592" s="13" t="n">
        <v>21157</v>
      </c>
      <c r="H592" s="13" t="n">
        <v>88</v>
      </c>
      <c r="I592" s="13" t="n">
        <v>21069</v>
      </c>
      <c r="J592" s="13" t="n">
        <v>30</v>
      </c>
      <c r="K592" s="13" t="n">
        <v>23</v>
      </c>
      <c r="L592" s="13" t="n">
        <v>3356</v>
      </c>
      <c r="M592" s="13" t="n">
        <v>17688</v>
      </c>
      <c r="N592" s="13" t="n">
        <v>2330</v>
      </c>
      <c r="O592" s="13" t="n">
        <v>4040</v>
      </c>
      <c r="P592" s="13" t="n">
        <v>5632</v>
      </c>
      <c r="Q592" s="13" t="n">
        <v>4601</v>
      </c>
      <c r="R592" s="13" t="n">
        <v>1083</v>
      </c>
      <c r="S592" s="13" t="n">
        <v>2</v>
      </c>
      <c r="T592" s="13" t="n">
        <v>0.8395</v>
      </c>
      <c r="U592" s="13" t="n">
        <v>3.45</v>
      </c>
      <c r="V592" s="13" t="n">
        <f aca="false">M592-SUM(N592:S592)</f>
        <v>0</v>
      </c>
    </row>
    <row r="593" customFormat="false" ht="15" hidden="false" customHeight="true" outlineLevel="0" collapsed="false">
      <c r="A593" s="13" t="n">
        <v>2026</v>
      </c>
      <c r="B593" s="13" t="s">
        <v>1021</v>
      </c>
      <c r="C593" s="13" t="s">
        <v>121</v>
      </c>
      <c r="D593" s="13" t="s">
        <v>1035</v>
      </c>
      <c r="E593" s="13" t="s">
        <v>122</v>
      </c>
      <c r="F593" s="13" t="s">
        <v>357</v>
      </c>
      <c r="G593" s="13" t="n">
        <v>14507</v>
      </c>
      <c r="H593" s="13" t="n">
        <v>58</v>
      </c>
      <c r="I593" s="13" t="n">
        <v>14449</v>
      </c>
      <c r="J593" s="13" t="n">
        <v>12</v>
      </c>
      <c r="K593" s="13" t="n">
        <v>4</v>
      </c>
      <c r="L593" s="13" t="n">
        <v>1348</v>
      </c>
      <c r="M593" s="13" t="n">
        <v>13097</v>
      </c>
      <c r="N593" s="13" t="n">
        <v>2478</v>
      </c>
      <c r="O593" s="13" t="n">
        <v>3661</v>
      </c>
      <c r="P593" s="13" t="n">
        <v>4349</v>
      </c>
      <c r="Q593" s="13" t="n">
        <v>2377</v>
      </c>
      <c r="R593" s="13" t="n">
        <v>232</v>
      </c>
      <c r="S593" s="13" t="n">
        <v>0</v>
      </c>
      <c r="T593" s="13" t="n">
        <v>0.9064</v>
      </c>
      <c r="U593" s="13" t="n">
        <v>4.03</v>
      </c>
      <c r="V593" s="13" t="n">
        <f aca="false">M593-SUM(N593:S593)</f>
        <v>0</v>
      </c>
    </row>
    <row r="594" customFormat="false" ht="15" hidden="false" customHeight="true" outlineLevel="0" collapsed="false">
      <c r="A594" s="13" t="n">
        <v>2026</v>
      </c>
      <c r="B594" s="13" t="s">
        <v>1021</v>
      </c>
      <c r="C594" s="13" t="s">
        <v>121</v>
      </c>
      <c r="D594" s="13" t="s">
        <v>1035</v>
      </c>
      <c r="E594" s="13" t="s">
        <v>192</v>
      </c>
      <c r="F594" s="13" t="s">
        <v>652</v>
      </c>
      <c r="G594" s="13" t="n">
        <v>35664</v>
      </c>
      <c r="H594" s="13" t="n">
        <v>146</v>
      </c>
      <c r="I594" s="13" t="n">
        <v>35518</v>
      </c>
      <c r="J594" s="13" t="n">
        <v>42</v>
      </c>
      <c r="K594" s="13" t="n">
        <v>27</v>
      </c>
      <c r="L594" s="13" t="n">
        <v>4704</v>
      </c>
      <c r="M594" s="13" t="n">
        <v>30785</v>
      </c>
      <c r="N594" s="13" t="n">
        <v>4808</v>
      </c>
      <c r="O594" s="13" t="n">
        <v>7701</v>
      </c>
      <c r="P594" s="13" t="n">
        <v>9981</v>
      </c>
      <c r="Q594" s="13" t="n">
        <v>6978</v>
      </c>
      <c r="R594" s="13" t="n">
        <v>1315</v>
      </c>
      <c r="S594" s="13" t="n">
        <v>2</v>
      </c>
      <c r="T594" s="13" t="n">
        <v>0.8667</v>
      </c>
      <c r="U594" s="13" t="n">
        <v>3.68</v>
      </c>
      <c r="V594" s="13" t="n">
        <f aca="false">M594-SUM(N594:S594)</f>
        <v>0</v>
      </c>
    </row>
    <row r="595" customFormat="false" ht="15" hidden="false" customHeight="true" outlineLevel="0" collapsed="false">
      <c r="A595" s="13" t="n">
        <v>2026</v>
      </c>
      <c r="B595" s="13" t="s">
        <v>1021</v>
      </c>
      <c r="C595" s="13" t="s">
        <v>121</v>
      </c>
      <c r="D595" s="13" t="s">
        <v>203</v>
      </c>
      <c r="E595" s="13" t="s">
        <v>124</v>
      </c>
      <c r="F595" s="13" t="s">
        <v>357</v>
      </c>
      <c r="G595" s="13" t="n">
        <v>1969</v>
      </c>
      <c r="H595" s="13" t="n">
        <v>10</v>
      </c>
      <c r="I595" s="13" t="n">
        <v>1959</v>
      </c>
      <c r="J595" s="13" t="n">
        <v>19</v>
      </c>
      <c r="K595" s="13" t="n">
        <v>6</v>
      </c>
      <c r="L595" s="13" t="n">
        <v>407</v>
      </c>
      <c r="M595" s="13" t="n">
        <v>1546</v>
      </c>
      <c r="N595" s="13" t="n">
        <v>21</v>
      </c>
      <c r="O595" s="13" t="n">
        <v>99</v>
      </c>
      <c r="P595" s="13" t="n">
        <v>262</v>
      </c>
      <c r="Q595" s="13" t="n">
        <v>619</v>
      </c>
      <c r="R595" s="13" t="n">
        <v>534</v>
      </c>
      <c r="S595" s="13" t="n">
        <v>11</v>
      </c>
      <c r="T595" s="13" t="n">
        <v>0.7892</v>
      </c>
      <c r="U595" s="13" t="n">
        <v>2.35</v>
      </c>
      <c r="V595" s="13" t="n">
        <f aca="false">M595-SUM(N595:S595)</f>
        <v>0</v>
      </c>
    </row>
    <row r="596" customFormat="false" ht="15" hidden="false" customHeight="true" outlineLevel="0" collapsed="false">
      <c r="A596" s="13" t="n">
        <v>2026</v>
      </c>
      <c r="B596" s="13" t="s">
        <v>1021</v>
      </c>
      <c r="C596" s="13" t="s">
        <v>121</v>
      </c>
      <c r="D596" s="13" t="s">
        <v>203</v>
      </c>
      <c r="E596" s="13" t="s">
        <v>122</v>
      </c>
      <c r="F596" s="13" t="s">
        <v>357</v>
      </c>
      <c r="G596" s="13" t="n">
        <v>1217</v>
      </c>
      <c r="H596" s="13" t="n">
        <v>6</v>
      </c>
      <c r="I596" s="13" t="n">
        <v>1211</v>
      </c>
      <c r="J596" s="13" t="n">
        <v>8</v>
      </c>
      <c r="K596" s="13" t="n">
        <v>0</v>
      </c>
      <c r="L596" s="13" t="n">
        <v>115</v>
      </c>
      <c r="M596" s="13" t="n">
        <v>1096</v>
      </c>
      <c r="N596" s="13" t="n">
        <v>98</v>
      </c>
      <c r="O596" s="13" t="n">
        <v>193</v>
      </c>
      <c r="P596" s="13" t="n">
        <v>351</v>
      </c>
      <c r="Q596" s="13" t="n">
        <v>359</v>
      </c>
      <c r="R596" s="13" t="n">
        <v>94</v>
      </c>
      <c r="S596" s="13" t="n">
        <v>1</v>
      </c>
      <c r="T596" s="13" t="n">
        <v>0.905</v>
      </c>
      <c r="U596" s="13" t="n">
        <v>3.49</v>
      </c>
      <c r="V596" s="13" t="n">
        <f aca="false">M596-SUM(N596:S596)</f>
        <v>0</v>
      </c>
    </row>
    <row r="597" customFormat="false" ht="15" hidden="false" customHeight="true" outlineLevel="0" collapsed="false">
      <c r="A597" s="13" t="n">
        <v>2026</v>
      </c>
      <c r="B597" s="13" t="s">
        <v>1021</v>
      </c>
      <c r="C597" s="13" t="s">
        <v>121</v>
      </c>
      <c r="D597" s="13" t="s">
        <v>203</v>
      </c>
      <c r="E597" s="13" t="s">
        <v>192</v>
      </c>
      <c r="F597" s="13" t="s">
        <v>652</v>
      </c>
      <c r="G597" s="13" t="n">
        <v>3186</v>
      </c>
      <c r="H597" s="13" t="n">
        <v>16</v>
      </c>
      <c r="I597" s="13" t="n">
        <v>3170</v>
      </c>
      <c r="J597" s="13" t="n">
        <v>27</v>
      </c>
      <c r="K597" s="13" t="n">
        <v>6</v>
      </c>
      <c r="L597" s="13" t="n">
        <v>522</v>
      </c>
      <c r="M597" s="13" t="n">
        <v>2642</v>
      </c>
      <c r="N597" s="13" t="n">
        <v>119</v>
      </c>
      <c r="O597" s="13" t="n">
        <v>292</v>
      </c>
      <c r="P597" s="13" t="n">
        <v>613</v>
      </c>
      <c r="Q597" s="13" t="n">
        <v>978</v>
      </c>
      <c r="R597" s="13" t="n">
        <v>628</v>
      </c>
      <c r="S597" s="13" t="n">
        <v>12</v>
      </c>
      <c r="T597" s="13" t="n">
        <v>0.8334</v>
      </c>
      <c r="U597" s="13" t="n">
        <v>2.78</v>
      </c>
      <c r="V597" s="13" t="n">
        <f aca="false">M597-SUM(N597:S597)</f>
        <v>0</v>
      </c>
    </row>
    <row r="598" customFormat="false" ht="15" hidden="false" customHeight="true" outlineLevel="0" collapsed="false">
      <c r="A598" s="13" t="n">
        <v>2026</v>
      </c>
      <c r="B598" s="13" t="s">
        <v>1021</v>
      </c>
      <c r="C598" s="13" t="s">
        <v>121</v>
      </c>
      <c r="D598" s="13" t="s">
        <v>1036</v>
      </c>
      <c r="E598" s="13" t="s">
        <v>122</v>
      </c>
      <c r="F598" s="13" t="s">
        <v>357</v>
      </c>
      <c r="G598" s="13" t="n">
        <v>60</v>
      </c>
      <c r="H598" s="13" t="n">
        <v>0</v>
      </c>
      <c r="I598" s="13" t="n">
        <v>60</v>
      </c>
      <c r="J598" s="13" t="n">
        <v>0</v>
      </c>
      <c r="K598" s="13" t="n">
        <v>0</v>
      </c>
      <c r="L598" s="13" t="n">
        <v>7</v>
      </c>
      <c r="M598" s="13" t="n">
        <v>53</v>
      </c>
      <c r="N598" s="13" t="n">
        <v>7</v>
      </c>
      <c r="O598" s="13" t="n">
        <v>18</v>
      </c>
      <c r="P598" s="13" t="n">
        <v>23</v>
      </c>
      <c r="Q598" s="13" t="n">
        <v>5</v>
      </c>
      <c r="R598" s="13" t="n">
        <v>0</v>
      </c>
      <c r="S598" s="13" t="n">
        <v>0</v>
      </c>
      <c r="T598" s="13" t="n">
        <v>0.8833</v>
      </c>
      <c r="U598" s="13" t="n">
        <v>3.98</v>
      </c>
      <c r="V598" s="13" t="n">
        <f aca="false">M598-SUM(N598:S598)</f>
        <v>0</v>
      </c>
    </row>
    <row r="599" customFormat="false" ht="15" hidden="false" customHeight="true" outlineLevel="0" collapsed="false">
      <c r="A599" s="13" t="n">
        <v>2026</v>
      </c>
      <c r="B599" s="13" t="s">
        <v>1021</v>
      </c>
      <c r="C599" s="13" t="s">
        <v>121</v>
      </c>
      <c r="D599" s="13" t="s">
        <v>1036</v>
      </c>
      <c r="E599" s="13" t="s">
        <v>192</v>
      </c>
      <c r="F599" s="13" t="s">
        <v>652</v>
      </c>
      <c r="G599" s="13" t="n">
        <v>60</v>
      </c>
      <c r="H599" s="13" t="n">
        <v>0</v>
      </c>
      <c r="I599" s="13" t="n">
        <v>60</v>
      </c>
      <c r="J599" s="13" t="n">
        <v>0</v>
      </c>
      <c r="K599" s="13" t="n">
        <v>0</v>
      </c>
      <c r="L599" s="13" t="n">
        <v>7</v>
      </c>
      <c r="M599" s="13" t="n">
        <v>53</v>
      </c>
      <c r="N599" s="13" t="n">
        <v>7</v>
      </c>
      <c r="O599" s="13" t="n">
        <v>18</v>
      </c>
      <c r="P599" s="13" t="n">
        <v>23</v>
      </c>
      <c r="Q599" s="13" t="n">
        <v>5</v>
      </c>
      <c r="R599" s="13" t="n">
        <v>0</v>
      </c>
      <c r="S599" s="13" t="n">
        <v>0</v>
      </c>
      <c r="T599" s="13" t="n">
        <v>0.8833</v>
      </c>
      <c r="U599" s="13" t="n">
        <v>3.98</v>
      </c>
      <c r="V599" s="13" t="n">
        <f aca="false">M599-SUM(N599:S599)</f>
        <v>0</v>
      </c>
    </row>
    <row r="600" customFormat="false" ht="15" hidden="false" customHeight="true" outlineLevel="0" collapsed="false">
      <c r="A600" s="13" t="n">
        <v>2026</v>
      </c>
      <c r="B600" s="13" t="s">
        <v>1021</v>
      </c>
      <c r="C600" s="13" t="s">
        <v>121</v>
      </c>
      <c r="D600" s="13" t="s">
        <v>1037</v>
      </c>
      <c r="E600" s="13" t="s">
        <v>192</v>
      </c>
      <c r="F600" s="13" t="s">
        <v>1038</v>
      </c>
      <c r="G600" s="13" t="n">
        <v>85999</v>
      </c>
      <c r="H600" s="13" t="n">
        <v>428</v>
      </c>
      <c r="I600" s="13" t="n">
        <v>85571</v>
      </c>
      <c r="J600" s="13" t="n">
        <v>122</v>
      </c>
      <c r="K600" s="13" t="n">
        <v>364</v>
      </c>
      <c r="L600" s="13" t="n">
        <v>7744</v>
      </c>
      <c r="M600" s="13" t="n">
        <v>77460</v>
      </c>
      <c r="N600" s="13" t="n">
        <v>19718</v>
      </c>
      <c r="O600" s="13" t="n">
        <v>17704</v>
      </c>
      <c r="P600" s="13" t="n">
        <v>20668</v>
      </c>
      <c r="Q600" s="13" t="n">
        <v>15121</v>
      </c>
      <c r="R600" s="13" t="n">
        <v>4175</v>
      </c>
      <c r="S600" s="13" t="n">
        <v>74</v>
      </c>
      <c r="T600" s="13" t="n">
        <v>0.9052</v>
      </c>
      <c r="U600" s="13" t="n">
        <v>4.01</v>
      </c>
      <c r="V600" s="13" t="n">
        <f aca="false">M600-SUM(N600:S600)</f>
        <v>0</v>
      </c>
    </row>
    <row r="601" customFormat="false" ht="15" hidden="false" customHeight="true" outlineLevel="0" collapsed="false">
      <c r="A601" s="13" t="n">
        <v>2026</v>
      </c>
      <c r="B601" s="13" t="s">
        <v>1021</v>
      </c>
      <c r="C601" s="13" t="s">
        <v>125</v>
      </c>
      <c r="D601" s="13" t="s">
        <v>128</v>
      </c>
      <c r="E601" s="13" t="s">
        <v>124</v>
      </c>
      <c r="F601" s="13" t="s">
        <v>357</v>
      </c>
      <c r="G601" s="13" t="n">
        <v>2431</v>
      </c>
      <c r="H601" s="13" t="n">
        <v>123</v>
      </c>
      <c r="I601" s="13" t="n">
        <v>2308</v>
      </c>
      <c r="J601" s="13" t="n">
        <v>365</v>
      </c>
      <c r="K601" s="13" t="n">
        <v>11</v>
      </c>
      <c r="L601" s="13" t="n">
        <v>974</v>
      </c>
      <c r="M601" s="13" t="n">
        <v>1323</v>
      </c>
      <c r="N601" s="13" t="n">
        <v>5</v>
      </c>
      <c r="O601" s="13" t="n">
        <v>44</v>
      </c>
      <c r="P601" s="13" t="n">
        <v>177</v>
      </c>
      <c r="Q601" s="13" t="n">
        <v>358</v>
      </c>
      <c r="R601" s="13" t="n">
        <v>547</v>
      </c>
      <c r="S601" s="13" t="n">
        <v>66</v>
      </c>
      <c r="T601" s="13" t="n">
        <v>0.5732</v>
      </c>
      <c r="U601" s="13" t="n">
        <v>1.38</v>
      </c>
      <c r="V601" s="13" t="n">
        <f aca="false">M601-SUM(N601:S601)</f>
        <v>126</v>
      </c>
    </row>
    <row r="602" customFormat="false" ht="15" hidden="false" customHeight="true" outlineLevel="0" collapsed="false">
      <c r="A602" s="13" t="n">
        <v>2026</v>
      </c>
      <c r="B602" s="13" t="s">
        <v>1021</v>
      </c>
      <c r="C602" s="13" t="s">
        <v>125</v>
      </c>
      <c r="D602" s="13" t="s">
        <v>128</v>
      </c>
      <c r="E602" s="13" t="s">
        <v>122</v>
      </c>
      <c r="F602" s="13" t="s">
        <v>357</v>
      </c>
      <c r="G602" s="13" t="n">
        <v>2600</v>
      </c>
      <c r="H602" s="13" t="n">
        <v>87</v>
      </c>
      <c r="I602" s="13" t="n">
        <v>2513</v>
      </c>
      <c r="J602" s="13" t="n">
        <v>194</v>
      </c>
      <c r="K602" s="13" t="n">
        <v>7</v>
      </c>
      <c r="L602" s="13" t="n">
        <v>728</v>
      </c>
      <c r="M602" s="13" t="n">
        <v>1778</v>
      </c>
      <c r="N602" s="13" t="n">
        <v>24</v>
      </c>
      <c r="O602" s="13" t="n">
        <v>107</v>
      </c>
      <c r="P602" s="13" t="n">
        <v>271</v>
      </c>
      <c r="Q602" s="13" t="n">
        <v>565</v>
      </c>
      <c r="R602" s="13" t="n">
        <v>581</v>
      </c>
      <c r="S602" s="13" t="n">
        <v>46</v>
      </c>
      <c r="T602" s="13" t="n">
        <v>0.7075</v>
      </c>
      <c r="U602" s="13" t="n">
        <v>1.86</v>
      </c>
      <c r="V602" s="13" t="n">
        <f aca="false">M602-SUM(N602:S602)</f>
        <v>184</v>
      </c>
    </row>
    <row r="603" customFormat="false" ht="15" hidden="false" customHeight="true" outlineLevel="0" collapsed="false">
      <c r="A603" s="13" t="n">
        <v>2026</v>
      </c>
      <c r="B603" s="13" t="s">
        <v>1021</v>
      </c>
      <c r="C603" s="13" t="s">
        <v>125</v>
      </c>
      <c r="D603" s="13" t="s">
        <v>128</v>
      </c>
      <c r="E603" s="13" t="s">
        <v>192</v>
      </c>
      <c r="F603" s="13" t="s">
        <v>652</v>
      </c>
      <c r="G603" s="13" t="n">
        <v>5031</v>
      </c>
      <c r="H603" s="13" t="n">
        <v>210</v>
      </c>
      <c r="I603" s="13" t="n">
        <v>4821</v>
      </c>
      <c r="J603" s="13" t="n">
        <v>559</v>
      </c>
      <c r="K603" s="13" t="n">
        <v>18</v>
      </c>
      <c r="L603" s="13" t="n">
        <v>1702</v>
      </c>
      <c r="M603" s="13" t="n">
        <v>3101</v>
      </c>
      <c r="N603" s="13" t="n">
        <v>29</v>
      </c>
      <c r="O603" s="13" t="n">
        <v>151</v>
      </c>
      <c r="P603" s="13" t="n">
        <v>448</v>
      </c>
      <c r="Q603" s="13" t="n">
        <v>923</v>
      </c>
      <c r="R603" s="13" t="n">
        <v>1128</v>
      </c>
      <c r="S603" s="13" t="n">
        <v>112</v>
      </c>
      <c r="T603" s="13" t="n">
        <v>0.6432</v>
      </c>
      <c r="U603" s="13" t="n">
        <v>1.63</v>
      </c>
      <c r="V603" s="13" t="n">
        <f aca="false">M603-SUM(N603:S603)</f>
        <v>310</v>
      </c>
    </row>
    <row r="604" customFormat="false" ht="15" hidden="false" customHeight="true" outlineLevel="0" collapsed="false">
      <c r="A604" s="13" t="n">
        <v>2026</v>
      </c>
      <c r="B604" s="13" t="s">
        <v>1021</v>
      </c>
      <c r="C604" s="13" t="s">
        <v>125</v>
      </c>
      <c r="D604" s="13" t="s">
        <v>1033</v>
      </c>
      <c r="E604" s="13" t="s">
        <v>124</v>
      </c>
      <c r="F604" s="13" t="s">
        <v>357</v>
      </c>
      <c r="G604" s="13" t="n">
        <v>1516</v>
      </c>
      <c r="H604" s="13" t="n">
        <v>163</v>
      </c>
      <c r="I604" s="13" t="n">
        <v>1353</v>
      </c>
      <c r="J604" s="13" t="n">
        <v>133</v>
      </c>
      <c r="K604" s="13" t="n">
        <v>7</v>
      </c>
      <c r="L604" s="13" t="n">
        <v>335</v>
      </c>
      <c r="M604" s="13" t="n">
        <v>1011</v>
      </c>
      <c r="N604" s="13" t="n">
        <v>556</v>
      </c>
      <c r="O604" s="13" t="n">
        <v>123</v>
      </c>
      <c r="P604" s="13" t="n">
        <v>111</v>
      </c>
      <c r="Q604" s="13" t="n">
        <v>163</v>
      </c>
      <c r="R604" s="13" t="n">
        <v>58</v>
      </c>
      <c r="S604" s="13" t="n">
        <v>0</v>
      </c>
      <c r="T604" s="13" t="n">
        <v>0.7472</v>
      </c>
      <c r="U604" s="13" t="n">
        <v>3.7</v>
      </c>
      <c r="V604" s="13" t="n">
        <f aca="false">M604-SUM(N604:S604)</f>
        <v>0</v>
      </c>
    </row>
    <row r="605" customFormat="false" ht="15" hidden="false" customHeight="true" outlineLevel="0" collapsed="false">
      <c r="A605" s="13" t="n">
        <v>2026</v>
      </c>
      <c r="B605" s="13" t="s">
        <v>1021</v>
      </c>
      <c r="C605" s="13" t="s">
        <v>125</v>
      </c>
      <c r="D605" s="13" t="s">
        <v>1033</v>
      </c>
      <c r="E605" s="13" t="s">
        <v>122</v>
      </c>
      <c r="F605" s="13" t="s">
        <v>357</v>
      </c>
      <c r="G605" s="13" t="n">
        <v>3020</v>
      </c>
      <c r="H605" s="13" t="n">
        <v>269</v>
      </c>
      <c r="I605" s="13" t="n">
        <v>2751</v>
      </c>
      <c r="J605" s="13" t="n">
        <v>92</v>
      </c>
      <c r="K605" s="13" t="n">
        <v>5</v>
      </c>
      <c r="L605" s="13" t="n">
        <v>338</v>
      </c>
      <c r="M605" s="13" t="n">
        <v>2408</v>
      </c>
      <c r="N605" s="13" t="n">
        <v>1534</v>
      </c>
      <c r="O605" s="13" t="n">
        <v>306</v>
      </c>
      <c r="P605" s="13" t="n">
        <v>247</v>
      </c>
      <c r="Q605" s="13" t="n">
        <v>251</v>
      </c>
      <c r="R605" s="13" t="n">
        <v>70</v>
      </c>
      <c r="S605" s="13" t="n">
        <v>0</v>
      </c>
      <c r="T605" s="13" t="n">
        <v>0.8753</v>
      </c>
      <c r="U605" s="13" t="n">
        <v>4.59</v>
      </c>
      <c r="V605" s="13" t="n">
        <f aca="false">M605-SUM(N605:S605)</f>
        <v>0</v>
      </c>
    </row>
    <row r="606" customFormat="false" ht="15" hidden="false" customHeight="true" outlineLevel="0" collapsed="false">
      <c r="A606" s="13" t="n">
        <v>2026</v>
      </c>
      <c r="B606" s="13" t="s">
        <v>1021</v>
      </c>
      <c r="C606" s="13" t="s">
        <v>125</v>
      </c>
      <c r="D606" s="13" t="s">
        <v>1033</v>
      </c>
      <c r="E606" s="13" t="s">
        <v>192</v>
      </c>
      <c r="F606" s="13" t="s">
        <v>652</v>
      </c>
      <c r="G606" s="13" t="n">
        <v>4536</v>
      </c>
      <c r="H606" s="13" t="n">
        <v>432</v>
      </c>
      <c r="I606" s="13" t="n">
        <v>4104</v>
      </c>
      <c r="J606" s="13" t="n">
        <v>225</v>
      </c>
      <c r="K606" s="13" t="n">
        <v>12</v>
      </c>
      <c r="L606" s="13" t="n">
        <v>673</v>
      </c>
      <c r="M606" s="13" t="n">
        <v>3419</v>
      </c>
      <c r="N606" s="13" t="n">
        <v>2090</v>
      </c>
      <c r="O606" s="13" t="n">
        <v>429</v>
      </c>
      <c r="P606" s="13" t="n">
        <v>358</v>
      </c>
      <c r="Q606" s="13" t="n">
        <v>414</v>
      </c>
      <c r="R606" s="13" t="n">
        <v>128</v>
      </c>
      <c r="S606" s="13" t="n">
        <v>0</v>
      </c>
      <c r="T606" s="13" t="n">
        <v>0.8331</v>
      </c>
      <c r="U606" s="13" t="n">
        <v>4.29</v>
      </c>
      <c r="V606" s="13" t="n">
        <f aca="false">M606-SUM(N606:S606)</f>
        <v>0</v>
      </c>
    </row>
    <row r="607" customFormat="false" ht="15" hidden="false" customHeight="true" outlineLevel="0" collapsed="false">
      <c r="A607" s="13" t="n">
        <v>2026</v>
      </c>
      <c r="B607" s="13" t="s">
        <v>1021</v>
      </c>
      <c r="C607" s="13" t="s">
        <v>125</v>
      </c>
      <c r="D607" s="13" t="s">
        <v>1034</v>
      </c>
      <c r="E607" s="13" t="s">
        <v>124</v>
      </c>
      <c r="F607" s="13" t="s">
        <v>357</v>
      </c>
      <c r="G607" s="13" t="n">
        <v>805</v>
      </c>
      <c r="H607" s="13" t="n">
        <v>70</v>
      </c>
      <c r="I607" s="13" t="n">
        <v>735</v>
      </c>
      <c r="J607" s="13" t="n">
        <v>53</v>
      </c>
      <c r="K607" s="13" t="n">
        <v>0</v>
      </c>
      <c r="L607" s="13" t="n">
        <v>357</v>
      </c>
      <c r="M607" s="13" t="n">
        <v>378</v>
      </c>
      <c r="N607" s="13" t="n">
        <v>8</v>
      </c>
      <c r="O607" s="13" t="n">
        <v>40</v>
      </c>
      <c r="P607" s="13" t="n">
        <v>105</v>
      </c>
      <c r="Q607" s="13" t="n">
        <v>177</v>
      </c>
      <c r="R607" s="13" t="n">
        <v>48</v>
      </c>
      <c r="S607" s="13" t="n">
        <v>0</v>
      </c>
      <c r="T607" s="13" t="n">
        <v>0.5143</v>
      </c>
      <c r="U607" s="13" t="n">
        <v>1.76</v>
      </c>
      <c r="V607" s="13" t="n">
        <f aca="false">M607-SUM(N607:S607)</f>
        <v>0</v>
      </c>
    </row>
    <row r="608" customFormat="false" ht="15" hidden="false" customHeight="true" outlineLevel="0" collapsed="false">
      <c r="A608" s="13" t="n">
        <v>2026</v>
      </c>
      <c r="B608" s="13" t="s">
        <v>1021</v>
      </c>
      <c r="C608" s="13" t="s">
        <v>125</v>
      </c>
      <c r="D608" s="13" t="s">
        <v>1034</v>
      </c>
      <c r="E608" s="13" t="s">
        <v>122</v>
      </c>
      <c r="F608" s="13" t="s">
        <v>357</v>
      </c>
      <c r="G608" s="13" t="n">
        <v>260</v>
      </c>
      <c r="H608" s="13" t="n">
        <v>18</v>
      </c>
      <c r="I608" s="13" t="n">
        <v>242</v>
      </c>
      <c r="J608" s="13" t="n">
        <v>6</v>
      </c>
      <c r="K608" s="13" t="n">
        <v>0</v>
      </c>
      <c r="L608" s="13" t="n">
        <v>128</v>
      </c>
      <c r="M608" s="13" t="n">
        <v>114</v>
      </c>
      <c r="N608" s="13" t="n">
        <v>6</v>
      </c>
      <c r="O608" s="13" t="n">
        <v>19</v>
      </c>
      <c r="P608" s="13" t="n">
        <v>35</v>
      </c>
      <c r="Q608" s="13" t="n">
        <v>44</v>
      </c>
      <c r="R608" s="13" t="n">
        <v>10</v>
      </c>
      <c r="S608" s="13" t="n">
        <v>0</v>
      </c>
      <c r="T608" s="13" t="n">
        <v>0.4711</v>
      </c>
      <c r="U608" s="13" t="n">
        <v>1.75</v>
      </c>
      <c r="V608" s="13" t="n">
        <f aca="false">M608-SUM(N608:S608)</f>
        <v>0</v>
      </c>
    </row>
    <row r="609" customFormat="false" ht="15" hidden="false" customHeight="true" outlineLevel="0" collapsed="false">
      <c r="A609" s="13" t="n">
        <v>2026</v>
      </c>
      <c r="B609" s="13" t="s">
        <v>1021</v>
      </c>
      <c r="C609" s="13" t="s">
        <v>125</v>
      </c>
      <c r="D609" s="13" t="s">
        <v>1034</v>
      </c>
      <c r="E609" s="13" t="s">
        <v>192</v>
      </c>
      <c r="F609" s="13" t="s">
        <v>652</v>
      </c>
      <c r="G609" s="13" t="n">
        <v>1065</v>
      </c>
      <c r="H609" s="13" t="n">
        <v>88</v>
      </c>
      <c r="I609" s="13" t="n">
        <v>977</v>
      </c>
      <c r="J609" s="13" t="n">
        <v>59</v>
      </c>
      <c r="K609" s="13" t="n">
        <v>0</v>
      </c>
      <c r="L609" s="13" t="n">
        <v>485</v>
      </c>
      <c r="M609" s="13" t="n">
        <v>492</v>
      </c>
      <c r="N609" s="13" t="n">
        <v>14</v>
      </c>
      <c r="O609" s="13" t="n">
        <v>59</v>
      </c>
      <c r="P609" s="13" t="n">
        <v>140</v>
      </c>
      <c r="Q609" s="13" t="n">
        <v>221</v>
      </c>
      <c r="R609" s="13" t="n">
        <v>58</v>
      </c>
      <c r="S609" s="13" t="n">
        <v>0</v>
      </c>
      <c r="T609" s="13" t="n">
        <v>0.5036</v>
      </c>
      <c r="U609" s="13" t="n">
        <v>1.76</v>
      </c>
      <c r="V609" s="13" t="n">
        <f aca="false">M609-SUM(N609:S609)</f>
        <v>0</v>
      </c>
    </row>
    <row r="610" customFormat="false" ht="15" hidden="false" customHeight="true" outlineLevel="0" collapsed="false">
      <c r="A610" s="13" t="n">
        <v>2026</v>
      </c>
      <c r="B610" s="13" t="s">
        <v>1021</v>
      </c>
      <c r="C610" s="13" t="s">
        <v>125</v>
      </c>
      <c r="D610" s="13" t="s">
        <v>1035</v>
      </c>
      <c r="E610" s="13" t="s">
        <v>124</v>
      </c>
      <c r="F610" s="13" t="s">
        <v>357</v>
      </c>
      <c r="G610" s="13" t="n">
        <v>5371</v>
      </c>
      <c r="H610" s="13" t="n">
        <v>346</v>
      </c>
      <c r="I610" s="13" t="n">
        <v>5025</v>
      </c>
      <c r="J610" s="13" t="n">
        <v>389</v>
      </c>
      <c r="K610" s="13" t="n">
        <v>21</v>
      </c>
      <c r="L610" s="13" t="n">
        <v>3155</v>
      </c>
      <c r="M610" s="13" t="n">
        <v>1849</v>
      </c>
      <c r="N610" s="13" t="n">
        <v>9</v>
      </c>
      <c r="O610" s="13" t="n">
        <v>46</v>
      </c>
      <c r="P610" s="13" t="n">
        <v>305</v>
      </c>
      <c r="Q610" s="13" t="n">
        <v>918</v>
      </c>
      <c r="R610" s="13" t="n">
        <v>568</v>
      </c>
      <c r="S610" s="13" t="n">
        <v>3</v>
      </c>
      <c r="T610" s="13" t="n">
        <v>0.368</v>
      </c>
      <c r="U610" s="13" t="n">
        <v>1.07</v>
      </c>
      <c r="V610" s="13" t="n">
        <f aca="false">M610-SUM(N610:S610)</f>
        <v>0</v>
      </c>
    </row>
    <row r="611" customFormat="false" ht="15" hidden="false" customHeight="true" outlineLevel="0" collapsed="false">
      <c r="A611" s="13" t="n">
        <v>2026</v>
      </c>
      <c r="B611" s="13" t="s">
        <v>1021</v>
      </c>
      <c r="C611" s="13" t="s">
        <v>125</v>
      </c>
      <c r="D611" s="13" t="s">
        <v>1035</v>
      </c>
      <c r="E611" s="13" t="s">
        <v>122</v>
      </c>
      <c r="F611" s="13" t="s">
        <v>357</v>
      </c>
      <c r="G611" s="13" t="n">
        <v>1800</v>
      </c>
      <c r="H611" s="13" t="n">
        <v>92</v>
      </c>
      <c r="I611" s="13" t="n">
        <v>1708</v>
      </c>
      <c r="J611" s="13" t="n">
        <v>107</v>
      </c>
      <c r="K611" s="13" t="n">
        <v>1</v>
      </c>
      <c r="L611" s="13" t="n">
        <v>1122</v>
      </c>
      <c r="M611" s="13" t="n">
        <v>585</v>
      </c>
      <c r="N611" s="13" t="n">
        <v>7</v>
      </c>
      <c r="O611" s="13" t="n">
        <v>55</v>
      </c>
      <c r="P611" s="13" t="n">
        <v>160</v>
      </c>
      <c r="Q611" s="13" t="n">
        <v>281</v>
      </c>
      <c r="R611" s="13" t="n">
        <v>82</v>
      </c>
      <c r="S611" s="13" t="n">
        <v>0</v>
      </c>
      <c r="T611" s="13" t="n">
        <v>0.3425</v>
      </c>
      <c r="U611" s="13" t="n">
        <v>1.15</v>
      </c>
      <c r="V611" s="13" t="n">
        <f aca="false">M611-SUM(N611:S611)</f>
        <v>0</v>
      </c>
    </row>
    <row r="612" customFormat="false" ht="15" hidden="false" customHeight="true" outlineLevel="0" collapsed="false">
      <c r="A612" s="13" t="n">
        <v>2026</v>
      </c>
      <c r="B612" s="13" t="s">
        <v>1021</v>
      </c>
      <c r="C612" s="13" t="s">
        <v>125</v>
      </c>
      <c r="D612" s="13" t="s">
        <v>1035</v>
      </c>
      <c r="E612" s="13" t="s">
        <v>192</v>
      </c>
      <c r="F612" s="13" t="s">
        <v>652</v>
      </c>
      <c r="G612" s="13" t="n">
        <v>7171</v>
      </c>
      <c r="H612" s="13" t="n">
        <v>438</v>
      </c>
      <c r="I612" s="13" t="n">
        <v>6733</v>
      </c>
      <c r="J612" s="13" t="n">
        <v>496</v>
      </c>
      <c r="K612" s="13" t="n">
        <v>22</v>
      </c>
      <c r="L612" s="13" t="n">
        <v>4277</v>
      </c>
      <c r="M612" s="13" t="n">
        <v>2434</v>
      </c>
      <c r="N612" s="13" t="n">
        <v>16</v>
      </c>
      <c r="O612" s="13" t="n">
        <v>101</v>
      </c>
      <c r="P612" s="13" t="n">
        <v>465</v>
      </c>
      <c r="Q612" s="13" t="n">
        <v>1199</v>
      </c>
      <c r="R612" s="13" t="n">
        <v>650</v>
      </c>
      <c r="S612" s="13" t="n">
        <v>3</v>
      </c>
      <c r="T612" s="13" t="n">
        <v>0.3615</v>
      </c>
      <c r="U612" s="13" t="n">
        <v>1.09</v>
      </c>
      <c r="V612" s="13" t="n">
        <f aca="false">M612-SUM(N612:S612)</f>
        <v>0</v>
      </c>
    </row>
    <row r="613" customFormat="false" ht="15" hidden="false" customHeight="true" outlineLevel="0" collapsed="false">
      <c r="A613" s="13" t="n">
        <v>2026</v>
      </c>
      <c r="B613" s="13" t="s">
        <v>1021</v>
      </c>
      <c r="C613" s="13" t="s">
        <v>125</v>
      </c>
      <c r="D613" s="13" t="s">
        <v>203</v>
      </c>
      <c r="E613" s="13" t="s">
        <v>124</v>
      </c>
      <c r="F613" s="13" t="s">
        <v>357</v>
      </c>
      <c r="G613" s="13" t="n">
        <v>785</v>
      </c>
      <c r="H613" s="13" t="n">
        <v>52</v>
      </c>
      <c r="I613" s="13" t="n">
        <v>733</v>
      </c>
      <c r="J613" s="13" t="n">
        <v>48</v>
      </c>
      <c r="K613" s="13" t="n">
        <v>2</v>
      </c>
      <c r="L613" s="13" t="n">
        <v>408</v>
      </c>
      <c r="M613" s="13" t="n">
        <v>323</v>
      </c>
      <c r="N613" s="13" t="n">
        <v>0</v>
      </c>
      <c r="O613" s="13" t="n">
        <v>4</v>
      </c>
      <c r="P613" s="13" t="n">
        <v>31</v>
      </c>
      <c r="Q613" s="13" t="n">
        <v>72</v>
      </c>
      <c r="R613" s="13" t="n">
        <v>191</v>
      </c>
      <c r="S613" s="13" t="n">
        <v>25</v>
      </c>
      <c r="T613" s="13" t="n">
        <v>0.4407</v>
      </c>
      <c r="U613" s="13" t="n">
        <v>1.05</v>
      </c>
      <c r="V613" s="13" t="n">
        <f aca="false">M613-SUM(N613:S613)</f>
        <v>0</v>
      </c>
    </row>
    <row r="614" customFormat="false" ht="15" hidden="false" customHeight="true" outlineLevel="0" collapsed="false">
      <c r="A614" s="13" t="n">
        <v>2026</v>
      </c>
      <c r="B614" s="13" t="s">
        <v>1021</v>
      </c>
      <c r="C614" s="13" t="s">
        <v>125</v>
      </c>
      <c r="D614" s="13" t="s">
        <v>203</v>
      </c>
      <c r="E614" s="13" t="s">
        <v>122</v>
      </c>
      <c r="F614" s="13" t="s">
        <v>357</v>
      </c>
      <c r="G614" s="13" t="n">
        <v>240</v>
      </c>
      <c r="H614" s="13" t="n">
        <v>12</v>
      </c>
      <c r="I614" s="13" t="n">
        <v>228</v>
      </c>
      <c r="J614" s="13" t="n">
        <v>25</v>
      </c>
      <c r="K614" s="13" t="n">
        <v>2</v>
      </c>
      <c r="L614" s="13" t="n">
        <v>97</v>
      </c>
      <c r="M614" s="13" t="n">
        <v>129</v>
      </c>
      <c r="N614" s="13" t="n">
        <v>2</v>
      </c>
      <c r="O614" s="13" t="n">
        <v>7</v>
      </c>
      <c r="P614" s="13" t="n">
        <v>26</v>
      </c>
      <c r="Q614" s="13" t="n">
        <v>44</v>
      </c>
      <c r="R614" s="13" t="n">
        <v>49</v>
      </c>
      <c r="S614" s="13" t="n">
        <v>1</v>
      </c>
      <c r="T614" s="13" t="n">
        <v>0.5658</v>
      </c>
      <c r="U614" s="13" t="n">
        <v>1.68</v>
      </c>
      <c r="V614" s="13" t="n">
        <f aca="false">M614-SUM(N614:S614)</f>
        <v>0</v>
      </c>
    </row>
    <row r="615" customFormat="false" ht="15" hidden="false" customHeight="true" outlineLevel="0" collapsed="false">
      <c r="A615" s="13" t="n">
        <v>2026</v>
      </c>
      <c r="B615" s="13" t="s">
        <v>1021</v>
      </c>
      <c r="C615" s="13" t="s">
        <v>125</v>
      </c>
      <c r="D615" s="13" t="s">
        <v>203</v>
      </c>
      <c r="E615" s="13" t="s">
        <v>192</v>
      </c>
      <c r="F615" s="13" t="s">
        <v>652</v>
      </c>
      <c r="G615" s="13" t="n">
        <v>1025</v>
      </c>
      <c r="H615" s="13" t="n">
        <v>64</v>
      </c>
      <c r="I615" s="13" t="n">
        <v>961</v>
      </c>
      <c r="J615" s="13" t="n">
        <v>73</v>
      </c>
      <c r="K615" s="13" t="n">
        <v>4</v>
      </c>
      <c r="L615" s="13" t="n">
        <v>505</v>
      </c>
      <c r="M615" s="13" t="n">
        <v>452</v>
      </c>
      <c r="N615" s="13" t="n">
        <v>2</v>
      </c>
      <c r="O615" s="13" t="n">
        <v>11</v>
      </c>
      <c r="P615" s="13" t="n">
        <v>57</v>
      </c>
      <c r="Q615" s="13" t="n">
        <v>116</v>
      </c>
      <c r="R615" s="13" t="n">
        <v>240</v>
      </c>
      <c r="S615" s="13" t="n">
        <v>26</v>
      </c>
      <c r="T615" s="13" t="n">
        <v>0.4703</v>
      </c>
      <c r="U615" s="13" t="n">
        <v>1.2</v>
      </c>
      <c r="V615" s="13" t="n">
        <f aca="false">M615-SUM(N615:S615)</f>
        <v>0</v>
      </c>
    </row>
    <row r="616" customFormat="false" ht="15" hidden="false" customHeight="true" outlineLevel="0" collapsed="false">
      <c r="A616" s="13" t="n">
        <v>2026</v>
      </c>
      <c r="B616" s="13" t="s">
        <v>1021</v>
      </c>
      <c r="C616" s="13" t="s">
        <v>125</v>
      </c>
      <c r="D616" s="13" t="s">
        <v>1036</v>
      </c>
      <c r="E616" s="13" t="s">
        <v>122</v>
      </c>
      <c r="F616" s="13" t="s">
        <v>357</v>
      </c>
      <c r="G616" s="13" t="n">
        <v>11</v>
      </c>
      <c r="H616" s="13" t="n">
        <v>0</v>
      </c>
      <c r="I616" s="13" t="n">
        <v>11</v>
      </c>
      <c r="J616" s="13" t="n">
        <v>0</v>
      </c>
      <c r="K616" s="13" t="n">
        <v>0</v>
      </c>
      <c r="L616" s="13" t="n">
        <v>5</v>
      </c>
      <c r="M616" s="13" t="n">
        <v>6</v>
      </c>
      <c r="N616" s="13" t="n">
        <v>0</v>
      </c>
      <c r="O616" s="13" t="n">
        <v>0</v>
      </c>
      <c r="P616" s="13" t="n">
        <v>1</v>
      </c>
      <c r="Q616" s="13" t="n">
        <v>5</v>
      </c>
      <c r="R616" s="13" t="n">
        <v>0</v>
      </c>
      <c r="S616" s="13" t="n">
        <v>0</v>
      </c>
      <c r="T616" s="13" t="n">
        <v>0.5455</v>
      </c>
      <c r="U616" s="13" t="n">
        <v>1.73</v>
      </c>
      <c r="V616" s="13" t="n">
        <f aca="false">M616-SUM(N616:S616)</f>
        <v>0</v>
      </c>
    </row>
    <row r="617" customFormat="false" ht="15" hidden="false" customHeight="true" outlineLevel="0" collapsed="false">
      <c r="A617" s="13" t="n">
        <v>2026</v>
      </c>
      <c r="B617" s="13" t="s">
        <v>1021</v>
      </c>
      <c r="C617" s="13" t="s">
        <v>125</v>
      </c>
      <c r="D617" s="13" t="s">
        <v>1036</v>
      </c>
      <c r="E617" s="13" t="s">
        <v>192</v>
      </c>
      <c r="F617" s="13" t="s">
        <v>652</v>
      </c>
      <c r="G617" s="13" t="n">
        <v>11</v>
      </c>
      <c r="H617" s="13" t="n">
        <v>0</v>
      </c>
      <c r="I617" s="13" t="n">
        <v>11</v>
      </c>
      <c r="J617" s="13" t="n">
        <v>0</v>
      </c>
      <c r="K617" s="13" t="n">
        <v>0</v>
      </c>
      <c r="L617" s="13" t="n">
        <v>5</v>
      </c>
      <c r="M617" s="13" t="n">
        <v>6</v>
      </c>
      <c r="N617" s="13" t="n">
        <v>0</v>
      </c>
      <c r="O617" s="13" t="n">
        <v>0</v>
      </c>
      <c r="P617" s="13" t="n">
        <v>1</v>
      </c>
      <c r="Q617" s="13" t="n">
        <v>5</v>
      </c>
      <c r="R617" s="13" t="n">
        <v>0</v>
      </c>
      <c r="S617" s="13" t="n">
        <v>0</v>
      </c>
      <c r="T617" s="13" t="n">
        <v>0.5455</v>
      </c>
      <c r="U617" s="13" t="n">
        <v>1.73</v>
      </c>
      <c r="V617" s="13" t="n">
        <f aca="false">M617-SUM(N617:S617)</f>
        <v>0</v>
      </c>
    </row>
    <row r="618" customFormat="false" ht="15" hidden="false" customHeight="true" outlineLevel="0" collapsed="false">
      <c r="A618" s="13" t="n">
        <v>2026</v>
      </c>
      <c r="B618" s="13" t="s">
        <v>1021</v>
      </c>
      <c r="C618" s="13" t="s">
        <v>125</v>
      </c>
      <c r="D618" s="13" t="s">
        <v>1037</v>
      </c>
      <c r="E618" s="13" t="s">
        <v>192</v>
      </c>
      <c r="F618" s="13" t="s">
        <v>1038</v>
      </c>
      <c r="G618" s="13" t="n">
        <v>18839</v>
      </c>
      <c r="H618" s="13" t="n">
        <v>1232</v>
      </c>
      <c r="I618" s="13" t="n">
        <v>17607</v>
      </c>
      <c r="J618" s="13" t="n">
        <v>1412</v>
      </c>
      <c r="K618" s="13" t="n">
        <v>56</v>
      </c>
      <c r="L618" s="13" t="n">
        <v>7647</v>
      </c>
      <c r="M618" s="13" t="n">
        <v>9904</v>
      </c>
      <c r="N618" s="13" t="n">
        <v>2151</v>
      </c>
      <c r="O618" s="13" t="n">
        <v>751</v>
      </c>
      <c r="P618" s="13" t="n">
        <v>1469</v>
      </c>
      <c r="Q618" s="13" t="n">
        <v>2878</v>
      </c>
      <c r="R618" s="13" t="n">
        <v>2204</v>
      </c>
      <c r="S618" s="13" t="n">
        <v>141</v>
      </c>
      <c r="T618" s="13" t="n">
        <v>0.5625</v>
      </c>
      <c r="U618" s="13" t="n">
        <v>2.03</v>
      </c>
      <c r="V618" s="13" t="n">
        <f aca="false">M618-SUM(N618:S618)</f>
        <v>310</v>
      </c>
    </row>
    <row r="619" customFormat="false" ht="15" hidden="false" customHeight="true" outlineLevel="0" collapsed="false">
      <c r="A619" s="13" t="n">
        <v>2026</v>
      </c>
      <c r="B619" s="13" t="s">
        <v>1021</v>
      </c>
      <c r="C619" s="13" t="s">
        <v>125</v>
      </c>
      <c r="D619" s="13" t="s">
        <v>1037</v>
      </c>
      <c r="E619" s="13" t="s">
        <v>192</v>
      </c>
      <c r="F619" s="13" t="s">
        <v>137</v>
      </c>
      <c r="G619" s="13" t="n">
        <v>104838</v>
      </c>
      <c r="H619" s="13" t="n">
        <v>1660</v>
      </c>
      <c r="I619" s="13" t="n">
        <v>103178</v>
      </c>
      <c r="J619" s="13" t="n">
        <v>1534</v>
      </c>
      <c r="K619" s="13" t="n">
        <v>420</v>
      </c>
      <c r="L619" s="13" t="n">
        <v>15391</v>
      </c>
      <c r="M619" s="13" t="n">
        <v>87364</v>
      </c>
      <c r="N619" s="13" t="n">
        <v>21869</v>
      </c>
      <c r="O619" s="13" t="n">
        <v>18455</v>
      </c>
      <c r="P619" s="13" t="n">
        <v>22137</v>
      </c>
      <c r="Q619" s="13" t="n">
        <v>17999</v>
      </c>
      <c r="R619" s="13" t="n">
        <v>6379</v>
      </c>
      <c r="S619" s="13" t="n">
        <v>215</v>
      </c>
      <c r="T619" s="13" t="n">
        <v>0.8595</v>
      </c>
      <c r="U619" s="13" t="n">
        <v>3.73</v>
      </c>
      <c r="V619" s="13" t="n">
        <f aca="false">M619-SUM(N619:S619)</f>
        <v>310</v>
      </c>
    </row>
    <row r="620" customFormat="false" ht="15" hidden="false" customHeight="true" outlineLevel="0" collapsed="false">
      <c r="A620" s="13" t="n">
        <v>2026</v>
      </c>
      <c r="B620" s="13" t="s">
        <v>1022</v>
      </c>
      <c r="C620" s="13" t="s">
        <v>121</v>
      </c>
      <c r="D620" s="13" t="s">
        <v>128</v>
      </c>
      <c r="E620" s="13" t="s">
        <v>124</v>
      </c>
      <c r="F620" s="13" t="s">
        <v>357</v>
      </c>
      <c r="G620" s="13" t="n">
        <v>970</v>
      </c>
      <c r="H620" s="13" t="n">
        <v>10</v>
      </c>
      <c r="I620" s="13" t="n">
        <v>960</v>
      </c>
      <c r="J620" s="13" t="n">
        <v>1</v>
      </c>
      <c r="K620" s="13" t="n">
        <v>0</v>
      </c>
      <c r="L620" s="13" t="n">
        <v>212</v>
      </c>
      <c r="M620" s="13" t="n">
        <v>748</v>
      </c>
      <c r="N620" s="13" t="n">
        <v>47</v>
      </c>
      <c r="O620" s="13" t="n">
        <v>67</v>
      </c>
      <c r="P620" s="13" t="n">
        <v>132</v>
      </c>
      <c r="Q620" s="13" t="n">
        <v>241</v>
      </c>
      <c r="R620" s="13" t="n">
        <v>250</v>
      </c>
      <c r="S620" s="13" t="n">
        <v>11</v>
      </c>
      <c r="T620" s="13" t="n">
        <v>0.7792</v>
      </c>
      <c r="U620" s="13" t="n">
        <v>2.48</v>
      </c>
      <c r="V620" s="13" t="n">
        <f aca="false">M620-SUM(N620:S620)</f>
        <v>0</v>
      </c>
    </row>
    <row r="621" customFormat="false" ht="15" hidden="false" customHeight="true" outlineLevel="0" collapsed="false">
      <c r="A621" s="13" t="n">
        <v>2026</v>
      </c>
      <c r="B621" s="13" t="s">
        <v>1022</v>
      </c>
      <c r="C621" s="13" t="s">
        <v>121</v>
      </c>
      <c r="D621" s="13" t="s">
        <v>128</v>
      </c>
      <c r="E621" s="13" t="s">
        <v>122</v>
      </c>
      <c r="F621" s="13" t="s">
        <v>357</v>
      </c>
      <c r="G621" s="13" t="n">
        <v>4730</v>
      </c>
      <c r="H621" s="13" t="n">
        <v>21</v>
      </c>
      <c r="I621" s="13" t="n">
        <v>4709</v>
      </c>
      <c r="J621" s="13" t="n">
        <v>5</v>
      </c>
      <c r="K621" s="13" t="n">
        <v>1</v>
      </c>
      <c r="L621" s="13" t="n">
        <v>529</v>
      </c>
      <c r="M621" s="13" t="n">
        <v>4179</v>
      </c>
      <c r="N621" s="13" t="n">
        <v>97</v>
      </c>
      <c r="O621" s="13" t="n">
        <v>513</v>
      </c>
      <c r="P621" s="13" t="n">
        <v>1295</v>
      </c>
      <c r="Q621" s="13" t="n">
        <v>1684</v>
      </c>
      <c r="R621" s="13" t="n">
        <v>579</v>
      </c>
      <c r="S621" s="13" t="n">
        <v>11</v>
      </c>
      <c r="T621" s="13" t="n">
        <v>0.8874</v>
      </c>
      <c r="U621" s="13" t="n">
        <v>3.09</v>
      </c>
      <c r="V621" s="13" t="n">
        <f aca="false">M621-SUM(N621:S621)</f>
        <v>0</v>
      </c>
    </row>
    <row r="622" customFormat="false" ht="15" hidden="false" customHeight="true" outlineLevel="0" collapsed="false">
      <c r="A622" s="13" t="n">
        <v>2026</v>
      </c>
      <c r="B622" s="13" t="s">
        <v>1022</v>
      </c>
      <c r="C622" s="13" t="s">
        <v>121</v>
      </c>
      <c r="D622" s="13" t="s">
        <v>128</v>
      </c>
      <c r="E622" s="13" t="s">
        <v>192</v>
      </c>
      <c r="F622" s="13" t="s">
        <v>652</v>
      </c>
      <c r="G622" s="13" t="n">
        <v>5700</v>
      </c>
      <c r="H622" s="13" t="n">
        <v>31</v>
      </c>
      <c r="I622" s="13" t="n">
        <v>5669</v>
      </c>
      <c r="J622" s="13" t="n">
        <v>6</v>
      </c>
      <c r="K622" s="13" t="n">
        <v>1</v>
      </c>
      <c r="L622" s="13" t="n">
        <v>741</v>
      </c>
      <c r="M622" s="13" t="n">
        <v>4927</v>
      </c>
      <c r="N622" s="13" t="n">
        <v>144</v>
      </c>
      <c r="O622" s="13" t="n">
        <v>580</v>
      </c>
      <c r="P622" s="13" t="n">
        <v>1427</v>
      </c>
      <c r="Q622" s="13" t="n">
        <v>1925</v>
      </c>
      <c r="R622" s="13" t="n">
        <v>829</v>
      </c>
      <c r="S622" s="13" t="n">
        <v>22</v>
      </c>
      <c r="T622" s="13" t="n">
        <v>0.8691</v>
      </c>
      <c r="U622" s="13" t="n">
        <v>2.99</v>
      </c>
      <c r="V622" s="13" t="n">
        <f aca="false">M622-SUM(N622:S622)</f>
        <v>0</v>
      </c>
    </row>
    <row r="623" customFormat="false" ht="15" hidden="false" customHeight="true" outlineLevel="0" collapsed="false">
      <c r="A623" s="13" t="n">
        <v>2026</v>
      </c>
      <c r="B623" s="13" t="s">
        <v>1022</v>
      </c>
      <c r="C623" s="13" t="s">
        <v>121</v>
      </c>
      <c r="D623" s="13" t="s">
        <v>1033</v>
      </c>
      <c r="E623" s="13" t="s">
        <v>124</v>
      </c>
      <c r="F623" s="13" t="s">
        <v>357</v>
      </c>
      <c r="G623" s="13" t="n">
        <v>1407</v>
      </c>
      <c r="H623" s="13" t="n">
        <v>10</v>
      </c>
      <c r="I623" s="13" t="n">
        <v>1397</v>
      </c>
      <c r="J623" s="13" t="n">
        <v>3</v>
      </c>
      <c r="K623" s="13" t="n">
        <v>1</v>
      </c>
      <c r="L623" s="13" t="n">
        <v>137</v>
      </c>
      <c r="M623" s="13" t="n">
        <v>1259</v>
      </c>
      <c r="N623" s="13" t="n">
        <v>455</v>
      </c>
      <c r="O623" s="13" t="n">
        <v>292</v>
      </c>
      <c r="P623" s="13" t="n">
        <v>292</v>
      </c>
      <c r="Q623" s="13" t="n">
        <v>191</v>
      </c>
      <c r="R623" s="13" t="n">
        <v>28</v>
      </c>
      <c r="S623" s="13" t="n">
        <v>1</v>
      </c>
      <c r="T623" s="13" t="n">
        <v>0.9012</v>
      </c>
      <c r="U623" s="13" t="n">
        <v>4.29</v>
      </c>
      <c r="V623" s="13" t="n">
        <f aca="false">M623-SUM(N623:S623)</f>
        <v>0</v>
      </c>
    </row>
    <row r="624" customFormat="false" ht="15" hidden="false" customHeight="true" outlineLevel="0" collapsed="false">
      <c r="A624" s="13" t="n">
        <v>2026</v>
      </c>
      <c r="B624" s="13" t="s">
        <v>1022</v>
      </c>
      <c r="C624" s="13" t="s">
        <v>121</v>
      </c>
      <c r="D624" s="13" t="s">
        <v>1033</v>
      </c>
      <c r="E624" s="13" t="s">
        <v>122</v>
      </c>
      <c r="F624" s="13" t="s">
        <v>357</v>
      </c>
      <c r="G624" s="13" t="n">
        <v>4434</v>
      </c>
      <c r="H624" s="13" t="n">
        <v>7</v>
      </c>
      <c r="I624" s="13" t="n">
        <v>4427</v>
      </c>
      <c r="J624" s="13" t="n">
        <v>5</v>
      </c>
      <c r="K624" s="13" t="n">
        <v>0</v>
      </c>
      <c r="L624" s="13" t="n">
        <v>165</v>
      </c>
      <c r="M624" s="13" t="n">
        <v>4262</v>
      </c>
      <c r="N624" s="13" t="n">
        <v>1845</v>
      </c>
      <c r="O624" s="13" t="n">
        <v>1049</v>
      </c>
      <c r="P624" s="13" t="n">
        <v>894</v>
      </c>
      <c r="Q624" s="13" t="n">
        <v>455</v>
      </c>
      <c r="R624" s="13" t="n">
        <v>19</v>
      </c>
      <c r="S624" s="13" t="n">
        <v>0</v>
      </c>
      <c r="T624" s="13" t="n">
        <v>0.9627</v>
      </c>
      <c r="U624" s="13" t="n">
        <v>4.81</v>
      </c>
      <c r="V624" s="13" t="n">
        <f aca="false">M624-SUM(N624:S624)</f>
        <v>0</v>
      </c>
    </row>
    <row r="625" customFormat="false" ht="15" hidden="false" customHeight="true" outlineLevel="0" collapsed="false">
      <c r="A625" s="13" t="n">
        <v>2026</v>
      </c>
      <c r="B625" s="13" t="s">
        <v>1022</v>
      </c>
      <c r="C625" s="13" t="s">
        <v>121</v>
      </c>
      <c r="D625" s="13" t="s">
        <v>1033</v>
      </c>
      <c r="E625" s="13" t="s">
        <v>192</v>
      </c>
      <c r="F625" s="13" t="s">
        <v>652</v>
      </c>
      <c r="G625" s="13" t="n">
        <v>5841</v>
      </c>
      <c r="H625" s="13" t="n">
        <v>17</v>
      </c>
      <c r="I625" s="13" t="n">
        <v>5824</v>
      </c>
      <c r="J625" s="13" t="n">
        <v>8</v>
      </c>
      <c r="K625" s="13" t="n">
        <v>1</v>
      </c>
      <c r="L625" s="13" t="n">
        <v>302</v>
      </c>
      <c r="M625" s="13" t="n">
        <v>5521</v>
      </c>
      <c r="N625" s="13" t="n">
        <v>2300</v>
      </c>
      <c r="O625" s="13" t="n">
        <v>1341</v>
      </c>
      <c r="P625" s="13" t="n">
        <v>1186</v>
      </c>
      <c r="Q625" s="13" t="n">
        <v>646</v>
      </c>
      <c r="R625" s="13" t="n">
        <v>47</v>
      </c>
      <c r="S625" s="13" t="n">
        <v>1</v>
      </c>
      <c r="T625" s="13" t="n">
        <v>0.948</v>
      </c>
      <c r="U625" s="13" t="n">
        <v>4.68</v>
      </c>
      <c r="V625" s="13" t="n">
        <f aca="false">M625-SUM(N625:S625)</f>
        <v>0</v>
      </c>
    </row>
    <row r="626" customFormat="false" ht="15" hidden="false" customHeight="true" outlineLevel="0" collapsed="false">
      <c r="A626" s="13" t="n">
        <v>2026</v>
      </c>
      <c r="B626" s="13" t="s">
        <v>1022</v>
      </c>
      <c r="C626" s="13" t="s">
        <v>121</v>
      </c>
      <c r="D626" s="13" t="s">
        <v>1034</v>
      </c>
      <c r="E626" s="13" t="s">
        <v>124</v>
      </c>
      <c r="F626" s="13" t="s">
        <v>357</v>
      </c>
      <c r="G626" s="13" t="n">
        <v>1151</v>
      </c>
      <c r="H626" s="13" t="n">
        <v>3</v>
      </c>
      <c r="I626" s="13" t="n">
        <v>1148</v>
      </c>
      <c r="J626" s="13" t="n">
        <v>3</v>
      </c>
      <c r="K626" s="13" t="n">
        <v>0</v>
      </c>
      <c r="L626" s="13" t="n">
        <v>100</v>
      </c>
      <c r="M626" s="13" t="n">
        <v>1048</v>
      </c>
      <c r="N626" s="13" t="n">
        <v>268</v>
      </c>
      <c r="O626" s="13" t="n">
        <v>282</v>
      </c>
      <c r="P626" s="13" t="n">
        <v>284</v>
      </c>
      <c r="Q626" s="13" t="n">
        <v>179</v>
      </c>
      <c r="R626" s="13" t="n">
        <v>35</v>
      </c>
      <c r="S626" s="13" t="n">
        <v>0</v>
      </c>
      <c r="T626" s="13" t="n">
        <v>0.9129</v>
      </c>
      <c r="U626" s="13" t="n">
        <v>4.15</v>
      </c>
      <c r="V626" s="13" t="n">
        <f aca="false">M626-SUM(N626:S626)</f>
        <v>0</v>
      </c>
    </row>
    <row r="627" customFormat="false" ht="15" hidden="false" customHeight="true" outlineLevel="0" collapsed="false">
      <c r="A627" s="13" t="n">
        <v>2026</v>
      </c>
      <c r="B627" s="13" t="s">
        <v>1022</v>
      </c>
      <c r="C627" s="13" t="s">
        <v>121</v>
      </c>
      <c r="D627" s="13" t="s">
        <v>1034</v>
      </c>
      <c r="E627" s="13" t="s">
        <v>122</v>
      </c>
      <c r="F627" s="13" t="s">
        <v>357</v>
      </c>
      <c r="G627" s="13" t="n">
        <v>922</v>
      </c>
      <c r="H627" s="13" t="n">
        <v>2</v>
      </c>
      <c r="I627" s="13" t="n">
        <v>920</v>
      </c>
      <c r="J627" s="13" t="n">
        <v>1</v>
      </c>
      <c r="K627" s="13" t="n">
        <v>0</v>
      </c>
      <c r="L627" s="13" t="n">
        <v>56</v>
      </c>
      <c r="M627" s="13" t="n">
        <v>864</v>
      </c>
      <c r="N627" s="13" t="n">
        <v>282</v>
      </c>
      <c r="O627" s="13" t="n">
        <v>195</v>
      </c>
      <c r="P627" s="13" t="n">
        <v>230</v>
      </c>
      <c r="Q627" s="13" t="n">
        <v>149</v>
      </c>
      <c r="R627" s="13" t="n">
        <v>8</v>
      </c>
      <c r="S627" s="13" t="n">
        <v>0</v>
      </c>
      <c r="T627" s="13" t="n">
        <v>0.9391</v>
      </c>
      <c r="U627" s="13" t="n">
        <v>4.4</v>
      </c>
      <c r="V627" s="13" t="n">
        <f aca="false">M627-SUM(N627:S627)</f>
        <v>0</v>
      </c>
    </row>
    <row r="628" customFormat="false" ht="15" hidden="false" customHeight="true" outlineLevel="0" collapsed="false">
      <c r="A628" s="13" t="n">
        <v>2026</v>
      </c>
      <c r="B628" s="13" t="s">
        <v>1022</v>
      </c>
      <c r="C628" s="13" t="s">
        <v>121</v>
      </c>
      <c r="D628" s="13" t="s">
        <v>1034</v>
      </c>
      <c r="E628" s="13" t="s">
        <v>192</v>
      </c>
      <c r="F628" s="13" t="s">
        <v>652</v>
      </c>
      <c r="G628" s="13" t="n">
        <v>2073</v>
      </c>
      <c r="H628" s="13" t="n">
        <v>5</v>
      </c>
      <c r="I628" s="13" t="n">
        <v>2068</v>
      </c>
      <c r="J628" s="13" t="n">
        <v>4</v>
      </c>
      <c r="K628" s="13" t="n">
        <v>0</v>
      </c>
      <c r="L628" s="13" t="n">
        <v>156</v>
      </c>
      <c r="M628" s="13" t="n">
        <v>1912</v>
      </c>
      <c r="N628" s="13" t="n">
        <v>550</v>
      </c>
      <c r="O628" s="13" t="n">
        <v>477</v>
      </c>
      <c r="P628" s="13" t="n">
        <v>514</v>
      </c>
      <c r="Q628" s="13" t="n">
        <v>328</v>
      </c>
      <c r="R628" s="13" t="n">
        <v>43</v>
      </c>
      <c r="S628" s="13" t="n">
        <v>0</v>
      </c>
      <c r="T628" s="13" t="n">
        <v>0.9246</v>
      </c>
      <c r="U628" s="13" t="n">
        <v>4.26</v>
      </c>
      <c r="V628" s="13" t="n">
        <f aca="false">M628-SUM(N628:S628)</f>
        <v>0</v>
      </c>
    </row>
    <row r="629" customFormat="false" ht="15" hidden="false" customHeight="true" outlineLevel="0" collapsed="false">
      <c r="A629" s="13" t="n">
        <v>2026</v>
      </c>
      <c r="B629" s="13" t="s">
        <v>1022</v>
      </c>
      <c r="C629" s="13" t="s">
        <v>121</v>
      </c>
      <c r="D629" s="13" t="s">
        <v>1035</v>
      </c>
      <c r="E629" s="13" t="s">
        <v>124</v>
      </c>
      <c r="F629" s="13" t="s">
        <v>357</v>
      </c>
      <c r="G629" s="13" t="n">
        <v>5957</v>
      </c>
      <c r="H629" s="13" t="n">
        <v>17</v>
      </c>
      <c r="I629" s="13" t="n">
        <v>5940</v>
      </c>
      <c r="J629" s="13" t="n">
        <v>14</v>
      </c>
      <c r="K629" s="13" t="n">
        <v>3</v>
      </c>
      <c r="L629" s="13" t="n">
        <v>1335</v>
      </c>
      <c r="M629" s="13" t="n">
        <v>4602</v>
      </c>
      <c r="N629" s="13" t="n">
        <v>437</v>
      </c>
      <c r="O629" s="13" t="n">
        <v>789</v>
      </c>
      <c r="P629" s="13" t="n">
        <v>1413</v>
      </c>
      <c r="Q629" s="13" t="n">
        <v>1536</v>
      </c>
      <c r="R629" s="13" t="n">
        <v>426</v>
      </c>
      <c r="S629" s="13" t="n">
        <v>1</v>
      </c>
      <c r="T629" s="13" t="n">
        <v>0.7747</v>
      </c>
      <c r="U629" s="13" t="n">
        <v>2.98</v>
      </c>
      <c r="V629" s="13" t="n">
        <f aca="false">M629-SUM(N629:S629)</f>
        <v>0</v>
      </c>
    </row>
    <row r="630" customFormat="false" ht="15" hidden="false" customHeight="true" outlineLevel="0" collapsed="false">
      <c r="A630" s="13" t="n">
        <v>2026</v>
      </c>
      <c r="B630" s="13" t="s">
        <v>1022</v>
      </c>
      <c r="C630" s="13" t="s">
        <v>121</v>
      </c>
      <c r="D630" s="13" t="s">
        <v>1035</v>
      </c>
      <c r="E630" s="13" t="s">
        <v>122</v>
      </c>
      <c r="F630" s="13" t="s">
        <v>357</v>
      </c>
      <c r="G630" s="13" t="n">
        <v>4953</v>
      </c>
      <c r="H630" s="13" t="n">
        <v>17</v>
      </c>
      <c r="I630" s="13" t="n">
        <v>4936</v>
      </c>
      <c r="J630" s="13" t="n">
        <v>4</v>
      </c>
      <c r="K630" s="13" t="n">
        <v>1</v>
      </c>
      <c r="L630" s="13" t="n">
        <v>601</v>
      </c>
      <c r="M630" s="13" t="n">
        <v>4334</v>
      </c>
      <c r="N630" s="13" t="n">
        <v>651</v>
      </c>
      <c r="O630" s="13" t="n">
        <v>1017</v>
      </c>
      <c r="P630" s="13" t="n">
        <v>1479</v>
      </c>
      <c r="Q630" s="13" t="n">
        <v>1058</v>
      </c>
      <c r="R630" s="13" t="n">
        <v>129</v>
      </c>
      <c r="S630" s="13" t="n">
        <v>0</v>
      </c>
      <c r="T630" s="13" t="n">
        <v>0.878</v>
      </c>
      <c r="U630" s="13" t="n">
        <v>3.72</v>
      </c>
      <c r="V630" s="13" t="n">
        <f aca="false">M630-SUM(N630:S630)</f>
        <v>0</v>
      </c>
    </row>
    <row r="631" customFormat="false" ht="15" hidden="false" customHeight="true" outlineLevel="0" collapsed="false">
      <c r="A631" s="13" t="n">
        <v>2026</v>
      </c>
      <c r="B631" s="13" t="s">
        <v>1022</v>
      </c>
      <c r="C631" s="13" t="s">
        <v>121</v>
      </c>
      <c r="D631" s="13" t="s">
        <v>1035</v>
      </c>
      <c r="E631" s="13" t="s">
        <v>192</v>
      </c>
      <c r="F631" s="13" t="s">
        <v>652</v>
      </c>
      <c r="G631" s="13" t="n">
        <v>10910</v>
      </c>
      <c r="H631" s="13" t="n">
        <v>34</v>
      </c>
      <c r="I631" s="13" t="n">
        <v>10876</v>
      </c>
      <c r="J631" s="13" t="n">
        <v>18</v>
      </c>
      <c r="K631" s="13" t="n">
        <v>4</v>
      </c>
      <c r="L631" s="13" t="n">
        <v>1936</v>
      </c>
      <c r="M631" s="13" t="n">
        <v>8936</v>
      </c>
      <c r="N631" s="13" t="n">
        <v>1088</v>
      </c>
      <c r="O631" s="13" t="n">
        <v>1806</v>
      </c>
      <c r="P631" s="13" t="n">
        <v>2892</v>
      </c>
      <c r="Q631" s="13" t="n">
        <v>2594</v>
      </c>
      <c r="R631" s="13" t="n">
        <v>555</v>
      </c>
      <c r="S631" s="13" t="n">
        <v>1</v>
      </c>
      <c r="T631" s="13" t="n">
        <v>0.8216</v>
      </c>
      <c r="U631" s="13" t="n">
        <v>3.31</v>
      </c>
      <c r="V631" s="13" t="n">
        <f aca="false">M631-SUM(N631:S631)</f>
        <v>0</v>
      </c>
    </row>
    <row r="632" customFormat="false" ht="15" hidden="false" customHeight="true" outlineLevel="0" collapsed="false">
      <c r="A632" s="13" t="n">
        <v>2026</v>
      </c>
      <c r="B632" s="13" t="s">
        <v>1022</v>
      </c>
      <c r="C632" s="13" t="s">
        <v>121</v>
      </c>
      <c r="D632" s="13" t="s">
        <v>203</v>
      </c>
      <c r="E632" s="13" t="s">
        <v>124</v>
      </c>
      <c r="F632" s="13" t="s">
        <v>357</v>
      </c>
      <c r="G632" s="13" t="n">
        <v>864</v>
      </c>
      <c r="H632" s="13" t="n">
        <v>1</v>
      </c>
      <c r="I632" s="13" t="n">
        <v>863</v>
      </c>
      <c r="J632" s="13" t="n">
        <v>2</v>
      </c>
      <c r="K632" s="13" t="n">
        <v>2</v>
      </c>
      <c r="L632" s="13" t="n">
        <v>215</v>
      </c>
      <c r="M632" s="13" t="n">
        <v>646</v>
      </c>
      <c r="N632" s="13" t="n">
        <v>8</v>
      </c>
      <c r="O632" s="13" t="n">
        <v>30</v>
      </c>
      <c r="P632" s="13" t="n">
        <v>79</v>
      </c>
      <c r="Q632" s="13" t="n">
        <v>263</v>
      </c>
      <c r="R632" s="13" t="n">
        <v>260</v>
      </c>
      <c r="S632" s="13" t="n">
        <v>6</v>
      </c>
      <c r="T632" s="13" t="n">
        <v>0.7486</v>
      </c>
      <c r="U632" s="13" t="n">
        <v>2.12</v>
      </c>
      <c r="V632" s="13" t="n">
        <f aca="false">M632-SUM(N632:S632)</f>
        <v>0</v>
      </c>
    </row>
    <row r="633" customFormat="false" ht="15" hidden="false" customHeight="true" outlineLevel="0" collapsed="false">
      <c r="A633" s="13" t="n">
        <v>2026</v>
      </c>
      <c r="B633" s="13" t="s">
        <v>1022</v>
      </c>
      <c r="C633" s="13" t="s">
        <v>121</v>
      </c>
      <c r="D633" s="13" t="s">
        <v>203</v>
      </c>
      <c r="E633" s="13" t="s">
        <v>122</v>
      </c>
      <c r="F633" s="13" t="s">
        <v>357</v>
      </c>
      <c r="G633" s="13" t="n">
        <v>394</v>
      </c>
      <c r="H633" s="13" t="n">
        <v>1</v>
      </c>
      <c r="I633" s="13" t="n">
        <v>393</v>
      </c>
      <c r="J633" s="13" t="n">
        <v>0</v>
      </c>
      <c r="K633" s="13" t="n">
        <v>0</v>
      </c>
      <c r="L633" s="13" t="n">
        <v>35</v>
      </c>
      <c r="M633" s="13" t="n">
        <v>358</v>
      </c>
      <c r="N633" s="13" t="n">
        <v>36</v>
      </c>
      <c r="O633" s="13" t="n">
        <v>67</v>
      </c>
      <c r="P633" s="13" t="n">
        <v>116</v>
      </c>
      <c r="Q633" s="13" t="n">
        <v>111</v>
      </c>
      <c r="R633" s="13" t="n">
        <v>28</v>
      </c>
      <c r="S633" s="13" t="n">
        <v>0</v>
      </c>
      <c r="T633" s="13" t="n">
        <v>0.9109</v>
      </c>
      <c r="U633" s="13" t="n">
        <v>3.57</v>
      </c>
      <c r="V633" s="13" t="n">
        <f aca="false">M633-SUM(N633:S633)</f>
        <v>0</v>
      </c>
    </row>
    <row r="634" customFormat="false" ht="15" hidden="false" customHeight="true" outlineLevel="0" collapsed="false">
      <c r="A634" s="13" t="n">
        <v>2026</v>
      </c>
      <c r="B634" s="13" t="s">
        <v>1022</v>
      </c>
      <c r="C634" s="13" t="s">
        <v>121</v>
      </c>
      <c r="D634" s="13" t="s">
        <v>203</v>
      </c>
      <c r="E634" s="13" t="s">
        <v>192</v>
      </c>
      <c r="F634" s="13" t="s">
        <v>652</v>
      </c>
      <c r="G634" s="13" t="n">
        <v>1258</v>
      </c>
      <c r="H634" s="13" t="n">
        <v>2</v>
      </c>
      <c r="I634" s="13" t="n">
        <v>1256</v>
      </c>
      <c r="J634" s="13" t="n">
        <v>2</v>
      </c>
      <c r="K634" s="13" t="n">
        <v>2</v>
      </c>
      <c r="L634" s="13" t="n">
        <v>250</v>
      </c>
      <c r="M634" s="13" t="n">
        <v>1004</v>
      </c>
      <c r="N634" s="13" t="n">
        <v>44</v>
      </c>
      <c r="O634" s="13" t="n">
        <v>97</v>
      </c>
      <c r="P634" s="13" t="n">
        <v>195</v>
      </c>
      <c r="Q634" s="13" t="n">
        <v>374</v>
      </c>
      <c r="R634" s="13" t="n">
        <v>288</v>
      </c>
      <c r="S634" s="13" t="n">
        <v>6</v>
      </c>
      <c r="T634" s="13" t="n">
        <v>0.7994</v>
      </c>
      <c r="U634" s="13" t="n">
        <v>2.57</v>
      </c>
      <c r="V634" s="13" t="n">
        <f aca="false">M634-SUM(N634:S634)</f>
        <v>0</v>
      </c>
    </row>
    <row r="635" customFormat="false" ht="15" hidden="false" customHeight="true" outlineLevel="0" collapsed="false">
      <c r="A635" s="13" t="n">
        <v>2026</v>
      </c>
      <c r="B635" s="13" t="s">
        <v>1022</v>
      </c>
      <c r="C635" s="13" t="s">
        <v>121</v>
      </c>
      <c r="D635" s="13" t="s">
        <v>1036</v>
      </c>
      <c r="E635" s="13" t="s">
        <v>122</v>
      </c>
      <c r="F635" s="13" t="s">
        <v>357</v>
      </c>
      <c r="G635" s="13" t="n">
        <v>60</v>
      </c>
      <c r="H635" s="13" t="n">
        <v>0</v>
      </c>
      <c r="I635" s="13" t="n">
        <v>60</v>
      </c>
      <c r="J635" s="13" t="n">
        <v>0</v>
      </c>
      <c r="K635" s="13" t="n">
        <v>0</v>
      </c>
      <c r="L635" s="13" t="n">
        <v>7</v>
      </c>
      <c r="M635" s="13" t="n">
        <v>53</v>
      </c>
      <c r="N635" s="13" t="n">
        <v>7</v>
      </c>
      <c r="O635" s="13" t="n">
        <v>18</v>
      </c>
      <c r="P635" s="13" t="n">
        <v>23</v>
      </c>
      <c r="Q635" s="13" t="n">
        <v>5</v>
      </c>
      <c r="R635" s="13" t="n">
        <v>0</v>
      </c>
      <c r="S635" s="13" t="n">
        <v>0</v>
      </c>
      <c r="T635" s="13" t="n">
        <v>0.8833</v>
      </c>
      <c r="U635" s="13" t="n">
        <v>3.98</v>
      </c>
      <c r="V635" s="13" t="n">
        <f aca="false">M635-SUM(N635:S635)</f>
        <v>0</v>
      </c>
    </row>
    <row r="636" customFormat="false" ht="15" hidden="false" customHeight="true" outlineLevel="0" collapsed="false">
      <c r="A636" s="13" t="n">
        <v>2026</v>
      </c>
      <c r="B636" s="13" t="s">
        <v>1022</v>
      </c>
      <c r="C636" s="13" t="s">
        <v>121</v>
      </c>
      <c r="D636" s="13" t="s">
        <v>1036</v>
      </c>
      <c r="E636" s="13" t="s">
        <v>192</v>
      </c>
      <c r="F636" s="13" t="s">
        <v>652</v>
      </c>
      <c r="G636" s="13" t="n">
        <v>60</v>
      </c>
      <c r="H636" s="13" t="n">
        <v>0</v>
      </c>
      <c r="I636" s="13" t="n">
        <v>60</v>
      </c>
      <c r="J636" s="13" t="n">
        <v>0</v>
      </c>
      <c r="K636" s="13" t="n">
        <v>0</v>
      </c>
      <c r="L636" s="13" t="n">
        <v>7</v>
      </c>
      <c r="M636" s="13" t="n">
        <v>53</v>
      </c>
      <c r="N636" s="13" t="n">
        <v>7</v>
      </c>
      <c r="O636" s="13" t="n">
        <v>18</v>
      </c>
      <c r="P636" s="13" t="n">
        <v>23</v>
      </c>
      <c r="Q636" s="13" t="n">
        <v>5</v>
      </c>
      <c r="R636" s="13" t="n">
        <v>0</v>
      </c>
      <c r="S636" s="13" t="n">
        <v>0</v>
      </c>
      <c r="T636" s="13" t="n">
        <v>0.8833</v>
      </c>
      <c r="U636" s="13" t="n">
        <v>3.98</v>
      </c>
      <c r="V636" s="13" t="n">
        <f aca="false">M636-SUM(N636:S636)</f>
        <v>0</v>
      </c>
    </row>
    <row r="637" customFormat="false" ht="15" hidden="false" customHeight="true" outlineLevel="0" collapsed="false">
      <c r="A637" s="13" t="n">
        <v>2026</v>
      </c>
      <c r="B637" s="13" t="s">
        <v>1022</v>
      </c>
      <c r="C637" s="13" t="s">
        <v>121</v>
      </c>
      <c r="D637" s="13" t="s">
        <v>1037</v>
      </c>
      <c r="E637" s="13" t="s">
        <v>192</v>
      </c>
      <c r="F637" s="13" t="s">
        <v>1038</v>
      </c>
      <c r="G637" s="13" t="n">
        <v>25842</v>
      </c>
      <c r="H637" s="13" t="n">
        <v>89</v>
      </c>
      <c r="I637" s="13" t="n">
        <v>25753</v>
      </c>
      <c r="J637" s="13" t="n">
        <v>38</v>
      </c>
      <c r="K637" s="13" t="n">
        <v>8</v>
      </c>
      <c r="L637" s="13" t="n">
        <v>3392</v>
      </c>
      <c r="M637" s="13" t="n">
        <v>22353</v>
      </c>
      <c r="N637" s="13" t="n">
        <v>4133</v>
      </c>
      <c r="O637" s="13" t="n">
        <v>4319</v>
      </c>
      <c r="P637" s="13" t="n">
        <v>6237</v>
      </c>
      <c r="Q637" s="13" t="n">
        <v>5872</v>
      </c>
      <c r="R637" s="13" t="n">
        <v>1762</v>
      </c>
      <c r="S637" s="13" t="n">
        <v>30</v>
      </c>
      <c r="T637" s="13" t="n">
        <v>0.868</v>
      </c>
      <c r="U637" s="13" t="n">
        <v>3.59</v>
      </c>
      <c r="V637" s="13" t="n">
        <f aca="false">M637-SUM(N637:S637)</f>
        <v>0</v>
      </c>
    </row>
    <row r="638" customFormat="false" ht="15" hidden="false" customHeight="true" outlineLevel="0" collapsed="false">
      <c r="A638" s="13" t="n">
        <v>2026</v>
      </c>
      <c r="B638" s="13" t="s">
        <v>1022</v>
      </c>
      <c r="C638" s="13" t="s">
        <v>125</v>
      </c>
      <c r="D638" s="13" t="s">
        <v>128</v>
      </c>
      <c r="E638" s="13" t="s">
        <v>124</v>
      </c>
      <c r="F638" s="13" t="s">
        <v>357</v>
      </c>
      <c r="G638" s="13" t="n">
        <v>948</v>
      </c>
      <c r="H638" s="13" t="n">
        <v>55</v>
      </c>
      <c r="I638" s="13" t="n">
        <v>893</v>
      </c>
      <c r="J638" s="13" t="n">
        <v>35</v>
      </c>
      <c r="K638" s="13" t="n">
        <v>3</v>
      </c>
      <c r="L638" s="13" t="n">
        <v>372</v>
      </c>
      <c r="M638" s="13" t="n">
        <v>518</v>
      </c>
      <c r="N638" s="13" t="n">
        <v>3</v>
      </c>
      <c r="O638" s="13" t="n">
        <v>19</v>
      </c>
      <c r="P638" s="13" t="n">
        <v>67</v>
      </c>
      <c r="Q638" s="13" t="n">
        <v>137</v>
      </c>
      <c r="R638" s="13" t="n">
        <v>224</v>
      </c>
      <c r="S638" s="13" t="n">
        <v>29</v>
      </c>
      <c r="T638" s="13" t="n">
        <v>0.5801</v>
      </c>
      <c r="U638" s="13" t="n">
        <v>1.42</v>
      </c>
      <c r="V638" s="13" t="n">
        <f aca="false">M638-SUM(N638:S638)</f>
        <v>39</v>
      </c>
    </row>
    <row r="639" customFormat="false" ht="15" hidden="false" customHeight="true" outlineLevel="0" collapsed="false">
      <c r="A639" s="13" t="n">
        <v>2026</v>
      </c>
      <c r="B639" s="13" t="s">
        <v>1022</v>
      </c>
      <c r="C639" s="13" t="s">
        <v>125</v>
      </c>
      <c r="D639" s="13" t="s">
        <v>128</v>
      </c>
      <c r="E639" s="13" t="s">
        <v>122</v>
      </c>
      <c r="F639" s="13" t="s">
        <v>357</v>
      </c>
      <c r="G639" s="13" t="n">
        <v>1204</v>
      </c>
      <c r="H639" s="13" t="n">
        <v>49</v>
      </c>
      <c r="I639" s="13" t="n">
        <v>1155</v>
      </c>
      <c r="J639" s="13" t="n">
        <v>42</v>
      </c>
      <c r="K639" s="13" t="n">
        <v>1</v>
      </c>
      <c r="L639" s="13" t="n">
        <v>364</v>
      </c>
      <c r="M639" s="13" t="n">
        <v>790</v>
      </c>
      <c r="N639" s="13" t="n">
        <v>17</v>
      </c>
      <c r="O639" s="13" t="n">
        <v>63</v>
      </c>
      <c r="P639" s="13" t="n">
        <v>127</v>
      </c>
      <c r="Q639" s="13" t="n">
        <v>250</v>
      </c>
      <c r="R639" s="13" t="n">
        <v>249</v>
      </c>
      <c r="S639" s="13" t="n">
        <v>11</v>
      </c>
      <c r="T639" s="13" t="n">
        <v>0.684</v>
      </c>
      <c r="U639" s="13" t="n">
        <v>1.89</v>
      </c>
      <c r="V639" s="13" t="n">
        <f aca="false">M639-SUM(N639:S639)</f>
        <v>73</v>
      </c>
    </row>
    <row r="640" customFormat="false" ht="15" hidden="false" customHeight="true" outlineLevel="0" collapsed="false">
      <c r="A640" s="13" t="n">
        <v>2026</v>
      </c>
      <c r="B640" s="13" t="s">
        <v>1022</v>
      </c>
      <c r="C640" s="13" t="s">
        <v>125</v>
      </c>
      <c r="D640" s="13" t="s">
        <v>128</v>
      </c>
      <c r="E640" s="13" t="s">
        <v>192</v>
      </c>
      <c r="F640" s="13" t="s">
        <v>652</v>
      </c>
      <c r="G640" s="13" t="n">
        <v>2152</v>
      </c>
      <c r="H640" s="13" t="n">
        <v>104</v>
      </c>
      <c r="I640" s="13" t="n">
        <v>2048</v>
      </c>
      <c r="J640" s="13" t="n">
        <v>77</v>
      </c>
      <c r="K640" s="13" t="n">
        <v>4</v>
      </c>
      <c r="L640" s="13" t="n">
        <v>736</v>
      </c>
      <c r="M640" s="13" t="n">
        <v>1308</v>
      </c>
      <c r="N640" s="13" t="n">
        <v>20</v>
      </c>
      <c r="O640" s="13" t="n">
        <v>82</v>
      </c>
      <c r="P640" s="13" t="n">
        <v>194</v>
      </c>
      <c r="Q640" s="13" t="n">
        <v>387</v>
      </c>
      <c r="R640" s="13" t="n">
        <v>473</v>
      </c>
      <c r="S640" s="13" t="n">
        <v>40</v>
      </c>
      <c r="T640" s="13" t="n">
        <v>0.6387</v>
      </c>
      <c r="U640" s="13" t="n">
        <v>1.69</v>
      </c>
      <c r="V640" s="13" t="n">
        <f aca="false">M640-SUM(N640:S640)</f>
        <v>112</v>
      </c>
    </row>
    <row r="641" customFormat="false" ht="15" hidden="false" customHeight="true" outlineLevel="0" collapsed="false">
      <c r="A641" s="13" t="n">
        <v>2026</v>
      </c>
      <c r="B641" s="13" t="s">
        <v>1022</v>
      </c>
      <c r="C641" s="13" t="s">
        <v>125</v>
      </c>
      <c r="D641" s="13" t="s">
        <v>1033</v>
      </c>
      <c r="E641" s="13" t="s">
        <v>124</v>
      </c>
      <c r="F641" s="13" t="s">
        <v>357</v>
      </c>
      <c r="G641" s="13" t="n">
        <v>410</v>
      </c>
      <c r="H641" s="13" t="n">
        <v>52</v>
      </c>
      <c r="I641" s="13" t="n">
        <v>358</v>
      </c>
      <c r="J641" s="13" t="n">
        <v>7</v>
      </c>
      <c r="K641" s="13" t="n">
        <v>1</v>
      </c>
      <c r="L641" s="13" t="n">
        <v>123</v>
      </c>
      <c r="M641" s="13" t="n">
        <v>234</v>
      </c>
      <c r="N641" s="13" t="n">
        <v>113</v>
      </c>
      <c r="O641" s="13" t="n">
        <v>18</v>
      </c>
      <c r="P641" s="13" t="n">
        <v>19</v>
      </c>
      <c r="Q641" s="13" t="n">
        <v>61</v>
      </c>
      <c r="R641" s="13" t="n">
        <v>23</v>
      </c>
      <c r="S641" s="13" t="n">
        <v>0</v>
      </c>
      <c r="T641" s="13" t="n">
        <v>0.6536</v>
      </c>
      <c r="U641" s="13" t="n">
        <v>3</v>
      </c>
      <c r="V641" s="13" t="n">
        <f aca="false">M641-SUM(N641:S641)</f>
        <v>0</v>
      </c>
    </row>
    <row r="642" customFormat="false" ht="15" hidden="false" customHeight="true" outlineLevel="0" collapsed="false">
      <c r="A642" s="13" t="n">
        <v>2026</v>
      </c>
      <c r="B642" s="13" t="s">
        <v>1022</v>
      </c>
      <c r="C642" s="13" t="s">
        <v>125</v>
      </c>
      <c r="D642" s="13" t="s">
        <v>1033</v>
      </c>
      <c r="E642" s="13" t="s">
        <v>122</v>
      </c>
      <c r="F642" s="13" t="s">
        <v>357</v>
      </c>
      <c r="G642" s="13" t="n">
        <v>835</v>
      </c>
      <c r="H642" s="13" t="n">
        <v>87</v>
      </c>
      <c r="I642" s="13" t="n">
        <v>748</v>
      </c>
      <c r="J642" s="13" t="n">
        <v>11</v>
      </c>
      <c r="K642" s="13" t="n">
        <v>0</v>
      </c>
      <c r="L642" s="13" t="n">
        <v>116</v>
      </c>
      <c r="M642" s="13" t="n">
        <v>632</v>
      </c>
      <c r="N642" s="13" t="n">
        <v>384</v>
      </c>
      <c r="O642" s="13" t="n">
        <v>67</v>
      </c>
      <c r="P642" s="13" t="n">
        <v>79</v>
      </c>
      <c r="Q642" s="13" t="n">
        <v>77</v>
      </c>
      <c r="R642" s="13" t="n">
        <v>25</v>
      </c>
      <c r="S642" s="13" t="n">
        <v>0</v>
      </c>
      <c r="T642" s="13" t="n">
        <v>0.8449</v>
      </c>
      <c r="U642" s="13" t="n">
        <v>4.33</v>
      </c>
      <c r="V642" s="13" t="n">
        <f aca="false">M642-SUM(N642:S642)</f>
        <v>0</v>
      </c>
    </row>
    <row r="643" customFormat="false" ht="15" hidden="false" customHeight="true" outlineLevel="0" collapsed="false">
      <c r="A643" s="13" t="n">
        <v>2026</v>
      </c>
      <c r="B643" s="13" t="s">
        <v>1022</v>
      </c>
      <c r="C643" s="13" t="s">
        <v>125</v>
      </c>
      <c r="D643" s="13" t="s">
        <v>1033</v>
      </c>
      <c r="E643" s="13" t="s">
        <v>192</v>
      </c>
      <c r="F643" s="13" t="s">
        <v>652</v>
      </c>
      <c r="G643" s="13" t="n">
        <v>1245</v>
      </c>
      <c r="H643" s="13" t="n">
        <v>139</v>
      </c>
      <c r="I643" s="13" t="n">
        <v>1106</v>
      </c>
      <c r="J643" s="13" t="n">
        <v>18</v>
      </c>
      <c r="K643" s="13" t="n">
        <v>1</v>
      </c>
      <c r="L643" s="13" t="n">
        <v>239</v>
      </c>
      <c r="M643" s="13" t="n">
        <v>866</v>
      </c>
      <c r="N643" s="13" t="n">
        <v>497</v>
      </c>
      <c r="O643" s="13" t="n">
        <v>85</v>
      </c>
      <c r="P643" s="13" t="n">
        <v>98</v>
      </c>
      <c r="Q643" s="13" t="n">
        <v>138</v>
      </c>
      <c r="R643" s="13" t="n">
        <v>48</v>
      </c>
      <c r="S643" s="13" t="n">
        <v>0</v>
      </c>
      <c r="T643" s="13" t="n">
        <v>0.783</v>
      </c>
      <c r="U643" s="13" t="n">
        <v>3.9</v>
      </c>
      <c r="V643" s="13" t="n">
        <f aca="false">M643-SUM(N643:S643)</f>
        <v>0</v>
      </c>
    </row>
    <row r="644" customFormat="false" ht="15" hidden="false" customHeight="true" outlineLevel="0" collapsed="false">
      <c r="A644" s="13" t="n">
        <v>2026</v>
      </c>
      <c r="B644" s="13" t="s">
        <v>1022</v>
      </c>
      <c r="C644" s="13" t="s">
        <v>125</v>
      </c>
      <c r="D644" s="13" t="s">
        <v>1034</v>
      </c>
      <c r="E644" s="13" t="s">
        <v>124</v>
      </c>
      <c r="F644" s="13" t="s">
        <v>357</v>
      </c>
      <c r="G644" s="13" t="n">
        <v>309</v>
      </c>
      <c r="H644" s="13" t="n">
        <v>29</v>
      </c>
      <c r="I644" s="13" t="n">
        <v>280</v>
      </c>
      <c r="J644" s="13" t="n">
        <v>11</v>
      </c>
      <c r="K644" s="13" t="n">
        <v>0</v>
      </c>
      <c r="L644" s="13" t="n">
        <v>193</v>
      </c>
      <c r="M644" s="13" t="n">
        <v>87</v>
      </c>
      <c r="N644" s="13" t="n">
        <v>1</v>
      </c>
      <c r="O644" s="13" t="n">
        <v>3</v>
      </c>
      <c r="P644" s="13" t="n">
        <v>17</v>
      </c>
      <c r="Q644" s="13" t="n">
        <v>46</v>
      </c>
      <c r="R644" s="13" t="n">
        <v>20</v>
      </c>
      <c r="S644" s="13" t="n">
        <v>0</v>
      </c>
      <c r="T644" s="13" t="n">
        <v>0.3107</v>
      </c>
      <c r="U644" s="13" t="n">
        <v>0.95</v>
      </c>
      <c r="V644" s="13" t="n">
        <f aca="false">M644-SUM(N644:S644)</f>
        <v>0</v>
      </c>
    </row>
    <row r="645" customFormat="false" ht="15" hidden="false" customHeight="true" outlineLevel="0" collapsed="false">
      <c r="A645" s="13" t="n">
        <v>2026</v>
      </c>
      <c r="B645" s="13" t="s">
        <v>1022</v>
      </c>
      <c r="C645" s="13" t="s">
        <v>125</v>
      </c>
      <c r="D645" s="13" t="s">
        <v>1034</v>
      </c>
      <c r="E645" s="13" t="s">
        <v>122</v>
      </c>
      <c r="F645" s="13" t="s">
        <v>357</v>
      </c>
      <c r="G645" s="13" t="n">
        <v>105</v>
      </c>
      <c r="H645" s="13" t="n">
        <v>12</v>
      </c>
      <c r="I645" s="13" t="n">
        <v>93</v>
      </c>
      <c r="J645" s="13" t="n">
        <v>1</v>
      </c>
      <c r="K645" s="13" t="n">
        <v>0</v>
      </c>
      <c r="L645" s="13" t="n">
        <v>65</v>
      </c>
      <c r="M645" s="13" t="n">
        <v>28</v>
      </c>
      <c r="N645" s="13" t="n">
        <v>0</v>
      </c>
      <c r="O645" s="13" t="n">
        <v>2</v>
      </c>
      <c r="P645" s="13" t="n">
        <v>11</v>
      </c>
      <c r="Q645" s="13" t="n">
        <v>12</v>
      </c>
      <c r="R645" s="13" t="n">
        <v>3</v>
      </c>
      <c r="S645" s="13" t="n">
        <v>0</v>
      </c>
      <c r="T645" s="13" t="n">
        <v>0.3011</v>
      </c>
      <c r="U645" s="13" t="n">
        <v>1.03</v>
      </c>
      <c r="V645" s="13" t="n">
        <f aca="false">M645-SUM(N645:S645)</f>
        <v>0</v>
      </c>
    </row>
    <row r="646" customFormat="false" ht="15" hidden="false" customHeight="true" outlineLevel="0" collapsed="false">
      <c r="A646" s="13" t="n">
        <v>2026</v>
      </c>
      <c r="B646" s="13" t="s">
        <v>1022</v>
      </c>
      <c r="C646" s="13" t="s">
        <v>125</v>
      </c>
      <c r="D646" s="13" t="s">
        <v>1034</v>
      </c>
      <c r="E646" s="13" t="s">
        <v>192</v>
      </c>
      <c r="F646" s="13" t="s">
        <v>652</v>
      </c>
      <c r="G646" s="13" t="n">
        <v>414</v>
      </c>
      <c r="H646" s="13" t="n">
        <v>41</v>
      </c>
      <c r="I646" s="13" t="n">
        <v>373</v>
      </c>
      <c r="J646" s="13" t="n">
        <v>12</v>
      </c>
      <c r="K646" s="13" t="n">
        <v>0</v>
      </c>
      <c r="L646" s="13" t="n">
        <v>258</v>
      </c>
      <c r="M646" s="13" t="n">
        <v>115</v>
      </c>
      <c r="N646" s="13" t="n">
        <v>1</v>
      </c>
      <c r="O646" s="13" t="n">
        <v>5</v>
      </c>
      <c r="P646" s="13" t="n">
        <v>28</v>
      </c>
      <c r="Q646" s="13" t="n">
        <v>58</v>
      </c>
      <c r="R646" s="13" t="n">
        <v>23</v>
      </c>
      <c r="S646" s="13" t="n">
        <v>0</v>
      </c>
      <c r="T646" s="13" t="n">
        <v>0.3083</v>
      </c>
      <c r="U646" s="13" t="n">
        <v>0.97</v>
      </c>
      <c r="V646" s="13" t="n">
        <f aca="false">M646-SUM(N646:S646)</f>
        <v>0</v>
      </c>
    </row>
    <row r="647" customFormat="false" ht="15" hidden="false" customHeight="true" outlineLevel="0" collapsed="false">
      <c r="A647" s="13" t="n">
        <v>2026</v>
      </c>
      <c r="B647" s="13" t="s">
        <v>1022</v>
      </c>
      <c r="C647" s="13" t="s">
        <v>125</v>
      </c>
      <c r="D647" s="13" t="s">
        <v>1035</v>
      </c>
      <c r="E647" s="13" t="s">
        <v>124</v>
      </c>
      <c r="F647" s="13" t="s">
        <v>357</v>
      </c>
      <c r="G647" s="13" t="n">
        <v>2385</v>
      </c>
      <c r="H647" s="13" t="n">
        <v>164</v>
      </c>
      <c r="I647" s="13" t="n">
        <v>2221</v>
      </c>
      <c r="J647" s="13" t="n">
        <v>91</v>
      </c>
      <c r="K647" s="13" t="n">
        <v>16</v>
      </c>
      <c r="L647" s="13" t="n">
        <v>1530</v>
      </c>
      <c r="M647" s="13" t="n">
        <v>675</v>
      </c>
      <c r="N647" s="13" t="n">
        <v>1</v>
      </c>
      <c r="O647" s="13" t="n">
        <v>8</v>
      </c>
      <c r="P647" s="13" t="n">
        <v>70</v>
      </c>
      <c r="Q647" s="13" t="n">
        <v>309</v>
      </c>
      <c r="R647" s="13" t="n">
        <v>285</v>
      </c>
      <c r="S647" s="13" t="n">
        <v>2</v>
      </c>
      <c r="T647" s="13" t="n">
        <v>0.3039</v>
      </c>
      <c r="U647" s="13" t="n">
        <v>0.82</v>
      </c>
      <c r="V647" s="13" t="n">
        <f aca="false">M647-SUM(N647:S647)</f>
        <v>0</v>
      </c>
    </row>
    <row r="648" customFormat="false" ht="15" hidden="false" customHeight="true" outlineLevel="0" collapsed="false">
      <c r="A648" s="13" t="n">
        <v>2026</v>
      </c>
      <c r="B648" s="13" t="s">
        <v>1022</v>
      </c>
      <c r="C648" s="13" t="s">
        <v>125</v>
      </c>
      <c r="D648" s="13" t="s">
        <v>1035</v>
      </c>
      <c r="E648" s="13" t="s">
        <v>122</v>
      </c>
      <c r="F648" s="13" t="s">
        <v>357</v>
      </c>
      <c r="G648" s="13" t="n">
        <v>767</v>
      </c>
      <c r="H648" s="13" t="n">
        <v>40</v>
      </c>
      <c r="I648" s="13" t="n">
        <v>727</v>
      </c>
      <c r="J648" s="13" t="n">
        <v>33</v>
      </c>
      <c r="K648" s="13" t="n">
        <v>0</v>
      </c>
      <c r="L648" s="13" t="n">
        <v>501</v>
      </c>
      <c r="M648" s="13" t="n">
        <v>226</v>
      </c>
      <c r="N648" s="13" t="n">
        <v>1</v>
      </c>
      <c r="O648" s="13" t="n">
        <v>15</v>
      </c>
      <c r="P648" s="13" t="n">
        <v>46</v>
      </c>
      <c r="Q648" s="13" t="n">
        <v>118</v>
      </c>
      <c r="R648" s="13" t="n">
        <v>46</v>
      </c>
      <c r="S648" s="13" t="n">
        <v>0</v>
      </c>
      <c r="T648" s="13" t="n">
        <v>0.3109</v>
      </c>
      <c r="U648" s="13" t="n">
        <v>0.98</v>
      </c>
      <c r="V648" s="13" t="n">
        <f aca="false">M648-SUM(N648:S648)</f>
        <v>0</v>
      </c>
    </row>
    <row r="649" customFormat="false" ht="15" hidden="false" customHeight="true" outlineLevel="0" collapsed="false">
      <c r="A649" s="13" t="n">
        <v>2026</v>
      </c>
      <c r="B649" s="13" t="s">
        <v>1022</v>
      </c>
      <c r="C649" s="13" t="s">
        <v>125</v>
      </c>
      <c r="D649" s="13" t="s">
        <v>1035</v>
      </c>
      <c r="E649" s="13" t="s">
        <v>192</v>
      </c>
      <c r="F649" s="13" t="s">
        <v>652</v>
      </c>
      <c r="G649" s="13" t="n">
        <v>3152</v>
      </c>
      <c r="H649" s="13" t="n">
        <v>204</v>
      </c>
      <c r="I649" s="13" t="n">
        <v>2948</v>
      </c>
      <c r="J649" s="13" t="n">
        <v>124</v>
      </c>
      <c r="K649" s="13" t="n">
        <v>16</v>
      </c>
      <c r="L649" s="13" t="n">
        <v>2031</v>
      </c>
      <c r="M649" s="13" t="n">
        <v>901</v>
      </c>
      <c r="N649" s="13" t="n">
        <v>2</v>
      </c>
      <c r="O649" s="13" t="n">
        <v>23</v>
      </c>
      <c r="P649" s="13" t="n">
        <v>116</v>
      </c>
      <c r="Q649" s="13" t="n">
        <v>427</v>
      </c>
      <c r="R649" s="13" t="n">
        <v>331</v>
      </c>
      <c r="S649" s="13" t="n">
        <v>2</v>
      </c>
      <c r="T649" s="13" t="n">
        <v>0.3056</v>
      </c>
      <c r="U649" s="13" t="n">
        <v>0.86</v>
      </c>
      <c r="V649" s="13" t="n">
        <f aca="false">M649-SUM(N649:S649)</f>
        <v>0</v>
      </c>
    </row>
    <row r="650" customFormat="false" ht="15" hidden="false" customHeight="true" outlineLevel="0" collapsed="false">
      <c r="A650" s="13" t="n">
        <v>2026</v>
      </c>
      <c r="B650" s="13" t="s">
        <v>1022</v>
      </c>
      <c r="C650" s="13" t="s">
        <v>125</v>
      </c>
      <c r="D650" s="13" t="s">
        <v>203</v>
      </c>
      <c r="E650" s="13" t="s">
        <v>124</v>
      </c>
      <c r="F650" s="13" t="s">
        <v>357</v>
      </c>
      <c r="G650" s="13" t="n">
        <v>456</v>
      </c>
      <c r="H650" s="13" t="n">
        <v>31</v>
      </c>
      <c r="I650" s="13" t="n">
        <v>425</v>
      </c>
      <c r="J650" s="13" t="n">
        <v>19</v>
      </c>
      <c r="K650" s="13" t="n">
        <v>1</v>
      </c>
      <c r="L650" s="13" t="n">
        <v>276</v>
      </c>
      <c r="M650" s="13" t="n">
        <v>148</v>
      </c>
      <c r="N650" s="13" t="n">
        <v>0</v>
      </c>
      <c r="O650" s="13" t="n">
        <v>1</v>
      </c>
      <c r="P650" s="13" t="n">
        <v>4</v>
      </c>
      <c r="Q650" s="13" t="n">
        <v>21</v>
      </c>
      <c r="R650" s="13" t="n">
        <v>109</v>
      </c>
      <c r="S650" s="13" t="n">
        <v>13</v>
      </c>
      <c r="T650" s="13" t="n">
        <v>0.3482</v>
      </c>
      <c r="U650" s="13" t="n">
        <v>0.74</v>
      </c>
      <c r="V650" s="13" t="n">
        <f aca="false">M650-SUM(N650:S650)</f>
        <v>0</v>
      </c>
    </row>
    <row r="651" customFormat="false" ht="15" hidden="false" customHeight="true" outlineLevel="0" collapsed="false">
      <c r="A651" s="13" t="n">
        <v>2026</v>
      </c>
      <c r="B651" s="13" t="s">
        <v>1022</v>
      </c>
      <c r="C651" s="13" t="s">
        <v>125</v>
      </c>
      <c r="D651" s="13" t="s">
        <v>203</v>
      </c>
      <c r="E651" s="13" t="s">
        <v>122</v>
      </c>
      <c r="F651" s="13" t="s">
        <v>357</v>
      </c>
      <c r="G651" s="13" t="n">
        <v>79</v>
      </c>
      <c r="H651" s="13" t="n">
        <v>4</v>
      </c>
      <c r="I651" s="13" t="n">
        <v>75</v>
      </c>
      <c r="J651" s="13" t="n">
        <v>4</v>
      </c>
      <c r="K651" s="13" t="n">
        <v>0</v>
      </c>
      <c r="L651" s="13" t="n">
        <v>36</v>
      </c>
      <c r="M651" s="13" t="n">
        <v>39</v>
      </c>
      <c r="N651" s="13" t="n">
        <v>0</v>
      </c>
      <c r="O651" s="13" t="n">
        <v>1</v>
      </c>
      <c r="P651" s="13" t="n">
        <v>2</v>
      </c>
      <c r="Q651" s="13" t="n">
        <v>18</v>
      </c>
      <c r="R651" s="13" t="n">
        <v>18</v>
      </c>
      <c r="S651" s="13" t="n">
        <v>0</v>
      </c>
      <c r="T651" s="13" t="n">
        <v>0.52</v>
      </c>
      <c r="U651" s="13" t="n">
        <v>1.37</v>
      </c>
      <c r="V651" s="13" t="n">
        <f aca="false">M651-SUM(N651:S651)</f>
        <v>0</v>
      </c>
    </row>
    <row r="652" customFormat="false" ht="15" hidden="false" customHeight="true" outlineLevel="0" collapsed="false">
      <c r="A652" s="13" t="n">
        <v>2026</v>
      </c>
      <c r="B652" s="13" t="s">
        <v>1022</v>
      </c>
      <c r="C652" s="13" t="s">
        <v>125</v>
      </c>
      <c r="D652" s="13" t="s">
        <v>203</v>
      </c>
      <c r="E652" s="13" t="s">
        <v>192</v>
      </c>
      <c r="F652" s="13" t="s">
        <v>652</v>
      </c>
      <c r="G652" s="13" t="n">
        <v>535</v>
      </c>
      <c r="H652" s="13" t="n">
        <v>35</v>
      </c>
      <c r="I652" s="13" t="n">
        <v>500</v>
      </c>
      <c r="J652" s="13" t="n">
        <v>23</v>
      </c>
      <c r="K652" s="13" t="n">
        <v>1</v>
      </c>
      <c r="L652" s="13" t="n">
        <v>312</v>
      </c>
      <c r="M652" s="13" t="n">
        <v>187</v>
      </c>
      <c r="N652" s="13" t="n">
        <v>0</v>
      </c>
      <c r="O652" s="13" t="n">
        <v>2</v>
      </c>
      <c r="P652" s="13" t="n">
        <v>6</v>
      </c>
      <c r="Q652" s="13" t="n">
        <v>39</v>
      </c>
      <c r="R652" s="13" t="n">
        <v>127</v>
      </c>
      <c r="S652" s="13" t="n">
        <v>13</v>
      </c>
      <c r="T652" s="13" t="n">
        <v>0.374</v>
      </c>
      <c r="U652" s="13" t="n">
        <v>0.84</v>
      </c>
      <c r="V652" s="13" t="n">
        <f aca="false">M652-SUM(N652:S652)</f>
        <v>0</v>
      </c>
    </row>
    <row r="653" customFormat="false" ht="15" hidden="false" customHeight="true" outlineLevel="0" collapsed="false">
      <c r="A653" s="13" t="n">
        <v>2026</v>
      </c>
      <c r="B653" s="13" t="s">
        <v>1022</v>
      </c>
      <c r="C653" s="13" t="s">
        <v>125</v>
      </c>
      <c r="D653" s="13" t="s">
        <v>1036</v>
      </c>
      <c r="E653" s="13" t="s">
        <v>122</v>
      </c>
      <c r="F653" s="13" t="s">
        <v>357</v>
      </c>
      <c r="G653" s="13" t="n">
        <v>10</v>
      </c>
      <c r="H653" s="13" t="n">
        <v>0</v>
      </c>
      <c r="I653" s="13" t="n">
        <v>10</v>
      </c>
      <c r="J653" s="13" t="n">
        <v>0</v>
      </c>
      <c r="K653" s="13" t="n">
        <v>0</v>
      </c>
      <c r="L653" s="13" t="n">
        <v>4</v>
      </c>
      <c r="M653" s="13" t="n">
        <v>6</v>
      </c>
      <c r="N653" s="13" t="n">
        <v>0</v>
      </c>
      <c r="O653" s="13" t="n">
        <v>0</v>
      </c>
      <c r="P653" s="13" t="n">
        <v>1</v>
      </c>
      <c r="Q653" s="13" t="n">
        <v>5</v>
      </c>
      <c r="R653" s="13" t="n">
        <v>0</v>
      </c>
      <c r="S653" s="13" t="n">
        <v>0</v>
      </c>
      <c r="T653" s="13" t="n">
        <v>0.6</v>
      </c>
      <c r="U653" s="13" t="n">
        <v>1.9</v>
      </c>
      <c r="V653" s="13" t="n">
        <f aca="false">M653-SUM(N653:S653)</f>
        <v>0</v>
      </c>
    </row>
    <row r="654" customFormat="false" ht="15" hidden="false" customHeight="true" outlineLevel="0" collapsed="false">
      <c r="A654" s="13" t="n">
        <v>2026</v>
      </c>
      <c r="B654" s="13" t="s">
        <v>1022</v>
      </c>
      <c r="C654" s="13" t="s">
        <v>125</v>
      </c>
      <c r="D654" s="13" t="s">
        <v>1036</v>
      </c>
      <c r="E654" s="13" t="s">
        <v>192</v>
      </c>
      <c r="F654" s="13" t="s">
        <v>652</v>
      </c>
      <c r="G654" s="13" t="n">
        <v>10</v>
      </c>
      <c r="H654" s="13" t="n">
        <v>0</v>
      </c>
      <c r="I654" s="13" t="n">
        <v>10</v>
      </c>
      <c r="J654" s="13" t="n">
        <v>0</v>
      </c>
      <c r="K654" s="13" t="n">
        <v>0</v>
      </c>
      <c r="L654" s="13" t="n">
        <v>4</v>
      </c>
      <c r="M654" s="13" t="n">
        <v>6</v>
      </c>
      <c r="N654" s="13" t="n">
        <v>0</v>
      </c>
      <c r="O654" s="13" t="n">
        <v>0</v>
      </c>
      <c r="P654" s="13" t="n">
        <v>1</v>
      </c>
      <c r="Q654" s="13" t="n">
        <v>5</v>
      </c>
      <c r="R654" s="13" t="n">
        <v>0</v>
      </c>
      <c r="S654" s="13" t="n">
        <v>0</v>
      </c>
      <c r="T654" s="13" t="n">
        <v>0.6</v>
      </c>
      <c r="U654" s="13" t="n">
        <v>1.9</v>
      </c>
      <c r="V654" s="13" t="n">
        <f aca="false">M654-SUM(N654:S654)</f>
        <v>0</v>
      </c>
    </row>
    <row r="655" customFormat="false" ht="15" hidden="false" customHeight="true" outlineLevel="0" collapsed="false">
      <c r="A655" s="13" t="n">
        <v>2026</v>
      </c>
      <c r="B655" s="13" t="s">
        <v>1022</v>
      </c>
      <c r="C655" s="13" t="s">
        <v>125</v>
      </c>
      <c r="D655" s="13" t="s">
        <v>1037</v>
      </c>
      <c r="E655" s="13" t="s">
        <v>192</v>
      </c>
      <c r="F655" s="13" t="s">
        <v>1038</v>
      </c>
      <c r="G655" s="13" t="n">
        <v>7508</v>
      </c>
      <c r="H655" s="13" t="n">
        <v>523</v>
      </c>
      <c r="I655" s="13" t="n">
        <v>6985</v>
      </c>
      <c r="J655" s="13" t="n">
        <v>254</v>
      </c>
      <c r="K655" s="13" t="n">
        <v>22</v>
      </c>
      <c r="L655" s="13" t="n">
        <v>3580</v>
      </c>
      <c r="M655" s="13" t="n">
        <v>3383</v>
      </c>
      <c r="N655" s="13" t="n">
        <v>520</v>
      </c>
      <c r="O655" s="13" t="n">
        <v>197</v>
      </c>
      <c r="P655" s="13" t="n">
        <v>443</v>
      </c>
      <c r="Q655" s="13" t="n">
        <v>1054</v>
      </c>
      <c r="R655" s="13" t="n">
        <v>1002</v>
      </c>
      <c r="S655" s="13" t="n">
        <v>55</v>
      </c>
      <c r="T655" s="13" t="n">
        <v>0.4843</v>
      </c>
      <c r="U655" s="13" t="n">
        <v>1.59</v>
      </c>
      <c r="V655" s="13" t="n">
        <f aca="false">M655-SUM(N655:S655)</f>
        <v>112</v>
      </c>
    </row>
    <row r="656" customFormat="false" ht="15" hidden="false" customHeight="true" outlineLevel="0" collapsed="false">
      <c r="A656" s="13" t="n">
        <v>2026</v>
      </c>
      <c r="B656" s="13" t="s">
        <v>1022</v>
      </c>
      <c r="C656" s="13" t="s">
        <v>125</v>
      </c>
      <c r="D656" s="13" t="s">
        <v>1037</v>
      </c>
      <c r="E656" s="13" t="s">
        <v>192</v>
      </c>
      <c r="F656" s="13" t="s">
        <v>137</v>
      </c>
      <c r="G656" s="13" t="n">
        <v>33350</v>
      </c>
      <c r="H656" s="13" t="n">
        <v>612</v>
      </c>
      <c r="I656" s="13" t="n">
        <v>32738</v>
      </c>
      <c r="J656" s="13" t="n">
        <v>292</v>
      </c>
      <c r="K656" s="13" t="n">
        <v>30</v>
      </c>
      <c r="L656" s="13" t="n">
        <v>6972</v>
      </c>
      <c r="M656" s="13" t="n">
        <v>25736</v>
      </c>
      <c r="N656" s="13" t="n">
        <v>4653</v>
      </c>
      <c r="O656" s="13" t="n">
        <v>4516</v>
      </c>
      <c r="P656" s="13" t="n">
        <v>6680</v>
      </c>
      <c r="Q656" s="13" t="n">
        <v>6926</v>
      </c>
      <c r="R656" s="13" t="n">
        <v>2764</v>
      </c>
      <c r="S656" s="13" t="n">
        <v>85</v>
      </c>
      <c r="T656" s="13" t="n">
        <v>0.7932</v>
      </c>
      <c r="U656" s="13" t="n">
        <v>3.19</v>
      </c>
      <c r="V656" s="13" t="n">
        <f aca="false">M656-SUM(N656:S656)</f>
        <v>112</v>
      </c>
    </row>
    <row r="657" customFormat="false" ht="15" hidden="false" customHeight="true" outlineLevel="0" collapsed="false">
      <c r="A657" s="13" t="n">
        <v>2026</v>
      </c>
      <c r="B657" s="13" t="s">
        <v>1023</v>
      </c>
      <c r="C657" s="13" t="s">
        <v>121</v>
      </c>
      <c r="D657" s="13" t="s">
        <v>128</v>
      </c>
      <c r="E657" s="13" t="s">
        <v>124</v>
      </c>
      <c r="F657" s="13" t="s">
        <v>357</v>
      </c>
      <c r="G657" s="13" t="n">
        <v>1367</v>
      </c>
      <c r="H657" s="13" t="n">
        <v>93</v>
      </c>
      <c r="I657" s="13" t="n">
        <v>1274</v>
      </c>
      <c r="J657" s="13" t="n">
        <v>2</v>
      </c>
      <c r="K657" s="13" t="n">
        <v>289</v>
      </c>
      <c r="L657" s="13" t="n">
        <v>151</v>
      </c>
      <c r="M657" s="13" t="n">
        <v>834</v>
      </c>
      <c r="N657" s="13" t="n">
        <v>12</v>
      </c>
      <c r="O657" s="13" t="n">
        <v>71</v>
      </c>
      <c r="P657" s="13" t="n">
        <v>221</v>
      </c>
      <c r="Q657" s="13" t="n">
        <v>335</v>
      </c>
      <c r="R657" s="13" t="n">
        <v>189</v>
      </c>
      <c r="S657" s="13" t="n">
        <v>6</v>
      </c>
      <c r="T657" s="13" t="n">
        <v>0.6546</v>
      </c>
      <c r="U657" s="13" t="n">
        <v>2.12</v>
      </c>
      <c r="V657" s="13" t="n">
        <f aca="false">M657-SUM(N657:S657)</f>
        <v>0</v>
      </c>
    </row>
    <row r="658" customFormat="false" ht="15" hidden="false" customHeight="true" outlineLevel="0" collapsed="false">
      <c r="A658" s="13" t="n">
        <v>2026</v>
      </c>
      <c r="B658" s="13" t="s">
        <v>1023</v>
      </c>
      <c r="C658" s="13" t="s">
        <v>121</v>
      </c>
      <c r="D658" s="13" t="s">
        <v>128</v>
      </c>
      <c r="E658" s="13" t="s">
        <v>122</v>
      </c>
      <c r="F658" s="13" t="s">
        <v>357</v>
      </c>
      <c r="G658" s="13" t="n">
        <v>2581</v>
      </c>
      <c r="H658" s="13" t="n">
        <v>20</v>
      </c>
      <c r="I658" s="13" t="n">
        <v>2561</v>
      </c>
      <c r="J658" s="13" t="n">
        <v>1</v>
      </c>
      <c r="K658" s="13" t="n">
        <v>19</v>
      </c>
      <c r="L658" s="13" t="n">
        <v>112</v>
      </c>
      <c r="M658" s="13" t="n">
        <v>2430</v>
      </c>
      <c r="N658" s="13" t="n">
        <v>196</v>
      </c>
      <c r="O658" s="13" t="n">
        <v>680</v>
      </c>
      <c r="P658" s="13" t="n">
        <v>921</v>
      </c>
      <c r="Q658" s="13" t="n">
        <v>500</v>
      </c>
      <c r="R658" s="13" t="n">
        <v>131</v>
      </c>
      <c r="S658" s="13" t="n">
        <v>2</v>
      </c>
      <c r="T658" s="13" t="n">
        <v>0.9488</v>
      </c>
      <c r="U658" s="13" t="n">
        <v>3.91</v>
      </c>
      <c r="V658" s="13" t="n">
        <f aca="false">M658-SUM(N658:S658)</f>
        <v>0</v>
      </c>
    </row>
    <row r="659" customFormat="false" ht="15" hidden="false" customHeight="true" outlineLevel="0" collapsed="false">
      <c r="A659" s="13" t="n">
        <v>2026</v>
      </c>
      <c r="B659" s="13" t="s">
        <v>1023</v>
      </c>
      <c r="C659" s="13" t="s">
        <v>121</v>
      </c>
      <c r="D659" s="13" t="s">
        <v>128</v>
      </c>
      <c r="E659" s="13" t="s">
        <v>192</v>
      </c>
      <c r="F659" s="13" t="s">
        <v>652</v>
      </c>
      <c r="G659" s="13" t="n">
        <v>3948</v>
      </c>
      <c r="H659" s="13" t="n">
        <v>113</v>
      </c>
      <c r="I659" s="13" t="n">
        <v>3835</v>
      </c>
      <c r="J659" s="13" t="n">
        <v>3</v>
      </c>
      <c r="K659" s="13" t="n">
        <v>308</v>
      </c>
      <c r="L659" s="13" t="n">
        <v>263</v>
      </c>
      <c r="M659" s="13" t="n">
        <v>3264</v>
      </c>
      <c r="N659" s="13" t="n">
        <v>208</v>
      </c>
      <c r="O659" s="13" t="n">
        <v>751</v>
      </c>
      <c r="P659" s="13" t="n">
        <v>1142</v>
      </c>
      <c r="Q659" s="13" t="n">
        <v>835</v>
      </c>
      <c r="R659" s="13" t="n">
        <v>320</v>
      </c>
      <c r="S659" s="13" t="n">
        <v>8</v>
      </c>
      <c r="T659" s="13" t="n">
        <v>0.8511</v>
      </c>
      <c r="U659" s="13" t="n">
        <v>3.32</v>
      </c>
      <c r="V659" s="13" t="n">
        <f aca="false">M659-SUM(N659:S659)</f>
        <v>0</v>
      </c>
    </row>
    <row r="660" customFormat="false" ht="15" hidden="false" customHeight="true" outlineLevel="0" collapsed="false">
      <c r="A660" s="13" t="n">
        <v>2026</v>
      </c>
      <c r="B660" s="13" t="s">
        <v>1023</v>
      </c>
      <c r="C660" s="13" t="s">
        <v>121</v>
      </c>
      <c r="D660" s="13" t="s">
        <v>1033</v>
      </c>
      <c r="E660" s="13" t="s">
        <v>124</v>
      </c>
      <c r="F660" s="13" t="s">
        <v>357</v>
      </c>
      <c r="G660" s="13" t="n">
        <v>2882</v>
      </c>
      <c r="H660" s="13" t="n">
        <v>13</v>
      </c>
      <c r="I660" s="13" t="n">
        <v>2869</v>
      </c>
      <c r="J660" s="13" t="n">
        <v>1</v>
      </c>
      <c r="K660" s="13" t="n">
        <v>1</v>
      </c>
      <c r="L660" s="13" t="n">
        <v>118</v>
      </c>
      <c r="M660" s="13" t="n">
        <v>2750</v>
      </c>
      <c r="N660" s="13" t="n">
        <v>1422</v>
      </c>
      <c r="O660" s="13" t="n">
        <v>592</v>
      </c>
      <c r="P660" s="13" t="n">
        <v>488</v>
      </c>
      <c r="Q660" s="13" t="n">
        <v>227</v>
      </c>
      <c r="R660" s="13" t="n">
        <v>21</v>
      </c>
      <c r="S660" s="13" t="n">
        <v>0</v>
      </c>
      <c r="T660" s="13" t="n">
        <v>0.9585</v>
      </c>
      <c r="U660" s="13" t="n">
        <v>4.94</v>
      </c>
      <c r="V660" s="13" t="n">
        <f aca="false">M660-SUM(N660:S660)</f>
        <v>0</v>
      </c>
    </row>
    <row r="661" customFormat="false" ht="15" hidden="false" customHeight="true" outlineLevel="0" collapsed="false">
      <c r="A661" s="13" t="n">
        <v>2026</v>
      </c>
      <c r="B661" s="13" t="s">
        <v>1023</v>
      </c>
      <c r="C661" s="13" t="s">
        <v>121</v>
      </c>
      <c r="D661" s="13" t="s">
        <v>1033</v>
      </c>
      <c r="E661" s="13" t="s">
        <v>122</v>
      </c>
      <c r="F661" s="13" t="s">
        <v>357</v>
      </c>
      <c r="G661" s="13" t="n">
        <v>8537</v>
      </c>
      <c r="H661" s="13" t="n">
        <v>13</v>
      </c>
      <c r="I661" s="13" t="n">
        <v>8524</v>
      </c>
      <c r="J661" s="13" t="n">
        <v>4</v>
      </c>
      <c r="K661" s="13" t="n">
        <v>3</v>
      </c>
      <c r="L661" s="13" t="n">
        <v>129</v>
      </c>
      <c r="M661" s="13" t="n">
        <v>8392</v>
      </c>
      <c r="N661" s="13" t="n">
        <v>4909</v>
      </c>
      <c r="O661" s="13" t="n">
        <v>1943</v>
      </c>
      <c r="P661" s="13" t="n">
        <v>1215</v>
      </c>
      <c r="Q661" s="13" t="n">
        <v>306</v>
      </c>
      <c r="R661" s="13" t="n">
        <v>19</v>
      </c>
      <c r="S661" s="13" t="n">
        <v>0</v>
      </c>
      <c r="T661" s="13" t="n">
        <v>0.9845</v>
      </c>
      <c r="U661" s="13" t="n">
        <v>5.28</v>
      </c>
      <c r="V661" s="13" t="n">
        <f aca="false">M661-SUM(N661:S661)</f>
        <v>0</v>
      </c>
    </row>
    <row r="662" customFormat="false" ht="15" hidden="false" customHeight="true" outlineLevel="0" collapsed="false">
      <c r="A662" s="13" t="n">
        <v>2026</v>
      </c>
      <c r="B662" s="13" t="s">
        <v>1023</v>
      </c>
      <c r="C662" s="13" t="s">
        <v>121</v>
      </c>
      <c r="D662" s="13" t="s">
        <v>1033</v>
      </c>
      <c r="E662" s="13" t="s">
        <v>192</v>
      </c>
      <c r="F662" s="13" t="s">
        <v>652</v>
      </c>
      <c r="G662" s="13" t="n">
        <v>11419</v>
      </c>
      <c r="H662" s="13" t="n">
        <v>26</v>
      </c>
      <c r="I662" s="13" t="n">
        <v>11393</v>
      </c>
      <c r="J662" s="13" t="n">
        <v>5</v>
      </c>
      <c r="K662" s="13" t="n">
        <v>4</v>
      </c>
      <c r="L662" s="13" t="n">
        <v>247</v>
      </c>
      <c r="M662" s="13" t="n">
        <v>11142</v>
      </c>
      <c r="N662" s="13" t="n">
        <v>6331</v>
      </c>
      <c r="O662" s="13" t="n">
        <v>2535</v>
      </c>
      <c r="P662" s="13" t="n">
        <v>1703</v>
      </c>
      <c r="Q662" s="13" t="n">
        <v>533</v>
      </c>
      <c r="R662" s="13" t="n">
        <v>40</v>
      </c>
      <c r="S662" s="13" t="n">
        <v>0</v>
      </c>
      <c r="T662" s="13" t="n">
        <v>0.978</v>
      </c>
      <c r="U662" s="13" t="n">
        <v>5.19</v>
      </c>
      <c r="V662" s="13" t="n">
        <f aca="false">M662-SUM(N662:S662)</f>
        <v>0</v>
      </c>
    </row>
    <row r="663" customFormat="false" ht="15" hidden="false" customHeight="true" outlineLevel="0" collapsed="false">
      <c r="A663" s="13" t="n">
        <v>2026</v>
      </c>
      <c r="B663" s="13" t="s">
        <v>1023</v>
      </c>
      <c r="C663" s="13" t="s">
        <v>121</v>
      </c>
      <c r="D663" s="13" t="s">
        <v>1034</v>
      </c>
      <c r="E663" s="13" t="s">
        <v>124</v>
      </c>
      <c r="F663" s="13" t="s">
        <v>357</v>
      </c>
      <c r="G663" s="13" t="n">
        <v>3129</v>
      </c>
      <c r="H663" s="13" t="n">
        <v>4</v>
      </c>
      <c r="I663" s="13" t="n">
        <v>3125</v>
      </c>
      <c r="J663" s="13" t="n">
        <v>0</v>
      </c>
      <c r="K663" s="13" t="n">
        <v>0</v>
      </c>
      <c r="L663" s="13" t="n">
        <v>113</v>
      </c>
      <c r="M663" s="13" t="n">
        <v>3012</v>
      </c>
      <c r="N663" s="13" t="n">
        <v>1222</v>
      </c>
      <c r="O663" s="13" t="n">
        <v>863</v>
      </c>
      <c r="P663" s="13" t="n">
        <v>586</v>
      </c>
      <c r="Q663" s="13" t="n">
        <v>315</v>
      </c>
      <c r="R663" s="13" t="n">
        <v>26</v>
      </c>
      <c r="S663" s="13" t="n">
        <v>0</v>
      </c>
      <c r="T663" s="13" t="n">
        <v>0.9638</v>
      </c>
      <c r="U663" s="13" t="n">
        <v>4.8</v>
      </c>
      <c r="V663" s="13" t="n">
        <f aca="false">M663-SUM(N663:S663)</f>
        <v>0</v>
      </c>
    </row>
    <row r="664" customFormat="false" ht="15" hidden="false" customHeight="true" outlineLevel="0" collapsed="false">
      <c r="A664" s="13" t="n">
        <v>2026</v>
      </c>
      <c r="B664" s="13" t="s">
        <v>1023</v>
      </c>
      <c r="C664" s="13" t="s">
        <v>121</v>
      </c>
      <c r="D664" s="13" t="s">
        <v>1034</v>
      </c>
      <c r="E664" s="13" t="s">
        <v>122</v>
      </c>
      <c r="F664" s="13" t="s">
        <v>357</v>
      </c>
      <c r="G664" s="13" t="n">
        <v>1590</v>
      </c>
      <c r="H664" s="13" t="n">
        <v>7</v>
      </c>
      <c r="I664" s="13" t="n">
        <v>1583</v>
      </c>
      <c r="J664" s="13" t="n">
        <v>0</v>
      </c>
      <c r="K664" s="13" t="n">
        <v>0</v>
      </c>
      <c r="L664" s="13" t="n">
        <v>38</v>
      </c>
      <c r="M664" s="13" t="n">
        <v>1545</v>
      </c>
      <c r="N664" s="13" t="n">
        <v>748</v>
      </c>
      <c r="O664" s="13" t="n">
        <v>430</v>
      </c>
      <c r="P664" s="13" t="n">
        <v>283</v>
      </c>
      <c r="Q664" s="13" t="n">
        <v>82</v>
      </c>
      <c r="R664" s="13" t="n">
        <v>2</v>
      </c>
      <c r="S664" s="13" t="n">
        <v>0</v>
      </c>
      <c r="T664" s="13" t="n">
        <v>0.976</v>
      </c>
      <c r="U664" s="13" t="n">
        <v>5.07</v>
      </c>
      <c r="V664" s="13" t="n">
        <f aca="false">M664-SUM(N664:S664)</f>
        <v>0</v>
      </c>
    </row>
    <row r="665" customFormat="false" ht="15" hidden="false" customHeight="true" outlineLevel="0" collapsed="false">
      <c r="A665" s="13" t="n">
        <v>2026</v>
      </c>
      <c r="B665" s="13" t="s">
        <v>1023</v>
      </c>
      <c r="C665" s="13" t="s">
        <v>121</v>
      </c>
      <c r="D665" s="13" t="s">
        <v>1034</v>
      </c>
      <c r="E665" s="13" t="s">
        <v>192</v>
      </c>
      <c r="F665" s="13" t="s">
        <v>652</v>
      </c>
      <c r="G665" s="13" t="n">
        <v>4719</v>
      </c>
      <c r="H665" s="13" t="n">
        <v>11</v>
      </c>
      <c r="I665" s="13" t="n">
        <v>4708</v>
      </c>
      <c r="J665" s="13" t="n">
        <v>0</v>
      </c>
      <c r="K665" s="13" t="n">
        <v>0</v>
      </c>
      <c r="L665" s="13" t="n">
        <v>151</v>
      </c>
      <c r="M665" s="13" t="n">
        <v>4557</v>
      </c>
      <c r="N665" s="13" t="n">
        <v>1970</v>
      </c>
      <c r="O665" s="13" t="n">
        <v>1293</v>
      </c>
      <c r="P665" s="13" t="n">
        <v>869</v>
      </c>
      <c r="Q665" s="13" t="n">
        <v>397</v>
      </c>
      <c r="R665" s="13" t="n">
        <v>28</v>
      </c>
      <c r="S665" s="13" t="n">
        <v>0</v>
      </c>
      <c r="T665" s="13" t="n">
        <v>0.9679</v>
      </c>
      <c r="U665" s="13" t="n">
        <v>4.89</v>
      </c>
      <c r="V665" s="13" t="n">
        <f aca="false">M665-SUM(N665:S665)</f>
        <v>0</v>
      </c>
    </row>
    <row r="666" customFormat="false" ht="15" hidden="false" customHeight="true" outlineLevel="0" collapsed="false">
      <c r="A666" s="13" t="n">
        <v>2026</v>
      </c>
      <c r="B666" s="13" t="s">
        <v>1023</v>
      </c>
      <c r="C666" s="13" t="s">
        <v>121</v>
      </c>
      <c r="D666" s="13" t="s">
        <v>1035</v>
      </c>
      <c r="E666" s="13" t="s">
        <v>124</v>
      </c>
      <c r="F666" s="13" t="s">
        <v>357</v>
      </c>
      <c r="G666" s="13" t="n">
        <v>11207</v>
      </c>
      <c r="H666" s="13" t="n">
        <v>53</v>
      </c>
      <c r="I666" s="13" t="n">
        <v>11154</v>
      </c>
      <c r="J666" s="13" t="n">
        <v>3</v>
      </c>
      <c r="K666" s="13" t="n">
        <v>9</v>
      </c>
      <c r="L666" s="13" t="n">
        <v>1533</v>
      </c>
      <c r="M666" s="13" t="n">
        <v>9612</v>
      </c>
      <c r="N666" s="13" t="n">
        <v>1418</v>
      </c>
      <c r="O666" s="13" t="n">
        <v>2355</v>
      </c>
      <c r="P666" s="13" t="n">
        <v>3055</v>
      </c>
      <c r="Q666" s="13" t="n">
        <v>2277</v>
      </c>
      <c r="R666" s="13" t="n">
        <v>506</v>
      </c>
      <c r="S666" s="13" t="n">
        <v>1</v>
      </c>
      <c r="T666" s="13" t="n">
        <v>0.8618</v>
      </c>
      <c r="U666" s="13" t="n">
        <v>3.62</v>
      </c>
      <c r="V666" s="13" t="n">
        <f aca="false">M666-SUM(N666:S666)</f>
        <v>0</v>
      </c>
    </row>
    <row r="667" customFormat="false" ht="15" hidden="false" customHeight="true" outlineLevel="0" collapsed="false">
      <c r="A667" s="13" t="n">
        <v>2026</v>
      </c>
      <c r="B667" s="13" t="s">
        <v>1023</v>
      </c>
      <c r="C667" s="13" t="s">
        <v>121</v>
      </c>
      <c r="D667" s="13" t="s">
        <v>1035</v>
      </c>
      <c r="E667" s="13" t="s">
        <v>122</v>
      </c>
      <c r="F667" s="13" t="s">
        <v>357</v>
      </c>
      <c r="G667" s="13" t="n">
        <v>7598</v>
      </c>
      <c r="H667" s="13" t="n">
        <v>34</v>
      </c>
      <c r="I667" s="13" t="n">
        <v>7564</v>
      </c>
      <c r="J667" s="13" t="n">
        <v>1</v>
      </c>
      <c r="K667" s="13" t="n">
        <v>3</v>
      </c>
      <c r="L667" s="13" t="n">
        <v>561</v>
      </c>
      <c r="M667" s="13" t="n">
        <v>7000</v>
      </c>
      <c r="N667" s="13" t="n">
        <v>1506</v>
      </c>
      <c r="O667" s="13" t="n">
        <v>2122</v>
      </c>
      <c r="P667" s="13" t="n">
        <v>2261</v>
      </c>
      <c r="Q667" s="13" t="n">
        <v>1023</v>
      </c>
      <c r="R667" s="13" t="n">
        <v>88</v>
      </c>
      <c r="S667" s="13" t="n">
        <v>0</v>
      </c>
      <c r="T667" s="13" t="n">
        <v>0.9254</v>
      </c>
      <c r="U667" s="13" t="n">
        <v>4.22</v>
      </c>
      <c r="V667" s="13" t="n">
        <f aca="false">M667-SUM(N667:S667)</f>
        <v>0</v>
      </c>
    </row>
    <row r="668" customFormat="false" ht="15" hidden="false" customHeight="true" outlineLevel="0" collapsed="false">
      <c r="A668" s="13" t="n">
        <v>2026</v>
      </c>
      <c r="B668" s="13" t="s">
        <v>1023</v>
      </c>
      <c r="C668" s="13" t="s">
        <v>121</v>
      </c>
      <c r="D668" s="13" t="s">
        <v>1035</v>
      </c>
      <c r="E668" s="13" t="s">
        <v>192</v>
      </c>
      <c r="F668" s="13" t="s">
        <v>652</v>
      </c>
      <c r="G668" s="13" t="n">
        <v>18805</v>
      </c>
      <c r="H668" s="13" t="n">
        <v>87</v>
      </c>
      <c r="I668" s="13" t="n">
        <v>18718</v>
      </c>
      <c r="J668" s="13" t="n">
        <v>4</v>
      </c>
      <c r="K668" s="13" t="n">
        <v>12</v>
      </c>
      <c r="L668" s="13" t="n">
        <v>2094</v>
      </c>
      <c r="M668" s="13" t="n">
        <v>16612</v>
      </c>
      <c r="N668" s="13" t="n">
        <v>2924</v>
      </c>
      <c r="O668" s="13" t="n">
        <v>4477</v>
      </c>
      <c r="P668" s="13" t="n">
        <v>5316</v>
      </c>
      <c r="Q668" s="13" t="n">
        <v>3300</v>
      </c>
      <c r="R668" s="13" t="n">
        <v>594</v>
      </c>
      <c r="S668" s="13" t="n">
        <v>1</v>
      </c>
      <c r="T668" s="13" t="n">
        <v>0.8875</v>
      </c>
      <c r="U668" s="13" t="n">
        <v>3.86</v>
      </c>
      <c r="V668" s="13" t="n">
        <f aca="false">M668-SUM(N668:S668)</f>
        <v>0</v>
      </c>
    </row>
    <row r="669" customFormat="false" ht="15" hidden="false" customHeight="true" outlineLevel="0" collapsed="false">
      <c r="A669" s="13" t="n">
        <v>2026</v>
      </c>
      <c r="B669" s="13" t="s">
        <v>1023</v>
      </c>
      <c r="C669" s="13" t="s">
        <v>121</v>
      </c>
      <c r="D669" s="13" t="s">
        <v>203</v>
      </c>
      <c r="E669" s="13" t="s">
        <v>124</v>
      </c>
      <c r="F669" s="13" t="s">
        <v>357</v>
      </c>
      <c r="G669" s="13" t="n">
        <v>718</v>
      </c>
      <c r="H669" s="13" t="n">
        <v>6</v>
      </c>
      <c r="I669" s="13" t="n">
        <v>712</v>
      </c>
      <c r="J669" s="13" t="n">
        <v>0</v>
      </c>
      <c r="K669" s="13" t="n">
        <v>4</v>
      </c>
      <c r="L669" s="13" t="n">
        <v>148</v>
      </c>
      <c r="M669" s="13" t="n">
        <v>560</v>
      </c>
      <c r="N669" s="13" t="n">
        <v>10</v>
      </c>
      <c r="O669" s="13" t="n">
        <v>35</v>
      </c>
      <c r="P669" s="13" t="n">
        <v>100</v>
      </c>
      <c r="Q669" s="13" t="n">
        <v>215</v>
      </c>
      <c r="R669" s="13" t="n">
        <v>195</v>
      </c>
      <c r="S669" s="13" t="n">
        <v>5</v>
      </c>
      <c r="T669" s="13" t="n">
        <v>0.7865</v>
      </c>
      <c r="U669" s="13" t="n">
        <v>2.35</v>
      </c>
      <c r="V669" s="13" t="n">
        <f aca="false">M669-SUM(N669:S669)</f>
        <v>0</v>
      </c>
    </row>
    <row r="670" customFormat="false" ht="15" hidden="false" customHeight="true" outlineLevel="0" collapsed="false">
      <c r="A670" s="13" t="n">
        <v>2026</v>
      </c>
      <c r="B670" s="13" t="s">
        <v>1023</v>
      </c>
      <c r="C670" s="13" t="s">
        <v>121</v>
      </c>
      <c r="D670" s="13" t="s">
        <v>203</v>
      </c>
      <c r="E670" s="13" t="s">
        <v>122</v>
      </c>
      <c r="F670" s="13" t="s">
        <v>357</v>
      </c>
      <c r="G670" s="13" t="n">
        <v>534</v>
      </c>
      <c r="H670" s="13" t="n">
        <v>3</v>
      </c>
      <c r="I670" s="13" t="n">
        <v>531</v>
      </c>
      <c r="J670" s="13" t="n">
        <v>0</v>
      </c>
      <c r="K670" s="13" t="n">
        <v>0</v>
      </c>
      <c r="L670" s="13" t="n">
        <v>55</v>
      </c>
      <c r="M670" s="13" t="n">
        <v>476</v>
      </c>
      <c r="N670" s="13" t="n">
        <v>38</v>
      </c>
      <c r="O670" s="13" t="n">
        <v>68</v>
      </c>
      <c r="P670" s="13" t="n">
        <v>148</v>
      </c>
      <c r="Q670" s="13" t="n">
        <v>171</v>
      </c>
      <c r="R670" s="13" t="n">
        <v>50</v>
      </c>
      <c r="S670" s="13" t="n">
        <v>1</v>
      </c>
      <c r="T670" s="13" t="n">
        <v>0.8964</v>
      </c>
      <c r="U670" s="13" t="n">
        <v>3.34</v>
      </c>
      <c r="V670" s="13" t="n">
        <f aca="false">M670-SUM(N670:S670)</f>
        <v>0</v>
      </c>
    </row>
    <row r="671" customFormat="false" ht="15" hidden="false" customHeight="true" outlineLevel="0" collapsed="false">
      <c r="A671" s="13" t="n">
        <v>2026</v>
      </c>
      <c r="B671" s="13" t="s">
        <v>1023</v>
      </c>
      <c r="C671" s="13" t="s">
        <v>121</v>
      </c>
      <c r="D671" s="13" t="s">
        <v>203</v>
      </c>
      <c r="E671" s="13" t="s">
        <v>192</v>
      </c>
      <c r="F671" s="13" t="s">
        <v>652</v>
      </c>
      <c r="G671" s="13" t="n">
        <v>1252</v>
      </c>
      <c r="H671" s="13" t="n">
        <v>9</v>
      </c>
      <c r="I671" s="13" t="n">
        <v>1243</v>
      </c>
      <c r="J671" s="13" t="n">
        <v>0</v>
      </c>
      <c r="K671" s="13" t="n">
        <v>4</v>
      </c>
      <c r="L671" s="13" t="n">
        <v>203</v>
      </c>
      <c r="M671" s="13" t="n">
        <v>1036</v>
      </c>
      <c r="N671" s="13" t="n">
        <v>48</v>
      </c>
      <c r="O671" s="13" t="n">
        <v>103</v>
      </c>
      <c r="P671" s="13" t="n">
        <v>248</v>
      </c>
      <c r="Q671" s="13" t="n">
        <v>386</v>
      </c>
      <c r="R671" s="13" t="n">
        <v>245</v>
      </c>
      <c r="S671" s="13" t="n">
        <v>6</v>
      </c>
      <c r="T671" s="13" t="n">
        <v>0.8335</v>
      </c>
      <c r="U671" s="13" t="n">
        <v>2.77</v>
      </c>
      <c r="V671" s="13" t="n">
        <f aca="false">M671-SUM(N671:S671)</f>
        <v>0</v>
      </c>
    </row>
    <row r="672" customFormat="false" ht="15" hidden="false" customHeight="true" outlineLevel="0" collapsed="false">
      <c r="A672" s="13" t="n">
        <v>2026</v>
      </c>
      <c r="B672" s="13" t="s">
        <v>1023</v>
      </c>
      <c r="C672" s="13" t="s">
        <v>121</v>
      </c>
      <c r="D672" s="13" t="s">
        <v>1037</v>
      </c>
      <c r="E672" s="13" t="s">
        <v>192</v>
      </c>
      <c r="F672" s="13" t="s">
        <v>1038</v>
      </c>
      <c r="G672" s="13" t="n">
        <v>40143</v>
      </c>
      <c r="H672" s="13" t="n">
        <v>246</v>
      </c>
      <c r="I672" s="13" t="n">
        <v>39897</v>
      </c>
      <c r="J672" s="13" t="n">
        <v>12</v>
      </c>
      <c r="K672" s="13" t="n">
        <v>328</v>
      </c>
      <c r="L672" s="13" t="n">
        <v>2958</v>
      </c>
      <c r="M672" s="13" t="n">
        <v>36611</v>
      </c>
      <c r="N672" s="13" t="n">
        <v>11481</v>
      </c>
      <c r="O672" s="13" t="n">
        <v>9159</v>
      </c>
      <c r="P672" s="13" t="n">
        <v>9278</v>
      </c>
      <c r="Q672" s="13" t="n">
        <v>5451</v>
      </c>
      <c r="R672" s="13" t="n">
        <v>1227</v>
      </c>
      <c r="S672" s="13" t="n">
        <v>15</v>
      </c>
      <c r="T672" s="13" t="n">
        <v>0.9176</v>
      </c>
      <c r="U672" s="13" t="n">
        <v>4.28</v>
      </c>
      <c r="V672" s="13" t="n">
        <f aca="false">M672-SUM(N672:S672)</f>
        <v>0</v>
      </c>
    </row>
    <row r="673" customFormat="false" ht="15" hidden="false" customHeight="true" outlineLevel="0" collapsed="false">
      <c r="A673" s="13" t="n">
        <v>2026</v>
      </c>
      <c r="B673" s="13" t="s">
        <v>1023</v>
      </c>
      <c r="C673" s="13" t="s">
        <v>125</v>
      </c>
      <c r="D673" s="13" t="s">
        <v>128</v>
      </c>
      <c r="E673" s="13" t="s">
        <v>124</v>
      </c>
      <c r="F673" s="13" t="s">
        <v>357</v>
      </c>
      <c r="G673" s="13" t="n">
        <v>690</v>
      </c>
      <c r="H673" s="13" t="n">
        <v>42</v>
      </c>
      <c r="I673" s="13" t="n">
        <v>648</v>
      </c>
      <c r="J673" s="13" t="n">
        <v>100</v>
      </c>
      <c r="K673" s="13" t="n">
        <v>2</v>
      </c>
      <c r="L673" s="13" t="n">
        <v>253</v>
      </c>
      <c r="M673" s="13" t="n">
        <v>393</v>
      </c>
      <c r="N673" s="13" t="n">
        <v>1</v>
      </c>
      <c r="O673" s="13" t="n">
        <v>11</v>
      </c>
      <c r="P673" s="13" t="n">
        <v>64</v>
      </c>
      <c r="Q673" s="13" t="n">
        <v>111</v>
      </c>
      <c r="R673" s="13" t="n">
        <v>136</v>
      </c>
      <c r="S673" s="13" t="n">
        <v>13</v>
      </c>
      <c r="T673" s="13" t="n">
        <v>0.6065</v>
      </c>
      <c r="U673" s="13" t="n">
        <v>1.44</v>
      </c>
      <c r="V673" s="13" t="n">
        <f aca="false">M673-SUM(N673:S673)</f>
        <v>57</v>
      </c>
    </row>
    <row r="674" customFormat="false" ht="15" hidden="false" customHeight="true" outlineLevel="0" collapsed="false">
      <c r="A674" s="13" t="n">
        <v>2026</v>
      </c>
      <c r="B674" s="13" t="s">
        <v>1023</v>
      </c>
      <c r="C674" s="13" t="s">
        <v>125</v>
      </c>
      <c r="D674" s="13" t="s">
        <v>128</v>
      </c>
      <c r="E674" s="13" t="s">
        <v>122</v>
      </c>
      <c r="F674" s="13" t="s">
        <v>357</v>
      </c>
      <c r="G674" s="13" t="n">
        <v>626</v>
      </c>
      <c r="H674" s="13" t="n">
        <v>27</v>
      </c>
      <c r="I674" s="13" t="n">
        <v>599</v>
      </c>
      <c r="J674" s="13" t="n">
        <v>56</v>
      </c>
      <c r="K674" s="13" t="n">
        <v>1</v>
      </c>
      <c r="L674" s="13" t="n">
        <v>167</v>
      </c>
      <c r="M674" s="13" t="n">
        <v>431</v>
      </c>
      <c r="N674" s="13" t="n">
        <v>6</v>
      </c>
      <c r="O674" s="13" t="n">
        <v>22</v>
      </c>
      <c r="P674" s="13" t="n">
        <v>77</v>
      </c>
      <c r="Q674" s="13" t="n">
        <v>143</v>
      </c>
      <c r="R674" s="13" t="n">
        <v>90</v>
      </c>
      <c r="S674" s="13" t="n">
        <v>6</v>
      </c>
      <c r="T674" s="13" t="n">
        <v>0.7195</v>
      </c>
      <c r="U674" s="13" t="n">
        <v>1.78</v>
      </c>
      <c r="V674" s="13" t="n">
        <f aca="false">M674-SUM(N674:S674)</f>
        <v>87</v>
      </c>
    </row>
    <row r="675" customFormat="false" ht="15" hidden="false" customHeight="true" outlineLevel="0" collapsed="false">
      <c r="A675" s="13" t="n">
        <v>2026</v>
      </c>
      <c r="B675" s="13" t="s">
        <v>1023</v>
      </c>
      <c r="C675" s="13" t="s">
        <v>125</v>
      </c>
      <c r="D675" s="13" t="s">
        <v>128</v>
      </c>
      <c r="E675" s="13" t="s">
        <v>192</v>
      </c>
      <c r="F675" s="13" t="s">
        <v>652</v>
      </c>
      <c r="G675" s="13" t="n">
        <v>1316</v>
      </c>
      <c r="H675" s="13" t="n">
        <v>69</v>
      </c>
      <c r="I675" s="13" t="n">
        <v>1247</v>
      </c>
      <c r="J675" s="13" t="n">
        <v>156</v>
      </c>
      <c r="K675" s="13" t="n">
        <v>3</v>
      </c>
      <c r="L675" s="13" t="n">
        <v>420</v>
      </c>
      <c r="M675" s="13" t="n">
        <v>824</v>
      </c>
      <c r="N675" s="13" t="n">
        <v>7</v>
      </c>
      <c r="O675" s="13" t="n">
        <v>33</v>
      </c>
      <c r="P675" s="13" t="n">
        <v>141</v>
      </c>
      <c r="Q675" s="13" t="n">
        <v>254</v>
      </c>
      <c r="R675" s="13" t="n">
        <v>226</v>
      </c>
      <c r="S675" s="13" t="n">
        <v>19</v>
      </c>
      <c r="T675" s="13" t="n">
        <v>0.6608</v>
      </c>
      <c r="U675" s="13" t="n">
        <v>1.61</v>
      </c>
      <c r="V675" s="13" t="n">
        <f aca="false">M675-SUM(N675:S675)</f>
        <v>144</v>
      </c>
    </row>
    <row r="676" customFormat="false" ht="15" hidden="false" customHeight="true" outlineLevel="0" collapsed="false">
      <c r="A676" s="13" t="n">
        <v>2026</v>
      </c>
      <c r="B676" s="13" t="s">
        <v>1023</v>
      </c>
      <c r="C676" s="13" t="s">
        <v>125</v>
      </c>
      <c r="D676" s="13" t="s">
        <v>1033</v>
      </c>
      <c r="E676" s="13" t="s">
        <v>124</v>
      </c>
      <c r="F676" s="13" t="s">
        <v>357</v>
      </c>
      <c r="G676" s="13" t="n">
        <v>551</v>
      </c>
      <c r="H676" s="13" t="n">
        <v>75</v>
      </c>
      <c r="I676" s="13" t="n">
        <v>476</v>
      </c>
      <c r="J676" s="13" t="n">
        <v>33</v>
      </c>
      <c r="K676" s="13" t="n">
        <v>2</v>
      </c>
      <c r="L676" s="13" t="n">
        <v>88</v>
      </c>
      <c r="M676" s="13" t="n">
        <v>386</v>
      </c>
      <c r="N676" s="13" t="n">
        <v>229</v>
      </c>
      <c r="O676" s="13" t="n">
        <v>43</v>
      </c>
      <c r="P676" s="13" t="n">
        <v>45</v>
      </c>
      <c r="Q676" s="13" t="n">
        <v>55</v>
      </c>
      <c r="R676" s="13" t="n">
        <v>14</v>
      </c>
      <c r="S676" s="13" t="n">
        <v>0</v>
      </c>
      <c r="T676" s="13" t="n">
        <v>0.8109</v>
      </c>
      <c r="U676" s="13" t="n">
        <v>4.12</v>
      </c>
      <c r="V676" s="13" t="n">
        <f aca="false">M676-SUM(N676:S676)</f>
        <v>0</v>
      </c>
    </row>
    <row r="677" customFormat="false" ht="15" hidden="false" customHeight="true" outlineLevel="0" collapsed="false">
      <c r="A677" s="13" t="n">
        <v>2026</v>
      </c>
      <c r="B677" s="13" t="s">
        <v>1023</v>
      </c>
      <c r="C677" s="13" t="s">
        <v>125</v>
      </c>
      <c r="D677" s="13" t="s">
        <v>1033</v>
      </c>
      <c r="E677" s="13" t="s">
        <v>122</v>
      </c>
      <c r="F677" s="13" t="s">
        <v>357</v>
      </c>
      <c r="G677" s="13" t="n">
        <v>1268</v>
      </c>
      <c r="H677" s="13" t="n">
        <v>129</v>
      </c>
      <c r="I677" s="13" t="n">
        <v>1139</v>
      </c>
      <c r="J677" s="13" t="n">
        <v>39</v>
      </c>
      <c r="K677" s="13" t="n">
        <v>0</v>
      </c>
      <c r="L677" s="13" t="n">
        <v>118</v>
      </c>
      <c r="M677" s="13" t="n">
        <v>1021</v>
      </c>
      <c r="N677" s="13" t="n">
        <v>724</v>
      </c>
      <c r="O677" s="13" t="n">
        <v>130</v>
      </c>
      <c r="P677" s="13" t="n">
        <v>90</v>
      </c>
      <c r="Q677" s="13" t="n">
        <v>63</v>
      </c>
      <c r="R677" s="13" t="n">
        <v>14</v>
      </c>
      <c r="S677" s="13" t="n">
        <v>0</v>
      </c>
      <c r="T677" s="13" t="n">
        <v>0.8964</v>
      </c>
      <c r="U677" s="13" t="n">
        <v>4.89</v>
      </c>
      <c r="V677" s="13" t="n">
        <f aca="false">M677-SUM(N677:S677)</f>
        <v>0</v>
      </c>
    </row>
    <row r="678" customFormat="false" ht="15" hidden="false" customHeight="true" outlineLevel="0" collapsed="false">
      <c r="A678" s="13" t="n">
        <v>2026</v>
      </c>
      <c r="B678" s="13" t="s">
        <v>1023</v>
      </c>
      <c r="C678" s="13" t="s">
        <v>125</v>
      </c>
      <c r="D678" s="13" t="s">
        <v>1033</v>
      </c>
      <c r="E678" s="13" t="s">
        <v>192</v>
      </c>
      <c r="F678" s="13" t="s">
        <v>652</v>
      </c>
      <c r="G678" s="13" t="n">
        <v>1819</v>
      </c>
      <c r="H678" s="13" t="n">
        <v>204</v>
      </c>
      <c r="I678" s="13" t="n">
        <v>1615</v>
      </c>
      <c r="J678" s="13" t="n">
        <v>72</v>
      </c>
      <c r="K678" s="13" t="n">
        <v>2</v>
      </c>
      <c r="L678" s="13" t="n">
        <v>206</v>
      </c>
      <c r="M678" s="13" t="n">
        <v>1407</v>
      </c>
      <c r="N678" s="13" t="n">
        <v>953</v>
      </c>
      <c r="O678" s="13" t="n">
        <v>173</v>
      </c>
      <c r="P678" s="13" t="n">
        <v>135</v>
      </c>
      <c r="Q678" s="13" t="n">
        <v>118</v>
      </c>
      <c r="R678" s="13" t="n">
        <v>28</v>
      </c>
      <c r="S678" s="13" t="n">
        <v>0</v>
      </c>
      <c r="T678" s="13" t="n">
        <v>0.8712</v>
      </c>
      <c r="U678" s="13" t="n">
        <v>4.66</v>
      </c>
      <c r="V678" s="13" t="n">
        <f aca="false">M678-SUM(N678:S678)</f>
        <v>0</v>
      </c>
    </row>
    <row r="679" customFormat="false" ht="15" hidden="false" customHeight="true" outlineLevel="0" collapsed="false">
      <c r="A679" s="13" t="n">
        <v>2026</v>
      </c>
      <c r="B679" s="13" t="s">
        <v>1023</v>
      </c>
      <c r="C679" s="13" t="s">
        <v>125</v>
      </c>
      <c r="D679" s="13" t="s">
        <v>1034</v>
      </c>
      <c r="E679" s="13" t="s">
        <v>124</v>
      </c>
      <c r="F679" s="13" t="s">
        <v>357</v>
      </c>
      <c r="G679" s="13" t="n">
        <v>340</v>
      </c>
      <c r="H679" s="13" t="n">
        <v>26</v>
      </c>
      <c r="I679" s="13" t="n">
        <v>314</v>
      </c>
      <c r="J679" s="13" t="n">
        <v>27</v>
      </c>
      <c r="K679" s="13" t="n">
        <v>0</v>
      </c>
      <c r="L679" s="13" t="n">
        <v>122</v>
      </c>
      <c r="M679" s="13" t="n">
        <v>192</v>
      </c>
      <c r="N679" s="13" t="n">
        <v>3</v>
      </c>
      <c r="O679" s="13" t="n">
        <v>21</v>
      </c>
      <c r="P679" s="13" t="n">
        <v>59</v>
      </c>
      <c r="Q679" s="13" t="n">
        <v>92</v>
      </c>
      <c r="R679" s="13" t="n">
        <v>17</v>
      </c>
      <c r="S679" s="13" t="n">
        <v>0</v>
      </c>
      <c r="T679" s="13" t="n">
        <v>0.6115</v>
      </c>
      <c r="U679" s="13" t="n">
        <v>2.13</v>
      </c>
      <c r="V679" s="13" t="n">
        <f aca="false">M679-SUM(N679:S679)</f>
        <v>0</v>
      </c>
    </row>
    <row r="680" customFormat="false" ht="15" hidden="false" customHeight="true" outlineLevel="0" collapsed="false">
      <c r="A680" s="13" t="n">
        <v>2026</v>
      </c>
      <c r="B680" s="13" t="s">
        <v>1023</v>
      </c>
      <c r="C680" s="13" t="s">
        <v>125</v>
      </c>
      <c r="D680" s="13" t="s">
        <v>1034</v>
      </c>
      <c r="E680" s="13" t="s">
        <v>122</v>
      </c>
      <c r="F680" s="13" t="s">
        <v>357</v>
      </c>
      <c r="G680" s="13" t="n">
        <v>114</v>
      </c>
      <c r="H680" s="13" t="n">
        <v>5</v>
      </c>
      <c r="I680" s="13" t="n">
        <v>109</v>
      </c>
      <c r="J680" s="13" t="n">
        <v>4</v>
      </c>
      <c r="K680" s="13" t="n">
        <v>0</v>
      </c>
      <c r="L680" s="13" t="n">
        <v>48</v>
      </c>
      <c r="M680" s="13" t="n">
        <v>61</v>
      </c>
      <c r="N680" s="13" t="n">
        <v>4</v>
      </c>
      <c r="O680" s="13" t="n">
        <v>11</v>
      </c>
      <c r="P680" s="13" t="n">
        <v>17</v>
      </c>
      <c r="Q680" s="13" t="n">
        <v>23</v>
      </c>
      <c r="R680" s="13" t="n">
        <v>6</v>
      </c>
      <c r="S680" s="13" t="n">
        <v>0</v>
      </c>
      <c r="T680" s="13" t="n">
        <v>0.5596</v>
      </c>
      <c r="U680" s="13" t="n">
        <v>2.09</v>
      </c>
      <c r="V680" s="13" t="n">
        <f aca="false">M680-SUM(N680:S680)</f>
        <v>0</v>
      </c>
    </row>
    <row r="681" customFormat="false" ht="15" hidden="false" customHeight="true" outlineLevel="0" collapsed="false">
      <c r="A681" s="13" t="n">
        <v>2026</v>
      </c>
      <c r="B681" s="13" t="s">
        <v>1023</v>
      </c>
      <c r="C681" s="13" t="s">
        <v>125</v>
      </c>
      <c r="D681" s="13" t="s">
        <v>1034</v>
      </c>
      <c r="E681" s="13" t="s">
        <v>192</v>
      </c>
      <c r="F681" s="13" t="s">
        <v>652</v>
      </c>
      <c r="G681" s="13" t="n">
        <v>454</v>
      </c>
      <c r="H681" s="13" t="n">
        <v>31</v>
      </c>
      <c r="I681" s="13" t="n">
        <v>423</v>
      </c>
      <c r="J681" s="13" t="n">
        <v>31</v>
      </c>
      <c r="K681" s="13" t="n">
        <v>0</v>
      </c>
      <c r="L681" s="13" t="n">
        <v>170</v>
      </c>
      <c r="M681" s="13" t="n">
        <v>253</v>
      </c>
      <c r="N681" s="13" t="n">
        <v>7</v>
      </c>
      <c r="O681" s="13" t="n">
        <v>32</v>
      </c>
      <c r="P681" s="13" t="n">
        <v>76</v>
      </c>
      <c r="Q681" s="13" t="n">
        <v>115</v>
      </c>
      <c r="R681" s="13" t="n">
        <v>23</v>
      </c>
      <c r="S681" s="13" t="n">
        <v>0</v>
      </c>
      <c r="T681" s="13" t="n">
        <v>0.5981</v>
      </c>
      <c r="U681" s="13" t="n">
        <v>2.12</v>
      </c>
      <c r="V681" s="13" t="n">
        <f aca="false">M681-SUM(N681:S681)</f>
        <v>0</v>
      </c>
    </row>
    <row r="682" customFormat="false" ht="15" hidden="false" customHeight="true" outlineLevel="0" collapsed="false">
      <c r="A682" s="13" t="n">
        <v>2026</v>
      </c>
      <c r="B682" s="13" t="s">
        <v>1023</v>
      </c>
      <c r="C682" s="13" t="s">
        <v>125</v>
      </c>
      <c r="D682" s="13" t="s">
        <v>1035</v>
      </c>
      <c r="E682" s="13" t="s">
        <v>124</v>
      </c>
      <c r="F682" s="13" t="s">
        <v>357</v>
      </c>
      <c r="G682" s="13" t="n">
        <v>2240</v>
      </c>
      <c r="H682" s="13" t="n">
        <v>137</v>
      </c>
      <c r="I682" s="13" t="n">
        <v>2103</v>
      </c>
      <c r="J682" s="13" t="n">
        <v>170</v>
      </c>
      <c r="K682" s="13" t="n">
        <v>2</v>
      </c>
      <c r="L682" s="13" t="n">
        <v>1297</v>
      </c>
      <c r="M682" s="13" t="n">
        <v>804</v>
      </c>
      <c r="N682" s="13" t="n">
        <v>6</v>
      </c>
      <c r="O682" s="13" t="n">
        <v>20</v>
      </c>
      <c r="P682" s="13" t="n">
        <v>129</v>
      </c>
      <c r="Q682" s="13" t="n">
        <v>434</v>
      </c>
      <c r="R682" s="13" t="n">
        <v>214</v>
      </c>
      <c r="S682" s="13" t="n">
        <v>1</v>
      </c>
      <c r="T682" s="13" t="n">
        <v>0.3823</v>
      </c>
      <c r="U682" s="13" t="n">
        <v>1.13</v>
      </c>
      <c r="V682" s="13" t="n">
        <f aca="false">M682-SUM(N682:S682)</f>
        <v>0</v>
      </c>
    </row>
    <row r="683" customFormat="false" ht="15" hidden="false" customHeight="true" outlineLevel="0" collapsed="false">
      <c r="A683" s="13" t="n">
        <v>2026</v>
      </c>
      <c r="B683" s="13" t="s">
        <v>1023</v>
      </c>
      <c r="C683" s="13" t="s">
        <v>125</v>
      </c>
      <c r="D683" s="13" t="s">
        <v>1035</v>
      </c>
      <c r="E683" s="13" t="s">
        <v>122</v>
      </c>
      <c r="F683" s="13" t="s">
        <v>357</v>
      </c>
      <c r="G683" s="13" t="n">
        <v>817</v>
      </c>
      <c r="H683" s="13" t="n">
        <v>47</v>
      </c>
      <c r="I683" s="13" t="n">
        <v>770</v>
      </c>
      <c r="J683" s="13" t="n">
        <v>60</v>
      </c>
      <c r="K683" s="13" t="n">
        <v>0</v>
      </c>
      <c r="L683" s="13" t="n">
        <v>506</v>
      </c>
      <c r="M683" s="13" t="n">
        <v>264</v>
      </c>
      <c r="N683" s="13" t="n">
        <v>3</v>
      </c>
      <c r="O683" s="13" t="n">
        <v>35</v>
      </c>
      <c r="P683" s="13" t="n">
        <v>79</v>
      </c>
      <c r="Q683" s="13" t="n">
        <v>123</v>
      </c>
      <c r="R683" s="13" t="n">
        <v>24</v>
      </c>
      <c r="S683" s="13" t="n">
        <v>0</v>
      </c>
      <c r="T683" s="13" t="n">
        <v>0.3429</v>
      </c>
      <c r="U683" s="13" t="n">
        <v>1.2</v>
      </c>
      <c r="V683" s="13" t="n">
        <f aca="false">M683-SUM(N683:S683)</f>
        <v>0</v>
      </c>
    </row>
    <row r="684" customFormat="false" ht="15" hidden="false" customHeight="true" outlineLevel="0" collapsed="false">
      <c r="A684" s="13" t="n">
        <v>2026</v>
      </c>
      <c r="B684" s="13" t="s">
        <v>1023</v>
      </c>
      <c r="C684" s="13" t="s">
        <v>125</v>
      </c>
      <c r="D684" s="13" t="s">
        <v>1035</v>
      </c>
      <c r="E684" s="13" t="s">
        <v>192</v>
      </c>
      <c r="F684" s="13" t="s">
        <v>652</v>
      </c>
      <c r="G684" s="13" t="n">
        <v>3057</v>
      </c>
      <c r="H684" s="13" t="n">
        <v>184</v>
      </c>
      <c r="I684" s="13" t="n">
        <v>2873</v>
      </c>
      <c r="J684" s="13" t="n">
        <v>230</v>
      </c>
      <c r="K684" s="13" t="n">
        <v>2</v>
      </c>
      <c r="L684" s="13" t="n">
        <v>1803</v>
      </c>
      <c r="M684" s="13" t="n">
        <v>1068</v>
      </c>
      <c r="N684" s="13" t="n">
        <v>9</v>
      </c>
      <c r="O684" s="13" t="n">
        <v>55</v>
      </c>
      <c r="P684" s="13" t="n">
        <v>208</v>
      </c>
      <c r="Q684" s="13" t="n">
        <v>557</v>
      </c>
      <c r="R684" s="13" t="n">
        <v>238</v>
      </c>
      <c r="S684" s="13" t="n">
        <v>1</v>
      </c>
      <c r="T684" s="13" t="n">
        <v>0.3717</v>
      </c>
      <c r="U684" s="13" t="n">
        <v>1.15</v>
      </c>
      <c r="V684" s="13" t="n">
        <f aca="false">M684-SUM(N684:S684)</f>
        <v>0</v>
      </c>
    </row>
    <row r="685" customFormat="false" ht="15" hidden="false" customHeight="true" outlineLevel="0" collapsed="false">
      <c r="A685" s="13" t="n">
        <v>2026</v>
      </c>
      <c r="B685" s="13" t="s">
        <v>1023</v>
      </c>
      <c r="C685" s="13" t="s">
        <v>125</v>
      </c>
      <c r="D685" s="13" t="s">
        <v>203</v>
      </c>
      <c r="E685" s="13" t="s">
        <v>124</v>
      </c>
      <c r="F685" s="13" t="s">
        <v>357</v>
      </c>
      <c r="G685" s="13" t="n">
        <v>194</v>
      </c>
      <c r="H685" s="13" t="n">
        <v>20</v>
      </c>
      <c r="I685" s="13" t="n">
        <v>174</v>
      </c>
      <c r="J685" s="13" t="n">
        <v>8</v>
      </c>
      <c r="K685" s="13" t="n">
        <v>0</v>
      </c>
      <c r="L685" s="13" t="n">
        <v>83</v>
      </c>
      <c r="M685" s="13" t="n">
        <v>91</v>
      </c>
      <c r="N685" s="13" t="n">
        <v>0</v>
      </c>
      <c r="O685" s="13" t="n">
        <v>1</v>
      </c>
      <c r="P685" s="13" t="n">
        <v>10</v>
      </c>
      <c r="Q685" s="13" t="n">
        <v>20</v>
      </c>
      <c r="R685" s="13" t="n">
        <v>48</v>
      </c>
      <c r="S685" s="13" t="n">
        <v>12</v>
      </c>
      <c r="T685" s="13" t="n">
        <v>0.523</v>
      </c>
      <c r="U685" s="13" t="n">
        <v>1.22</v>
      </c>
      <c r="V685" s="13" t="n">
        <f aca="false">M685-SUM(N685:S685)</f>
        <v>0</v>
      </c>
    </row>
    <row r="686" customFormat="false" ht="15" hidden="false" customHeight="true" outlineLevel="0" collapsed="false">
      <c r="A686" s="13" t="n">
        <v>2026</v>
      </c>
      <c r="B686" s="13" t="s">
        <v>1023</v>
      </c>
      <c r="C686" s="13" t="s">
        <v>125</v>
      </c>
      <c r="D686" s="13" t="s">
        <v>203</v>
      </c>
      <c r="E686" s="13" t="s">
        <v>122</v>
      </c>
      <c r="F686" s="13" t="s">
        <v>357</v>
      </c>
      <c r="G686" s="13" t="n">
        <v>89</v>
      </c>
      <c r="H686" s="13" t="n">
        <v>7</v>
      </c>
      <c r="I686" s="13" t="n">
        <v>82</v>
      </c>
      <c r="J686" s="13" t="n">
        <v>3</v>
      </c>
      <c r="K686" s="13" t="n">
        <v>1</v>
      </c>
      <c r="L686" s="13" t="n">
        <v>39</v>
      </c>
      <c r="M686" s="13" t="n">
        <v>42</v>
      </c>
      <c r="N686" s="13" t="n">
        <v>0</v>
      </c>
      <c r="O686" s="13" t="n">
        <v>3</v>
      </c>
      <c r="P686" s="13" t="n">
        <v>3</v>
      </c>
      <c r="Q686" s="13" t="n">
        <v>11</v>
      </c>
      <c r="R686" s="13" t="n">
        <v>24</v>
      </c>
      <c r="S686" s="13" t="n">
        <v>1</v>
      </c>
      <c r="T686" s="13" t="n">
        <v>0.5122</v>
      </c>
      <c r="U686" s="13" t="n">
        <v>1.33</v>
      </c>
      <c r="V686" s="13" t="n">
        <f aca="false">M686-SUM(N686:S686)</f>
        <v>0</v>
      </c>
    </row>
    <row r="687" customFormat="false" ht="15" hidden="false" customHeight="true" outlineLevel="0" collapsed="false">
      <c r="A687" s="13" t="n">
        <v>2026</v>
      </c>
      <c r="B687" s="13" t="s">
        <v>1023</v>
      </c>
      <c r="C687" s="13" t="s">
        <v>125</v>
      </c>
      <c r="D687" s="13" t="s">
        <v>203</v>
      </c>
      <c r="E687" s="13" t="s">
        <v>192</v>
      </c>
      <c r="F687" s="13" t="s">
        <v>652</v>
      </c>
      <c r="G687" s="13" t="n">
        <v>283</v>
      </c>
      <c r="H687" s="13" t="n">
        <v>27</v>
      </c>
      <c r="I687" s="13" t="n">
        <v>256</v>
      </c>
      <c r="J687" s="13" t="n">
        <v>11</v>
      </c>
      <c r="K687" s="13" t="n">
        <v>1</v>
      </c>
      <c r="L687" s="13" t="n">
        <v>122</v>
      </c>
      <c r="M687" s="13" t="n">
        <v>133</v>
      </c>
      <c r="N687" s="13" t="n">
        <v>0</v>
      </c>
      <c r="O687" s="13" t="n">
        <v>4</v>
      </c>
      <c r="P687" s="13" t="n">
        <v>13</v>
      </c>
      <c r="Q687" s="13" t="n">
        <v>31</v>
      </c>
      <c r="R687" s="13" t="n">
        <v>72</v>
      </c>
      <c r="S687" s="13" t="n">
        <v>13</v>
      </c>
      <c r="T687" s="13" t="n">
        <v>0.5195</v>
      </c>
      <c r="U687" s="13" t="n">
        <v>1.26</v>
      </c>
      <c r="V687" s="13" t="n">
        <f aca="false">M687-SUM(N687:S687)</f>
        <v>0</v>
      </c>
    </row>
    <row r="688" customFormat="false" ht="15" hidden="false" customHeight="true" outlineLevel="0" collapsed="false">
      <c r="A688" s="13" t="n">
        <v>2026</v>
      </c>
      <c r="B688" s="13" t="s">
        <v>1023</v>
      </c>
      <c r="C688" s="13" t="s">
        <v>125</v>
      </c>
      <c r="D688" s="13" t="s">
        <v>1037</v>
      </c>
      <c r="E688" s="13" t="s">
        <v>192</v>
      </c>
      <c r="F688" s="13" t="s">
        <v>1038</v>
      </c>
      <c r="G688" s="13" t="n">
        <v>6929</v>
      </c>
      <c r="H688" s="13" t="n">
        <v>515</v>
      </c>
      <c r="I688" s="13" t="n">
        <v>6414</v>
      </c>
      <c r="J688" s="13" t="n">
        <v>500</v>
      </c>
      <c r="K688" s="13" t="n">
        <v>8</v>
      </c>
      <c r="L688" s="13" t="n">
        <v>2721</v>
      </c>
      <c r="M688" s="13" t="n">
        <v>3685</v>
      </c>
      <c r="N688" s="13" t="n">
        <v>976</v>
      </c>
      <c r="O688" s="13" t="n">
        <v>297</v>
      </c>
      <c r="P688" s="13" t="n">
        <v>573</v>
      </c>
      <c r="Q688" s="13" t="n">
        <v>1075</v>
      </c>
      <c r="R688" s="13" t="n">
        <v>587</v>
      </c>
      <c r="S688" s="13" t="n">
        <v>33</v>
      </c>
      <c r="T688" s="13" t="n">
        <v>0.5745</v>
      </c>
      <c r="U688" s="13" t="n">
        <v>2.19</v>
      </c>
      <c r="V688" s="13" t="n">
        <f aca="false">M688-SUM(N688:S688)</f>
        <v>144</v>
      </c>
    </row>
    <row r="689" customFormat="false" ht="15" hidden="false" customHeight="true" outlineLevel="0" collapsed="false">
      <c r="A689" s="13" t="n">
        <v>2026</v>
      </c>
      <c r="B689" s="13" t="s">
        <v>1023</v>
      </c>
      <c r="C689" s="13" t="s">
        <v>125</v>
      </c>
      <c r="D689" s="13" t="s">
        <v>1037</v>
      </c>
      <c r="E689" s="13" t="s">
        <v>192</v>
      </c>
      <c r="F689" s="13" t="s">
        <v>137</v>
      </c>
      <c r="G689" s="13" t="n">
        <v>47072</v>
      </c>
      <c r="H689" s="13" t="n">
        <v>761</v>
      </c>
      <c r="I689" s="13" t="n">
        <v>46311</v>
      </c>
      <c r="J689" s="13" t="n">
        <v>512</v>
      </c>
      <c r="K689" s="13" t="n">
        <v>336</v>
      </c>
      <c r="L689" s="13" t="n">
        <v>5679</v>
      </c>
      <c r="M689" s="13" t="n">
        <v>40296</v>
      </c>
      <c r="N689" s="13" t="n">
        <v>12457</v>
      </c>
      <c r="O689" s="13" t="n">
        <v>9456</v>
      </c>
      <c r="P689" s="13" t="n">
        <v>9851</v>
      </c>
      <c r="Q689" s="13" t="n">
        <v>6526</v>
      </c>
      <c r="R689" s="13" t="n">
        <v>1814</v>
      </c>
      <c r="S689" s="13" t="n">
        <v>48</v>
      </c>
      <c r="T689" s="13" t="n">
        <v>0.8798</v>
      </c>
      <c r="U689" s="13" t="n">
        <v>4.03</v>
      </c>
      <c r="V689" s="13" t="n">
        <f aca="false">M689-SUM(N689:S689)</f>
        <v>144</v>
      </c>
    </row>
    <row r="690" customFormat="false" ht="15" hidden="false" customHeight="true" outlineLevel="0" collapsed="false">
      <c r="A690" s="13" t="n">
        <v>2026</v>
      </c>
      <c r="B690" s="13" t="s">
        <v>1024</v>
      </c>
      <c r="C690" s="13" t="s">
        <v>121</v>
      </c>
      <c r="D690" s="13" t="s">
        <v>128</v>
      </c>
      <c r="E690" s="13" t="s">
        <v>124</v>
      </c>
      <c r="F690" s="13" t="s">
        <v>357</v>
      </c>
      <c r="G690" s="13" t="n">
        <v>12</v>
      </c>
      <c r="H690" s="13" t="n">
        <v>0</v>
      </c>
      <c r="I690" s="13" t="n">
        <v>12</v>
      </c>
      <c r="J690" s="13" t="n">
        <v>0</v>
      </c>
      <c r="K690" s="13" t="n">
        <v>0</v>
      </c>
      <c r="L690" s="13" t="n">
        <v>1</v>
      </c>
      <c r="M690" s="13" t="n">
        <v>11</v>
      </c>
      <c r="N690" s="13" t="n">
        <v>4</v>
      </c>
      <c r="O690" s="13" t="n">
        <v>1</v>
      </c>
      <c r="P690" s="13" t="n">
        <v>5</v>
      </c>
      <c r="Q690" s="13" t="n">
        <v>1</v>
      </c>
      <c r="R690" s="13" t="n">
        <v>0</v>
      </c>
      <c r="S690" s="13" t="n">
        <v>0</v>
      </c>
      <c r="T690" s="13" t="n">
        <v>0.9167</v>
      </c>
      <c r="U690" s="13" t="n">
        <v>4.33</v>
      </c>
      <c r="V690" s="13" t="n">
        <f aca="false">M690-SUM(N690:S690)</f>
        <v>0</v>
      </c>
    </row>
    <row r="691" customFormat="false" ht="15" hidden="false" customHeight="true" outlineLevel="0" collapsed="false">
      <c r="A691" s="13" t="n">
        <v>2026</v>
      </c>
      <c r="B691" s="13" t="s">
        <v>1024</v>
      </c>
      <c r="C691" s="13" t="s">
        <v>121</v>
      </c>
      <c r="D691" s="13" t="s">
        <v>128</v>
      </c>
      <c r="E691" s="13" t="s">
        <v>122</v>
      </c>
      <c r="F691" s="13" t="s">
        <v>357</v>
      </c>
      <c r="G691" s="13" t="n">
        <v>60</v>
      </c>
      <c r="H691" s="13" t="n">
        <v>0</v>
      </c>
      <c r="I691" s="13" t="n">
        <v>60</v>
      </c>
      <c r="J691" s="13" t="n">
        <v>0</v>
      </c>
      <c r="K691" s="13" t="n">
        <v>0</v>
      </c>
      <c r="L691" s="13" t="n">
        <v>0</v>
      </c>
      <c r="M691" s="13" t="n">
        <v>60</v>
      </c>
      <c r="N691" s="13" t="n">
        <v>8</v>
      </c>
      <c r="O691" s="13" t="n">
        <v>28</v>
      </c>
      <c r="P691" s="13" t="n">
        <v>15</v>
      </c>
      <c r="Q691" s="13" t="n">
        <v>6</v>
      </c>
      <c r="R691" s="13" t="n">
        <v>3</v>
      </c>
      <c r="S691" s="13" t="n">
        <v>0</v>
      </c>
      <c r="T691" s="13" t="n">
        <v>1</v>
      </c>
      <c r="U691" s="13" t="n">
        <v>4.53</v>
      </c>
      <c r="V691" s="13" t="n">
        <f aca="false">M691-SUM(N691:S691)</f>
        <v>0</v>
      </c>
    </row>
    <row r="692" customFormat="false" ht="15" hidden="false" customHeight="true" outlineLevel="0" collapsed="false">
      <c r="A692" s="13" t="n">
        <v>2026</v>
      </c>
      <c r="B692" s="13" t="s">
        <v>1024</v>
      </c>
      <c r="C692" s="13" t="s">
        <v>121</v>
      </c>
      <c r="D692" s="13" t="s">
        <v>128</v>
      </c>
      <c r="E692" s="13" t="s">
        <v>192</v>
      </c>
      <c r="F692" s="13" t="s">
        <v>652</v>
      </c>
      <c r="G692" s="13" t="n">
        <v>72</v>
      </c>
      <c r="H692" s="13" t="n">
        <v>0</v>
      </c>
      <c r="I692" s="13" t="n">
        <v>72</v>
      </c>
      <c r="J692" s="13" t="n">
        <v>0</v>
      </c>
      <c r="K692" s="13" t="n">
        <v>0</v>
      </c>
      <c r="L692" s="13" t="n">
        <v>1</v>
      </c>
      <c r="M692" s="13" t="n">
        <v>71</v>
      </c>
      <c r="N692" s="13" t="n">
        <v>12</v>
      </c>
      <c r="O692" s="13" t="n">
        <v>29</v>
      </c>
      <c r="P692" s="13" t="n">
        <v>20</v>
      </c>
      <c r="Q692" s="13" t="n">
        <v>7</v>
      </c>
      <c r="R692" s="13" t="n">
        <v>3</v>
      </c>
      <c r="S692" s="13" t="n">
        <v>0</v>
      </c>
      <c r="T692" s="13" t="n">
        <v>0.9861</v>
      </c>
      <c r="U692" s="13" t="n">
        <v>4.5</v>
      </c>
      <c r="V692" s="13" t="n">
        <f aca="false">M692-SUM(N692:S692)</f>
        <v>0</v>
      </c>
    </row>
    <row r="693" customFormat="false" ht="15" hidden="false" customHeight="true" outlineLevel="0" collapsed="false">
      <c r="A693" s="13" t="n">
        <v>2026</v>
      </c>
      <c r="B693" s="13" t="s">
        <v>1024</v>
      </c>
      <c r="C693" s="13" t="s">
        <v>121</v>
      </c>
      <c r="D693" s="13" t="s">
        <v>1033</v>
      </c>
      <c r="E693" s="13" t="s">
        <v>124</v>
      </c>
      <c r="F693" s="13" t="s">
        <v>357</v>
      </c>
      <c r="G693" s="13" t="n">
        <v>243</v>
      </c>
      <c r="H693" s="13" t="n">
        <v>0</v>
      </c>
      <c r="I693" s="13" t="n">
        <v>243</v>
      </c>
      <c r="J693" s="13" t="n">
        <v>0</v>
      </c>
      <c r="K693" s="13" t="n">
        <v>0</v>
      </c>
      <c r="L693" s="13" t="n">
        <v>3</v>
      </c>
      <c r="M693" s="13" t="n">
        <v>240</v>
      </c>
      <c r="N693" s="13" t="n">
        <v>126</v>
      </c>
      <c r="O693" s="13" t="n">
        <v>69</v>
      </c>
      <c r="P693" s="13" t="n">
        <v>40</v>
      </c>
      <c r="Q693" s="13" t="n">
        <v>5</v>
      </c>
      <c r="R693" s="13" t="n">
        <v>0</v>
      </c>
      <c r="S693" s="13" t="n">
        <v>0</v>
      </c>
      <c r="T693" s="13" t="n">
        <v>0.9877</v>
      </c>
      <c r="U693" s="13" t="n">
        <v>5.25</v>
      </c>
      <c r="V693" s="13" t="n">
        <f aca="false">M693-SUM(N693:S693)</f>
        <v>0</v>
      </c>
    </row>
    <row r="694" customFormat="false" ht="15" hidden="false" customHeight="true" outlineLevel="0" collapsed="false">
      <c r="A694" s="13" t="n">
        <v>2026</v>
      </c>
      <c r="B694" s="13" t="s">
        <v>1024</v>
      </c>
      <c r="C694" s="13" t="s">
        <v>121</v>
      </c>
      <c r="D694" s="13" t="s">
        <v>1033</v>
      </c>
      <c r="E694" s="13" t="s">
        <v>122</v>
      </c>
      <c r="F694" s="13" t="s">
        <v>357</v>
      </c>
      <c r="G694" s="13" t="n">
        <v>726</v>
      </c>
      <c r="H694" s="13" t="n">
        <v>0</v>
      </c>
      <c r="I694" s="13" t="n">
        <v>726</v>
      </c>
      <c r="J694" s="13" t="n">
        <v>0</v>
      </c>
      <c r="K694" s="13" t="n">
        <v>0</v>
      </c>
      <c r="L694" s="13" t="n">
        <v>1</v>
      </c>
      <c r="M694" s="13" t="n">
        <v>725</v>
      </c>
      <c r="N694" s="13" t="n">
        <v>466</v>
      </c>
      <c r="O694" s="13" t="n">
        <v>187</v>
      </c>
      <c r="P694" s="13" t="n">
        <v>66</v>
      </c>
      <c r="Q694" s="13" t="n">
        <v>6</v>
      </c>
      <c r="R694" s="13" t="n">
        <v>0</v>
      </c>
      <c r="S694" s="13" t="n">
        <v>0</v>
      </c>
      <c r="T694" s="13" t="n">
        <v>0.9986</v>
      </c>
      <c r="U694" s="13" t="n">
        <v>5.53</v>
      </c>
      <c r="V694" s="13" t="n">
        <f aca="false">M694-SUM(N694:S694)</f>
        <v>0</v>
      </c>
    </row>
    <row r="695" customFormat="false" ht="15" hidden="false" customHeight="true" outlineLevel="0" collapsed="false">
      <c r="A695" s="13" t="n">
        <v>2026</v>
      </c>
      <c r="B695" s="13" t="s">
        <v>1024</v>
      </c>
      <c r="C695" s="13" t="s">
        <v>121</v>
      </c>
      <c r="D695" s="13" t="s">
        <v>1033</v>
      </c>
      <c r="E695" s="13" t="s">
        <v>192</v>
      </c>
      <c r="F695" s="13" t="s">
        <v>652</v>
      </c>
      <c r="G695" s="13" t="n">
        <v>969</v>
      </c>
      <c r="H695" s="13" t="n">
        <v>0</v>
      </c>
      <c r="I695" s="13" t="n">
        <v>969</v>
      </c>
      <c r="J695" s="13" t="n">
        <v>0</v>
      </c>
      <c r="K695" s="13" t="n">
        <v>0</v>
      </c>
      <c r="L695" s="13" t="n">
        <v>4</v>
      </c>
      <c r="M695" s="13" t="n">
        <v>965</v>
      </c>
      <c r="N695" s="13" t="n">
        <v>592</v>
      </c>
      <c r="O695" s="13" t="n">
        <v>256</v>
      </c>
      <c r="P695" s="13" t="n">
        <v>106</v>
      </c>
      <c r="Q695" s="13" t="n">
        <v>11</v>
      </c>
      <c r="R695" s="13" t="n">
        <v>0</v>
      </c>
      <c r="S695" s="13" t="n">
        <v>0</v>
      </c>
      <c r="T695" s="13" t="n">
        <v>0.9959</v>
      </c>
      <c r="U695" s="13" t="n">
        <v>5.46</v>
      </c>
      <c r="V695" s="13" t="n">
        <f aca="false">M695-SUM(N695:S695)</f>
        <v>0</v>
      </c>
    </row>
    <row r="696" customFormat="false" ht="15" hidden="false" customHeight="true" outlineLevel="0" collapsed="false">
      <c r="A696" s="13" t="n">
        <v>2026</v>
      </c>
      <c r="B696" s="13" t="s">
        <v>1024</v>
      </c>
      <c r="C696" s="13" t="s">
        <v>121</v>
      </c>
      <c r="D696" s="13" t="s">
        <v>1034</v>
      </c>
      <c r="E696" s="13" t="s">
        <v>124</v>
      </c>
      <c r="F696" s="13" t="s">
        <v>357</v>
      </c>
      <c r="G696" s="13" t="n">
        <v>435</v>
      </c>
      <c r="H696" s="13" t="n">
        <v>1</v>
      </c>
      <c r="I696" s="13" t="n">
        <v>434</v>
      </c>
      <c r="J696" s="13" t="n">
        <v>0</v>
      </c>
      <c r="K696" s="13" t="n">
        <v>0</v>
      </c>
      <c r="L696" s="13" t="n">
        <v>17</v>
      </c>
      <c r="M696" s="13" t="n">
        <v>417</v>
      </c>
      <c r="N696" s="13" t="n">
        <v>105</v>
      </c>
      <c r="O696" s="13" t="n">
        <v>181</v>
      </c>
      <c r="P696" s="13" t="n">
        <v>111</v>
      </c>
      <c r="Q696" s="13" t="n">
        <v>18</v>
      </c>
      <c r="R696" s="13" t="n">
        <v>2</v>
      </c>
      <c r="S696" s="13" t="n">
        <v>0</v>
      </c>
      <c r="T696" s="13" t="n">
        <v>0.9608</v>
      </c>
      <c r="U696" s="13" t="n">
        <v>4.69</v>
      </c>
      <c r="V696" s="13" t="n">
        <f aca="false">M696-SUM(N696:S696)</f>
        <v>0</v>
      </c>
    </row>
    <row r="697" customFormat="false" ht="15" hidden="false" customHeight="true" outlineLevel="0" collapsed="false">
      <c r="A697" s="13" t="n">
        <v>2026</v>
      </c>
      <c r="B697" s="13" t="s">
        <v>1024</v>
      </c>
      <c r="C697" s="13" t="s">
        <v>121</v>
      </c>
      <c r="D697" s="13" t="s">
        <v>1034</v>
      </c>
      <c r="E697" s="13" t="s">
        <v>122</v>
      </c>
      <c r="F697" s="13" t="s">
        <v>357</v>
      </c>
      <c r="G697" s="13" t="n">
        <v>295</v>
      </c>
      <c r="H697" s="13" t="n">
        <v>1</v>
      </c>
      <c r="I697" s="13" t="n">
        <v>294</v>
      </c>
      <c r="J697" s="13" t="n">
        <v>0</v>
      </c>
      <c r="K697" s="13" t="n">
        <v>0</v>
      </c>
      <c r="L697" s="13" t="n">
        <v>7</v>
      </c>
      <c r="M697" s="13" t="n">
        <v>287</v>
      </c>
      <c r="N697" s="13" t="n">
        <v>98</v>
      </c>
      <c r="O697" s="13" t="n">
        <v>110</v>
      </c>
      <c r="P697" s="13" t="n">
        <v>70</v>
      </c>
      <c r="Q697" s="13" t="n">
        <v>9</v>
      </c>
      <c r="R697" s="13" t="n">
        <v>0</v>
      </c>
      <c r="S697" s="13" t="n">
        <v>0</v>
      </c>
      <c r="T697" s="13" t="n">
        <v>0.9762</v>
      </c>
      <c r="U697" s="13" t="n">
        <v>4.91</v>
      </c>
      <c r="V697" s="13" t="n">
        <f aca="false">M697-SUM(N697:S697)</f>
        <v>0</v>
      </c>
    </row>
    <row r="698" customFormat="false" ht="15" hidden="false" customHeight="true" outlineLevel="0" collapsed="false">
      <c r="A698" s="13" t="n">
        <v>2026</v>
      </c>
      <c r="B698" s="13" t="s">
        <v>1024</v>
      </c>
      <c r="C698" s="13" t="s">
        <v>121</v>
      </c>
      <c r="D698" s="13" t="s">
        <v>1034</v>
      </c>
      <c r="E698" s="13" t="s">
        <v>192</v>
      </c>
      <c r="F698" s="13" t="s">
        <v>652</v>
      </c>
      <c r="G698" s="13" t="n">
        <v>730</v>
      </c>
      <c r="H698" s="13" t="n">
        <v>2</v>
      </c>
      <c r="I698" s="13" t="n">
        <v>728</v>
      </c>
      <c r="J698" s="13" t="n">
        <v>0</v>
      </c>
      <c r="K698" s="13" t="n">
        <v>0</v>
      </c>
      <c r="L698" s="13" t="n">
        <v>24</v>
      </c>
      <c r="M698" s="13" t="n">
        <v>704</v>
      </c>
      <c r="N698" s="13" t="n">
        <v>203</v>
      </c>
      <c r="O698" s="13" t="n">
        <v>291</v>
      </c>
      <c r="P698" s="13" t="n">
        <v>181</v>
      </c>
      <c r="Q698" s="13" t="n">
        <v>27</v>
      </c>
      <c r="R698" s="13" t="n">
        <v>2</v>
      </c>
      <c r="S698" s="13" t="n">
        <v>0</v>
      </c>
      <c r="T698" s="13" t="n">
        <v>0.967</v>
      </c>
      <c r="U698" s="13" t="n">
        <v>4.78</v>
      </c>
      <c r="V698" s="13" t="n">
        <f aca="false">M698-SUM(N698:S698)</f>
        <v>0</v>
      </c>
    </row>
    <row r="699" customFormat="false" ht="15" hidden="false" customHeight="true" outlineLevel="0" collapsed="false">
      <c r="A699" s="13" t="n">
        <v>2026</v>
      </c>
      <c r="B699" s="13" t="s">
        <v>1024</v>
      </c>
      <c r="C699" s="13" t="s">
        <v>121</v>
      </c>
      <c r="D699" s="13" t="s">
        <v>1035</v>
      </c>
      <c r="E699" s="13" t="s">
        <v>124</v>
      </c>
      <c r="F699" s="13" t="s">
        <v>357</v>
      </c>
      <c r="G699" s="13" t="n">
        <v>622</v>
      </c>
      <c r="H699" s="13" t="n">
        <v>1</v>
      </c>
      <c r="I699" s="13" t="n">
        <v>621</v>
      </c>
      <c r="J699" s="13" t="n">
        <v>0</v>
      </c>
      <c r="K699" s="13" t="n">
        <v>0</v>
      </c>
      <c r="L699" s="13" t="n">
        <v>28</v>
      </c>
      <c r="M699" s="13" t="n">
        <v>593</v>
      </c>
      <c r="N699" s="13" t="n">
        <v>134</v>
      </c>
      <c r="O699" s="13" t="n">
        <v>244</v>
      </c>
      <c r="P699" s="13" t="n">
        <v>171</v>
      </c>
      <c r="Q699" s="13" t="n">
        <v>42</v>
      </c>
      <c r="R699" s="13" t="n">
        <v>2</v>
      </c>
      <c r="S699" s="13" t="n">
        <v>0</v>
      </c>
      <c r="T699" s="13" t="n">
        <v>0.9549</v>
      </c>
      <c r="U699" s="13" t="n">
        <v>4.57</v>
      </c>
      <c r="V699" s="13" t="n">
        <f aca="false">M699-SUM(N699:S699)</f>
        <v>0</v>
      </c>
    </row>
    <row r="700" customFormat="false" ht="15" hidden="false" customHeight="true" outlineLevel="0" collapsed="false">
      <c r="A700" s="13" t="n">
        <v>2026</v>
      </c>
      <c r="B700" s="13" t="s">
        <v>1024</v>
      </c>
      <c r="C700" s="13" t="s">
        <v>121</v>
      </c>
      <c r="D700" s="13" t="s">
        <v>1035</v>
      </c>
      <c r="E700" s="13" t="s">
        <v>122</v>
      </c>
      <c r="F700" s="13" t="s">
        <v>357</v>
      </c>
      <c r="G700" s="13" t="n">
        <v>355</v>
      </c>
      <c r="H700" s="13" t="n">
        <v>0</v>
      </c>
      <c r="I700" s="13" t="n">
        <v>355</v>
      </c>
      <c r="J700" s="13" t="n">
        <v>0</v>
      </c>
      <c r="K700" s="13" t="n">
        <v>0</v>
      </c>
      <c r="L700" s="13" t="n">
        <v>11</v>
      </c>
      <c r="M700" s="13" t="n">
        <v>344</v>
      </c>
      <c r="N700" s="13" t="n">
        <v>102</v>
      </c>
      <c r="O700" s="13" t="n">
        <v>133</v>
      </c>
      <c r="P700" s="13" t="n">
        <v>93</v>
      </c>
      <c r="Q700" s="13" t="n">
        <v>16</v>
      </c>
      <c r="R700" s="13" t="n">
        <v>0</v>
      </c>
      <c r="S700" s="13" t="n">
        <v>0</v>
      </c>
      <c r="T700" s="13" t="n">
        <v>0.969</v>
      </c>
      <c r="U700" s="13" t="n">
        <v>4.78</v>
      </c>
      <c r="V700" s="13" t="n">
        <f aca="false">M700-SUM(N700:S700)</f>
        <v>0</v>
      </c>
    </row>
    <row r="701" customFormat="false" ht="15" hidden="false" customHeight="true" outlineLevel="0" collapsed="false">
      <c r="A701" s="13" t="n">
        <v>2026</v>
      </c>
      <c r="B701" s="13" t="s">
        <v>1024</v>
      </c>
      <c r="C701" s="13" t="s">
        <v>121</v>
      </c>
      <c r="D701" s="13" t="s">
        <v>1035</v>
      </c>
      <c r="E701" s="13" t="s">
        <v>192</v>
      </c>
      <c r="F701" s="13" t="s">
        <v>652</v>
      </c>
      <c r="G701" s="13" t="n">
        <v>977</v>
      </c>
      <c r="H701" s="13" t="n">
        <v>1</v>
      </c>
      <c r="I701" s="13" t="n">
        <v>976</v>
      </c>
      <c r="J701" s="13" t="n">
        <v>0</v>
      </c>
      <c r="K701" s="13" t="n">
        <v>0</v>
      </c>
      <c r="L701" s="13" t="n">
        <v>39</v>
      </c>
      <c r="M701" s="13" t="n">
        <v>937</v>
      </c>
      <c r="N701" s="13" t="n">
        <v>236</v>
      </c>
      <c r="O701" s="13" t="n">
        <v>377</v>
      </c>
      <c r="P701" s="13" t="n">
        <v>264</v>
      </c>
      <c r="Q701" s="13" t="n">
        <v>58</v>
      </c>
      <c r="R701" s="13" t="n">
        <v>2</v>
      </c>
      <c r="S701" s="13" t="n">
        <v>0</v>
      </c>
      <c r="T701" s="13" t="n">
        <v>0.96</v>
      </c>
      <c r="U701" s="13" t="n">
        <v>4.65</v>
      </c>
      <c r="V701" s="13" t="n">
        <f aca="false">M701-SUM(N701:S701)</f>
        <v>0</v>
      </c>
    </row>
    <row r="702" customFormat="false" ht="15" hidden="false" customHeight="true" outlineLevel="0" collapsed="false">
      <c r="A702" s="13" t="n">
        <v>2026</v>
      </c>
      <c r="B702" s="13" t="s">
        <v>1024</v>
      </c>
      <c r="C702" s="13" t="s">
        <v>121</v>
      </c>
      <c r="D702" s="13" t="s">
        <v>203</v>
      </c>
      <c r="E702" s="13" t="s">
        <v>124</v>
      </c>
      <c r="F702" s="13" t="s">
        <v>357</v>
      </c>
      <c r="G702" s="13" t="n">
        <v>25</v>
      </c>
      <c r="H702" s="13" t="n">
        <v>0</v>
      </c>
      <c r="I702" s="13" t="n">
        <v>25</v>
      </c>
      <c r="J702" s="13" t="n">
        <v>0</v>
      </c>
      <c r="K702" s="13" t="n">
        <v>0</v>
      </c>
      <c r="L702" s="13" t="n">
        <v>1</v>
      </c>
      <c r="M702" s="13" t="n">
        <v>24</v>
      </c>
      <c r="N702" s="13" t="n">
        <v>1</v>
      </c>
      <c r="O702" s="13" t="n">
        <v>9</v>
      </c>
      <c r="P702" s="13" t="n">
        <v>9</v>
      </c>
      <c r="Q702" s="13" t="n">
        <v>3</v>
      </c>
      <c r="R702" s="13" t="n">
        <v>2</v>
      </c>
      <c r="S702" s="13" t="n">
        <v>0</v>
      </c>
      <c r="T702" s="13" t="n">
        <v>0.96</v>
      </c>
      <c r="U702" s="13" t="n">
        <v>4</v>
      </c>
      <c r="V702" s="13" t="n">
        <f aca="false">M702-SUM(N702:S702)</f>
        <v>0</v>
      </c>
    </row>
    <row r="703" customFormat="false" ht="15" hidden="false" customHeight="true" outlineLevel="0" collapsed="false">
      <c r="A703" s="13" t="n">
        <v>2026</v>
      </c>
      <c r="B703" s="13" t="s">
        <v>1024</v>
      </c>
      <c r="C703" s="13" t="s">
        <v>121</v>
      </c>
      <c r="D703" s="13" t="s">
        <v>203</v>
      </c>
      <c r="E703" s="13" t="s">
        <v>122</v>
      </c>
      <c r="F703" s="13" t="s">
        <v>357</v>
      </c>
      <c r="G703" s="13" t="n">
        <v>10</v>
      </c>
      <c r="H703" s="13" t="n">
        <v>0</v>
      </c>
      <c r="I703" s="13" t="n">
        <v>10</v>
      </c>
      <c r="J703" s="13" t="n">
        <v>0</v>
      </c>
      <c r="K703" s="13" t="n">
        <v>0</v>
      </c>
      <c r="L703" s="13" t="n">
        <v>0</v>
      </c>
      <c r="M703" s="13" t="n">
        <v>10</v>
      </c>
      <c r="N703" s="13" t="n">
        <v>1</v>
      </c>
      <c r="O703" s="13" t="n">
        <v>1</v>
      </c>
      <c r="P703" s="13" t="n">
        <v>4</v>
      </c>
      <c r="Q703" s="13" t="n">
        <v>4</v>
      </c>
      <c r="R703" s="13" t="n">
        <v>0</v>
      </c>
      <c r="S703" s="13" t="n">
        <v>0</v>
      </c>
      <c r="T703" s="13" t="n">
        <v>1</v>
      </c>
      <c r="U703" s="13" t="n">
        <v>3.9</v>
      </c>
      <c r="V703" s="13" t="n">
        <f aca="false">M703-SUM(N703:S703)</f>
        <v>0</v>
      </c>
    </row>
    <row r="704" customFormat="false" ht="15" hidden="false" customHeight="true" outlineLevel="0" collapsed="false">
      <c r="A704" s="13" t="n">
        <v>2026</v>
      </c>
      <c r="B704" s="13" t="s">
        <v>1024</v>
      </c>
      <c r="C704" s="13" t="s">
        <v>121</v>
      </c>
      <c r="D704" s="13" t="s">
        <v>203</v>
      </c>
      <c r="E704" s="13" t="s">
        <v>192</v>
      </c>
      <c r="F704" s="13" t="s">
        <v>652</v>
      </c>
      <c r="G704" s="13" t="n">
        <v>35</v>
      </c>
      <c r="H704" s="13" t="n">
        <v>0</v>
      </c>
      <c r="I704" s="13" t="n">
        <v>35</v>
      </c>
      <c r="J704" s="13" t="n">
        <v>0</v>
      </c>
      <c r="K704" s="13" t="n">
        <v>0</v>
      </c>
      <c r="L704" s="13" t="n">
        <v>1</v>
      </c>
      <c r="M704" s="13" t="n">
        <v>34</v>
      </c>
      <c r="N704" s="13" t="n">
        <v>2</v>
      </c>
      <c r="O704" s="13" t="n">
        <v>10</v>
      </c>
      <c r="P704" s="13" t="n">
        <v>13</v>
      </c>
      <c r="Q704" s="13" t="n">
        <v>7</v>
      </c>
      <c r="R704" s="13" t="n">
        <v>2</v>
      </c>
      <c r="S704" s="13" t="n">
        <v>0</v>
      </c>
      <c r="T704" s="13" t="n">
        <v>0.9714</v>
      </c>
      <c r="U704" s="13" t="n">
        <v>3.97</v>
      </c>
      <c r="V704" s="13" t="n">
        <f aca="false">M704-SUM(N704:S704)</f>
        <v>0</v>
      </c>
    </row>
    <row r="705" customFormat="false" ht="15" hidden="false" customHeight="true" outlineLevel="0" collapsed="false">
      <c r="A705" s="13" t="n">
        <v>2026</v>
      </c>
      <c r="B705" s="13" t="s">
        <v>1024</v>
      </c>
      <c r="C705" s="13" t="s">
        <v>121</v>
      </c>
      <c r="D705" s="13" t="s">
        <v>1037</v>
      </c>
      <c r="E705" s="13" t="s">
        <v>192</v>
      </c>
      <c r="F705" s="13" t="s">
        <v>1038</v>
      </c>
      <c r="G705" s="13" t="n">
        <v>2783</v>
      </c>
      <c r="H705" s="13" t="n">
        <v>3</v>
      </c>
      <c r="I705" s="13" t="n">
        <v>2780</v>
      </c>
      <c r="J705" s="13" t="n">
        <v>0</v>
      </c>
      <c r="K705" s="13" t="n">
        <v>0</v>
      </c>
      <c r="L705" s="13" t="n">
        <v>69</v>
      </c>
      <c r="M705" s="13" t="n">
        <v>2711</v>
      </c>
      <c r="N705" s="13" t="n">
        <v>1045</v>
      </c>
      <c r="O705" s="13" t="n">
        <v>963</v>
      </c>
      <c r="P705" s="13" t="n">
        <v>584</v>
      </c>
      <c r="Q705" s="13" t="n">
        <v>110</v>
      </c>
      <c r="R705" s="13" t="n">
        <v>9</v>
      </c>
      <c r="S705" s="13" t="n">
        <v>0</v>
      </c>
      <c r="T705" s="13" t="n">
        <v>0.9752</v>
      </c>
      <c r="U705" s="13" t="n">
        <v>4.95</v>
      </c>
      <c r="V705" s="13" t="n">
        <f aca="false">M705-SUM(N705:S705)</f>
        <v>0</v>
      </c>
    </row>
    <row r="706" customFormat="false" ht="15" hidden="false" customHeight="true" outlineLevel="0" collapsed="false">
      <c r="A706" s="13" t="n">
        <v>2026</v>
      </c>
      <c r="B706" s="13" t="s">
        <v>1024</v>
      </c>
      <c r="C706" s="13" t="s">
        <v>125</v>
      </c>
      <c r="D706" s="13" t="s">
        <v>128</v>
      </c>
      <c r="E706" s="13" t="s">
        <v>124</v>
      </c>
      <c r="F706" s="13" t="s">
        <v>357</v>
      </c>
      <c r="G706" s="13" t="n">
        <v>22</v>
      </c>
      <c r="H706" s="13" t="n">
        <v>3</v>
      </c>
      <c r="I706" s="13" t="n">
        <v>19</v>
      </c>
      <c r="J706" s="13" t="n">
        <v>0</v>
      </c>
      <c r="K706" s="13" t="n">
        <v>0</v>
      </c>
      <c r="L706" s="13" t="n">
        <v>8</v>
      </c>
      <c r="M706" s="13" t="n">
        <v>11</v>
      </c>
      <c r="N706" s="13" t="n">
        <v>0</v>
      </c>
      <c r="O706" s="13" t="n">
        <v>1</v>
      </c>
      <c r="P706" s="13" t="n">
        <v>0</v>
      </c>
      <c r="Q706" s="13" t="n">
        <v>1</v>
      </c>
      <c r="R706" s="13" t="n">
        <v>3</v>
      </c>
      <c r="S706" s="13" t="n">
        <v>1</v>
      </c>
      <c r="T706" s="13" t="n">
        <v>0.5789</v>
      </c>
      <c r="U706" s="13" t="n">
        <v>0.79</v>
      </c>
      <c r="V706" s="13" t="n">
        <f aca="false">M706-SUM(N706:S706)</f>
        <v>5</v>
      </c>
    </row>
    <row r="707" customFormat="false" ht="15" hidden="false" customHeight="true" outlineLevel="0" collapsed="false">
      <c r="A707" s="13" t="n">
        <v>2026</v>
      </c>
      <c r="B707" s="13" t="s">
        <v>1024</v>
      </c>
      <c r="C707" s="13" t="s">
        <v>125</v>
      </c>
      <c r="D707" s="13" t="s">
        <v>128</v>
      </c>
      <c r="E707" s="13" t="s">
        <v>122</v>
      </c>
      <c r="F707" s="13" t="s">
        <v>357</v>
      </c>
      <c r="G707" s="13" t="n">
        <v>16</v>
      </c>
      <c r="H707" s="13" t="n">
        <v>0</v>
      </c>
      <c r="I707" s="13" t="n">
        <v>16</v>
      </c>
      <c r="J707" s="13" t="n">
        <v>2</v>
      </c>
      <c r="K707" s="13" t="n">
        <v>0</v>
      </c>
      <c r="L707" s="13" t="n">
        <v>5</v>
      </c>
      <c r="M707" s="13" t="n">
        <v>11</v>
      </c>
      <c r="N707" s="13" t="n">
        <v>0</v>
      </c>
      <c r="O707" s="13" t="n">
        <v>1</v>
      </c>
      <c r="P707" s="13" t="n">
        <v>2</v>
      </c>
      <c r="Q707" s="13" t="n">
        <v>2</v>
      </c>
      <c r="R707" s="13" t="n">
        <v>0</v>
      </c>
      <c r="S707" s="13" t="n">
        <v>0</v>
      </c>
      <c r="T707" s="13" t="n">
        <v>0.6875</v>
      </c>
      <c r="U707" s="13" t="n">
        <v>1.19</v>
      </c>
      <c r="V707" s="13" t="n">
        <f aca="false">M707-SUM(N707:S707)</f>
        <v>6</v>
      </c>
    </row>
    <row r="708" customFormat="false" ht="15" hidden="false" customHeight="true" outlineLevel="0" collapsed="false">
      <c r="A708" s="13" t="n">
        <v>2026</v>
      </c>
      <c r="B708" s="13" t="s">
        <v>1024</v>
      </c>
      <c r="C708" s="13" t="s">
        <v>125</v>
      </c>
      <c r="D708" s="13" t="s">
        <v>128</v>
      </c>
      <c r="E708" s="13" t="s">
        <v>192</v>
      </c>
      <c r="F708" s="13" t="s">
        <v>652</v>
      </c>
      <c r="G708" s="13" t="n">
        <v>38</v>
      </c>
      <c r="H708" s="13" t="n">
        <v>3</v>
      </c>
      <c r="I708" s="13" t="n">
        <v>35</v>
      </c>
      <c r="J708" s="13" t="n">
        <v>2</v>
      </c>
      <c r="K708" s="13" t="n">
        <v>0</v>
      </c>
      <c r="L708" s="13" t="n">
        <v>13</v>
      </c>
      <c r="M708" s="13" t="n">
        <v>22</v>
      </c>
      <c r="N708" s="13" t="n">
        <v>0</v>
      </c>
      <c r="O708" s="13" t="n">
        <v>2</v>
      </c>
      <c r="P708" s="13" t="n">
        <v>2</v>
      </c>
      <c r="Q708" s="13" t="n">
        <v>3</v>
      </c>
      <c r="R708" s="13" t="n">
        <v>3</v>
      </c>
      <c r="S708" s="13" t="n">
        <v>1</v>
      </c>
      <c r="T708" s="13" t="n">
        <v>0.6286</v>
      </c>
      <c r="U708" s="13" t="n">
        <v>0.97</v>
      </c>
      <c r="V708" s="13" t="n">
        <f aca="false">M708-SUM(N708:S708)</f>
        <v>11</v>
      </c>
    </row>
    <row r="709" customFormat="false" ht="15" hidden="false" customHeight="true" outlineLevel="0" collapsed="false">
      <c r="A709" s="13" t="n">
        <v>2026</v>
      </c>
      <c r="B709" s="13" t="s">
        <v>1024</v>
      </c>
      <c r="C709" s="13" t="s">
        <v>125</v>
      </c>
      <c r="D709" s="13" t="s">
        <v>1033</v>
      </c>
      <c r="E709" s="13" t="s">
        <v>124</v>
      </c>
      <c r="F709" s="13" t="s">
        <v>357</v>
      </c>
      <c r="G709" s="13" t="n">
        <v>22</v>
      </c>
      <c r="H709" s="13" t="n">
        <v>2</v>
      </c>
      <c r="I709" s="13" t="n">
        <v>20</v>
      </c>
      <c r="J709" s="13" t="n">
        <v>1</v>
      </c>
      <c r="K709" s="13" t="n">
        <v>0</v>
      </c>
      <c r="L709" s="13" t="n">
        <v>2</v>
      </c>
      <c r="M709" s="13" t="n">
        <v>18</v>
      </c>
      <c r="N709" s="13" t="n">
        <v>11</v>
      </c>
      <c r="O709" s="13" t="n">
        <v>3</v>
      </c>
      <c r="P709" s="13" t="n">
        <v>2</v>
      </c>
      <c r="Q709" s="13" t="n">
        <v>2</v>
      </c>
      <c r="R709" s="13" t="n">
        <v>0</v>
      </c>
      <c r="S709" s="13" t="n">
        <v>0</v>
      </c>
      <c r="T709" s="13" t="n">
        <v>0.9</v>
      </c>
      <c r="U709" s="13" t="n">
        <v>4.75</v>
      </c>
      <c r="V709" s="13" t="n">
        <f aca="false">M709-SUM(N709:S709)</f>
        <v>0</v>
      </c>
    </row>
    <row r="710" customFormat="false" ht="15" hidden="false" customHeight="true" outlineLevel="0" collapsed="false">
      <c r="A710" s="13" t="n">
        <v>2026</v>
      </c>
      <c r="B710" s="13" t="s">
        <v>1024</v>
      </c>
      <c r="C710" s="13" t="s">
        <v>125</v>
      </c>
      <c r="D710" s="13" t="s">
        <v>1033</v>
      </c>
      <c r="E710" s="13" t="s">
        <v>122</v>
      </c>
      <c r="F710" s="13" t="s">
        <v>357</v>
      </c>
      <c r="G710" s="13" t="n">
        <v>88</v>
      </c>
      <c r="H710" s="13" t="n">
        <v>15</v>
      </c>
      <c r="I710" s="13" t="n">
        <v>73</v>
      </c>
      <c r="J710" s="13" t="n">
        <v>2</v>
      </c>
      <c r="K710" s="13" t="n">
        <v>1</v>
      </c>
      <c r="L710" s="13" t="n">
        <v>4</v>
      </c>
      <c r="M710" s="13" t="n">
        <v>68</v>
      </c>
      <c r="N710" s="13" t="n">
        <v>33</v>
      </c>
      <c r="O710" s="13" t="n">
        <v>17</v>
      </c>
      <c r="P710" s="13" t="n">
        <v>12</v>
      </c>
      <c r="Q710" s="13" t="n">
        <v>6</v>
      </c>
      <c r="R710" s="13" t="n">
        <v>0</v>
      </c>
      <c r="S710" s="13" t="n">
        <v>0</v>
      </c>
      <c r="T710" s="13" t="n">
        <v>0.9315</v>
      </c>
      <c r="U710" s="13" t="n">
        <v>4.78</v>
      </c>
      <c r="V710" s="13" t="n">
        <f aca="false">M710-SUM(N710:S710)</f>
        <v>0</v>
      </c>
    </row>
    <row r="711" customFormat="false" ht="15" hidden="false" customHeight="true" outlineLevel="0" collapsed="false">
      <c r="A711" s="13" t="n">
        <v>2026</v>
      </c>
      <c r="B711" s="13" t="s">
        <v>1024</v>
      </c>
      <c r="C711" s="13" t="s">
        <v>125</v>
      </c>
      <c r="D711" s="13" t="s">
        <v>1033</v>
      </c>
      <c r="E711" s="13" t="s">
        <v>192</v>
      </c>
      <c r="F711" s="13" t="s">
        <v>652</v>
      </c>
      <c r="G711" s="13" t="n">
        <v>110</v>
      </c>
      <c r="H711" s="13" t="n">
        <v>17</v>
      </c>
      <c r="I711" s="13" t="n">
        <v>93</v>
      </c>
      <c r="J711" s="13" t="n">
        <v>3</v>
      </c>
      <c r="K711" s="13" t="n">
        <v>1</v>
      </c>
      <c r="L711" s="13" t="n">
        <v>6</v>
      </c>
      <c r="M711" s="13" t="n">
        <v>86</v>
      </c>
      <c r="N711" s="13" t="n">
        <v>44</v>
      </c>
      <c r="O711" s="13" t="n">
        <v>20</v>
      </c>
      <c r="P711" s="13" t="n">
        <v>14</v>
      </c>
      <c r="Q711" s="13" t="n">
        <v>8</v>
      </c>
      <c r="R711" s="13" t="n">
        <v>0</v>
      </c>
      <c r="S711" s="13" t="n">
        <v>0</v>
      </c>
      <c r="T711" s="13" t="n">
        <v>0.9247</v>
      </c>
      <c r="U711" s="13" t="n">
        <v>4.77</v>
      </c>
      <c r="V711" s="13" t="n">
        <f aca="false">M711-SUM(N711:S711)</f>
        <v>0</v>
      </c>
    </row>
    <row r="712" customFormat="false" ht="15" hidden="false" customHeight="true" outlineLevel="0" collapsed="false">
      <c r="A712" s="13" t="n">
        <v>2026</v>
      </c>
      <c r="B712" s="13" t="s">
        <v>1024</v>
      </c>
      <c r="C712" s="13" t="s">
        <v>125</v>
      </c>
      <c r="D712" s="13" t="s">
        <v>1034</v>
      </c>
      <c r="E712" s="13" t="s">
        <v>124</v>
      </c>
      <c r="F712" s="13" t="s">
        <v>357</v>
      </c>
      <c r="G712" s="13" t="n">
        <v>50</v>
      </c>
      <c r="H712" s="13" t="n">
        <v>4</v>
      </c>
      <c r="I712" s="13" t="n">
        <v>46</v>
      </c>
      <c r="J712" s="13" t="n">
        <v>4</v>
      </c>
      <c r="K712" s="13" t="n">
        <v>0</v>
      </c>
      <c r="L712" s="13" t="n">
        <v>9</v>
      </c>
      <c r="M712" s="13" t="n">
        <v>37</v>
      </c>
      <c r="N712" s="13" t="n">
        <v>0</v>
      </c>
      <c r="O712" s="13" t="n">
        <v>8</v>
      </c>
      <c r="P712" s="13" t="n">
        <v>12</v>
      </c>
      <c r="Q712" s="13" t="n">
        <v>16</v>
      </c>
      <c r="R712" s="13" t="n">
        <v>1</v>
      </c>
      <c r="S712" s="13" t="n">
        <v>0</v>
      </c>
      <c r="T712" s="13" t="n">
        <v>0.8043</v>
      </c>
      <c r="U712" s="13" t="n">
        <v>3</v>
      </c>
      <c r="V712" s="13" t="n">
        <f aca="false">M712-SUM(N712:S712)</f>
        <v>0</v>
      </c>
    </row>
    <row r="713" customFormat="false" ht="15" hidden="false" customHeight="true" outlineLevel="0" collapsed="false">
      <c r="A713" s="13" t="n">
        <v>2026</v>
      </c>
      <c r="B713" s="13" t="s">
        <v>1024</v>
      </c>
      <c r="C713" s="13" t="s">
        <v>125</v>
      </c>
      <c r="D713" s="13" t="s">
        <v>1034</v>
      </c>
      <c r="E713" s="13" t="s">
        <v>122</v>
      </c>
      <c r="F713" s="13" t="s">
        <v>357</v>
      </c>
      <c r="G713" s="13" t="n">
        <v>12</v>
      </c>
      <c r="H713" s="13" t="n">
        <v>0</v>
      </c>
      <c r="I713" s="13" t="n">
        <v>12</v>
      </c>
      <c r="J713" s="13" t="n">
        <v>0</v>
      </c>
      <c r="K713" s="13" t="n">
        <v>0</v>
      </c>
      <c r="L713" s="13" t="n">
        <v>3</v>
      </c>
      <c r="M713" s="13" t="n">
        <v>9</v>
      </c>
      <c r="N713" s="13" t="n">
        <v>1</v>
      </c>
      <c r="O713" s="13" t="n">
        <v>2</v>
      </c>
      <c r="P713" s="13" t="n">
        <v>4</v>
      </c>
      <c r="Q713" s="13" t="n">
        <v>2</v>
      </c>
      <c r="R713" s="13" t="n">
        <v>0</v>
      </c>
      <c r="S713" s="13" t="n">
        <v>0</v>
      </c>
      <c r="T713" s="13" t="n">
        <v>0.75</v>
      </c>
      <c r="U713" s="13" t="n">
        <v>3.17</v>
      </c>
      <c r="V713" s="13" t="n">
        <f aca="false">M713-SUM(N713:S713)</f>
        <v>0</v>
      </c>
    </row>
    <row r="714" customFormat="false" ht="15" hidden="false" customHeight="true" outlineLevel="0" collapsed="false">
      <c r="A714" s="13" t="n">
        <v>2026</v>
      </c>
      <c r="B714" s="13" t="s">
        <v>1024</v>
      </c>
      <c r="C714" s="13" t="s">
        <v>125</v>
      </c>
      <c r="D714" s="13" t="s">
        <v>1034</v>
      </c>
      <c r="E714" s="13" t="s">
        <v>192</v>
      </c>
      <c r="F714" s="13" t="s">
        <v>652</v>
      </c>
      <c r="G714" s="13" t="n">
        <v>62</v>
      </c>
      <c r="H714" s="13" t="n">
        <v>4</v>
      </c>
      <c r="I714" s="13" t="n">
        <v>58</v>
      </c>
      <c r="J714" s="13" t="n">
        <v>4</v>
      </c>
      <c r="K714" s="13" t="n">
        <v>0</v>
      </c>
      <c r="L714" s="13" t="n">
        <v>12</v>
      </c>
      <c r="M714" s="13" t="n">
        <v>46</v>
      </c>
      <c r="N714" s="13" t="n">
        <v>1</v>
      </c>
      <c r="O714" s="13" t="n">
        <v>10</v>
      </c>
      <c r="P714" s="13" t="n">
        <v>16</v>
      </c>
      <c r="Q714" s="13" t="n">
        <v>18</v>
      </c>
      <c r="R714" s="13" t="n">
        <v>1</v>
      </c>
      <c r="S714" s="13" t="n">
        <v>0</v>
      </c>
      <c r="T714" s="13" t="n">
        <v>0.7931</v>
      </c>
      <c r="U714" s="13" t="n">
        <v>3.03</v>
      </c>
      <c r="V714" s="13" t="n">
        <f aca="false">M714-SUM(N714:S714)</f>
        <v>0</v>
      </c>
    </row>
    <row r="715" customFormat="false" ht="15" hidden="false" customHeight="true" outlineLevel="0" collapsed="false">
      <c r="A715" s="13" t="n">
        <v>2026</v>
      </c>
      <c r="B715" s="13" t="s">
        <v>1024</v>
      </c>
      <c r="C715" s="13" t="s">
        <v>125</v>
      </c>
      <c r="D715" s="13" t="s">
        <v>1035</v>
      </c>
      <c r="E715" s="13" t="s">
        <v>124</v>
      </c>
      <c r="F715" s="13" t="s">
        <v>357</v>
      </c>
      <c r="G715" s="13" t="n">
        <v>113</v>
      </c>
      <c r="H715" s="13" t="n">
        <v>13</v>
      </c>
      <c r="I715" s="13" t="n">
        <v>100</v>
      </c>
      <c r="J715" s="13" t="n">
        <v>8</v>
      </c>
      <c r="K715" s="13" t="n">
        <v>0</v>
      </c>
      <c r="L715" s="13" t="n">
        <v>31</v>
      </c>
      <c r="M715" s="13" t="n">
        <v>69</v>
      </c>
      <c r="N715" s="13" t="n">
        <v>1</v>
      </c>
      <c r="O715" s="13" t="n">
        <v>2</v>
      </c>
      <c r="P715" s="13" t="n">
        <v>26</v>
      </c>
      <c r="Q715" s="13" t="n">
        <v>30</v>
      </c>
      <c r="R715" s="13" t="n">
        <v>10</v>
      </c>
      <c r="S715" s="13" t="n">
        <v>0</v>
      </c>
      <c r="T715" s="13" t="n">
        <v>0.69</v>
      </c>
      <c r="U715" s="13" t="n">
        <v>2.3</v>
      </c>
      <c r="V715" s="13" t="n">
        <f aca="false">M715-SUM(N715:S715)</f>
        <v>0</v>
      </c>
    </row>
    <row r="716" customFormat="false" ht="15" hidden="false" customHeight="true" outlineLevel="0" collapsed="false">
      <c r="A716" s="13" t="n">
        <v>2026</v>
      </c>
      <c r="B716" s="13" t="s">
        <v>1024</v>
      </c>
      <c r="C716" s="13" t="s">
        <v>125</v>
      </c>
      <c r="D716" s="13" t="s">
        <v>1035</v>
      </c>
      <c r="E716" s="13" t="s">
        <v>122</v>
      </c>
      <c r="F716" s="13" t="s">
        <v>357</v>
      </c>
      <c r="G716" s="13" t="n">
        <v>30</v>
      </c>
      <c r="H716" s="13" t="n">
        <v>3</v>
      </c>
      <c r="I716" s="13" t="n">
        <v>27</v>
      </c>
      <c r="J716" s="13" t="n">
        <v>2</v>
      </c>
      <c r="K716" s="13" t="n">
        <v>0</v>
      </c>
      <c r="L716" s="13" t="n">
        <v>7</v>
      </c>
      <c r="M716" s="13" t="n">
        <v>20</v>
      </c>
      <c r="N716" s="13" t="n">
        <v>0</v>
      </c>
      <c r="O716" s="13" t="n">
        <v>1</v>
      </c>
      <c r="P716" s="13" t="n">
        <v>12</v>
      </c>
      <c r="Q716" s="13" t="n">
        <v>7</v>
      </c>
      <c r="R716" s="13" t="n">
        <v>0</v>
      </c>
      <c r="S716" s="13" t="n">
        <v>0</v>
      </c>
      <c r="T716" s="13" t="n">
        <v>0.7407</v>
      </c>
      <c r="U716" s="13" t="n">
        <v>2.74</v>
      </c>
      <c r="V716" s="13" t="n">
        <f aca="false">M716-SUM(N716:S716)</f>
        <v>0</v>
      </c>
    </row>
    <row r="717" customFormat="false" ht="15" hidden="false" customHeight="true" outlineLevel="0" collapsed="false">
      <c r="A717" s="13" t="n">
        <v>2026</v>
      </c>
      <c r="B717" s="13" t="s">
        <v>1024</v>
      </c>
      <c r="C717" s="13" t="s">
        <v>125</v>
      </c>
      <c r="D717" s="13" t="s">
        <v>1035</v>
      </c>
      <c r="E717" s="13" t="s">
        <v>192</v>
      </c>
      <c r="F717" s="13" t="s">
        <v>652</v>
      </c>
      <c r="G717" s="13" t="n">
        <v>143</v>
      </c>
      <c r="H717" s="13" t="n">
        <v>16</v>
      </c>
      <c r="I717" s="13" t="n">
        <v>127</v>
      </c>
      <c r="J717" s="13" t="n">
        <v>10</v>
      </c>
      <c r="K717" s="13" t="n">
        <v>0</v>
      </c>
      <c r="L717" s="13" t="n">
        <v>38</v>
      </c>
      <c r="M717" s="13" t="n">
        <v>89</v>
      </c>
      <c r="N717" s="13" t="n">
        <v>1</v>
      </c>
      <c r="O717" s="13" t="n">
        <v>3</v>
      </c>
      <c r="P717" s="13" t="n">
        <v>38</v>
      </c>
      <c r="Q717" s="13" t="n">
        <v>37</v>
      </c>
      <c r="R717" s="13" t="n">
        <v>10</v>
      </c>
      <c r="S717" s="13" t="n">
        <v>0</v>
      </c>
      <c r="T717" s="13" t="n">
        <v>0.7008</v>
      </c>
      <c r="U717" s="13" t="n">
        <v>2.39</v>
      </c>
      <c r="V717" s="13" t="n">
        <f aca="false">M717-SUM(N717:S717)</f>
        <v>0</v>
      </c>
    </row>
    <row r="718" customFormat="false" ht="15" hidden="false" customHeight="true" outlineLevel="0" collapsed="false">
      <c r="A718" s="13" t="n">
        <v>2026</v>
      </c>
      <c r="B718" s="13" t="s">
        <v>1024</v>
      </c>
      <c r="C718" s="13" t="s">
        <v>125</v>
      </c>
      <c r="D718" s="13" t="s">
        <v>203</v>
      </c>
      <c r="E718" s="13" t="s">
        <v>124</v>
      </c>
      <c r="F718" s="13" t="s">
        <v>357</v>
      </c>
      <c r="G718" s="13" t="n">
        <v>8</v>
      </c>
      <c r="H718" s="13" t="n">
        <v>0</v>
      </c>
      <c r="I718" s="13" t="n">
        <v>8</v>
      </c>
      <c r="J718" s="13" t="n">
        <v>0</v>
      </c>
      <c r="K718" s="13" t="n">
        <v>0</v>
      </c>
      <c r="L718" s="13" t="n">
        <v>4</v>
      </c>
      <c r="M718" s="13" t="n">
        <v>4</v>
      </c>
      <c r="N718" s="13" t="n">
        <v>0</v>
      </c>
      <c r="O718" s="13" t="n">
        <v>0</v>
      </c>
      <c r="P718" s="13" t="n">
        <v>0</v>
      </c>
      <c r="Q718" s="13" t="n">
        <v>2</v>
      </c>
      <c r="R718" s="13" t="n">
        <v>2</v>
      </c>
      <c r="S718" s="13" t="n">
        <v>0</v>
      </c>
      <c r="T718" s="13" t="n">
        <v>0.5</v>
      </c>
      <c r="U718" s="13" t="n">
        <v>1.25</v>
      </c>
      <c r="V718" s="13" t="n">
        <f aca="false">M718-SUM(N718:S718)</f>
        <v>0</v>
      </c>
    </row>
    <row r="719" customFormat="false" ht="15" hidden="false" customHeight="true" outlineLevel="0" collapsed="false">
      <c r="A719" s="13" t="n">
        <v>2026</v>
      </c>
      <c r="B719" s="13" t="s">
        <v>1024</v>
      </c>
      <c r="C719" s="13" t="s">
        <v>125</v>
      </c>
      <c r="D719" s="13" t="s">
        <v>203</v>
      </c>
      <c r="E719" s="13" t="s">
        <v>122</v>
      </c>
      <c r="F719" s="13" t="s">
        <v>357</v>
      </c>
      <c r="G719" s="13" t="n">
        <v>4</v>
      </c>
      <c r="H719" s="13" t="n">
        <v>0</v>
      </c>
      <c r="I719" s="13" t="n">
        <v>4</v>
      </c>
      <c r="J719" s="13" t="n">
        <v>0</v>
      </c>
      <c r="K719" s="13" t="n">
        <v>0</v>
      </c>
      <c r="L719" s="13" t="n">
        <v>1</v>
      </c>
      <c r="M719" s="13" t="n">
        <v>3</v>
      </c>
      <c r="N719" s="13" t="n">
        <v>0</v>
      </c>
      <c r="O719" s="13" t="n">
        <v>0</v>
      </c>
      <c r="P719" s="13" t="n">
        <v>1</v>
      </c>
      <c r="Q719" s="13" t="n">
        <v>2</v>
      </c>
      <c r="R719" s="13" t="n">
        <v>0</v>
      </c>
      <c r="S719" s="13" t="n">
        <v>0</v>
      </c>
      <c r="T719" s="13" t="n">
        <v>0.75</v>
      </c>
      <c r="U719" s="13" t="n">
        <v>2.5</v>
      </c>
      <c r="V719" s="13" t="n">
        <f aca="false">M719-SUM(N719:S719)</f>
        <v>0</v>
      </c>
    </row>
    <row r="720" customFormat="false" ht="15" hidden="false" customHeight="true" outlineLevel="0" collapsed="false">
      <c r="A720" s="13" t="n">
        <v>2026</v>
      </c>
      <c r="B720" s="13" t="s">
        <v>1024</v>
      </c>
      <c r="C720" s="13" t="s">
        <v>125</v>
      </c>
      <c r="D720" s="13" t="s">
        <v>203</v>
      </c>
      <c r="E720" s="13" t="s">
        <v>192</v>
      </c>
      <c r="F720" s="13" t="s">
        <v>652</v>
      </c>
      <c r="G720" s="13" t="n">
        <v>12</v>
      </c>
      <c r="H720" s="13" t="n">
        <v>0</v>
      </c>
      <c r="I720" s="13" t="n">
        <v>12</v>
      </c>
      <c r="J720" s="13" t="n">
        <v>0</v>
      </c>
      <c r="K720" s="13" t="n">
        <v>0</v>
      </c>
      <c r="L720" s="13" t="n">
        <v>5</v>
      </c>
      <c r="M720" s="13" t="n">
        <v>7</v>
      </c>
      <c r="N720" s="13" t="n">
        <v>0</v>
      </c>
      <c r="O720" s="13" t="n">
        <v>0</v>
      </c>
      <c r="P720" s="13" t="n">
        <v>1</v>
      </c>
      <c r="Q720" s="13" t="n">
        <v>4</v>
      </c>
      <c r="R720" s="13" t="n">
        <v>2</v>
      </c>
      <c r="S720" s="13" t="n">
        <v>0</v>
      </c>
      <c r="T720" s="13" t="n">
        <v>0.5833</v>
      </c>
      <c r="U720" s="13" t="n">
        <v>1.67</v>
      </c>
      <c r="V720" s="13" t="n">
        <f aca="false">M720-SUM(N720:S720)</f>
        <v>0</v>
      </c>
    </row>
    <row r="721" customFormat="false" ht="15" hidden="false" customHeight="true" outlineLevel="0" collapsed="false">
      <c r="A721" s="13" t="n">
        <v>2026</v>
      </c>
      <c r="B721" s="13" t="s">
        <v>1024</v>
      </c>
      <c r="C721" s="13" t="s">
        <v>125</v>
      </c>
      <c r="D721" s="13" t="s">
        <v>1037</v>
      </c>
      <c r="E721" s="13" t="s">
        <v>192</v>
      </c>
      <c r="F721" s="13" t="s">
        <v>1038</v>
      </c>
      <c r="G721" s="13" t="n">
        <v>365</v>
      </c>
      <c r="H721" s="13" t="n">
        <v>40</v>
      </c>
      <c r="I721" s="13" t="n">
        <v>325</v>
      </c>
      <c r="J721" s="13" t="n">
        <v>19</v>
      </c>
      <c r="K721" s="13" t="n">
        <v>1</v>
      </c>
      <c r="L721" s="13" t="n">
        <v>74</v>
      </c>
      <c r="M721" s="13" t="n">
        <v>250</v>
      </c>
      <c r="N721" s="13" t="n">
        <v>46</v>
      </c>
      <c r="O721" s="13" t="n">
        <v>35</v>
      </c>
      <c r="P721" s="13" t="n">
        <v>71</v>
      </c>
      <c r="Q721" s="13" t="n">
        <v>70</v>
      </c>
      <c r="R721" s="13" t="n">
        <v>16</v>
      </c>
      <c r="S721" s="13" t="n">
        <v>1</v>
      </c>
      <c r="T721" s="13" t="n">
        <v>0.7692</v>
      </c>
      <c r="U721" s="13" t="n">
        <v>3.01</v>
      </c>
      <c r="V721" s="13" t="n">
        <f aca="false">M721-SUM(N721:S721)</f>
        <v>11</v>
      </c>
    </row>
    <row r="722" customFormat="false" ht="15" hidden="false" customHeight="true" outlineLevel="0" collapsed="false">
      <c r="A722" s="13" t="n">
        <v>2026</v>
      </c>
      <c r="B722" s="13" t="s">
        <v>1024</v>
      </c>
      <c r="C722" s="13" t="s">
        <v>125</v>
      </c>
      <c r="D722" s="13" t="s">
        <v>1037</v>
      </c>
      <c r="E722" s="13" t="s">
        <v>192</v>
      </c>
      <c r="F722" s="13" t="s">
        <v>137</v>
      </c>
      <c r="G722" s="13" t="n">
        <v>3148</v>
      </c>
      <c r="H722" s="13" t="n">
        <v>43</v>
      </c>
      <c r="I722" s="13" t="n">
        <v>3105</v>
      </c>
      <c r="J722" s="13" t="n">
        <v>19</v>
      </c>
      <c r="K722" s="13" t="n">
        <v>1</v>
      </c>
      <c r="L722" s="13" t="n">
        <v>143</v>
      </c>
      <c r="M722" s="13" t="n">
        <v>2961</v>
      </c>
      <c r="N722" s="13" t="n">
        <v>1091</v>
      </c>
      <c r="O722" s="13" t="n">
        <v>998</v>
      </c>
      <c r="P722" s="13" t="n">
        <v>655</v>
      </c>
      <c r="Q722" s="13" t="n">
        <v>180</v>
      </c>
      <c r="R722" s="13" t="n">
        <v>25</v>
      </c>
      <c r="S722" s="13" t="n">
        <v>1</v>
      </c>
      <c r="T722" s="13" t="n">
        <v>0.9595</v>
      </c>
      <c r="U722" s="13" t="n">
        <v>4.78</v>
      </c>
      <c r="V722" s="13" t="n">
        <f aca="false">M722-SUM(N722:S722)</f>
        <v>11</v>
      </c>
    </row>
    <row r="723" customFormat="false" ht="15" hidden="false" customHeight="true" outlineLevel="0" collapsed="false">
      <c r="A723" s="13" t="n">
        <v>2026</v>
      </c>
      <c r="B723" s="13" t="s">
        <v>1025</v>
      </c>
      <c r="C723" s="13" t="s">
        <v>121</v>
      </c>
      <c r="D723" s="13" t="s">
        <v>128</v>
      </c>
      <c r="E723" s="13" t="s">
        <v>124</v>
      </c>
      <c r="F723" s="13" t="s">
        <v>357</v>
      </c>
      <c r="G723" s="13" t="n">
        <v>13</v>
      </c>
      <c r="H723" s="13" t="n">
        <v>0</v>
      </c>
      <c r="I723" s="13" t="n">
        <v>13</v>
      </c>
      <c r="J723" s="13" t="n">
        <v>0</v>
      </c>
      <c r="K723" s="13" t="n">
        <v>0</v>
      </c>
      <c r="L723" s="13" t="n">
        <v>4</v>
      </c>
      <c r="M723" s="13" t="n">
        <v>9</v>
      </c>
      <c r="N723" s="13" t="n">
        <v>3</v>
      </c>
      <c r="O723" s="13" t="n">
        <v>0</v>
      </c>
      <c r="P723" s="13" t="n">
        <v>1</v>
      </c>
      <c r="Q723" s="13" t="n">
        <v>3</v>
      </c>
      <c r="R723" s="13" t="n">
        <v>2</v>
      </c>
      <c r="S723" s="13" t="n">
        <v>0</v>
      </c>
      <c r="T723" s="13" t="n">
        <v>0.6923</v>
      </c>
      <c r="U723" s="13" t="n">
        <v>2.69</v>
      </c>
      <c r="V723" s="13" t="n">
        <f aca="false">M723-SUM(N723:S723)</f>
        <v>0</v>
      </c>
    </row>
    <row r="724" customFormat="false" ht="15" hidden="false" customHeight="true" outlineLevel="0" collapsed="false">
      <c r="A724" s="13" t="n">
        <v>2026</v>
      </c>
      <c r="B724" s="13" t="s">
        <v>1025</v>
      </c>
      <c r="C724" s="13" t="s">
        <v>121</v>
      </c>
      <c r="D724" s="13" t="s">
        <v>128</v>
      </c>
      <c r="E724" s="13" t="s">
        <v>122</v>
      </c>
      <c r="F724" s="13" t="s">
        <v>357</v>
      </c>
      <c r="G724" s="13" t="n">
        <v>112</v>
      </c>
      <c r="H724" s="13" t="n">
        <v>2</v>
      </c>
      <c r="I724" s="13" t="n">
        <v>110</v>
      </c>
      <c r="J724" s="13" t="n">
        <v>0</v>
      </c>
      <c r="K724" s="13" t="n">
        <v>0</v>
      </c>
      <c r="L724" s="13" t="n">
        <v>14</v>
      </c>
      <c r="M724" s="13" t="n">
        <v>96</v>
      </c>
      <c r="N724" s="13" t="n">
        <v>16</v>
      </c>
      <c r="O724" s="13" t="n">
        <v>24</v>
      </c>
      <c r="P724" s="13" t="n">
        <v>24</v>
      </c>
      <c r="Q724" s="13" t="n">
        <v>27</v>
      </c>
      <c r="R724" s="13" t="n">
        <v>5</v>
      </c>
      <c r="S724" s="13" t="n">
        <v>0</v>
      </c>
      <c r="T724" s="13" t="n">
        <v>0.8727</v>
      </c>
      <c r="U724" s="13" t="n">
        <v>3.66</v>
      </c>
      <c r="V724" s="13" t="n">
        <f aca="false">M724-SUM(N724:S724)</f>
        <v>0</v>
      </c>
    </row>
    <row r="725" customFormat="false" ht="15" hidden="false" customHeight="true" outlineLevel="0" collapsed="false">
      <c r="A725" s="13" t="n">
        <v>2026</v>
      </c>
      <c r="B725" s="13" t="s">
        <v>1025</v>
      </c>
      <c r="C725" s="13" t="s">
        <v>121</v>
      </c>
      <c r="D725" s="13" t="s">
        <v>128</v>
      </c>
      <c r="E725" s="13" t="s">
        <v>192</v>
      </c>
      <c r="F725" s="13" t="s">
        <v>652</v>
      </c>
      <c r="G725" s="13" t="n">
        <v>125</v>
      </c>
      <c r="H725" s="13" t="n">
        <v>2</v>
      </c>
      <c r="I725" s="13" t="n">
        <v>123</v>
      </c>
      <c r="J725" s="13" t="n">
        <v>0</v>
      </c>
      <c r="K725" s="13" t="n">
        <v>0</v>
      </c>
      <c r="L725" s="13" t="n">
        <v>18</v>
      </c>
      <c r="M725" s="13" t="n">
        <v>105</v>
      </c>
      <c r="N725" s="13" t="n">
        <v>19</v>
      </c>
      <c r="O725" s="13" t="n">
        <v>24</v>
      </c>
      <c r="P725" s="13" t="n">
        <v>25</v>
      </c>
      <c r="Q725" s="13" t="n">
        <v>30</v>
      </c>
      <c r="R725" s="13" t="n">
        <v>7</v>
      </c>
      <c r="S725" s="13" t="n">
        <v>0</v>
      </c>
      <c r="T725" s="13" t="n">
        <v>0.8537</v>
      </c>
      <c r="U725" s="13" t="n">
        <v>3.56</v>
      </c>
      <c r="V725" s="13" t="n">
        <f aca="false">M725-SUM(N725:S725)</f>
        <v>0</v>
      </c>
    </row>
    <row r="726" customFormat="false" ht="15" hidden="false" customHeight="true" outlineLevel="0" collapsed="false">
      <c r="A726" s="13" t="n">
        <v>2026</v>
      </c>
      <c r="B726" s="13" t="s">
        <v>1025</v>
      </c>
      <c r="C726" s="13" t="s">
        <v>121</v>
      </c>
      <c r="D726" s="13" t="s">
        <v>1033</v>
      </c>
      <c r="E726" s="13" t="s">
        <v>124</v>
      </c>
      <c r="F726" s="13" t="s">
        <v>357</v>
      </c>
      <c r="G726" s="13" t="n">
        <v>492</v>
      </c>
      <c r="H726" s="13" t="n">
        <v>0</v>
      </c>
      <c r="I726" s="13" t="n">
        <v>492</v>
      </c>
      <c r="J726" s="13" t="n">
        <v>0</v>
      </c>
      <c r="K726" s="13" t="n">
        <v>0</v>
      </c>
      <c r="L726" s="13" t="n">
        <v>4</v>
      </c>
      <c r="M726" s="13" t="n">
        <v>488</v>
      </c>
      <c r="N726" s="13" t="n">
        <v>261</v>
      </c>
      <c r="O726" s="13" t="n">
        <v>148</v>
      </c>
      <c r="P726" s="13" t="n">
        <v>61</v>
      </c>
      <c r="Q726" s="13" t="n">
        <v>18</v>
      </c>
      <c r="R726" s="13" t="n">
        <v>0</v>
      </c>
      <c r="S726" s="13" t="n">
        <v>0</v>
      </c>
      <c r="T726" s="13" t="n">
        <v>0.9919</v>
      </c>
      <c r="U726" s="13" t="n">
        <v>5.29</v>
      </c>
      <c r="V726" s="13" t="n">
        <f aca="false">M726-SUM(N726:S726)</f>
        <v>0</v>
      </c>
    </row>
    <row r="727" customFormat="false" ht="15" hidden="false" customHeight="true" outlineLevel="0" collapsed="false">
      <c r="A727" s="13" t="n">
        <v>2026</v>
      </c>
      <c r="B727" s="13" t="s">
        <v>1025</v>
      </c>
      <c r="C727" s="13" t="s">
        <v>121</v>
      </c>
      <c r="D727" s="13" t="s">
        <v>1033</v>
      </c>
      <c r="E727" s="13" t="s">
        <v>122</v>
      </c>
      <c r="F727" s="13" t="s">
        <v>357</v>
      </c>
      <c r="G727" s="13" t="n">
        <v>811</v>
      </c>
      <c r="H727" s="13" t="n">
        <v>0</v>
      </c>
      <c r="I727" s="13" t="n">
        <v>811</v>
      </c>
      <c r="J727" s="13" t="n">
        <v>0</v>
      </c>
      <c r="K727" s="13" t="n">
        <v>0</v>
      </c>
      <c r="L727" s="13" t="n">
        <v>5</v>
      </c>
      <c r="M727" s="13" t="n">
        <v>806</v>
      </c>
      <c r="N727" s="13" t="n">
        <v>438</v>
      </c>
      <c r="O727" s="13" t="n">
        <v>233</v>
      </c>
      <c r="P727" s="13" t="n">
        <v>111</v>
      </c>
      <c r="Q727" s="13" t="n">
        <v>22</v>
      </c>
      <c r="R727" s="13" t="n">
        <v>2</v>
      </c>
      <c r="S727" s="13" t="n">
        <v>0</v>
      </c>
      <c r="T727" s="13" t="n">
        <v>0.9938</v>
      </c>
      <c r="U727" s="13" t="n">
        <v>5.31</v>
      </c>
      <c r="V727" s="13" t="n">
        <f aca="false">M727-SUM(N727:S727)</f>
        <v>0</v>
      </c>
    </row>
    <row r="728" customFormat="false" ht="15" hidden="false" customHeight="true" outlineLevel="0" collapsed="false">
      <c r="A728" s="13" t="n">
        <v>2026</v>
      </c>
      <c r="B728" s="13" t="s">
        <v>1025</v>
      </c>
      <c r="C728" s="13" t="s">
        <v>121</v>
      </c>
      <c r="D728" s="13" t="s">
        <v>1033</v>
      </c>
      <c r="E728" s="13" t="s">
        <v>192</v>
      </c>
      <c r="F728" s="13" t="s">
        <v>652</v>
      </c>
      <c r="G728" s="13" t="n">
        <v>1303</v>
      </c>
      <c r="H728" s="13" t="n">
        <v>0</v>
      </c>
      <c r="I728" s="13" t="n">
        <v>1303</v>
      </c>
      <c r="J728" s="13" t="n">
        <v>0</v>
      </c>
      <c r="K728" s="13" t="n">
        <v>0</v>
      </c>
      <c r="L728" s="13" t="n">
        <v>9</v>
      </c>
      <c r="M728" s="13" t="n">
        <v>1294</v>
      </c>
      <c r="N728" s="13" t="n">
        <v>699</v>
      </c>
      <c r="O728" s="13" t="n">
        <v>381</v>
      </c>
      <c r="P728" s="13" t="n">
        <v>172</v>
      </c>
      <c r="Q728" s="13" t="n">
        <v>40</v>
      </c>
      <c r="R728" s="13" t="n">
        <v>2</v>
      </c>
      <c r="S728" s="13" t="n">
        <v>0</v>
      </c>
      <c r="T728" s="13" t="n">
        <v>0.9931</v>
      </c>
      <c r="U728" s="13" t="n">
        <v>5.3</v>
      </c>
      <c r="V728" s="13" t="n">
        <f aca="false">M728-SUM(N728:S728)</f>
        <v>0</v>
      </c>
    </row>
    <row r="729" customFormat="false" ht="15" hidden="false" customHeight="true" outlineLevel="0" collapsed="false">
      <c r="A729" s="13" t="n">
        <v>2026</v>
      </c>
      <c r="B729" s="13" t="s">
        <v>1025</v>
      </c>
      <c r="C729" s="13" t="s">
        <v>121</v>
      </c>
      <c r="D729" s="13" t="s">
        <v>1034</v>
      </c>
      <c r="E729" s="13" t="s">
        <v>124</v>
      </c>
      <c r="F729" s="13" t="s">
        <v>357</v>
      </c>
      <c r="G729" s="13" t="n">
        <v>277</v>
      </c>
      <c r="H729" s="13" t="n">
        <v>0</v>
      </c>
      <c r="I729" s="13" t="n">
        <v>277</v>
      </c>
      <c r="J729" s="13" t="n">
        <v>0</v>
      </c>
      <c r="K729" s="13" t="n">
        <v>0</v>
      </c>
      <c r="L729" s="13" t="n">
        <v>2</v>
      </c>
      <c r="M729" s="13" t="n">
        <v>275</v>
      </c>
      <c r="N729" s="13" t="n">
        <v>138</v>
      </c>
      <c r="O729" s="13" t="n">
        <v>88</v>
      </c>
      <c r="P729" s="13" t="n">
        <v>40</v>
      </c>
      <c r="Q729" s="13" t="n">
        <v>9</v>
      </c>
      <c r="R729" s="13" t="n">
        <v>0</v>
      </c>
      <c r="S729" s="13" t="n">
        <v>0</v>
      </c>
      <c r="T729" s="13" t="n">
        <v>0.9928</v>
      </c>
      <c r="U729" s="13" t="n">
        <v>5.25</v>
      </c>
      <c r="V729" s="13" t="n">
        <f aca="false">M729-SUM(N729:S729)</f>
        <v>0</v>
      </c>
    </row>
    <row r="730" customFormat="false" ht="15" hidden="false" customHeight="true" outlineLevel="0" collapsed="false">
      <c r="A730" s="13" t="n">
        <v>2026</v>
      </c>
      <c r="B730" s="13" t="s">
        <v>1025</v>
      </c>
      <c r="C730" s="13" t="s">
        <v>121</v>
      </c>
      <c r="D730" s="13" t="s">
        <v>1034</v>
      </c>
      <c r="E730" s="13" t="s">
        <v>122</v>
      </c>
      <c r="F730" s="13" t="s">
        <v>357</v>
      </c>
      <c r="G730" s="13" t="n">
        <v>83</v>
      </c>
      <c r="H730" s="13" t="n">
        <v>0</v>
      </c>
      <c r="I730" s="13" t="n">
        <v>83</v>
      </c>
      <c r="J730" s="13" t="n">
        <v>0</v>
      </c>
      <c r="K730" s="13" t="n">
        <v>0</v>
      </c>
      <c r="L730" s="13" t="n">
        <v>1</v>
      </c>
      <c r="M730" s="13" t="n">
        <v>82</v>
      </c>
      <c r="N730" s="13" t="n">
        <v>47</v>
      </c>
      <c r="O730" s="13" t="n">
        <v>17</v>
      </c>
      <c r="P730" s="13" t="n">
        <v>15</v>
      </c>
      <c r="Q730" s="13" t="n">
        <v>3</v>
      </c>
      <c r="R730" s="13" t="n">
        <v>0</v>
      </c>
      <c r="S730" s="13" t="n">
        <v>0</v>
      </c>
      <c r="T730" s="13" t="n">
        <v>0.988</v>
      </c>
      <c r="U730" s="13" t="n">
        <v>5.25</v>
      </c>
      <c r="V730" s="13" t="n">
        <f aca="false">M730-SUM(N730:S730)</f>
        <v>0</v>
      </c>
    </row>
    <row r="731" customFormat="false" ht="15" hidden="false" customHeight="true" outlineLevel="0" collapsed="false">
      <c r="A731" s="13" t="n">
        <v>2026</v>
      </c>
      <c r="B731" s="13" t="s">
        <v>1025</v>
      </c>
      <c r="C731" s="13" t="s">
        <v>121</v>
      </c>
      <c r="D731" s="13" t="s">
        <v>1034</v>
      </c>
      <c r="E731" s="13" t="s">
        <v>192</v>
      </c>
      <c r="F731" s="13" t="s">
        <v>652</v>
      </c>
      <c r="G731" s="13" t="n">
        <v>360</v>
      </c>
      <c r="H731" s="13" t="n">
        <v>0</v>
      </c>
      <c r="I731" s="13" t="n">
        <v>360</v>
      </c>
      <c r="J731" s="13" t="n">
        <v>0</v>
      </c>
      <c r="K731" s="13" t="n">
        <v>0</v>
      </c>
      <c r="L731" s="13" t="n">
        <v>3</v>
      </c>
      <c r="M731" s="13" t="n">
        <v>357</v>
      </c>
      <c r="N731" s="13" t="n">
        <v>185</v>
      </c>
      <c r="O731" s="13" t="n">
        <v>105</v>
      </c>
      <c r="P731" s="13" t="n">
        <v>55</v>
      </c>
      <c r="Q731" s="13" t="n">
        <v>12</v>
      </c>
      <c r="R731" s="13" t="n">
        <v>0</v>
      </c>
      <c r="S731" s="13" t="n">
        <v>0</v>
      </c>
      <c r="T731" s="13" t="n">
        <v>0.9917</v>
      </c>
      <c r="U731" s="13" t="n">
        <v>5.25</v>
      </c>
      <c r="V731" s="13" t="n">
        <f aca="false">M731-SUM(N731:S731)</f>
        <v>0</v>
      </c>
    </row>
    <row r="732" customFormat="false" ht="15" hidden="false" customHeight="true" outlineLevel="0" collapsed="false">
      <c r="A732" s="13" t="n">
        <v>2026</v>
      </c>
      <c r="B732" s="13" t="s">
        <v>1025</v>
      </c>
      <c r="C732" s="13" t="s">
        <v>121</v>
      </c>
      <c r="D732" s="13" t="s">
        <v>1035</v>
      </c>
      <c r="E732" s="13" t="s">
        <v>124</v>
      </c>
      <c r="F732" s="13" t="s">
        <v>357</v>
      </c>
      <c r="G732" s="13" t="n">
        <v>687</v>
      </c>
      <c r="H732" s="13" t="n">
        <v>0</v>
      </c>
      <c r="I732" s="13" t="n">
        <v>687</v>
      </c>
      <c r="J732" s="13" t="n">
        <v>0</v>
      </c>
      <c r="K732" s="13" t="n">
        <v>0</v>
      </c>
      <c r="L732" s="13" t="n">
        <v>32</v>
      </c>
      <c r="M732" s="13" t="n">
        <v>655</v>
      </c>
      <c r="N732" s="13" t="n">
        <v>142</v>
      </c>
      <c r="O732" s="13" t="n">
        <v>245</v>
      </c>
      <c r="P732" s="13" t="n">
        <v>222</v>
      </c>
      <c r="Q732" s="13" t="n">
        <v>43</v>
      </c>
      <c r="R732" s="13" t="n">
        <v>3</v>
      </c>
      <c r="S732" s="13" t="n">
        <v>0</v>
      </c>
      <c r="T732" s="13" t="n">
        <v>0.9534</v>
      </c>
      <c r="U732" s="13" t="n">
        <v>4.51</v>
      </c>
      <c r="V732" s="13" t="n">
        <f aca="false">M732-SUM(N732:S732)</f>
        <v>0</v>
      </c>
    </row>
    <row r="733" customFormat="false" ht="15" hidden="false" customHeight="true" outlineLevel="0" collapsed="false">
      <c r="A733" s="13" t="n">
        <v>2026</v>
      </c>
      <c r="B733" s="13" t="s">
        <v>1025</v>
      </c>
      <c r="C733" s="13" t="s">
        <v>121</v>
      </c>
      <c r="D733" s="13" t="s">
        <v>1035</v>
      </c>
      <c r="E733" s="13" t="s">
        <v>122</v>
      </c>
      <c r="F733" s="13" t="s">
        <v>357</v>
      </c>
      <c r="G733" s="13" t="n">
        <v>344</v>
      </c>
      <c r="H733" s="13" t="n">
        <v>3</v>
      </c>
      <c r="I733" s="13" t="n">
        <v>341</v>
      </c>
      <c r="J733" s="13" t="n">
        <v>0</v>
      </c>
      <c r="K733" s="13" t="n">
        <v>0</v>
      </c>
      <c r="L733" s="13" t="n">
        <v>15</v>
      </c>
      <c r="M733" s="13" t="n">
        <v>326</v>
      </c>
      <c r="N733" s="13" t="n">
        <v>89</v>
      </c>
      <c r="O733" s="13" t="n">
        <v>116</v>
      </c>
      <c r="P733" s="13" t="n">
        <v>97</v>
      </c>
      <c r="Q733" s="13" t="n">
        <v>23</v>
      </c>
      <c r="R733" s="13" t="n">
        <v>1</v>
      </c>
      <c r="S733" s="13" t="n">
        <v>0</v>
      </c>
      <c r="T733" s="13" t="n">
        <v>0.956</v>
      </c>
      <c r="U733" s="13" t="n">
        <v>4.61</v>
      </c>
      <c r="V733" s="13" t="n">
        <f aca="false">M733-SUM(N733:S733)</f>
        <v>0</v>
      </c>
    </row>
    <row r="734" customFormat="false" ht="15" hidden="false" customHeight="true" outlineLevel="0" collapsed="false">
      <c r="A734" s="13" t="n">
        <v>2026</v>
      </c>
      <c r="B734" s="13" t="s">
        <v>1025</v>
      </c>
      <c r="C734" s="13" t="s">
        <v>121</v>
      </c>
      <c r="D734" s="13" t="s">
        <v>1035</v>
      </c>
      <c r="E734" s="13" t="s">
        <v>192</v>
      </c>
      <c r="F734" s="13" t="s">
        <v>652</v>
      </c>
      <c r="G734" s="13" t="n">
        <v>1031</v>
      </c>
      <c r="H734" s="13" t="n">
        <v>3</v>
      </c>
      <c r="I734" s="13" t="n">
        <v>1028</v>
      </c>
      <c r="J734" s="13" t="n">
        <v>0</v>
      </c>
      <c r="K734" s="13" t="n">
        <v>0</v>
      </c>
      <c r="L734" s="13" t="n">
        <v>47</v>
      </c>
      <c r="M734" s="13" t="n">
        <v>981</v>
      </c>
      <c r="N734" s="13" t="n">
        <v>231</v>
      </c>
      <c r="O734" s="13" t="n">
        <v>361</v>
      </c>
      <c r="P734" s="13" t="n">
        <v>319</v>
      </c>
      <c r="Q734" s="13" t="n">
        <v>66</v>
      </c>
      <c r="R734" s="13" t="n">
        <v>4</v>
      </c>
      <c r="S734" s="13" t="n">
        <v>0</v>
      </c>
      <c r="T734" s="13" t="n">
        <v>0.9543</v>
      </c>
      <c r="U734" s="13" t="n">
        <v>4.55</v>
      </c>
      <c r="V734" s="13" t="n">
        <f aca="false">M734-SUM(N734:S734)</f>
        <v>0</v>
      </c>
    </row>
    <row r="735" customFormat="false" ht="15" hidden="false" customHeight="true" outlineLevel="0" collapsed="false">
      <c r="A735" s="13" t="n">
        <v>2026</v>
      </c>
      <c r="B735" s="13" t="s">
        <v>1025</v>
      </c>
      <c r="C735" s="13" t="s">
        <v>121</v>
      </c>
      <c r="D735" s="13" t="s">
        <v>203</v>
      </c>
      <c r="E735" s="13" t="s">
        <v>122</v>
      </c>
      <c r="F735" s="13" t="s">
        <v>357</v>
      </c>
      <c r="G735" s="13" t="n">
        <v>1</v>
      </c>
      <c r="H735" s="13" t="n">
        <v>0</v>
      </c>
      <c r="I735" s="13" t="n">
        <v>1</v>
      </c>
      <c r="J735" s="13" t="n">
        <v>0</v>
      </c>
      <c r="K735" s="13" t="n">
        <v>0</v>
      </c>
      <c r="L735" s="13" t="n">
        <v>0</v>
      </c>
      <c r="M735" s="13" t="n">
        <v>1</v>
      </c>
      <c r="N735" s="13" t="n">
        <v>0</v>
      </c>
      <c r="O735" s="13" t="n">
        <v>0</v>
      </c>
      <c r="P735" s="13" t="n">
        <v>1</v>
      </c>
      <c r="Q735" s="13" t="n">
        <v>0</v>
      </c>
      <c r="R735" s="13" t="n">
        <v>0</v>
      </c>
      <c r="S735" s="13" t="n">
        <v>0</v>
      </c>
      <c r="T735" s="13" t="n">
        <v>1</v>
      </c>
      <c r="U735" s="13" t="n">
        <v>4</v>
      </c>
      <c r="V735" s="13" t="n">
        <f aca="false">M735-SUM(N735:S735)</f>
        <v>0</v>
      </c>
    </row>
    <row r="736" customFormat="false" ht="15" hidden="false" customHeight="true" outlineLevel="0" collapsed="false">
      <c r="A736" s="13" t="n">
        <v>2026</v>
      </c>
      <c r="B736" s="13" t="s">
        <v>1025</v>
      </c>
      <c r="C736" s="13" t="s">
        <v>121</v>
      </c>
      <c r="D736" s="13" t="s">
        <v>203</v>
      </c>
      <c r="E736" s="13" t="s">
        <v>192</v>
      </c>
      <c r="F736" s="13" t="s">
        <v>652</v>
      </c>
      <c r="G736" s="13" t="n">
        <v>1</v>
      </c>
      <c r="H736" s="13" t="n">
        <v>0</v>
      </c>
      <c r="I736" s="13" t="n">
        <v>1</v>
      </c>
      <c r="J736" s="13" t="n">
        <v>0</v>
      </c>
      <c r="K736" s="13" t="n">
        <v>0</v>
      </c>
      <c r="L736" s="13" t="n">
        <v>0</v>
      </c>
      <c r="M736" s="13" t="n">
        <v>1</v>
      </c>
      <c r="N736" s="13" t="n">
        <v>0</v>
      </c>
      <c r="O736" s="13" t="n">
        <v>0</v>
      </c>
      <c r="P736" s="13" t="n">
        <v>1</v>
      </c>
      <c r="Q736" s="13" t="n">
        <v>0</v>
      </c>
      <c r="R736" s="13" t="n">
        <v>0</v>
      </c>
      <c r="S736" s="13" t="n">
        <v>0</v>
      </c>
      <c r="T736" s="13" t="n">
        <v>1</v>
      </c>
      <c r="U736" s="13" t="n">
        <v>4</v>
      </c>
      <c r="V736" s="13" t="n">
        <f aca="false">M736-SUM(N736:S736)</f>
        <v>0</v>
      </c>
    </row>
    <row r="737" customFormat="false" ht="15" hidden="false" customHeight="true" outlineLevel="0" collapsed="false">
      <c r="A737" s="13" t="n">
        <v>2026</v>
      </c>
      <c r="B737" s="13" t="s">
        <v>1025</v>
      </c>
      <c r="C737" s="13" t="s">
        <v>121</v>
      </c>
      <c r="D737" s="13" t="s">
        <v>1037</v>
      </c>
      <c r="E737" s="13" t="s">
        <v>192</v>
      </c>
      <c r="F737" s="13" t="s">
        <v>1038</v>
      </c>
      <c r="G737" s="13" t="n">
        <v>2820</v>
      </c>
      <c r="H737" s="13" t="n">
        <v>5</v>
      </c>
      <c r="I737" s="13" t="n">
        <v>2815</v>
      </c>
      <c r="J737" s="13" t="n">
        <v>0</v>
      </c>
      <c r="K737" s="13" t="n">
        <v>0</v>
      </c>
      <c r="L737" s="13" t="n">
        <v>77</v>
      </c>
      <c r="M737" s="13" t="n">
        <v>2738</v>
      </c>
      <c r="N737" s="13" t="n">
        <v>1134</v>
      </c>
      <c r="O737" s="13" t="n">
        <v>871</v>
      </c>
      <c r="P737" s="13" t="n">
        <v>572</v>
      </c>
      <c r="Q737" s="13" t="n">
        <v>148</v>
      </c>
      <c r="R737" s="13" t="n">
        <v>13</v>
      </c>
      <c r="S737" s="13" t="n">
        <v>0</v>
      </c>
      <c r="T737" s="13" t="n">
        <v>0.9726</v>
      </c>
      <c r="U737" s="13" t="n">
        <v>4.94</v>
      </c>
      <c r="V737" s="13" t="n">
        <f aca="false">M737-SUM(N737:S737)</f>
        <v>0</v>
      </c>
    </row>
    <row r="738" customFormat="false" ht="15" hidden="false" customHeight="true" outlineLevel="0" collapsed="false">
      <c r="A738" s="13" t="n">
        <v>2026</v>
      </c>
      <c r="B738" s="13" t="s">
        <v>1025</v>
      </c>
      <c r="C738" s="13" t="s">
        <v>125</v>
      </c>
      <c r="D738" s="13" t="s">
        <v>128</v>
      </c>
      <c r="E738" s="13" t="s">
        <v>124</v>
      </c>
      <c r="F738" s="13" t="s">
        <v>357</v>
      </c>
      <c r="G738" s="13" t="n">
        <v>24</v>
      </c>
      <c r="H738" s="13" t="n">
        <v>2</v>
      </c>
      <c r="I738" s="13" t="n">
        <v>22</v>
      </c>
      <c r="J738" s="13" t="n">
        <v>0</v>
      </c>
      <c r="K738" s="13" t="n">
        <v>0</v>
      </c>
      <c r="L738" s="13" t="n">
        <v>8</v>
      </c>
      <c r="M738" s="13" t="n">
        <v>14</v>
      </c>
      <c r="N738" s="13" t="n">
        <v>1</v>
      </c>
      <c r="O738" s="13" t="n">
        <v>1</v>
      </c>
      <c r="P738" s="13" t="n">
        <v>0</v>
      </c>
      <c r="Q738" s="13" t="n">
        <v>1</v>
      </c>
      <c r="R738" s="13" t="n">
        <v>0</v>
      </c>
      <c r="S738" s="13" t="n">
        <v>0</v>
      </c>
      <c r="T738" s="13" t="n">
        <v>0.6364</v>
      </c>
      <c r="U738" s="13" t="n">
        <v>0.64</v>
      </c>
      <c r="V738" s="13" t="n">
        <f aca="false">M738-SUM(N738:S738)</f>
        <v>11</v>
      </c>
    </row>
    <row r="739" customFormat="false" ht="15" hidden="false" customHeight="true" outlineLevel="0" collapsed="false">
      <c r="A739" s="13" t="n">
        <v>2026</v>
      </c>
      <c r="B739" s="13" t="s">
        <v>1025</v>
      </c>
      <c r="C739" s="13" t="s">
        <v>125</v>
      </c>
      <c r="D739" s="13" t="s">
        <v>128</v>
      </c>
      <c r="E739" s="13" t="s">
        <v>122</v>
      </c>
      <c r="F739" s="13" t="s">
        <v>357</v>
      </c>
      <c r="G739" s="13" t="n">
        <v>39</v>
      </c>
      <c r="H739" s="13" t="n">
        <v>1</v>
      </c>
      <c r="I739" s="13" t="n">
        <v>38</v>
      </c>
      <c r="J739" s="13" t="n">
        <v>6</v>
      </c>
      <c r="K739" s="13" t="n">
        <v>0</v>
      </c>
      <c r="L739" s="13" t="n">
        <v>10</v>
      </c>
      <c r="M739" s="13" t="n">
        <v>28</v>
      </c>
      <c r="N739" s="13" t="n">
        <v>0</v>
      </c>
      <c r="O739" s="13" t="n">
        <v>1</v>
      </c>
      <c r="P739" s="13" t="n">
        <v>7</v>
      </c>
      <c r="Q739" s="13" t="n">
        <v>8</v>
      </c>
      <c r="R739" s="13" t="n">
        <v>4</v>
      </c>
      <c r="S739" s="13" t="n">
        <v>0</v>
      </c>
      <c r="T739" s="13" t="n">
        <v>0.7368</v>
      </c>
      <c r="U739" s="13" t="n">
        <v>1.71</v>
      </c>
      <c r="V739" s="13" t="n">
        <f aca="false">M739-SUM(N739:S739)</f>
        <v>8</v>
      </c>
    </row>
    <row r="740" customFormat="false" ht="15" hidden="false" customHeight="true" outlineLevel="0" collapsed="false">
      <c r="A740" s="13" t="n">
        <v>2026</v>
      </c>
      <c r="B740" s="13" t="s">
        <v>1025</v>
      </c>
      <c r="C740" s="13" t="s">
        <v>125</v>
      </c>
      <c r="D740" s="13" t="s">
        <v>128</v>
      </c>
      <c r="E740" s="13" t="s">
        <v>192</v>
      </c>
      <c r="F740" s="13" t="s">
        <v>652</v>
      </c>
      <c r="G740" s="13" t="n">
        <v>63</v>
      </c>
      <c r="H740" s="13" t="n">
        <v>3</v>
      </c>
      <c r="I740" s="13" t="n">
        <v>60</v>
      </c>
      <c r="J740" s="13" t="n">
        <v>6</v>
      </c>
      <c r="K740" s="13" t="n">
        <v>0</v>
      </c>
      <c r="L740" s="13" t="n">
        <v>18</v>
      </c>
      <c r="M740" s="13" t="n">
        <v>42</v>
      </c>
      <c r="N740" s="13" t="n">
        <v>1</v>
      </c>
      <c r="O740" s="13" t="n">
        <v>2</v>
      </c>
      <c r="P740" s="13" t="n">
        <v>7</v>
      </c>
      <c r="Q740" s="13" t="n">
        <v>9</v>
      </c>
      <c r="R740" s="13" t="n">
        <v>4</v>
      </c>
      <c r="S740" s="13" t="n">
        <v>0</v>
      </c>
      <c r="T740" s="13" t="n">
        <v>0.7</v>
      </c>
      <c r="U740" s="13" t="n">
        <v>1.32</v>
      </c>
      <c r="V740" s="13" t="n">
        <f aca="false">M740-SUM(N740:S740)</f>
        <v>19</v>
      </c>
    </row>
    <row r="741" customFormat="false" ht="15" hidden="false" customHeight="true" outlineLevel="0" collapsed="false">
      <c r="A741" s="13" t="n">
        <v>2026</v>
      </c>
      <c r="B741" s="13" t="s">
        <v>1025</v>
      </c>
      <c r="C741" s="13" t="s">
        <v>125</v>
      </c>
      <c r="D741" s="13" t="s">
        <v>1033</v>
      </c>
      <c r="E741" s="13" t="s">
        <v>124</v>
      </c>
      <c r="F741" s="13" t="s">
        <v>357</v>
      </c>
      <c r="G741" s="13" t="n">
        <v>105</v>
      </c>
      <c r="H741" s="13" t="n">
        <v>7</v>
      </c>
      <c r="I741" s="13" t="n">
        <v>98</v>
      </c>
      <c r="J741" s="13" t="n">
        <v>7</v>
      </c>
      <c r="K741" s="13" t="n">
        <v>0</v>
      </c>
      <c r="L741" s="13" t="n">
        <v>14</v>
      </c>
      <c r="M741" s="13" t="n">
        <v>84</v>
      </c>
      <c r="N741" s="13" t="n">
        <v>56</v>
      </c>
      <c r="O741" s="13" t="n">
        <v>13</v>
      </c>
      <c r="P741" s="13" t="n">
        <v>7</v>
      </c>
      <c r="Q741" s="13" t="n">
        <v>7</v>
      </c>
      <c r="R741" s="13" t="n">
        <v>1</v>
      </c>
      <c r="S741" s="13" t="n">
        <v>0</v>
      </c>
      <c r="T741" s="13" t="n">
        <v>0.8571</v>
      </c>
      <c r="U741" s="13" t="n">
        <v>4.61</v>
      </c>
      <c r="V741" s="13" t="n">
        <f aca="false">M741-SUM(N741:S741)</f>
        <v>0</v>
      </c>
    </row>
    <row r="742" customFormat="false" ht="15" hidden="false" customHeight="true" outlineLevel="0" collapsed="false">
      <c r="A742" s="13" t="n">
        <v>2026</v>
      </c>
      <c r="B742" s="13" t="s">
        <v>1025</v>
      </c>
      <c r="C742" s="13" t="s">
        <v>125</v>
      </c>
      <c r="D742" s="13" t="s">
        <v>1033</v>
      </c>
      <c r="E742" s="13" t="s">
        <v>122</v>
      </c>
      <c r="F742" s="13" t="s">
        <v>357</v>
      </c>
      <c r="G742" s="13" t="n">
        <v>169</v>
      </c>
      <c r="H742" s="13" t="n">
        <v>7</v>
      </c>
      <c r="I742" s="13" t="n">
        <v>162</v>
      </c>
      <c r="J742" s="13" t="n">
        <v>0</v>
      </c>
      <c r="K742" s="13" t="n">
        <v>1</v>
      </c>
      <c r="L742" s="13" t="n">
        <v>3</v>
      </c>
      <c r="M742" s="13" t="n">
        <v>158</v>
      </c>
      <c r="N742" s="13" t="n">
        <v>123</v>
      </c>
      <c r="O742" s="13" t="n">
        <v>15</v>
      </c>
      <c r="P742" s="13" t="n">
        <v>12</v>
      </c>
      <c r="Q742" s="13" t="n">
        <v>7</v>
      </c>
      <c r="R742" s="13" t="n">
        <v>1</v>
      </c>
      <c r="S742" s="13" t="n">
        <v>0</v>
      </c>
      <c r="T742" s="13" t="n">
        <v>0.9753</v>
      </c>
      <c r="U742" s="13" t="n">
        <v>5.46</v>
      </c>
      <c r="V742" s="13" t="n">
        <f aca="false">M742-SUM(N742:S742)</f>
        <v>0</v>
      </c>
    </row>
    <row r="743" customFormat="false" ht="15" hidden="false" customHeight="true" outlineLevel="0" collapsed="false">
      <c r="A743" s="13" t="n">
        <v>2026</v>
      </c>
      <c r="B743" s="13" t="s">
        <v>1025</v>
      </c>
      <c r="C743" s="13" t="s">
        <v>125</v>
      </c>
      <c r="D743" s="13" t="s">
        <v>1033</v>
      </c>
      <c r="E743" s="13" t="s">
        <v>192</v>
      </c>
      <c r="F743" s="13" t="s">
        <v>652</v>
      </c>
      <c r="G743" s="13" t="n">
        <v>274</v>
      </c>
      <c r="H743" s="13" t="n">
        <v>14</v>
      </c>
      <c r="I743" s="13" t="n">
        <v>260</v>
      </c>
      <c r="J743" s="13" t="n">
        <v>7</v>
      </c>
      <c r="K743" s="13" t="n">
        <v>1</v>
      </c>
      <c r="L743" s="13" t="n">
        <v>17</v>
      </c>
      <c r="M743" s="13" t="n">
        <v>242</v>
      </c>
      <c r="N743" s="13" t="n">
        <v>179</v>
      </c>
      <c r="O743" s="13" t="n">
        <v>28</v>
      </c>
      <c r="P743" s="13" t="n">
        <v>19</v>
      </c>
      <c r="Q743" s="13" t="n">
        <v>14</v>
      </c>
      <c r="R743" s="13" t="n">
        <v>2</v>
      </c>
      <c r="S743" s="13" t="n">
        <v>0</v>
      </c>
      <c r="T743" s="13" t="n">
        <v>0.9308</v>
      </c>
      <c r="U743" s="13" t="n">
        <v>5.14</v>
      </c>
      <c r="V743" s="13" t="n">
        <f aca="false">M743-SUM(N743:S743)</f>
        <v>0</v>
      </c>
    </row>
    <row r="744" customFormat="false" ht="15" hidden="false" customHeight="true" outlineLevel="0" collapsed="false">
      <c r="A744" s="13" t="n">
        <v>2026</v>
      </c>
      <c r="B744" s="13" t="s">
        <v>1025</v>
      </c>
      <c r="C744" s="13" t="s">
        <v>125</v>
      </c>
      <c r="D744" s="13" t="s">
        <v>1034</v>
      </c>
      <c r="E744" s="13" t="s">
        <v>124</v>
      </c>
      <c r="F744" s="13" t="s">
        <v>357</v>
      </c>
      <c r="G744" s="13" t="n">
        <v>21</v>
      </c>
      <c r="H744" s="13" t="n">
        <v>5</v>
      </c>
      <c r="I744" s="13" t="n">
        <v>16</v>
      </c>
      <c r="J744" s="13" t="n">
        <v>1</v>
      </c>
      <c r="K744" s="13" t="n">
        <v>0</v>
      </c>
      <c r="L744" s="13" t="n">
        <v>2</v>
      </c>
      <c r="M744" s="13" t="n">
        <v>14</v>
      </c>
      <c r="N744" s="13" t="n">
        <v>1</v>
      </c>
      <c r="O744" s="13" t="n">
        <v>3</v>
      </c>
      <c r="P744" s="13" t="n">
        <v>6</v>
      </c>
      <c r="Q744" s="13" t="n">
        <v>3</v>
      </c>
      <c r="R744" s="13" t="n">
        <v>1</v>
      </c>
      <c r="S744" s="13" t="n">
        <v>0</v>
      </c>
      <c r="T744" s="13" t="n">
        <v>0.875</v>
      </c>
      <c r="U744" s="13" t="n">
        <v>3.5</v>
      </c>
      <c r="V744" s="13" t="n">
        <f aca="false">M744-SUM(N744:S744)</f>
        <v>0</v>
      </c>
    </row>
    <row r="745" customFormat="false" ht="15" hidden="false" customHeight="true" outlineLevel="0" collapsed="false">
      <c r="A745" s="13" t="n">
        <v>2026</v>
      </c>
      <c r="B745" s="13" t="s">
        <v>1025</v>
      </c>
      <c r="C745" s="13" t="s">
        <v>125</v>
      </c>
      <c r="D745" s="13" t="s">
        <v>1034</v>
      </c>
      <c r="E745" s="13" t="s">
        <v>122</v>
      </c>
      <c r="F745" s="13" t="s">
        <v>357</v>
      </c>
      <c r="G745" s="13" t="n">
        <v>9</v>
      </c>
      <c r="H745" s="13" t="n">
        <v>0</v>
      </c>
      <c r="I745" s="13" t="n">
        <v>9</v>
      </c>
      <c r="J745" s="13" t="n">
        <v>1</v>
      </c>
      <c r="K745" s="13" t="n">
        <v>0</v>
      </c>
      <c r="L745" s="13" t="n">
        <v>6</v>
      </c>
      <c r="M745" s="13" t="n">
        <v>3</v>
      </c>
      <c r="N745" s="13" t="n">
        <v>0</v>
      </c>
      <c r="O745" s="13" t="n">
        <v>2</v>
      </c>
      <c r="P745" s="13" t="n">
        <v>0</v>
      </c>
      <c r="Q745" s="13" t="n">
        <v>1</v>
      </c>
      <c r="R745" s="13" t="n">
        <v>0</v>
      </c>
      <c r="S745" s="13" t="n">
        <v>0</v>
      </c>
      <c r="T745" s="13" t="n">
        <v>0.3333</v>
      </c>
      <c r="U745" s="13" t="n">
        <v>1.44</v>
      </c>
      <c r="V745" s="13" t="n">
        <f aca="false">M745-SUM(N745:S745)</f>
        <v>0</v>
      </c>
    </row>
    <row r="746" customFormat="false" ht="15" hidden="false" customHeight="true" outlineLevel="0" collapsed="false">
      <c r="A746" s="13" t="n">
        <v>2026</v>
      </c>
      <c r="B746" s="13" t="s">
        <v>1025</v>
      </c>
      <c r="C746" s="13" t="s">
        <v>125</v>
      </c>
      <c r="D746" s="13" t="s">
        <v>1034</v>
      </c>
      <c r="E746" s="13" t="s">
        <v>192</v>
      </c>
      <c r="F746" s="13" t="s">
        <v>652</v>
      </c>
      <c r="G746" s="13" t="n">
        <v>30</v>
      </c>
      <c r="H746" s="13" t="n">
        <v>5</v>
      </c>
      <c r="I746" s="13" t="n">
        <v>25</v>
      </c>
      <c r="J746" s="13" t="n">
        <v>2</v>
      </c>
      <c r="K746" s="13" t="n">
        <v>0</v>
      </c>
      <c r="L746" s="13" t="n">
        <v>8</v>
      </c>
      <c r="M746" s="13" t="n">
        <v>17</v>
      </c>
      <c r="N746" s="13" t="n">
        <v>1</v>
      </c>
      <c r="O746" s="13" t="n">
        <v>5</v>
      </c>
      <c r="P746" s="13" t="n">
        <v>6</v>
      </c>
      <c r="Q746" s="13" t="n">
        <v>4</v>
      </c>
      <c r="R746" s="13" t="n">
        <v>1</v>
      </c>
      <c r="S746" s="13" t="n">
        <v>0</v>
      </c>
      <c r="T746" s="13" t="n">
        <v>0.68</v>
      </c>
      <c r="U746" s="13" t="n">
        <v>2.76</v>
      </c>
      <c r="V746" s="13" t="n">
        <f aca="false">M746-SUM(N746:S746)</f>
        <v>0</v>
      </c>
    </row>
    <row r="747" customFormat="false" ht="15" hidden="false" customHeight="true" outlineLevel="0" collapsed="false">
      <c r="A747" s="13" t="n">
        <v>2026</v>
      </c>
      <c r="B747" s="13" t="s">
        <v>1025</v>
      </c>
      <c r="C747" s="13" t="s">
        <v>125</v>
      </c>
      <c r="D747" s="13" t="s">
        <v>1035</v>
      </c>
      <c r="E747" s="13" t="s">
        <v>124</v>
      </c>
      <c r="F747" s="13" t="s">
        <v>357</v>
      </c>
      <c r="G747" s="13" t="n">
        <v>87</v>
      </c>
      <c r="H747" s="13" t="n">
        <v>6</v>
      </c>
      <c r="I747" s="13" t="n">
        <v>81</v>
      </c>
      <c r="J747" s="13" t="n">
        <v>5</v>
      </c>
      <c r="K747" s="13" t="n">
        <v>2</v>
      </c>
      <c r="L747" s="13" t="n">
        <v>31</v>
      </c>
      <c r="M747" s="13" t="n">
        <v>48</v>
      </c>
      <c r="N747" s="13" t="n">
        <v>0</v>
      </c>
      <c r="O747" s="13" t="n">
        <v>7</v>
      </c>
      <c r="P747" s="13" t="n">
        <v>18</v>
      </c>
      <c r="Q747" s="13" t="n">
        <v>18</v>
      </c>
      <c r="R747" s="13" t="n">
        <v>5</v>
      </c>
      <c r="S747" s="13" t="n">
        <v>0</v>
      </c>
      <c r="T747" s="13" t="n">
        <v>0.5926</v>
      </c>
      <c r="U747" s="13" t="n">
        <v>2.11</v>
      </c>
      <c r="V747" s="13" t="n">
        <f aca="false">M747-SUM(N747:S747)</f>
        <v>0</v>
      </c>
    </row>
    <row r="748" customFormat="false" ht="15" hidden="false" customHeight="true" outlineLevel="0" collapsed="false">
      <c r="A748" s="13" t="n">
        <v>2026</v>
      </c>
      <c r="B748" s="13" t="s">
        <v>1025</v>
      </c>
      <c r="C748" s="13" t="s">
        <v>125</v>
      </c>
      <c r="D748" s="13" t="s">
        <v>1035</v>
      </c>
      <c r="E748" s="13" t="s">
        <v>122</v>
      </c>
      <c r="F748" s="13" t="s">
        <v>357</v>
      </c>
      <c r="G748" s="13" t="n">
        <v>25</v>
      </c>
      <c r="H748" s="13" t="n">
        <v>0</v>
      </c>
      <c r="I748" s="13" t="n">
        <v>25</v>
      </c>
      <c r="J748" s="13" t="n">
        <v>1</v>
      </c>
      <c r="K748" s="13" t="n">
        <v>0</v>
      </c>
      <c r="L748" s="13" t="n">
        <v>14</v>
      </c>
      <c r="M748" s="13" t="n">
        <v>11</v>
      </c>
      <c r="N748" s="13" t="n">
        <v>1</v>
      </c>
      <c r="O748" s="13" t="n">
        <v>1</v>
      </c>
      <c r="P748" s="13" t="n">
        <v>4</v>
      </c>
      <c r="Q748" s="13" t="n">
        <v>3</v>
      </c>
      <c r="R748" s="13" t="n">
        <v>2</v>
      </c>
      <c r="S748" s="13" t="n">
        <v>0</v>
      </c>
      <c r="T748" s="13" t="n">
        <v>0.44</v>
      </c>
      <c r="U748" s="13" t="n">
        <v>1.6</v>
      </c>
      <c r="V748" s="13" t="n">
        <f aca="false">M748-SUM(N748:S748)</f>
        <v>0</v>
      </c>
    </row>
    <row r="749" customFormat="false" ht="15" hidden="false" customHeight="true" outlineLevel="0" collapsed="false">
      <c r="A749" s="13" t="n">
        <v>2026</v>
      </c>
      <c r="B749" s="13" t="s">
        <v>1025</v>
      </c>
      <c r="C749" s="13" t="s">
        <v>125</v>
      </c>
      <c r="D749" s="13" t="s">
        <v>1035</v>
      </c>
      <c r="E749" s="13" t="s">
        <v>192</v>
      </c>
      <c r="F749" s="13" t="s">
        <v>652</v>
      </c>
      <c r="G749" s="13" t="n">
        <v>112</v>
      </c>
      <c r="H749" s="13" t="n">
        <v>6</v>
      </c>
      <c r="I749" s="13" t="n">
        <v>106</v>
      </c>
      <c r="J749" s="13" t="n">
        <v>6</v>
      </c>
      <c r="K749" s="13" t="n">
        <v>2</v>
      </c>
      <c r="L749" s="13" t="n">
        <v>45</v>
      </c>
      <c r="M749" s="13" t="n">
        <v>59</v>
      </c>
      <c r="N749" s="13" t="n">
        <v>1</v>
      </c>
      <c r="O749" s="13" t="n">
        <v>8</v>
      </c>
      <c r="P749" s="13" t="n">
        <v>22</v>
      </c>
      <c r="Q749" s="13" t="n">
        <v>21</v>
      </c>
      <c r="R749" s="13" t="n">
        <v>7</v>
      </c>
      <c r="S749" s="13" t="n">
        <v>0</v>
      </c>
      <c r="T749" s="13" t="n">
        <v>0.5566</v>
      </c>
      <c r="U749" s="13" t="n">
        <v>1.99</v>
      </c>
      <c r="V749" s="13" t="n">
        <f aca="false">M749-SUM(N749:S749)</f>
        <v>0</v>
      </c>
    </row>
    <row r="750" customFormat="false" ht="15" hidden="false" customHeight="true" outlineLevel="0" collapsed="false">
      <c r="A750" s="13" t="n">
        <v>2026</v>
      </c>
      <c r="B750" s="13" t="s">
        <v>1025</v>
      </c>
      <c r="C750" s="13" t="s">
        <v>125</v>
      </c>
      <c r="D750" s="13" t="s">
        <v>203</v>
      </c>
      <c r="E750" s="13" t="s">
        <v>124</v>
      </c>
      <c r="F750" s="13" t="s">
        <v>357</v>
      </c>
      <c r="G750" s="13" t="n">
        <v>1</v>
      </c>
      <c r="H750" s="13" t="n">
        <v>0</v>
      </c>
      <c r="I750" s="13" t="n">
        <v>1</v>
      </c>
      <c r="J750" s="13" t="n">
        <v>0</v>
      </c>
      <c r="K750" s="13" t="n">
        <v>0</v>
      </c>
      <c r="L750" s="13" t="n">
        <v>0</v>
      </c>
      <c r="M750" s="13" t="n">
        <v>1</v>
      </c>
      <c r="N750" s="13" t="n">
        <v>0</v>
      </c>
      <c r="O750" s="13" t="n">
        <v>0</v>
      </c>
      <c r="P750" s="13" t="n">
        <v>0</v>
      </c>
      <c r="Q750" s="13" t="n">
        <v>1</v>
      </c>
      <c r="R750" s="13" t="n">
        <v>0</v>
      </c>
      <c r="S750" s="13" t="n">
        <v>0</v>
      </c>
      <c r="T750" s="13" t="n">
        <v>1</v>
      </c>
      <c r="U750" s="13" t="n">
        <v>3</v>
      </c>
      <c r="V750" s="13" t="n">
        <f aca="false">M750-SUM(N750:S750)</f>
        <v>0</v>
      </c>
    </row>
    <row r="751" customFormat="false" ht="15" hidden="false" customHeight="true" outlineLevel="0" collapsed="false">
      <c r="A751" s="13" t="n">
        <v>2026</v>
      </c>
      <c r="B751" s="13" t="s">
        <v>1025</v>
      </c>
      <c r="C751" s="13" t="s">
        <v>125</v>
      </c>
      <c r="D751" s="13" t="s">
        <v>203</v>
      </c>
      <c r="E751" s="13" t="s">
        <v>122</v>
      </c>
      <c r="F751" s="13" t="s">
        <v>357</v>
      </c>
      <c r="G751" s="13" t="n">
        <v>4</v>
      </c>
      <c r="H751" s="13" t="n">
        <v>0</v>
      </c>
      <c r="I751" s="13" t="n">
        <v>4</v>
      </c>
      <c r="J751" s="13" t="n">
        <v>0</v>
      </c>
      <c r="K751" s="13" t="n">
        <v>0</v>
      </c>
      <c r="L751" s="13" t="n">
        <v>2</v>
      </c>
      <c r="M751" s="13" t="n">
        <v>2</v>
      </c>
      <c r="N751" s="13" t="n">
        <v>0</v>
      </c>
      <c r="O751" s="13" t="n">
        <v>0</v>
      </c>
      <c r="P751" s="13" t="n">
        <v>1</v>
      </c>
      <c r="Q751" s="13" t="n">
        <v>0</v>
      </c>
      <c r="R751" s="13" t="n">
        <v>1</v>
      </c>
      <c r="S751" s="13" t="n">
        <v>0</v>
      </c>
      <c r="T751" s="13" t="n">
        <v>0.5</v>
      </c>
      <c r="U751" s="13" t="n">
        <v>1.5</v>
      </c>
      <c r="V751" s="13" t="n">
        <f aca="false">M751-SUM(N751:S751)</f>
        <v>0</v>
      </c>
    </row>
    <row r="752" customFormat="false" ht="15" hidden="false" customHeight="true" outlineLevel="0" collapsed="false">
      <c r="A752" s="13" t="n">
        <v>2026</v>
      </c>
      <c r="B752" s="13" t="s">
        <v>1025</v>
      </c>
      <c r="C752" s="13" t="s">
        <v>125</v>
      </c>
      <c r="D752" s="13" t="s">
        <v>203</v>
      </c>
      <c r="E752" s="13" t="s">
        <v>192</v>
      </c>
      <c r="F752" s="13" t="s">
        <v>652</v>
      </c>
      <c r="G752" s="13" t="n">
        <v>5</v>
      </c>
      <c r="H752" s="13" t="n">
        <v>0</v>
      </c>
      <c r="I752" s="13" t="n">
        <v>5</v>
      </c>
      <c r="J752" s="13" t="n">
        <v>0</v>
      </c>
      <c r="K752" s="13" t="n">
        <v>0</v>
      </c>
      <c r="L752" s="13" t="n">
        <v>2</v>
      </c>
      <c r="M752" s="13" t="n">
        <v>3</v>
      </c>
      <c r="N752" s="13" t="n">
        <v>0</v>
      </c>
      <c r="O752" s="13" t="n">
        <v>0</v>
      </c>
      <c r="P752" s="13" t="n">
        <v>1</v>
      </c>
      <c r="Q752" s="13" t="n">
        <v>1</v>
      </c>
      <c r="R752" s="13" t="n">
        <v>1</v>
      </c>
      <c r="S752" s="13" t="n">
        <v>0</v>
      </c>
      <c r="T752" s="13" t="n">
        <v>0.6</v>
      </c>
      <c r="U752" s="13" t="n">
        <v>1.8</v>
      </c>
      <c r="V752" s="13" t="n">
        <f aca="false">M752-SUM(N752:S752)</f>
        <v>0</v>
      </c>
    </row>
    <row r="753" customFormat="false" ht="15" hidden="false" customHeight="true" outlineLevel="0" collapsed="false">
      <c r="A753" s="13" t="n">
        <v>2026</v>
      </c>
      <c r="B753" s="13" t="s">
        <v>1025</v>
      </c>
      <c r="C753" s="13" t="s">
        <v>125</v>
      </c>
      <c r="D753" s="13" t="s">
        <v>1036</v>
      </c>
      <c r="E753" s="13" t="s">
        <v>122</v>
      </c>
      <c r="F753" s="13" t="s">
        <v>357</v>
      </c>
      <c r="G753" s="13" t="n">
        <v>1</v>
      </c>
      <c r="H753" s="13" t="n">
        <v>0</v>
      </c>
      <c r="I753" s="13" t="n">
        <v>1</v>
      </c>
      <c r="J753" s="13" t="n">
        <v>0</v>
      </c>
      <c r="K753" s="13" t="n">
        <v>0</v>
      </c>
      <c r="L753" s="13" t="n">
        <v>1</v>
      </c>
      <c r="M753" s="13" t="n">
        <v>0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0</v>
      </c>
      <c r="V753" s="13" t="n">
        <f aca="false">M753-SUM(N753:S753)</f>
        <v>0</v>
      </c>
    </row>
    <row r="754" customFormat="false" ht="15" hidden="false" customHeight="true" outlineLevel="0" collapsed="false">
      <c r="A754" s="13" t="n">
        <v>2026</v>
      </c>
      <c r="B754" s="13" t="s">
        <v>1025</v>
      </c>
      <c r="C754" s="13" t="s">
        <v>125</v>
      </c>
      <c r="D754" s="13" t="s">
        <v>1036</v>
      </c>
      <c r="E754" s="13" t="s">
        <v>192</v>
      </c>
      <c r="F754" s="13" t="s">
        <v>652</v>
      </c>
      <c r="G754" s="13" t="n">
        <v>1</v>
      </c>
      <c r="H754" s="13" t="n">
        <v>0</v>
      </c>
      <c r="I754" s="13" t="n">
        <v>1</v>
      </c>
      <c r="J754" s="13" t="n">
        <v>0</v>
      </c>
      <c r="K754" s="13" t="n">
        <v>0</v>
      </c>
      <c r="L754" s="13" t="n">
        <v>1</v>
      </c>
      <c r="M754" s="13" t="n">
        <v>0</v>
      </c>
      <c r="N754" s="13" t="n">
        <v>0</v>
      </c>
      <c r="O754" s="13" t="n">
        <v>0</v>
      </c>
      <c r="P754" s="13" t="n">
        <v>0</v>
      </c>
      <c r="Q754" s="13" t="n">
        <v>0</v>
      </c>
      <c r="R754" s="13" t="n">
        <v>0</v>
      </c>
      <c r="S754" s="13" t="n">
        <v>0</v>
      </c>
      <c r="T754" s="13" t="n">
        <v>0</v>
      </c>
      <c r="U754" s="13" t="n">
        <v>0</v>
      </c>
      <c r="V754" s="13" t="n">
        <f aca="false">M754-SUM(N754:S754)</f>
        <v>0</v>
      </c>
    </row>
    <row r="755" customFormat="false" ht="15" hidden="false" customHeight="true" outlineLevel="0" collapsed="false">
      <c r="A755" s="13" t="n">
        <v>2026</v>
      </c>
      <c r="B755" s="13" t="s">
        <v>1025</v>
      </c>
      <c r="C755" s="13" t="s">
        <v>125</v>
      </c>
      <c r="D755" s="13" t="s">
        <v>1037</v>
      </c>
      <c r="E755" s="13" t="s">
        <v>192</v>
      </c>
      <c r="F755" s="13" t="s">
        <v>1038</v>
      </c>
      <c r="G755" s="13" t="n">
        <v>485</v>
      </c>
      <c r="H755" s="13" t="n">
        <v>28</v>
      </c>
      <c r="I755" s="13" t="n">
        <v>457</v>
      </c>
      <c r="J755" s="13" t="n">
        <v>21</v>
      </c>
      <c r="K755" s="13" t="n">
        <v>3</v>
      </c>
      <c r="L755" s="13" t="n">
        <v>91</v>
      </c>
      <c r="M755" s="13" t="n">
        <v>363</v>
      </c>
      <c r="N755" s="13" t="n">
        <v>182</v>
      </c>
      <c r="O755" s="13" t="n">
        <v>43</v>
      </c>
      <c r="P755" s="13" t="n">
        <v>55</v>
      </c>
      <c r="Q755" s="13" t="n">
        <v>49</v>
      </c>
      <c r="R755" s="13" t="n">
        <v>15</v>
      </c>
      <c r="S755" s="13" t="n">
        <v>0</v>
      </c>
      <c r="T755" s="13" t="n">
        <v>0.7943</v>
      </c>
      <c r="U755" s="13" t="n">
        <v>3.73</v>
      </c>
      <c r="V755" s="13" t="n">
        <f aca="false">M755-SUM(N755:S755)</f>
        <v>19</v>
      </c>
    </row>
    <row r="756" customFormat="false" ht="15" hidden="false" customHeight="true" outlineLevel="0" collapsed="false">
      <c r="A756" s="13" t="n">
        <v>2026</v>
      </c>
      <c r="B756" s="13" t="s">
        <v>1025</v>
      </c>
      <c r="C756" s="13" t="s">
        <v>125</v>
      </c>
      <c r="D756" s="13" t="s">
        <v>1037</v>
      </c>
      <c r="E756" s="13" t="s">
        <v>192</v>
      </c>
      <c r="F756" s="13" t="s">
        <v>137</v>
      </c>
      <c r="G756" s="13" t="n">
        <v>3305</v>
      </c>
      <c r="H756" s="13" t="n">
        <v>33</v>
      </c>
      <c r="I756" s="13" t="n">
        <v>3272</v>
      </c>
      <c r="J756" s="13" t="n">
        <v>21</v>
      </c>
      <c r="K756" s="13" t="n">
        <v>3</v>
      </c>
      <c r="L756" s="13" t="n">
        <v>168</v>
      </c>
      <c r="M756" s="13" t="n">
        <v>3101</v>
      </c>
      <c r="N756" s="13" t="n">
        <v>1316</v>
      </c>
      <c r="O756" s="13" t="n">
        <v>914</v>
      </c>
      <c r="P756" s="13" t="n">
        <v>627</v>
      </c>
      <c r="Q756" s="13" t="n">
        <v>197</v>
      </c>
      <c r="R756" s="13" t="n">
        <v>28</v>
      </c>
      <c r="S756" s="13" t="n">
        <v>0</v>
      </c>
      <c r="T756" s="13" t="n">
        <v>0.9539</v>
      </c>
      <c r="U756" s="13" t="n">
        <v>4.8</v>
      </c>
      <c r="V756" s="13" t="n">
        <f aca="false">M756-SUM(N756:S756)</f>
        <v>19</v>
      </c>
    </row>
    <row r="757" customFormat="false" ht="15" hidden="false" customHeight="true" outlineLevel="0" collapsed="false">
      <c r="A757" s="13" t="n">
        <v>2026</v>
      </c>
      <c r="B757" s="13" t="s">
        <v>1026</v>
      </c>
      <c r="C757" s="13" t="s">
        <v>121</v>
      </c>
      <c r="D757" s="13" t="s">
        <v>128</v>
      </c>
      <c r="E757" s="13" t="s">
        <v>124</v>
      </c>
      <c r="F757" s="13" t="s">
        <v>357</v>
      </c>
      <c r="G757" s="13" t="n">
        <v>18</v>
      </c>
      <c r="H757" s="13" t="n">
        <v>0</v>
      </c>
      <c r="I757" s="13" t="n">
        <v>18</v>
      </c>
      <c r="J757" s="13" t="n">
        <v>0</v>
      </c>
      <c r="K757" s="13" t="n">
        <v>0</v>
      </c>
      <c r="L757" s="13" t="n">
        <v>0</v>
      </c>
      <c r="M757" s="13" t="n">
        <v>18</v>
      </c>
      <c r="N757" s="13" t="n">
        <v>5</v>
      </c>
      <c r="O757" s="13" t="n">
        <v>5</v>
      </c>
      <c r="P757" s="13" t="n">
        <v>1</v>
      </c>
      <c r="Q757" s="13" t="n">
        <v>3</v>
      </c>
      <c r="R757" s="13" t="n">
        <v>4</v>
      </c>
      <c r="S757" s="13" t="n">
        <v>0</v>
      </c>
      <c r="T757" s="13" t="n">
        <v>1</v>
      </c>
      <c r="U757" s="13" t="n">
        <v>4.22</v>
      </c>
      <c r="V757" s="13" t="n">
        <f aca="false">M757-SUM(N757:S757)</f>
        <v>0</v>
      </c>
    </row>
    <row r="758" customFormat="false" ht="15" hidden="false" customHeight="true" outlineLevel="0" collapsed="false">
      <c r="A758" s="13" t="n">
        <v>2026</v>
      </c>
      <c r="B758" s="13" t="s">
        <v>1026</v>
      </c>
      <c r="C758" s="13" t="s">
        <v>121</v>
      </c>
      <c r="D758" s="13" t="s">
        <v>128</v>
      </c>
      <c r="E758" s="13" t="s">
        <v>122</v>
      </c>
      <c r="F758" s="13" t="s">
        <v>357</v>
      </c>
      <c r="G758" s="13" t="n">
        <v>18</v>
      </c>
      <c r="H758" s="13" t="n">
        <v>0</v>
      </c>
      <c r="I758" s="13" t="n">
        <v>18</v>
      </c>
      <c r="J758" s="13" t="n">
        <v>0</v>
      </c>
      <c r="K758" s="13" t="n">
        <v>0</v>
      </c>
      <c r="L758" s="13" t="n">
        <v>0</v>
      </c>
      <c r="M758" s="13" t="n">
        <v>18</v>
      </c>
      <c r="N758" s="13" t="n">
        <v>1</v>
      </c>
      <c r="O758" s="13" t="n">
        <v>7</v>
      </c>
      <c r="P758" s="13" t="n">
        <v>6</v>
      </c>
      <c r="Q758" s="13" t="n">
        <v>3</v>
      </c>
      <c r="R758" s="13" t="n">
        <v>1</v>
      </c>
      <c r="S758" s="13" t="n">
        <v>0</v>
      </c>
      <c r="T758" s="13" t="n">
        <v>1</v>
      </c>
      <c r="U758" s="13" t="n">
        <v>4.22</v>
      </c>
      <c r="V758" s="13" t="n">
        <f aca="false">M758-SUM(N758:S758)</f>
        <v>0</v>
      </c>
    </row>
    <row r="759" customFormat="false" ht="15" hidden="false" customHeight="true" outlineLevel="0" collapsed="false">
      <c r="A759" s="13" t="n">
        <v>2026</v>
      </c>
      <c r="B759" s="13" t="s">
        <v>1026</v>
      </c>
      <c r="C759" s="13" t="s">
        <v>121</v>
      </c>
      <c r="D759" s="13" t="s">
        <v>128</v>
      </c>
      <c r="E759" s="13" t="s">
        <v>192</v>
      </c>
      <c r="F759" s="13" t="s">
        <v>652</v>
      </c>
      <c r="G759" s="13" t="n">
        <v>36</v>
      </c>
      <c r="H759" s="13" t="n">
        <v>0</v>
      </c>
      <c r="I759" s="13" t="n">
        <v>36</v>
      </c>
      <c r="J759" s="13" t="n">
        <v>0</v>
      </c>
      <c r="K759" s="13" t="n">
        <v>0</v>
      </c>
      <c r="L759" s="13" t="n">
        <v>0</v>
      </c>
      <c r="M759" s="13" t="n">
        <v>36</v>
      </c>
      <c r="N759" s="13" t="n">
        <v>6</v>
      </c>
      <c r="O759" s="13" t="n">
        <v>12</v>
      </c>
      <c r="P759" s="13" t="n">
        <v>7</v>
      </c>
      <c r="Q759" s="13" t="n">
        <v>6</v>
      </c>
      <c r="R759" s="13" t="n">
        <v>5</v>
      </c>
      <c r="S759" s="13" t="n">
        <v>0</v>
      </c>
      <c r="T759" s="13" t="n">
        <v>1</v>
      </c>
      <c r="U759" s="13" t="n">
        <v>4.22</v>
      </c>
      <c r="V759" s="13" t="n">
        <f aca="false">M759-SUM(N759:S759)</f>
        <v>0</v>
      </c>
    </row>
    <row r="760" customFormat="false" ht="15" hidden="false" customHeight="true" outlineLevel="0" collapsed="false">
      <c r="A760" s="13" t="n">
        <v>2026</v>
      </c>
      <c r="B760" s="13" t="s">
        <v>1026</v>
      </c>
      <c r="C760" s="13" t="s">
        <v>121</v>
      </c>
      <c r="D760" s="13" t="s">
        <v>1033</v>
      </c>
      <c r="E760" s="13" t="s">
        <v>124</v>
      </c>
      <c r="F760" s="13" t="s">
        <v>357</v>
      </c>
      <c r="G760" s="13" t="n">
        <v>93</v>
      </c>
      <c r="H760" s="13" t="n">
        <v>0</v>
      </c>
      <c r="I760" s="13" t="n">
        <v>93</v>
      </c>
      <c r="J760" s="13" t="n">
        <v>0</v>
      </c>
      <c r="K760" s="13" t="n">
        <v>0</v>
      </c>
      <c r="L760" s="13" t="n">
        <v>1</v>
      </c>
      <c r="M760" s="13" t="n">
        <v>92</v>
      </c>
      <c r="N760" s="13" t="n">
        <v>41</v>
      </c>
      <c r="O760" s="13" t="n">
        <v>23</v>
      </c>
      <c r="P760" s="13" t="n">
        <v>14</v>
      </c>
      <c r="Q760" s="13" t="n">
        <v>12</v>
      </c>
      <c r="R760" s="13" t="n">
        <v>2</v>
      </c>
      <c r="S760" s="13" t="n">
        <v>0</v>
      </c>
      <c r="T760" s="13" t="n">
        <v>0.9892</v>
      </c>
      <c r="U760" s="13" t="n">
        <v>4.91</v>
      </c>
      <c r="V760" s="13" t="n">
        <f aca="false">M760-SUM(N760:S760)</f>
        <v>0</v>
      </c>
    </row>
    <row r="761" customFormat="false" ht="15" hidden="false" customHeight="true" outlineLevel="0" collapsed="false">
      <c r="A761" s="13" t="n">
        <v>2026</v>
      </c>
      <c r="B761" s="13" t="s">
        <v>1026</v>
      </c>
      <c r="C761" s="13" t="s">
        <v>121</v>
      </c>
      <c r="D761" s="13" t="s">
        <v>1033</v>
      </c>
      <c r="E761" s="13" t="s">
        <v>122</v>
      </c>
      <c r="F761" s="13" t="s">
        <v>357</v>
      </c>
      <c r="G761" s="13" t="n">
        <v>156</v>
      </c>
      <c r="H761" s="13" t="n">
        <v>2</v>
      </c>
      <c r="I761" s="13" t="n">
        <v>154</v>
      </c>
      <c r="J761" s="13" t="n">
        <v>0</v>
      </c>
      <c r="K761" s="13" t="n">
        <v>0</v>
      </c>
      <c r="L761" s="13" t="n">
        <v>1</v>
      </c>
      <c r="M761" s="13" t="n">
        <v>153</v>
      </c>
      <c r="N761" s="13" t="n">
        <v>91</v>
      </c>
      <c r="O761" s="13" t="n">
        <v>33</v>
      </c>
      <c r="P761" s="13" t="n">
        <v>24</v>
      </c>
      <c r="Q761" s="13" t="n">
        <v>5</v>
      </c>
      <c r="R761" s="13" t="n">
        <v>0</v>
      </c>
      <c r="S761" s="13" t="n">
        <v>0</v>
      </c>
      <c r="T761" s="13" t="n">
        <v>0.9935</v>
      </c>
      <c r="U761" s="13" t="n">
        <v>5.34</v>
      </c>
      <c r="V761" s="13" t="n">
        <f aca="false">M761-SUM(N761:S761)</f>
        <v>0</v>
      </c>
    </row>
    <row r="762" customFormat="false" ht="15" hidden="false" customHeight="true" outlineLevel="0" collapsed="false">
      <c r="A762" s="13" t="n">
        <v>2026</v>
      </c>
      <c r="B762" s="13" t="s">
        <v>1026</v>
      </c>
      <c r="C762" s="13" t="s">
        <v>121</v>
      </c>
      <c r="D762" s="13" t="s">
        <v>1033</v>
      </c>
      <c r="E762" s="13" t="s">
        <v>192</v>
      </c>
      <c r="F762" s="13" t="s">
        <v>652</v>
      </c>
      <c r="G762" s="13" t="n">
        <v>249</v>
      </c>
      <c r="H762" s="13" t="n">
        <v>2</v>
      </c>
      <c r="I762" s="13" t="n">
        <v>247</v>
      </c>
      <c r="J762" s="13" t="n">
        <v>0</v>
      </c>
      <c r="K762" s="13" t="n">
        <v>0</v>
      </c>
      <c r="L762" s="13" t="n">
        <v>2</v>
      </c>
      <c r="M762" s="13" t="n">
        <v>245</v>
      </c>
      <c r="N762" s="13" t="n">
        <v>132</v>
      </c>
      <c r="O762" s="13" t="n">
        <v>56</v>
      </c>
      <c r="P762" s="13" t="n">
        <v>38</v>
      </c>
      <c r="Q762" s="13" t="n">
        <v>17</v>
      </c>
      <c r="R762" s="13" t="n">
        <v>2</v>
      </c>
      <c r="S762" s="13" t="n">
        <v>0</v>
      </c>
      <c r="T762" s="13" t="n">
        <v>0.9919</v>
      </c>
      <c r="U762" s="13" t="n">
        <v>5.18</v>
      </c>
      <c r="V762" s="13" t="n">
        <f aca="false">M762-SUM(N762:S762)</f>
        <v>0</v>
      </c>
    </row>
    <row r="763" customFormat="false" ht="15" hidden="false" customHeight="true" outlineLevel="0" collapsed="false">
      <c r="A763" s="13" t="n">
        <v>2026</v>
      </c>
      <c r="B763" s="13" t="s">
        <v>1026</v>
      </c>
      <c r="C763" s="13" t="s">
        <v>121</v>
      </c>
      <c r="D763" s="13" t="s">
        <v>1034</v>
      </c>
      <c r="E763" s="13" t="s">
        <v>124</v>
      </c>
      <c r="F763" s="13" t="s">
        <v>357</v>
      </c>
      <c r="G763" s="13" t="n">
        <v>88</v>
      </c>
      <c r="H763" s="13" t="n">
        <v>1</v>
      </c>
      <c r="I763" s="13" t="n">
        <v>87</v>
      </c>
      <c r="J763" s="13" t="n">
        <v>0</v>
      </c>
      <c r="K763" s="13" t="n">
        <v>0</v>
      </c>
      <c r="L763" s="13" t="n">
        <v>3</v>
      </c>
      <c r="M763" s="13" t="n">
        <v>84</v>
      </c>
      <c r="N763" s="13" t="n">
        <v>50</v>
      </c>
      <c r="O763" s="13" t="n">
        <v>20</v>
      </c>
      <c r="P763" s="13" t="n">
        <v>8</v>
      </c>
      <c r="Q763" s="13" t="n">
        <v>6</v>
      </c>
      <c r="R763" s="13" t="n">
        <v>0</v>
      </c>
      <c r="S763" s="13" t="n">
        <v>0</v>
      </c>
      <c r="T763" s="13" t="n">
        <v>0.9655</v>
      </c>
      <c r="U763" s="13" t="n">
        <v>5.17</v>
      </c>
      <c r="V763" s="13" t="n">
        <f aca="false">M763-SUM(N763:S763)</f>
        <v>0</v>
      </c>
    </row>
    <row r="764" customFormat="false" ht="15" hidden="false" customHeight="true" outlineLevel="0" collapsed="false">
      <c r="A764" s="13" t="n">
        <v>2026</v>
      </c>
      <c r="B764" s="13" t="s">
        <v>1026</v>
      </c>
      <c r="C764" s="13" t="s">
        <v>121</v>
      </c>
      <c r="D764" s="13" t="s">
        <v>1034</v>
      </c>
      <c r="E764" s="13" t="s">
        <v>122</v>
      </c>
      <c r="F764" s="13" t="s">
        <v>357</v>
      </c>
      <c r="G764" s="13" t="n">
        <v>41</v>
      </c>
      <c r="H764" s="13" t="n">
        <v>0</v>
      </c>
      <c r="I764" s="13" t="n">
        <v>41</v>
      </c>
      <c r="J764" s="13" t="n">
        <v>0</v>
      </c>
      <c r="K764" s="13" t="n">
        <v>0</v>
      </c>
      <c r="L764" s="13" t="n">
        <v>2</v>
      </c>
      <c r="M764" s="13" t="n">
        <v>39</v>
      </c>
      <c r="N764" s="13" t="n">
        <v>16</v>
      </c>
      <c r="O764" s="13" t="n">
        <v>7</v>
      </c>
      <c r="P764" s="13" t="n">
        <v>9</v>
      </c>
      <c r="Q764" s="13" t="n">
        <v>7</v>
      </c>
      <c r="R764" s="13" t="n">
        <v>0</v>
      </c>
      <c r="S764" s="13" t="n">
        <v>0</v>
      </c>
      <c r="T764" s="13" t="n">
        <v>0.9512</v>
      </c>
      <c r="U764" s="13" t="n">
        <v>4.59</v>
      </c>
      <c r="V764" s="13" t="n">
        <f aca="false">M764-SUM(N764:S764)</f>
        <v>0</v>
      </c>
    </row>
    <row r="765" customFormat="false" ht="15" hidden="false" customHeight="true" outlineLevel="0" collapsed="false">
      <c r="A765" s="13" t="n">
        <v>2026</v>
      </c>
      <c r="B765" s="13" t="s">
        <v>1026</v>
      </c>
      <c r="C765" s="13" t="s">
        <v>121</v>
      </c>
      <c r="D765" s="13" t="s">
        <v>1034</v>
      </c>
      <c r="E765" s="13" t="s">
        <v>192</v>
      </c>
      <c r="F765" s="13" t="s">
        <v>652</v>
      </c>
      <c r="G765" s="13" t="n">
        <v>129</v>
      </c>
      <c r="H765" s="13" t="n">
        <v>1</v>
      </c>
      <c r="I765" s="13" t="n">
        <v>128</v>
      </c>
      <c r="J765" s="13" t="n">
        <v>0</v>
      </c>
      <c r="K765" s="13" t="n">
        <v>0</v>
      </c>
      <c r="L765" s="13" t="n">
        <v>5</v>
      </c>
      <c r="M765" s="13" t="n">
        <v>123</v>
      </c>
      <c r="N765" s="13" t="n">
        <v>66</v>
      </c>
      <c r="O765" s="13" t="n">
        <v>27</v>
      </c>
      <c r="P765" s="13" t="n">
        <v>17</v>
      </c>
      <c r="Q765" s="13" t="n">
        <v>13</v>
      </c>
      <c r="R765" s="13" t="n">
        <v>0</v>
      </c>
      <c r="S765" s="13" t="n">
        <v>0</v>
      </c>
      <c r="T765" s="13" t="n">
        <v>0.9609</v>
      </c>
      <c r="U765" s="13" t="n">
        <v>4.98</v>
      </c>
      <c r="V765" s="13" t="n">
        <f aca="false">M765-SUM(N765:S765)</f>
        <v>0</v>
      </c>
    </row>
    <row r="766" customFormat="false" ht="15" hidden="false" customHeight="true" outlineLevel="0" collapsed="false">
      <c r="A766" s="13" t="n">
        <v>2026</v>
      </c>
      <c r="B766" s="13" t="s">
        <v>1026</v>
      </c>
      <c r="C766" s="13" t="s">
        <v>121</v>
      </c>
      <c r="D766" s="13" t="s">
        <v>1035</v>
      </c>
      <c r="E766" s="13" t="s">
        <v>124</v>
      </c>
      <c r="F766" s="13" t="s">
        <v>357</v>
      </c>
      <c r="G766" s="13" t="n">
        <v>195</v>
      </c>
      <c r="H766" s="13" t="n">
        <v>1</v>
      </c>
      <c r="I766" s="13" t="n">
        <v>194</v>
      </c>
      <c r="J766" s="13" t="n">
        <v>0</v>
      </c>
      <c r="K766" s="13" t="n">
        <v>0</v>
      </c>
      <c r="L766" s="13" t="n">
        <v>10</v>
      </c>
      <c r="M766" s="13" t="n">
        <v>184</v>
      </c>
      <c r="N766" s="13" t="n">
        <v>73</v>
      </c>
      <c r="O766" s="13" t="n">
        <v>51</v>
      </c>
      <c r="P766" s="13" t="n">
        <v>45</v>
      </c>
      <c r="Q766" s="13" t="n">
        <v>14</v>
      </c>
      <c r="R766" s="13" t="n">
        <v>1</v>
      </c>
      <c r="S766" s="13" t="n">
        <v>0</v>
      </c>
      <c r="T766" s="13" t="n">
        <v>0.9485</v>
      </c>
      <c r="U766" s="13" t="n">
        <v>4.73</v>
      </c>
      <c r="V766" s="13" t="n">
        <f aca="false">M766-SUM(N766:S766)</f>
        <v>0</v>
      </c>
    </row>
    <row r="767" customFormat="false" ht="15" hidden="false" customHeight="true" outlineLevel="0" collapsed="false">
      <c r="A767" s="13" t="n">
        <v>2026</v>
      </c>
      <c r="B767" s="13" t="s">
        <v>1026</v>
      </c>
      <c r="C767" s="13" t="s">
        <v>121</v>
      </c>
      <c r="D767" s="13" t="s">
        <v>1035</v>
      </c>
      <c r="E767" s="13" t="s">
        <v>122</v>
      </c>
      <c r="F767" s="13" t="s">
        <v>357</v>
      </c>
      <c r="G767" s="13" t="n">
        <v>75</v>
      </c>
      <c r="H767" s="13" t="n">
        <v>1</v>
      </c>
      <c r="I767" s="13" t="n">
        <v>74</v>
      </c>
      <c r="J767" s="13" t="n">
        <v>0</v>
      </c>
      <c r="K767" s="13" t="n">
        <v>0</v>
      </c>
      <c r="L767" s="13" t="n">
        <v>7</v>
      </c>
      <c r="M767" s="13" t="n">
        <v>67</v>
      </c>
      <c r="N767" s="13" t="n">
        <v>15</v>
      </c>
      <c r="O767" s="13" t="n">
        <v>17</v>
      </c>
      <c r="P767" s="13" t="n">
        <v>22</v>
      </c>
      <c r="Q767" s="13" t="n">
        <v>11</v>
      </c>
      <c r="R767" s="13" t="n">
        <v>2</v>
      </c>
      <c r="S767" s="13" t="n">
        <v>0</v>
      </c>
      <c r="T767" s="13" t="n">
        <v>0.9054</v>
      </c>
      <c r="U767" s="13" t="n">
        <v>4.05</v>
      </c>
      <c r="V767" s="13" t="n">
        <f aca="false">M767-SUM(N767:S767)</f>
        <v>0</v>
      </c>
    </row>
    <row r="768" customFormat="false" ht="15" hidden="false" customHeight="true" outlineLevel="0" collapsed="false">
      <c r="A768" s="13" t="n">
        <v>2026</v>
      </c>
      <c r="B768" s="13" t="s">
        <v>1026</v>
      </c>
      <c r="C768" s="13" t="s">
        <v>121</v>
      </c>
      <c r="D768" s="13" t="s">
        <v>1035</v>
      </c>
      <c r="E768" s="13" t="s">
        <v>192</v>
      </c>
      <c r="F768" s="13" t="s">
        <v>652</v>
      </c>
      <c r="G768" s="13" t="n">
        <v>270</v>
      </c>
      <c r="H768" s="13" t="n">
        <v>2</v>
      </c>
      <c r="I768" s="13" t="n">
        <v>268</v>
      </c>
      <c r="J768" s="13" t="n">
        <v>0</v>
      </c>
      <c r="K768" s="13" t="n">
        <v>0</v>
      </c>
      <c r="L768" s="13" t="n">
        <v>17</v>
      </c>
      <c r="M768" s="13" t="n">
        <v>251</v>
      </c>
      <c r="N768" s="13" t="n">
        <v>88</v>
      </c>
      <c r="O768" s="13" t="n">
        <v>68</v>
      </c>
      <c r="P768" s="13" t="n">
        <v>67</v>
      </c>
      <c r="Q768" s="13" t="n">
        <v>25</v>
      </c>
      <c r="R768" s="13" t="n">
        <v>3</v>
      </c>
      <c r="S768" s="13" t="n">
        <v>0</v>
      </c>
      <c r="T768" s="13" t="n">
        <v>0.9366</v>
      </c>
      <c r="U768" s="13" t="n">
        <v>4.54</v>
      </c>
      <c r="V768" s="13" t="n">
        <f aca="false">M768-SUM(N768:S768)</f>
        <v>0</v>
      </c>
    </row>
    <row r="769" customFormat="false" ht="15" hidden="false" customHeight="true" outlineLevel="0" collapsed="false">
      <c r="A769" s="13" t="n">
        <v>2026</v>
      </c>
      <c r="B769" s="13" t="s">
        <v>1026</v>
      </c>
      <c r="C769" s="13" t="s">
        <v>121</v>
      </c>
      <c r="D769" s="13" t="s">
        <v>1037</v>
      </c>
      <c r="E769" s="13" t="s">
        <v>192</v>
      </c>
      <c r="F769" s="13" t="s">
        <v>1038</v>
      </c>
      <c r="G769" s="13" t="n">
        <v>684</v>
      </c>
      <c r="H769" s="13" t="n">
        <v>5</v>
      </c>
      <c r="I769" s="13" t="n">
        <v>679</v>
      </c>
      <c r="J769" s="13" t="n">
        <v>0</v>
      </c>
      <c r="K769" s="13" t="n">
        <v>0</v>
      </c>
      <c r="L769" s="13" t="n">
        <v>24</v>
      </c>
      <c r="M769" s="13" t="n">
        <v>655</v>
      </c>
      <c r="N769" s="13" t="n">
        <v>292</v>
      </c>
      <c r="O769" s="13" t="n">
        <v>163</v>
      </c>
      <c r="P769" s="13" t="n">
        <v>129</v>
      </c>
      <c r="Q769" s="13" t="n">
        <v>61</v>
      </c>
      <c r="R769" s="13" t="n">
        <v>10</v>
      </c>
      <c r="S769" s="13" t="n">
        <v>0</v>
      </c>
      <c r="T769" s="13" t="n">
        <v>0.9647</v>
      </c>
      <c r="U769" s="13" t="n">
        <v>4.84</v>
      </c>
      <c r="V769" s="13" t="n">
        <f aca="false">M769-SUM(N769:S769)</f>
        <v>0</v>
      </c>
    </row>
    <row r="770" customFormat="false" ht="15" hidden="false" customHeight="true" outlineLevel="0" collapsed="false">
      <c r="A770" s="13" t="n">
        <v>2026</v>
      </c>
      <c r="B770" s="13" t="s">
        <v>1026</v>
      </c>
      <c r="C770" s="13" t="s">
        <v>125</v>
      </c>
      <c r="D770" s="13" t="s">
        <v>128</v>
      </c>
      <c r="E770" s="13" t="s">
        <v>124</v>
      </c>
      <c r="F770" s="13" t="s">
        <v>357</v>
      </c>
      <c r="G770" s="13" t="n">
        <v>2</v>
      </c>
      <c r="H770" s="13" t="n">
        <v>0</v>
      </c>
      <c r="I770" s="13" t="n">
        <v>2</v>
      </c>
      <c r="J770" s="13" t="n">
        <v>1</v>
      </c>
      <c r="K770" s="13" t="n">
        <v>0</v>
      </c>
      <c r="L770" s="13" t="n">
        <v>1</v>
      </c>
      <c r="M770" s="13" t="n">
        <v>1</v>
      </c>
      <c r="N770" s="13" t="n">
        <v>0</v>
      </c>
      <c r="O770" s="13" t="n">
        <v>0</v>
      </c>
      <c r="P770" s="13" t="n">
        <v>0</v>
      </c>
      <c r="Q770" s="13" t="n">
        <v>0</v>
      </c>
      <c r="R770" s="13" t="n">
        <v>0</v>
      </c>
      <c r="S770" s="13" t="n">
        <v>0</v>
      </c>
      <c r="T770" s="13" t="n">
        <v>0.5</v>
      </c>
      <c r="U770" s="13" t="n">
        <v>0</v>
      </c>
      <c r="V770" s="13" t="n">
        <f aca="false">M770-SUM(N770:S770)</f>
        <v>1</v>
      </c>
    </row>
    <row r="771" customFormat="false" ht="15" hidden="false" customHeight="true" outlineLevel="0" collapsed="false">
      <c r="A771" s="13" t="n">
        <v>2026</v>
      </c>
      <c r="B771" s="13" t="s">
        <v>1026</v>
      </c>
      <c r="C771" s="13" t="s">
        <v>125</v>
      </c>
      <c r="D771" s="13" t="s">
        <v>128</v>
      </c>
      <c r="E771" s="13" t="s">
        <v>122</v>
      </c>
      <c r="F771" s="13" t="s">
        <v>357</v>
      </c>
      <c r="G771" s="13" t="n">
        <v>4</v>
      </c>
      <c r="H771" s="13" t="n">
        <v>0</v>
      </c>
      <c r="I771" s="13" t="n">
        <v>4</v>
      </c>
      <c r="J771" s="13" t="n">
        <v>0</v>
      </c>
      <c r="K771" s="13" t="n">
        <v>0</v>
      </c>
      <c r="L771" s="13" t="n">
        <v>1</v>
      </c>
      <c r="M771" s="13" t="n">
        <v>3</v>
      </c>
      <c r="N771" s="13" t="n">
        <v>0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n">
        <v>1</v>
      </c>
      <c r="T771" s="13" t="n">
        <v>0.75</v>
      </c>
      <c r="U771" s="13" t="n">
        <v>0.25</v>
      </c>
      <c r="V771" s="13" t="n">
        <f aca="false">M771-SUM(N771:S771)</f>
        <v>2</v>
      </c>
    </row>
    <row r="772" customFormat="false" ht="15" hidden="false" customHeight="true" outlineLevel="0" collapsed="false">
      <c r="A772" s="13" t="n">
        <v>2026</v>
      </c>
      <c r="B772" s="13" t="s">
        <v>1026</v>
      </c>
      <c r="C772" s="13" t="s">
        <v>125</v>
      </c>
      <c r="D772" s="13" t="s">
        <v>128</v>
      </c>
      <c r="E772" s="13" t="s">
        <v>192</v>
      </c>
      <c r="F772" s="13" t="s">
        <v>652</v>
      </c>
      <c r="G772" s="13" t="n">
        <v>6</v>
      </c>
      <c r="H772" s="13" t="n">
        <v>0</v>
      </c>
      <c r="I772" s="13" t="n">
        <v>6</v>
      </c>
      <c r="J772" s="13" t="n">
        <v>1</v>
      </c>
      <c r="K772" s="13" t="n">
        <v>0</v>
      </c>
      <c r="L772" s="13" t="n">
        <v>2</v>
      </c>
      <c r="M772" s="13" t="n">
        <v>4</v>
      </c>
      <c r="N772" s="13" t="n">
        <v>0</v>
      </c>
      <c r="O772" s="13" t="n">
        <v>0</v>
      </c>
      <c r="P772" s="13" t="n">
        <v>0</v>
      </c>
      <c r="Q772" s="13" t="n">
        <v>0</v>
      </c>
      <c r="R772" s="13" t="n">
        <v>0</v>
      </c>
      <c r="S772" s="13" t="n">
        <v>1</v>
      </c>
      <c r="T772" s="13" t="n">
        <v>0.6667</v>
      </c>
      <c r="U772" s="13" t="n">
        <v>0.17</v>
      </c>
      <c r="V772" s="13" t="n">
        <f aca="false">M772-SUM(N772:S772)</f>
        <v>3</v>
      </c>
    </row>
    <row r="773" customFormat="false" ht="15" hidden="false" customHeight="true" outlineLevel="0" collapsed="false">
      <c r="A773" s="13" t="n">
        <v>2026</v>
      </c>
      <c r="B773" s="13" t="s">
        <v>1026</v>
      </c>
      <c r="C773" s="13" t="s">
        <v>125</v>
      </c>
      <c r="D773" s="13" t="s">
        <v>1033</v>
      </c>
      <c r="E773" s="13" t="s">
        <v>124</v>
      </c>
      <c r="F773" s="13" t="s">
        <v>357</v>
      </c>
      <c r="G773" s="13" t="n">
        <v>26</v>
      </c>
      <c r="H773" s="13" t="n">
        <v>6</v>
      </c>
      <c r="I773" s="13" t="n">
        <v>20</v>
      </c>
      <c r="J773" s="13" t="n">
        <v>1</v>
      </c>
      <c r="K773" s="13" t="n">
        <v>0</v>
      </c>
      <c r="L773" s="13" t="n">
        <v>1</v>
      </c>
      <c r="M773" s="13" t="n">
        <v>19</v>
      </c>
      <c r="N773" s="13" t="n">
        <v>6</v>
      </c>
      <c r="O773" s="13" t="n">
        <v>9</v>
      </c>
      <c r="P773" s="13" t="n">
        <v>2</v>
      </c>
      <c r="Q773" s="13" t="n">
        <v>2</v>
      </c>
      <c r="R773" s="13" t="n">
        <v>0</v>
      </c>
      <c r="S773" s="13" t="n">
        <v>0</v>
      </c>
      <c r="T773" s="13" t="n">
        <v>0.95</v>
      </c>
      <c r="U773" s="13" t="n">
        <v>4.75</v>
      </c>
      <c r="V773" s="13" t="n">
        <f aca="false">M773-SUM(N773:S773)</f>
        <v>0</v>
      </c>
    </row>
    <row r="774" customFormat="false" ht="15" hidden="false" customHeight="true" outlineLevel="0" collapsed="false">
      <c r="A774" s="13" t="n">
        <v>2026</v>
      </c>
      <c r="B774" s="13" t="s">
        <v>1026</v>
      </c>
      <c r="C774" s="13" t="s">
        <v>125</v>
      </c>
      <c r="D774" s="13" t="s">
        <v>1033</v>
      </c>
      <c r="E774" s="13" t="s">
        <v>122</v>
      </c>
      <c r="F774" s="13" t="s">
        <v>357</v>
      </c>
      <c r="G774" s="13" t="n">
        <v>36</v>
      </c>
      <c r="H774" s="13" t="n">
        <v>5</v>
      </c>
      <c r="I774" s="13" t="n">
        <v>31</v>
      </c>
      <c r="J774" s="13" t="n">
        <v>0</v>
      </c>
      <c r="K774" s="13" t="n">
        <v>0</v>
      </c>
      <c r="L774" s="13" t="n">
        <v>1</v>
      </c>
      <c r="M774" s="13" t="n">
        <v>30</v>
      </c>
      <c r="N774" s="13" t="n">
        <v>20</v>
      </c>
      <c r="O774" s="13" t="n">
        <v>7</v>
      </c>
      <c r="P774" s="13" t="n">
        <v>3</v>
      </c>
      <c r="Q774" s="13" t="n">
        <v>0</v>
      </c>
      <c r="R774" s="13" t="n">
        <v>0</v>
      </c>
      <c r="S774" s="13" t="n">
        <v>0</v>
      </c>
      <c r="T774" s="13" t="n">
        <v>0.9677</v>
      </c>
      <c r="U774" s="13" t="n">
        <v>5.39</v>
      </c>
      <c r="V774" s="13" t="n">
        <f aca="false">M774-SUM(N774:S774)</f>
        <v>0</v>
      </c>
    </row>
    <row r="775" customFormat="false" ht="15" hidden="false" customHeight="true" outlineLevel="0" collapsed="false">
      <c r="A775" s="13" t="n">
        <v>2026</v>
      </c>
      <c r="B775" s="13" t="s">
        <v>1026</v>
      </c>
      <c r="C775" s="13" t="s">
        <v>125</v>
      </c>
      <c r="D775" s="13" t="s">
        <v>1033</v>
      </c>
      <c r="E775" s="13" t="s">
        <v>192</v>
      </c>
      <c r="F775" s="13" t="s">
        <v>652</v>
      </c>
      <c r="G775" s="13" t="n">
        <v>62</v>
      </c>
      <c r="H775" s="13" t="n">
        <v>11</v>
      </c>
      <c r="I775" s="13" t="n">
        <v>51</v>
      </c>
      <c r="J775" s="13" t="n">
        <v>1</v>
      </c>
      <c r="K775" s="13" t="n">
        <v>0</v>
      </c>
      <c r="L775" s="13" t="n">
        <v>2</v>
      </c>
      <c r="M775" s="13" t="n">
        <v>49</v>
      </c>
      <c r="N775" s="13" t="n">
        <v>26</v>
      </c>
      <c r="O775" s="13" t="n">
        <v>16</v>
      </c>
      <c r="P775" s="13" t="n">
        <v>5</v>
      </c>
      <c r="Q775" s="13" t="n">
        <v>2</v>
      </c>
      <c r="R775" s="13" t="n">
        <v>0</v>
      </c>
      <c r="S775" s="13" t="n">
        <v>0</v>
      </c>
      <c r="T775" s="13" t="n">
        <v>0.9608</v>
      </c>
      <c r="U775" s="13" t="n">
        <v>5.14</v>
      </c>
      <c r="V775" s="13" t="n">
        <f aca="false">M775-SUM(N775:S775)</f>
        <v>0</v>
      </c>
    </row>
    <row r="776" customFormat="false" ht="15" hidden="false" customHeight="true" outlineLevel="0" collapsed="false">
      <c r="A776" s="13" t="n">
        <v>2026</v>
      </c>
      <c r="B776" s="13" t="s">
        <v>1026</v>
      </c>
      <c r="C776" s="13" t="s">
        <v>125</v>
      </c>
      <c r="D776" s="13" t="s">
        <v>1034</v>
      </c>
      <c r="E776" s="13" t="s">
        <v>124</v>
      </c>
      <c r="F776" s="13" t="s">
        <v>357</v>
      </c>
      <c r="G776" s="13" t="n">
        <v>6</v>
      </c>
      <c r="H776" s="13" t="n">
        <v>0</v>
      </c>
      <c r="I776" s="13" t="n">
        <v>6</v>
      </c>
      <c r="J776" s="13" t="n">
        <v>0</v>
      </c>
      <c r="K776" s="13" t="n">
        <v>0</v>
      </c>
      <c r="L776" s="13" t="n">
        <v>1</v>
      </c>
      <c r="M776" s="13" t="n">
        <v>5</v>
      </c>
      <c r="N776" s="13" t="n">
        <v>0</v>
      </c>
      <c r="O776" s="13" t="n">
        <v>0</v>
      </c>
      <c r="P776" s="13" t="n">
        <v>2</v>
      </c>
      <c r="Q776" s="13" t="n">
        <v>2</v>
      </c>
      <c r="R776" s="13" t="n">
        <v>1</v>
      </c>
      <c r="S776" s="13" t="n">
        <v>0</v>
      </c>
      <c r="T776" s="13" t="n">
        <v>0.8333</v>
      </c>
      <c r="U776" s="13" t="n">
        <v>2.67</v>
      </c>
      <c r="V776" s="13" t="n">
        <f aca="false">M776-SUM(N776:S776)</f>
        <v>0</v>
      </c>
    </row>
    <row r="777" customFormat="false" ht="15" hidden="false" customHeight="true" outlineLevel="0" collapsed="false">
      <c r="A777" s="13" t="n">
        <v>2026</v>
      </c>
      <c r="B777" s="13" t="s">
        <v>1026</v>
      </c>
      <c r="C777" s="13" t="s">
        <v>125</v>
      </c>
      <c r="D777" s="13" t="s">
        <v>1034</v>
      </c>
      <c r="E777" s="13" t="s">
        <v>122</v>
      </c>
      <c r="F777" s="13" t="s">
        <v>357</v>
      </c>
      <c r="G777" s="13" t="n">
        <v>3</v>
      </c>
      <c r="H777" s="13" t="n">
        <v>0</v>
      </c>
      <c r="I777" s="13" t="n">
        <v>3</v>
      </c>
      <c r="J777" s="13" t="n">
        <v>0</v>
      </c>
      <c r="K777" s="13" t="n">
        <v>0</v>
      </c>
      <c r="L777" s="13" t="n">
        <v>0</v>
      </c>
      <c r="M777" s="13" t="n">
        <v>3</v>
      </c>
      <c r="N777" s="13" t="n">
        <v>1</v>
      </c>
      <c r="O777" s="13" t="n">
        <v>1</v>
      </c>
      <c r="P777" s="13" t="n">
        <v>0</v>
      </c>
      <c r="Q777" s="13" t="n">
        <v>1</v>
      </c>
      <c r="R777" s="13" t="n">
        <v>0</v>
      </c>
      <c r="S777" s="13" t="n">
        <v>0</v>
      </c>
      <c r="T777" s="13" t="n">
        <v>1</v>
      </c>
      <c r="U777" s="13" t="n">
        <v>4.67</v>
      </c>
      <c r="V777" s="13" t="n">
        <f aca="false">M777-SUM(N777:S777)</f>
        <v>0</v>
      </c>
    </row>
    <row r="778" customFormat="false" ht="15" hidden="false" customHeight="true" outlineLevel="0" collapsed="false">
      <c r="A778" s="13" t="n">
        <v>2026</v>
      </c>
      <c r="B778" s="13" t="s">
        <v>1026</v>
      </c>
      <c r="C778" s="13" t="s">
        <v>125</v>
      </c>
      <c r="D778" s="13" t="s">
        <v>1034</v>
      </c>
      <c r="E778" s="13" t="s">
        <v>192</v>
      </c>
      <c r="F778" s="13" t="s">
        <v>652</v>
      </c>
      <c r="G778" s="13" t="n">
        <v>9</v>
      </c>
      <c r="H778" s="13" t="n">
        <v>0</v>
      </c>
      <c r="I778" s="13" t="n">
        <v>9</v>
      </c>
      <c r="J778" s="13" t="n">
        <v>0</v>
      </c>
      <c r="K778" s="13" t="n">
        <v>0</v>
      </c>
      <c r="L778" s="13" t="n">
        <v>1</v>
      </c>
      <c r="M778" s="13" t="n">
        <v>8</v>
      </c>
      <c r="N778" s="13" t="n">
        <v>1</v>
      </c>
      <c r="O778" s="13" t="n">
        <v>1</v>
      </c>
      <c r="P778" s="13" t="n">
        <v>2</v>
      </c>
      <c r="Q778" s="13" t="n">
        <v>3</v>
      </c>
      <c r="R778" s="13" t="n">
        <v>1</v>
      </c>
      <c r="S778" s="13" t="n">
        <v>0</v>
      </c>
      <c r="T778" s="13" t="n">
        <v>0.8889</v>
      </c>
      <c r="U778" s="13" t="n">
        <v>3.33</v>
      </c>
      <c r="V778" s="13" t="n">
        <f aca="false">M778-SUM(N778:S778)</f>
        <v>0</v>
      </c>
    </row>
    <row r="779" customFormat="false" ht="15" hidden="false" customHeight="true" outlineLevel="0" collapsed="false">
      <c r="A779" s="13" t="n">
        <v>2026</v>
      </c>
      <c r="B779" s="13" t="s">
        <v>1026</v>
      </c>
      <c r="C779" s="13" t="s">
        <v>125</v>
      </c>
      <c r="D779" s="13" t="s">
        <v>1035</v>
      </c>
      <c r="E779" s="13" t="s">
        <v>124</v>
      </c>
      <c r="F779" s="13" t="s">
        <v>357</v>
      </c>
      <c r="G779" s="13" t="n">
        <v>16</v>
      </c>
      <c r="H779" s="13" t="n">
        <v>3</v>
      </c>
      <c r="I779" s="13" t="n">
        <v>13</v>
      </c>
      <c r="J779" s="13" t="n">
        <v>2</v>
      </c>
      <c r="K779" s="13" t="n">
        <v>0</v>
      </c>
      <c r="L779" s="13" t="n">
        <v>3</v>
      </c>
      <c r="M779" s="13" t="n">
        <v>10</v>
      </c>
      <c r="N779" s="13" t="n">
        <v>0</v>
      </c>
      <c r="O779" s="13" t="n">
        <v>2</v>
      </c>
      <c r="P779" s="13" t="n">
        <v>3</v>
      </c>
      <c r="Q779" s="13" t="n">
        <v>5</v>
      </c>
      <c r="R779" s="13" t="n">
        <v>0</v>
      </c>
      <c r="S779" s="13" t="n">
        <v>0</v>
      </c>
      <c r="T779" s="13" t="n">
        <v>0.7692</v>
      </c>
      <c r="U779" s="13" t="n">
        <v>2.85</v>
      </c>
      <c r="V779" s="13" t="n">
        <f aca="false">M779-SUM(N779:S779)</f>
        <v>0</v>
      </c>
    </row>
    <row r="780" customFormat="false" ht="15" hidden="false" customHeight="true" outlineLevel="0" collapsed="false">
      <c r="A780" s="13" t="n">
        <v>2026</v>
      </c>
      <c r="B780" s="13" t="s">
        <v>1026</v>
      </c>
      <c r="C780" s="13" t="s">
        <v>125</v>
      </c>
      <c r="D780" s="13" t="s">
        <v>1035</v>
      </c>
      <c r="E780" s="13" t="s">
        <v>122</v>
      </c>
      <c r="F780" s="13" t="s">
        <v>357</v>
      </c>
      <c r="G780" s="13" t="n">
        <v>3</v>
      </c>
      <c r="H780" s="13" t="n">
        <v>1</v>
      </c>
      <c r="I780" s="13" t="n">
        <v>2</v>
      </c>
      <c r="J780" s="13" t="n">
        <v>0</v>
      </c>
      <c r="K780" s="13" t="n">
        <v>0</v>
      </c>
      <c r="L780" s="13" t="n">
        <v>0</v>
      </c>
      <c r="M780" s="13" t="n">
        <v>2</v>
      </c>
      <c r="N780" s="13" t="n">
        <v>0</v>
      </c>
      <c r="O780" s="13" t="n">
        <v>0</v>
      </c>
      <c r="P780" s="13" t="n">
        <v>0</v>
      </c>
      <c r="Q780" s="13" t="n">
        <v>2</v>
      </c>
      <c r="R780" s="13" t="n">
        <v>0</v>
      </c>
      <c r="S780" s="13" t="n">
        <v>0</v>
      </c>
      <c r="T780" s="13" t="n">
        <v>1</v>
      </c>
      <c r="U780" s="13" t="n">
        <v>3</v>
      </c>
      <c r="V780" s="13" t="n">
        <f aca="false">M780-SUM(N780:S780)</f>
        <v>0</v>
      </c>
    </row>
    <row r="781" customFormat="false" ht="15" hidden="false" customHeight="true" outlineLevel="0" collapsed="false">
      <c r="A781" s="13" t="n">
        <v>2026</v>
      </c>
      <c r="B781" s="13" t="s">
        <v>1026</v>
      </c>
      <c r="C781" s="13" t="s">
        <v>125</v>
      </c>
      <c r="D781" s="13" t="s">
        <v>1035</v>
      </c>
      <c r="E781" s="13" t="s">
        <v>192</v>
      </c>
      <c r="F781" s="13" t="s">
        <v>652</v>
      </c>
      <c r="G781" s="13" t="n">
        <v>19</v>
      </c>
      <c r="H781" s="13" t="n">
        <v>4</v>
      </c>
      <c r="I781" s="13" t="n">
        <v>15</v>
      </c>
      <c r="J781" s="13" t="n">
        <v>2</v>
      </c>
      <c r="K781" s="13" t="n">
        <v>0</v>
      </c>
      <c r="L781" s="13" t="n">
        <v>3</v>
      </c>
      <c r="M781" s="13" t="n">
        <v>12</v>
      </c>
      <c r="N781" s="13" t="n">
        <v>0</v>
      </c>
      <c r="O781" s="13" t="n">
        <v>2</v>
      </c>
      <c r="P781" s="13" t="n">
        <v>3</v>
      </c>
      <c r="Q781" s="13" t="n">
        <v>7</v>
      </c>
      <c r="R781" s="13" t="n">
        <v>0</v>
      </c>
      <c r="S781" s="13" t="n">
        <v>0</v>
      </c>
      <c r="T781" s="13" t="n">
        <v>0.8</v>
      </c>
      <c r="U781" s="13" t="n">
        <v>2.87</v>
      </c>
      <c r="V781" s="13" t="n">
        <f aca="false">M781-SUM(N781:S781)</f>
        <v>0</v>
      </c>
    </row>
    <row r="782" customFormat="false" ht="15" hidden="false" customHeight="true" outlineLevel="0" collapsed="false">
      <c r="A782" s="13" t="n">
        <v>2026</v>
      </c>
      <c r="B782" s="13" t="s">
        <v>1026</v>
      </c>
      <c r="C782" s="13" t="s">
        <v>125</v>
      </c>
      <c r="D782" s="13" t="s">
        <v>1037</v>
      </c>
      <c r="E782" s="13" t="s">
        <v>192</v>
      </c>
      <c r="F782" s="13" t="s">
        <v>1038</v>
      </c>
      <c r="G782" s="13" t="n">
        <v>96</v>
      </c>
      <c r="H782" s="13" t="n">
        <v>15</v>
      </c>
      <c r="I782" s="13" t="n">
        <v>81</v>
      </c>
      <c r="J782" s="13" t="n">
        <v>4</v>
      </c>
      <c r="K782" s="13" t="n">
        <v>0</v>
      </c>
      <c r="L782" s="13" t="n">
        <v>8</v>
      </c>
      <c r="M782" s="13" t="n">
        <v>73</v>
      </c>
      <c r="N782" s="13" t="n">
        <v>27</v>
      </c>
      <c r="O782" s="13" t="n">
        <v>19</v>
      </c>
      <c r="P782" s="13" t="n">
        <v>10</v>
      </c>
      <c r="Q782" s="13" t="n">
        <v>12</v>
      </c>
      <c r="R782" s="13" t="n">
        <v>1</v>
      </c>
      <c r="S782" s="13" t="n">
        <v>1</v>
      </c>
      <c r="T782" s="13" t="n">
        <v>0.9012</v>
      </c>
      <c r="U782" s="13" t="n">
        <v>4.15</v>
      </c>
      <c r="V782" s="13" t="n">
        <f aca="false">M782-SUM(N782:S782)</f>
        <v>3</v>
      </c>
    </row>
    <row r="783" customFormat="false" ht="15" hidden="false" customHeight="true" outlineLevel="0" collapsed="false">
      <c r="A783" s="13" t="n">
        <v>2026</v>
      </c>
      <c r="B783" s="13" t="s">
        <v>1026</v>
      </c>
      <c r="C783" s="13" t="s">
        <v>125</v>
      </c>
      <c r="D783" s="13" t="s">
        <v>1037</v>
      </c>
      <c r="E783" s="13" t="s">
        <v>192</v>
      </c>
      <c r="F783" s="13" t="s">
        <v>137</v>
      </c>
      <c r="G783" s="13" t="n">
        <v>780</v>
      </c>
      <c r="H783" s="13" t="n">
        <v>20</v>
      </c>
      <c r="I783" s="13" t="n">
        <v>760</v>
      </c>
      <c r="J783" s="13" t="n">
        <v>4</v>
      </c>
      <c r="K783" s="13" t="n">
        <v>0</v>
      </c>
      <c r="L783" s="13" t="n">
        <v>32</v>
      </c>
      <c r="M783" s="13" t="n">
        <v>728</v>
      </c>
      <c r="N783" s="13" t="n">
        <v>319</v>
      </c>
      <c r="O783" s="13" t="n">
        <v>182</v>
      </c>
      <c r="P783" s="13" t="n">
        <v>139</v>
      </c>
      <c r="Q783" s="13" t="n">
        <v>73</v>
      </c>
      <c r="R783" s="13" t="n">
        <v>11</v>
      </c>
      <c r="S783" s="13" t="n">
        <v>1</v>
      </c>
      <c r="T783" s="13" t="n">
        <v>0.963</v>
      </c>
      <c r="U783" s="13" t="n">
        <v>4.79</v>
      </c>
      <c r="V783" s="13" t="n">
        <f aca="false">M783-SUM(N783:S783)</f>
        <v>3</v>
      </c>
    </row>
    <row r="784" customFormat="false" ht="15" hidden="false" customHeight="true" outlineLevel="0" collapsed="false">
      <c r="A784" s="13" t="n">
        <v>2026</v>
      </c>
      <c r="B784" s="13" t="s">
        <v>1027</v>
      </c>
      <c r="C784" s="13" t="s">
        <v>121</v>
      </c>
      <c r="D784" s="13" t="s">
        <v>128</v>
      </c>
      <c r="E784" s="13" t="s">
        <v>124</v>
      </c>
      <c r="F784" s="13" t="s">
        <v>357</v>
      </c>
      <c r="G784" s="13" t="n">
        <v>1160</v>
      </c>
      <c r="H784" s="13" t="n">
        <v>14</v>
      </c>
      <c r="I784" s="13" t="n">
        <v>1146</v>
      </c>
      <c r="J784" s="13" t="n">
        <v>1</v>
      </c>
      <c r="K784" s="13" t="n">
        <v>2</v>
      </c>
      <c r="L784" s="13" t="n">
        <v>72</v>
      </c>
      <c r="M784" s="13" t="n">
        <v>1072</v>
      </c>
      <c r="N784" s="13" t="n">
        <v>1</v>
      </c>
      <c r="O784" s="13" t="n">
        <v>40</v>
      </c>
      <c r="P784" s="13" t="n">
        <v>255</v>
      </c>
      <c r="Q784" s="13" t="n">
        <v>463</v>
      </c>
      <c r="R784" s="13" t="n">
        <v>304</v>
      </c>
      <c r="S784" s="13" t="n">
        <v>9</v>
      </c>
      <c r="T784" s="13" t="n">
        <v>0.9354</v>
      </c>
      <c r="U784" s="13" t="n">
        <v>2.82</v>
      </c>
      <c r="V784" s="13" t="n">
        <f aca="false">M784-SUM(N784:S784)</f>
        <v>0</v>
      </c>
    </row>
    <row r="785" customFormat="false" ht="15" hidden="false" customHeight="true" outlineLevel="0" collapsed="false">
      <c r="A785" s="13" t="n">
        <v>2026</v>
      </c>
      <c r="B785" s="13" t="s">
        <v>1027</v>
      </c>
      <c r="C785" s="13" t="s">
        <v>121</v>
      </c>
      <c r="D785" s="13" t="s">
        <v>128</v>
      </c>
      <c r="E785" s="13" t="s">
        <v>122</v>
      </c>
      <c r="F785" s="13" t="s">
        <v>357</v>
      </c>
      <c r="G785" s="13" t="n">
        <v>2392</v>
      </c>
      <c r="H785" s="13" t="n">
        <v>13</v>
      </c>
      <c r="I785" s="13" t="n">
        <v>2379</v>
      </c>
      <c r="J785" s="13" t="n">
        <v>0</v>
      </c>
      <c r="K785" s="13" t="n">
        <v>6</v>
      </c>
      <c r="L785" s="13" t="n">
        <v>143</v>
      </c>
      <c r="M785" s="13" t="n">
        <v>2230</v>
      </c>
      <c r="N785" s="13" t="n">
        <v>17</v>
      </c>
      <c r="O785" s="13" t="n">
        <v>227</v>
      </c>
      <c r="P785" s="13" t="n">
        <v>693</v>
      </c>
      <c r="Q785" s="13" t="n">
        <v>848</v>
      </c>
      <c r="R785" s="13" t="n">
        <v>425</v>
      </c>
      <c r="S785" s="13" t="n">
        <v>20</v>
      </c>
      <c r="T785" s="13" t="n">
        <v>0.9374</v>
      </c>
      <c r="U785" s="13" t="n">
        <v>3.12</v>
      </c>
      <c r="V785" s="13" t="n">
        <f aca="false">M785-SUM(N785:S785)</f>
        <v>0</v>
      </c>
    </row>
    <row r="786" customFormat="false" ht="15" hidden="false" customHeight="true" outlineLevel="0" collapsed="false">
      <c r="A786" s="13" t="n">
        <v>2026</v>
      </c>
      <c r="B786" s="13" t="s">
        <v>1027</v>
      </c>
      <c r="C786" s="13" t="s">
        <v>121</v>
      </c>
      <c r="D786" s="13" t="s">
        <v>128</v>
      </c>
      <c r="E786" s="13" t="s">
        <v>192</v>
      </c>
      <c r="F786" s="13" t="s">
        <v>652</v>
      </c>
      <c r="G786" s="13" t="n">
        <v>3552</v>
      </c>
      <c r="H786" s="13" t="n">
        <v>27</v>
      </c>
      <c r="I786" s="13" t="n">
        <v>3525</v>
      </c>
      <c r="J786" s="13" t="n">
        <v>1</v>
      </c>
      <c r="K786" s="13" t="n">
        <v>8</v>
      </c>
      <c r="L786" s="13" t="n">
        <v>215</v>
      </c>
      <c r="M786" s="13" t="n">
        <v>3302</v>
      </c>
      <c r="N786" s="13" t="n">
        <v>18</v>
      </c>
      <c r="O786" s="13" t="n">
        <v>267</v>
      </c>
      <c r="P786" s="13" t="n">
        <v>948</v>
      </c>
      <c r="Q786" s="13" t="n">
        <v>1311</v>
      </c>
      <c r="R786" s="13" t="n">
        <v>729</v>
      </c>
      <c r="S786" s="13" t="n">
        <v>29</v>
      </c>
      <c r="T786" s="13" t="n">
        <v>0.9367</v>
      </c>
      <c r="U786" s="13" t="n">
        <v>3.02</v>
      </c>
      <c r="V786" s="13" t="n">
        <f aca="false">M786-SUM(N786:S786)</f>
        <v>0</v>
      </c>
    </row>
    <row r="787" customFormat="false" ht="15" hidden="false" customHeight="true" outlineLevel="0" collapsed="false">
      <c r="A787" s="13" t="n">
        <v>2026</v>
      </c>
      <c r="B787" s="13" t="s">
        <v>1027</v>
      </c>
      <c r="C787" s="13" t="s">
        <v>121</v>
      </c>
      <c r="D787" s="13" t="s">
        <v>1033</v>
      </c>
      <c r="E787" s="13" t="s">
        <v>124</v>
      </c>
      <c r="F787" s="13" t="s">
        <v>357</v>
      </c>
      <c r="G787" s="13" t="n">
        <v>1334</v>
      </c>
      <c r="H787" s="13" t="n">
        <v>7</v>
      </c>
      <c r="I787" s="13" t="n">
        <v>1327</v>
      </c>
      <c r="J787" s="13" t="n">
        <v>2</v>
      </c>
      <c r="K787" s="13" t="n">
        <v>7</v>
      </c>
      <c r="L787" s="13" t="n">
        <v>92</v>
      </c>
      <c r="M787" s="13" t="n">
        <v>1228</v>
      </c>
      <c r="N787" s="13" t="n">
        <v>279</v>
      </c>
      <c r="O787" s="13" t="n">
        <v>242</v>
      </c>
      <c r="P787" s="13" t="n">
        <v>368</v>
      </c>
      <c r="Q787" s="13" t="n">
        <v>287</v>
      </c>
      <c r="R787" s="13" t="n">
        <v>52</v>
      </c>
      <c r="S787" s="13" t="n">
        <v>0</v>
      </c>
      <c r="T787" s="13" t="n">
        <v>0.9254</v>
      </c>
      <c r="U787" s="13" t="n">
        <v>4.01</v>
      </c>
      <c r="V787" s="13" t="n">
        <f aca="false">M787-SUM(N787:S787)</f>
        <v>0</v>
      </c>
    </row>
    <row r="788" customFormat="false" ht="15" hidden="false" customHeight="true" outlineLevel="0" collapsed="false">
      <c r="A788" s="13" t="n">
        <v>2026</v>
      </c>
      <c r="B788" s="13" t="s">
        <v>1027</v>
      </c>
      <c r="C788" s="13" t="s">
        <v>121</v>
      </c>
      <c r="D788" s="13" t="s">
        <v>1033</v>
      </c>
      <c r="E788" s="13" t="s">
        <v>122</v>
      </c>
      <c r="F788" s="13" t="s">
        <v>357</v>
      </c>
      <c r="G788" s="13" t="n">
        <v>2327</v>
      </c>
      <c r="H788" s="13" t="n">
        <v>15</v>
      </c>
      <c r="I788" s="13" t="n">
        <v>2312</v>
      </c>
      <c r="J788" s="13" t="n">
        <v>1</v>
      </c>
      <c r="K788" s="13" t="n">
        <v>1</v>
      </c>
      <c r="L788" s="13" t="n">
        <v>180</v>
      </c>
      <c r="M788" s="13" t="n">
        <v>2131</v>
      </c>
      <c r="N788" s="13" t="n">
        <v>360</v>
      </c>
      <c r="O788" s="13" t="n">
        <v>479</v>
      </c>
      <c r="P788" s="13" t="n">
        <v>735</v>
      </c>
      <c r="Q788" s="13" t="n">
        <v>487</v>
      </c>
      <c r="R788" s="13" t="n">
        <v>70</v>
      </c>
      <c r="S788" s="13" t="n">
        <v>0</v>
      </c>
      <c r="T788" s="13" t="n">
        <v>0.9217</v>
      </c>
      <c r="U788" s="13" t="n">
        <v>3.93</v>
      </c>
      <c r="V788" s="13" t="n">
        <f aca="false">M788-SUM(N788:S788)</f>
        <v>0</v>
      </c>
    </row>
    <row r="789" customFormat="false" ht="15" hidden="false" customHeight="true" outlineLevel="0" collapsed="false">
      <c r="A789" s="13" t="n">
        <v>2026</v>
      </c>
      <c r="B789" s="13" t="s">
        <v>1027</v>
      </c>
      <c r="C789" s="13" t="s">
        <v>121</v>
      </c>
      <c r="D789" s="13" t="s">
        <v>1033</v>
      </c>
      <c r="E789" s="13" t="s">
        <v>192</v>
      </c>
      <c r="F789" s="13" t="s">
        <v>652</v>
      </c>
      <c r="G789" s="13" t="n">
        <v>3661</v>
      </c>
      <c r="H789" s="13" t="n">
        <v>22</v>
      </c>
      <c r="I789" s="13" t="n">
        <v>3639</v>
      </c>
      <c r="J789" s="13" t="n">
        <v>3</v>
      </c>
      <c r="K789" s="13" t="n">
        <v>8</v>
      </c>
      <c r="L789" s="13" t="n">
        <v>272</v>
      </c>
      <c r="M789" s="13" t="n">
        <v>3359</v>
      </c>
      <c r="N789" s="13" t="n">
        <v>639</v>
      </c>
      <c r="O789" s="13" t="n">
        <v>721</v>
      </c>
      <c r="P789" s="13" t="n">
        <v>1103</v>
      </c>
      <c r="Q789" s="13" t="n">
        <v>774</v>
      </c>
      <c r="R789" s="13" t="n">
        <v>122</v>
      </c>
      <c r="S789" s="13" t="n">
        <v>0</v>
      </c>
      <c r="T789" s="13" t="n">
        <v>0.9231</v>
      </c>
      <c r="U789" s="13" t="n">
        <v>3.96</v>
      </c>
      <c r="V789" s="13" t="n">
        <f aca="false">M789-SUM(N789:S789)</f>
        <v>0</v>
      </c>
    </row>
    <row r="790" customFormat="false" ht="15" hidden="false" customHeight="true" outlineLevel="0" collapsed="false">
      <c r="A790" s="13" t="n">
        <v>2026</v>
      </c>
      <c r="B790" s="13" t="s">
        <v>1027</v>
      </c>
      <c r="C790" s="13" t="s">
        <v>121</v>
      </c>
      <c r="D790" s="13" t="s">
        <v>1034</v>
      </c>
      <c r="E790" s="13" t="s">
        <v>124</v>
      </c>
      <c r="F790" s="13" t="s">
        <v>357</v>
      </c>
      <c r="G790" s="13" t="n">
        <v>213</v>
      </c>
      <c r="H790" s="13" t="n">
        <v>0</v>
      </c>
      <c r="I790" s="13" t="n">
        <v>213</v>
      </c>
      <c r="J790" s="13" t="n">
        <v>1</v>
      </c>
      <c r="K790" s="13" t="n">
        <v>0</v>
      </c>
      <c r="L790" s="13" t="n">
        <v>30</v>
      </c>
      <c r="M790" s="13" t="n">
        <v>183</v>
      </c>
      <c r="N790" s="13" t="n">
        <v>33</v>
      </c>
      <c r="O790" s="13" t="n">
        <v>34</v>
      </c>
      <c r="P790" s="13" t="n">
        <v>61</v>
      </c>
      <c r="Q790" s="13" t="n">
        <v>38</v>
      </c>
      <c r="R790" s="13" t="n">
        <v>17</v>
      </c>
      <c r="S790" s="13" t="n">
        <v>0</v>
      </c>
      <c r="T790" s="13" t="n">
        <v>0.8592</v>
      </c>
      <c r="U790" s="13" t="n">
        <v>3.57</v>
      </c>
      <c r="V790" s="13" t="n">
        <f aca="false">M790-SUM(N790:S790)</f>
        <v>0</v>
      </c>
    </row>
    <row r="791" customFormat="false" ht="15" hidden="false" customHeight="true" outlineLevel="0" collapsed="false">
      <c r="A791" s="13" t="n">
        <v>2026</v>
      </c>
      <c r="B791" s="13" t="s">
        <v>1027</v>
      </c>
      <c r="C791" s="13" t="s">
        <v>121</v>
      </c>
      <c r="D791" s="13" t="s">
        <v>1034</v>
      </c>
      <c r="E791" s="13" t="s">
        <v>122</v>
      </c>
      <c r="F791" s="13" t="s">
        <v>357</v>
      </c>
      <c r="G791" s="13" t="n">
        <v>68</v>
      </c>
      <c r="H791" s="13" t="n">
        <v>1</v>
      </c>
      <c r="I791" s="13" t="n">
        <v>67</v>
      </c>
      <c r="J791" s="13" t="n">
        <v>0</v>
      </c>
      <c r="K791" s="13" t="n">
        <v>1</v>
      </c>
      <c r="L791" s="13" t="n">
        <v>6</v>
      </c>
      <c r="M791" s="13" t="n">
        <v>60</v>
      </c>
      <c r="N791" s="13" t="n">
        <v>11</v>
      </c>
      <c r="O791" s="13" t="n">
        <v>18</v>
      </c>
      <c r="P791" s="13" t="n">
        <v>17</v>
      </c>
      <c r="Q791" s="13" t="n">
        <v>13</v>
      </c>
      <c r="R791" s="13" t="n">
        <v>1</v>
      </c>
      <c r="S791" s="13" t="n">
        <v>0</v>
      </c>
      <c r="T791" s="13" t="n">
        <v>0.8955</v>
      </c>
      <c r="U791" s="13" t="n">
        <v>3.96</v>
      </c>
      <c r="V791" s="13" t="n">
        <f aca="false">M791-SUM(N791:S791)</f>
        <v>0</v>
      </c>
    </row>
    <row r="792" customFormat="false" ht="15" hidden="false" customHeight="true" outlineLevel="0" collapsed="false">
      <c r="A792" s="13" t="n">
        <v>2026</v>
      </c>
      <c r="B792" s="13" t="s">
        <v>1027</v>
      </c>
      <c r="C792" s="13" t="s">
        <v>121</v>
      </c>
      <c r="D792" s="13" t="s">
        <v>1034</v>
      </c>
      <c r="E792" s="13" t="s">
        <v>192</v>
      </c>
      <c r="F792" s="13" t="s">
        <v>652</v>
      </c>
      <c r="G792" s="13" t="n">
        <v>281</v>
      </c>
      <c r="H792" s="13" t="n">
        <v>1</v>
      </c>
      <c r="I792" s="13" t="n">
        <v>280</v>
      </c>
      <c r="J792" s="13" t="n">
        <v>1</v>
      </c>
      <c r="K792" s="13" t="n">
        <v>1</v>
      </c>
      <c r="L792" s="13" t="n">
        <v>36</v>
      </c>
      <c r="M792" s="13" t="n">
        <v>243</v>
      </c>
      <c r="N792" s="13" t="n">
        <v>44</v>
      </c>
      <c r="O792" s="13" t="n">
        <v>52</v>
      </c>
      <c r="P792" s="13" t="n">
        <v>78</v>
      </c>
      <c r="Q792" s="13" t="n">
        <v>51</v>
      </c>
      <c r="R792" s="13" t="n">
        <v>18</v>
      </c>
      <c r="S792" s="13" t="n">
        <v>0</v>
      </c>
      <c r="T792" s="13" t="n">
        <v>0.8679</v>
      </c>
      <c r="U792" s="13" t="n">
        <v>3.66</v>
      </c>
      <c r="V792" s="13" t="n">
        <f aca="false">M792-SUM(N792:S792)</f>
        <v>0</v>
      </c>
    </row>
    <row r="793" customFormat="false" ht="15" hidden="false" customHeight="true" outlineLevel="0" collapsed="false">
      <c r="A793" s="13" t="n">
        <v>2026</v>
      </c>
      <c r="B793" s="13" t="s">
        <v>1027</v>
      </c>
      <c r="C793" s="13" t="s">
        <v>121</v>
      </c>
      <c r="D793" s="13" t="s">
        <v>1035</v>
      </c>
      <c r="E793" s="13" t="s">
        <v>124</v>
      </c>
      <c r="F793" s="13" t="s">
        <v>357</v>
      </c>
      <c r="G793" s="13" t="n">
        <v>1730</v>
      </c>
      <c r="H793" s="13" t="n">
        <v>13</v>
      </c>
      <c r="I793" s="13" t="n">
        <v>1717</v>
      </c>
      <c r="J793" s="13" t="n">
        <v>2</v>
      </c>
      <c r="K793" s="13" t="n">
        <v>11</v>
      </c>
      <c r="L793" s="13" t="n">
        <v>347</v>
      </c>
      <c r="M793" s="13" t="n">
        <v>1358</v>
      </c>
      <c r="N793" s="13" t="n">
        <v>58</v>
      </c>
      <c r="O793" s="13" t="n">
        <v>198</v>
      </c>
      <c r="P793" s="13" t="n">
        <v>469</v>
      </c>
      <c r="Q793" s="13" t="n">
        <v>512</v>
      </c>
      <c r="R793" s="13" t="n">
        <v>121</v>
      </c>
      <c r="S793" s="13" t="n">
        <v>0</v>
      </c>
      <c r="T793" s="13" t="n">
        <v>0.7909</v>
      </c>
      <c r="U793" s="13" t="n">
        <v>2.91</v>
      </c>
      <c r="V793" s="13" t="n">
        <f aca="false">M793-SUM(N793:S793)</f>
        <v>0</v>
      </c>
    </row>
    <row r="794" customFormat="false" ht="15" hidden="false" customHeight="true" outlineLevel="0" collapsed="false">
      <c r="A794" s="13" t="n">
        <v>2026</v>
      </c>
      <c r="B794" s="13" t="s">
        <v>1027</v>
      </c>
      <c r="C794" s="13" t="s">
        <v>121</v>
      </c>
      <c r="D794" s="13" t="s">
        <v>1035</v>
      </c>
      <c r="E794" s="13" t="s">
        <v>122</v>
      </c>
      <c r="F794" s="13" t="s">
        <v>357</v>
      </c>
      <c r="G794" s="13" t="n">
        <v>726</v>
      </c>
      <c r="H794" s="13" t="n">
        <v>2</v>
      </c>
      <c r="I794" s="13" t="n">
        <v>724</v>
      </c>
      <c r="J794" s="13" t="n">
        <v>0</v>
      </c>
      <c r="K794" s="13" t="n">
        <v>0</v>
      </c>
      <c r="L794" s="13" t="n">
        <v>118</v>
      </c>
      <c r="M794" s="13" t="n">
        <v>606</v>
      </c>
      <c r="N794" s="13" t="n">
        <v>31</v>
      </c>
      <c r="O794" s="13" t="n">
        <v>114</v>
      </c>
      <c r="P794" s="13" t="n">
        <v>243</v>
      </c>
      <c r="Q794" s="13" t="n">
        <v>206</v>
      </c>
      <c r="R794" s="13" t="n">
        <v>12</v>
      </c>
      <c r="S794" s="13" t="n">
        <v>0</v>
      </c>
      <c r="T794" s="13" t="n">
        <v>0.837</v>
      </c>
      <c r="U794" s="13" t="n">
        <v>3.27</v>
      </c>
      <c r="V794" s="13" t="n">
        <f aca="false">M794-SUM(N794:S794)</f>
        <v>0</v>
      </c>
    </row>
    <row r="795" customFormat="false" ht="15" hidden="false" customHeight="true" outlineLevel="0" collapsed="false">
      <c r="A795" s="13" t="n">
        <v>2026</v>
      </c>
      <c r="B795" s="13" t="s">
        <v>1027</v>
      </c>
      <c r="C795" s="13" t="s">
        <v>121</v>
      </c>
      <c r="D795" s="13" t="s">
        <v>1035</v>
      </c>
      <c r="E795" s="13" t="s">
        <v>192</v>
      </c>
      <c r="F795" s="13" t="s">
        <v>652</v>
      </c>
      <c r="G795" s="13" t="n">
        <v>2456</v>
      </c>
      <c r="H795" s="13" t="n">
        <v>15</v>
      </c>
      <c r="I795" s="13" t="n">
        <v>2441</v>
      </c>
      <c r="J795" s="13" t="n">
        <v>2</v>
      </c>
      <c r="K795" s="13" t="n">
        <v>11</v>
      </c>
      <c r="L795" s="13" t="n">
        <v>465</v>
      </c>
      <c r="M795" s="13" t="n">
        <v>1964</v>
      </c>
      <c r="N795" s="13" t="n">
        <v>89</v>
      </c>
      <c r="O795" s="13" t="n">
        <v>312</v>
      </c>
      <c r="P795" s="13" t="n">
        <v>712</v>
      </c>
      <c r="Q795" s="13" t="n">
        <v>718</v>
      </c>
      <c r="R795" s="13" t="n">
        <v>133</v>
      </c>
      <c r="S795" s="13" t="n">
        <v>0</v>
      </c>
      <c r="T795" s="13" t="n">
        <v>0.8046</v>
      </c>
      <c r="U795" s="13" t="n">
        <v>3.02</v>
      </c>
      <c r="V795" s="13" t="n">
        <f aca="false">M795-SUM(N795:S795)</f>
        <v>0</v>
      </c>
    </row>
    <row r="796" customFormat="false" ht="15" hidden="false" customHeight="true" outlineLevel="0" collapsed="false">
      <c r="A796" s="13" t="n">
        <v>2026</v>
      </c>
      <c r="B796" s="13" t="s">
        <v>1027</v>
      </c>
      <c r="C796" s="13" t="s">
        <v>121</v>
      </c>
      <c r="D796" s="13" t="s">
        <v>203</v>
      </c>
      <c r="E796" s="13" t="s">
        <v>124</v>
      </c>
      <c r="F796" s="13" t="s">
        <v>357</v>
      </c>
      <c r="G796" s="13" t="n">
        <v>38</v>
      </c>
      <c r="H796" s="13" t="n">
        <v>0</v>
      </c>
      <c r="I796" s="13" t="n">
        <v>38</v>
      </c>
      <c r="J796" s="13" t="n">
        <v>0</v>
      </c>
      <c r="K796" s="13" t="n">
        <v>0</v>
      </c>
      <c r="L796" s="13" t="n">
        <v>6</v>
      </c>
      <c r="M796" s="13" t="n">
        <v>32</v>
      </c>
      <c r="N796" s="13" t="n">
        <v>0</v>
      </c>
      <c r="O796" s="13" t="n">
        <v>0</v>
      </c>
      <c r="P796" s="13" t="n">
        <v>3</v>
      </c>
      <c r="Q796" s="13" t="n">
        <v>13</v>
      </c>
      <c r="R796" s="13" t="n">
        <v>16</v>
      </c>
      <c r="S796" s="13" t="n">
        <v>0</v>
      </c>
      <c r="T796" s="13" t="n">
        <v>0.8421</v>
      </c>
      <c r="U796" s="13" t="n">
        <v>2.18</v>
      </c>
      <c r="V796" s="13" t="n">
        <f aca="false">M796-SUM(N796:S796)</f>
        <v>0</v>
      </c>
    </row>
    <row r="797" customFormat="false" ht="15" hidden="false" customHeight="true" outlineLevel="0" collapsed="false">
      <c r="A797" s="13" t="n">
        <v>2026</v>
      </c>
      <c r="B797" s="13" t="s">
        <v>1027</v>
      </c>
      <c r="C797" s="13" t="s">
        <v>121</v>
      </c>
      <c r="D797" s="13" t="s">
        <v>203</v>
      </c>
      <c r="E797" s="13" t="s">
        <v>122</v>
      </c>
      <c r="F797" s="13" t="s">
        <v>357</v>
      </c>
      <c r="G797" s="13" t="n">
        <v>3</v>
      </c>
      <c r="H797" s="13" t="n">
        <v>0</v>
      </c>
      <c r="I797" s="13" t="n">
        <v>3</v>
      </c>
      <c r="J797" s="13" t="n">
        <v>0</v>
      </c>
      <c r="K797" s="13" t="n">
        <v>0</v>
      </c>
      <c r="L797" s="13" t="n">
        <v>0</v>
      </c>
      <c r="M797" s="13" t="n">
        <v>3</v>
      </c>
      <c r="N797" s="13" t="n">
        <v>0</v>
      </c>
      <c r="O797" s="13" t="n">
        <v>0</v>
      </c>
      <c r="P797" s="13" t="n">
        <v>1</v>
      </c>
      <c r="Q797" s="13" t="n">
        <v>1</v>
      </c>
      <c r="R797" s="13" t="n">
        <v>1</v>
      </c>
      <c r="S797" s="13" t="n">
        <v>0</v>
      </c>
      <c r="T797" s="13" t="n">
        <v>1</v>
      </c>
      <c r="U797" s="13" t="n">
        <v>3</v>
      </c>
      <c r="V797" s="13" t="n">
        <f aca="false">M797-SUM(N797:S797)</f>
        <v>0</v>
      </c>
    </row>
    <row r="798" customFormat="false" ht="15" hidden="false" customHeight="true" outlineLevel="0" collapsed="false">
      <c r="A798" s="13" t="n">
        <v>2026</v>
      </c>
      <c r="B798" s="13" t="s">
        <v>1027</v>
      </c>
      <c r="C798" s="13" t="s">
        <v>121</v>
      </c>
      <c r="D798" s="13" t="s">
        <v>203</v>
      </c>
      <c r="E798" s="13" t="s">
        <v>192</v>
      </c>
      <c r="F798" s="13" t="s">
        <v>652</v>
      </c>
      <c r="G798" s="13" t="n">
        <v>41</v>
      </c>
      <c r="H798" s="13" t="n">
        <v>0</v>
      </c>
      <c r="I798" s="13" t="n">
        <v>41</v>
      </c>
      <c r="J798" s="13" t="n">
        <v>0</v>
      </c>
      <c r="K798" s="13" t="n">
        <v>0</v>
      </c>
      <c r="L798" s="13" t="n">
        <v>6</v>
      </c>
      <c r="M798" s="13" t="n">
        <v>35</v>
      </c>
      <c r="N798" s="13" t="n">
        <v>0</v>
      </c>
      <c r="O798" s="13" t="n">
        <v>0</v>
      </c>
      <c r="P798" s="13" t="n">
        <v>4</v>
      </c>
      <c r="Q798" s="13" t="n">
        <v>14</v>
      </c>
      <c r="R798" s="13" t="n">
        <v>17</v>
      </c>
      <c r="S798" s="13" t="n">
        <v>0</v>
      </c>
      <c r="T798" s="13" t="n">
        <v>0.8537</v>
      </c>
      <c r="U798" s="13" t="n">
        <v>2.24</v>
      </c>
      <c r="V798" s="13" t="n">
        <f aca="false">M798-SUM(N798:S798)</f>
        <v>0</v>
      </c>
    </row>
    <row r="799" customFormat="false" ht="15" hidden="false" customHeight="true" outlineLevel="0" collapsed="false">
      <c r="A799" s="13" t="n">
        <v>2026</v>
      </c>
      <c r="B799" s="13" t="s">
        <v>1027</v>
      </c>
      <c r="C799" s="13" t="s">
        <v>121</v>
      </c>
      <c r="D799" s="13" t="s">
        <v>1037</v>
      </c>
      <c r="E799" s="13" t="s">
        <v>192</v>
      </c>
      <c r="F799" s="13" t="s">
        <v>1038</v>
      </c>
      <c r="G799" s="13" t="n">
        <v>9991</v>
      </c>
      <c r="H799" s="13" t="n">
        <v>65</v>
      </c>
      <c r="I799" s="13" t="n">
        <v>9926</v>
      </c>
      <c r="J799" s="13" t="n">
        <v>7</v>
      </c>
      <c r="K799" s="13" t="n">
        <v>28</v>
      </c>
      <c r="L799" s="13" t="n">
        <v>994</v>
      </c>
      <c r="M799" s="13" t="n">
        <v>8903</v>
      </c>
      <c r="N799" s="13" t="n">
        <v>790</v>
      </c>
      <c r="O799" s="13" t="n">
        <v>1352</v>
      </c>
      <c r="P799" s="13" t="n">
        <v>2845</v>
      </c>
      <c r="Q799" s="13" t="n">
        <v>2868</v>
      </c>
      <c r="R799" s="13" t="n">
        <v>1019</v>
      </c>
      <c r="S799" s="13" t="n">
        <v>29</v>
      </c>
      <c r="T799" s="13" t="n">
        <v>0.8969</v>
      </c>
      <c r="U799" s="13" t="n">
        <v>3.38</v>
      </c>
      <c r="V799" s="13" t="n">
        <f aca="false">M799-SUM(N799:S799)</f>
        <v>0</v>
      </c>
    </row>
    <row r="800" customFormat="false" ht="15" hidden="false" customHeight="true" outlineLevel="0" collapsed="false">
      <c r="A800" s="13" t="n">
        <v>2026</v>
      </c>
      <c r="B800" s="13" t="s">
        <v>1027</v>
      </c>
      <c r="C800" s="13" t="s">
        <v>125</v>
      </c>
      <c r="D800" s="13" t="s">
        <v>128</v>
      </c>
      <c r="E800" s="13" t="s">
        <v>124</v>
      </c>
      <c r="F800" s="13" t="s">
        <v>357</v>
      </c>
      <c r="G800" s="13" t="n">
        <v>699</v>
      </c>
      <c r="H800" s="13" t="n">
        <v>19</v>
      </c>
      <c r="I800" s="13" t="n">
        <v>680</v>
      </c>
      <c r="J800" s="13" t="n">
        <v>223</v>
      </c>
      <c r="K800" s="13" t="n">
        <v>6</v>
      </c>
      <c r="L800" s="13" t="n">
        <v>322</v>
      </c>
      <c r="M800" s="13" t="n">
        <v>352</v>
      </c>
      <c r="N800" s="13" t="n">
        <v>0</v>
      </c>
      <c r="O800" s="13" t="n">
        <v>9</v>
      </c>
      <c r="P800" s="13" t="n">
        <v>40</v>
      </c>
      <c r="Q800" s="13" t="n">
        <v>97</v>
      </c>
      <c r="R800" s="13" t="n">
        <v>178</v>
      </c>
      <c r="S800" s="13" t="n">
        <v>22</v>
      </c>
      <c r="T800" s="13" t="n">
        <v>0.5176</v>
      </c>
      <c r="U800" s="13" t="n">
        <v>1.29</v>
      </c>
      <c r="V800" s="13" t="n">
        <f aca="false">M800-SUM(N800:S800)</f>
        <v>6</v>
      </c>
    </row>
    <row r="801" customFormat="false" ht="15" hidden="false" customHeight="true" outlineLevel="0" collapsed="false">
      <c r="A801" s="13" t="n">
        <v>2026</v>
      </c>
      <c r="B801" s="13" t="s">
        <v>1027</v>
      </c>
      <c r="C801" s="13" t="s">
        <v>125</v>
      </c>
      <c r="D801" s="13" t="s">
        <v>128</v>
      </c>
      <c r="E801" s="13" t="s">
        <v>122</v>
      </c>
      <c r="F801" s="13" t="s">
        <v>357</v>
      </c>
      <c r="G801" s="13" t="n">
        <v>628</v>
      </c>
      <c r="H801" s="13" t="n">
        <v>9</v>
      </c>
      <c r="I801" s="13" t="n">
        <v>619</v>
      </c>
      <c r="J801" s="13" t="n">
        <v>77</v>
      </c>
      <c r="K801" s="13" t="n">
        <v>5</v>
      </c>
      <c r="L801" s="13" t="n">
        <v>162</v>
      </c>
      <c r="M801" s="13" t="n">
        <v>452</v>
      </c>
      <c r="N801" s="13" t="n">
        <v>0</v>
      </c>
      <c r="O801" s="13" t="n">
        <v>9</v>
      </c>
      <c r="P801" s="13" t="n">
        <v>46</v>
      </c>
      <c r="Q801" s="13" t="n">
        <v>144</v>
      </c>
      <c r="R801" s="13" t="n">
        <v>223</v>
      </c>
      <c r="S801" s="13" t="n">
        <v>28</v>
      </c>
      <c r="T801" s="13" t="n">
        <v>0.7302</v>
      </c>
      <c r="U801" s="13" t="n">
        <v>1.83</v>
      </c>
      <c r="V801" s="13" t="n">
        <f aca="false">M801-SUM(N801:S801)</f>
        <v>2</v>
      </c>
    </row>
    <row r="802" customFormat="false" ht="15" hidden="false" customHeight="true" outlineLevel="0" collapsed="false">
      <c r="A802" s="13" t="n">
        <v>2026</v>
      </c>
      <c r="B802" s="13" t="s">
        <v>1027</v>
      </c>
      <c r="C802" s="13" t="s">
        <v>125</v>
      </c>
      <c r="D802" s="13" t="s">
        <v>128</v>
      </c>
      <c r="E802" s="13" t="s">
        <v>192</v>
      </c>
      <c r="F802" s="13" t="s">
        <v>652</v>
      </c>
      <c r="G802" s="13" t="n">
        <v>1327</v>
      </c>
      <c r="H802" s="13" t="n">
        <v>28</v>
      </c>
      <c r="I802" s="13" t="n">
        <v>1299</v>
      </c>
      <c r="J802" s="13" t="n">
        <v>300</v>
      </c>
      <c r="K802" s="13" t="n">
        <v>11</v>
      </c>
      <c r="L802" s="13" t="n">
        <v>484</v>
      </c>
      <c r="M802" s="13" t="n">
        <v>804</v>
      </c>
      <c r="N802" s="13" t="n">
        <v>0</v>
      </c>
      <c r="O802" s="13" t="n">
        <v>18</v>
      </c>
      <c r="P802" s="13" t="n">
        <v>86</v>
      </c>
      <c r="Q802" s="13" t="n">
        <v>241</v>
      </c>
      <c r="R802" s="13" t="n">
        <v>401</v>
      </c>
      <c r="S802" s="13" t="n">
        <v>50</v>
      </c>
      <c r="T802" s="13" t="n">
        <v>0.6189</v>
      </c>
      <c r="U802" s="13" t="n">
        <v>1.55</v>
      </c>
      <c r="V802" s="13" t="n">
        <f aca="false">M802-SUM(N802:S802)</f>
        <v>8</v>
      </c>
    </row>
    <row r="803" customFormat="false" ht="15" hidden="false" customHeight="true" outlineLevel="0" collapsed="false">
      <c r="A803" s="13" t="n">
        <v>2026</v>
      </c>
      <c r="B803" s="13" t="s">
        <v>1027</v>
      </c>
      <c r="C803" s="13" t="s">
        <v>125</v>
      </c>
      <c r="D803" s="13" t="s">
        <v>1033</v>
      </c>
      <c r="E803" s="13" t="s">
        <v>124</v>
      </c>
      <c r="F803" s="13" t="s">
        <v>357</v>
      </c>
      <c r="G803" s="13" t="n">
        <v>347</v>
      </c>
      <c r="H803" s="13" t="n">
        <v>17</v>
      </c>
      <c r="I803" s="13" t="n">
        <v>330</v>
      </c>
      <c r="J803" s="13" t="n">
        <v>80</v>
      </c>
      <c r="K803" s="13" t="n">
        <v>4</v>
      </c>
      <c r="L803" s="13" t="n">
        <v>102</v>
      </c>
      <c r="M803" s="13" t="n">
        <v>224</v>
      </c>
      <c r="N803" s="13" t="n">
        <v>125</v>
      </c>
      <c r="O803" s="13" t="n">
        <v>29</v>
      </c>
      <c r="P803" s="13" t="n">
        <v>27</v>
      </c>
      <c r="Q803" s="13" t="n">
        <v>27</v>
      </c>
      <c r="R803" s="13" t="n">
        <v>16</v>
      </c>
      <c r="S803" s="13" t="n">
        <v>0</v>
      </c>
      <c r="T803" s="13" t="n">
        <v>0.6788</v>
      </c>
      <c r="U803" s="13" t="n">
        <v>3.38</v>
      </c>
      <c r="V803" s="13" t="n">
        <f aca="false">M803-SUM(N803:S803)</f>
        <v>0</v>
      </c>
    </row>
    <row r="804" customFormat="false" ht="15" hidden="false" customHeight="true" outlineLevel="0" collapsed="false">
      <c r="A804" s="13" t="n">
        <v>2026</v>
      </c>
      <c r="B804" s="13" t="s">
        <v>1027</v>
      </c>
      <c r="C804" s="13" t="s">
        <v>125</v>
      </c>
      <c r="D804" s="13" t="s">
        <v>1033</v>
      </c>
      <c r="E804" s="13" t="s">
        <v>122</v>
      </c>
      <c r="F804" s="13" t="s">
        <v>357</v>
      </c>
      <c r="G804" s="13" t="n">
        <v>500</v>
      </c>
      <c r="H804" s="13" t="n">
        <v>17</v>
      </c>
      <c r="I804" s="13" t="n">
        <v>483</v>
      </c>
      <c r="J804" s="13" t="n">
        <v>32</v>
      </c>
      <c r="K804" s="13" t="n">
        <v>3</v>
      </c>
      <c r="L804" s="13" t="n">
        <v>72</v>
      </c>
      <c r="M804" s="13" t="n">
        <v>408</v>
      </c>
      <c r="N804" s="13" t="n">
        <v>189</v>
      </c>
      <c r="O804" s="13" t="n">
        <v>59</v>
      </c>
      <c r="P804" s="13" t="n">
        <v>42</v>
      </c>
      <c r="Q804" s="13" t="n">
        <v>88</v>
      </c>
      <c r="R804" s="13" t="n">
        <v>30</v>
      </c>
      <c r="S804" s="13" t="n">
        <v>0</v>
      </c>
      <c r="T804" s="13" t="n">
        <v>0.8447</v>
      </c>
      <c r="U804" s="13" t="n">
        <v>3.98</v>
      </c>
      <c r="V804" s="13" t="n">
        <f aca="false">M804-SUM(N804:S804)</f>
        <v>0</v>
      </c>
    </row>
    <row r="805" customFormat="false" ht="15" hidden="false" customHeight="true" outlineLevel="0" collapsed="false">
      <c r="A805" s="13" t="n">
        <v>2026</v>
      </c>
      <c r="B805" s="13" t="s">
        <v>1027</v>
      </c>
      <c r="C805" s="13" t="s">
        <v>125</v>
      </c>
      <c r="D805" s="13" t="s">
        <v>1033</v>
      </c>
      <c r="E805" s="13" t="s">
        <v>192</v>
      </c>
      <c r="F805" s="13" t="s">
        <v>652</v>
      </c>
      <c r="G805" s="13" t="n">
        <v>847</v>
      </c>
      <c r="H805" s="13" t="n">
        <v>34</v>
      </c>
      <c r="I805" s="13" t="n">
        <v>813</v>
      </c>
      <c r="J805" s="13" t="n">
        <v>112</v>
      </c>
      <c r="K805" s="13" t="n">
        <v>7</v>
      </c>
      <c r="L805" s="13" t="n">
        <v>174</v>
      </c>
      <c r="M805" s="13" t="n">
        <v>632</v>
      </c>
      <c r="N805" s="13" t="n">
        <v>314</v>
      </c>
      <c r="O805" s="13" t="n">
        <v>88</v>
      </c>
      <c r="P805" s="13" t="n">
        <v>69</v>
      </c>
      <c r="Q805" s="13" t="n">
        <v>115</v>
      </c>
      <c r="R805" s="13" t="n">
        <v>46</v>
      </c>
      <c r="S805" s="13" t="n">
        <v>0</v>
      </c>
      <c r="T805" s="13" t="n">
        <v>0.7774</v>
      </c>
      <c r="U805" s="13" t="n">
        <v>3.74</v>
      </c>
      <c r="V805" s="13" t="n">
        <f aca="false">M805-SUM(N805:S805)</f>
        <v>0</v>
      </c>
    </row>
    <row r="806" customFormat="false" ht="15" hidden="false" customHeight="true" outlineLevel="0" collapsed="false">
      <c r="A806" s="13" t="n">
        <v>2026</v>
      </c>
      <c r="B806" s="13" t="s">
        <v>1027</v>
      </c>
      <c r="C806" s="13" t="s">
        <v>125</v>
      </c>
      <c r="D806" s="13" t="s">
        <v>1034</v>
      </c>
      <c r="E806" s="13" t="s">
        <v>124</v>
      </c>
      <c r="F806" s="13" t="s">
        <v>357</v>
      </c>
      <c r="G806" s="13" t="n">
        <v>69</v>
      </c>
      <c r="H806" s="13" t="n">
        <v>5</v>
      </c>
      <c r="I806" s="13" t="n">
        <v>64</v>
      </c>
      <c r="J806" s="13" t="n">
        <v>9</v>
      </c>
      <c r="K806" s="13" t="n">
        <v>0</v>
      </c>
      <c r="L806" s="13" t="n">
        <v>24</v>
      </c>
      <c r="M806" s="13" t="n">
        <v>40</v>
      </c>
      <c r="N806" s="13" t="n">
        <v>3</v>
      </c>
      <c r="O806" s="13" t="n">
        <v>4</v>
      </c>
      <c r="P806" s="13" t="n">
        <v>9</v>
      </c>
      <c r="Q806" s="13" t="n">
        <v>16</v>
      </c>
      <c r="R806" s="13" t="n">
        <v>8</v>
      </c>
      <c r="S806" s="13" t="n">
        <v>0</v>
      </c>
      <c r="T806" s="13" t="n">
        <v>0.625</v>
      </c>
      <c r="U806" s="13" t="n">
        <v>2.16</v>
      </c>
      <c r="V806" s="13" t="n">
        <f aca="false">M806-SUM(N806:S806)</f>
        <v>0</v>
      </c>
    </row>
    <row r="807" customFormat="false" ht="15" hidden="false" customHeight="true" outlineLevel="0" collapsed="false">
      <c r="A807" s="13" t="n">
        <v>2026</v>
      </c>
      <c r="B807" s="13" t="s">
        <v>1027</v>
      </c>
      <c r="C807" s="13" t="s">
        <v>125</v>
      </c>
      <c r="D807" s="13" t="s">
        <v>1034</v>
      </c>
      <c r="E807" s="13" t="s">
        <v>122</v>
      </c>
      <c r="F807" s="13" t="s">
        <v>357</v>
      </c>
      <c r="G807" s="13" t="n">
        <v>10</v>
      </c>
      <c r="H807" s="13" t="n">
        <v>0</v>
      </c>
      <c r="I807" s="13" t="n">
        <v>10</v>
      </c>
      <c r="J807" s="13" t="n">
        <v>0</v>
      </c>
      <c r="K807" s="13" t="n">
        <v>0</v>
      </c>
      <c r="L807" s="13" t="n">
        <v>5</v>
      </c>
      <c r="M807" s="13" t="n">
        <v>5</v>
      </c>
      <c r="N807" s="13" t="n">
        <v>0</v>
      </c>
      <c r="O807" s="13" t="n">
        <v>0</v>
      </c>
      <c r="P807" s="13" t="n">
        <v>1</v>
      </c>
      <c r="Q807" s="13" t="n">
        <v>3</v>
      </c>
      <c r="R807" s="13" t="n">
        <v>1</v>
      </c>
      <c r="S807" s="13" t="n">
        <v>0</v>
      </c>
      <c r="T807" s="13" t="n">
        <v>0.5</v>
      </c>
      <c r="U807" s="13" t="n">
        <v>1.5</v>
      </c>
      <c r="V807" s="13" t="n">
        <f aca="false">M807-SUM(N807:S807)</f>
        <v>0</v>
      </c>
    </row>
    <row r="808" customFormat="false" ht="15" hidden="false" customHeight="true" outlineLevel="0" collapsed="false">
      <c r="A808" s="13" t="n">
        <v>2026</v>
      </c>
      <c r="B808" s="13" t="s">
        <v>1027</v>
      </c>
      <c r="C808" s="13" t="s">
        <v>125</v>
      </c>
      <c r="D808" s="13" t="s">
        <v>1034</v>
      </c>
      <c r="E808" s="13" t="s">
        <v>192</v>
      </c>
      <c r="F808" s="13" t="s">
        <v>652</v>
      </c>
      <c r="G808" s="13" t="n">
        <v>79</v>
      </c>
      <c r="H808" s="13" t="n">
        <v>5</v>
      </c>
      <c r="I808" s="13" t="n">
        <v>74</v>
      </c>
      <c r="J808" s="13" t="n">
        <v>9</v>
      </c>
      <c r="K808" s="13" t="n">
        <v>0</v>
      </c>
      <c r="L808" s="13" t="n">
        <v>29</v>
      </c>
      <c r="M808" s="13" t="n">
        <v>45</v>
      </c>
      <c r="N808" s="13" t="n">
        <v>3</v>
      </c>
      <c r="O808" s="13" t="n">
        <v>4</v>
      </c>
      <c r="P808" s="13" t="n">
        <v>10</v>
      </c>
      <c r="Q808" s="13" t="n">
        <v>19</v>
      </c>
      <c r="R808" s="13" t="n">
        <v>9</v>
      </c>
      <c r="S808" s="13" t="n">
        <v>0</v>
      </c>
      <c r="T808" s="13" t="n">
        <v>0.6081</v>
      </c>
      <c r="U808" s="13" t="n">
        <v>2.07</v>
      </c>
      <c r="V808" s="13" t="n">
        <f aca="false">M808-SUM(N808:S808)</f>
        <v>0</v>
      </c>
    </row>
    <row r="809" customFormat="false" ht="15" hidden="false" customHeight="true" outlineLevel="0" collapsed="false">
      <c r="A809" s="13" t="n">
        <v>2026</v>
      </c>
      <c r="B809" s="13" t="s">
        <v>1027</v>
      </c>
      <c r="C809" s="13" t="s">
        <v>125</v>
      </c>
      <c r="D809" s="13" t="s">
        <v>1035</v>
      </c>
      <c r="E809" s="13" t="s">
        <v>124</v>
      </c>
      <c r="F809" s="13" t="s">
        <v>357</v>
      </c>
      <c r="G809" s="13" t="n">
        <v>393</v>
      </c>
      <c r="H809" s="13" t="n">
        <v>19</v>
      </c>
      <c r="I809" s="13" t="n">
        <v>374</v>
      </c>
      <c r="J809" s="13" t="n">
        <v>92</v>
      </c>
      <c r="K809" s="13" t="n">
        <v>1</v>
      </c>
      <c r="L809" s="13" t="n">
        <v>181</v>
      </c>
      <c r="M809" s="13" t="n">
        <v>192</v>
      </c>
      <c r="N809" s="13" t="n">
        <v>1</v>
      </c>
      <c r="O809" s="13" t="n">
        <v>6</v>
      </c>
      <c r="P809" s="13" t="n">
        <v>48</v>
      </c>
      <c r="Q809" s="13" t="n">
        <v>95</v>
      </c>
      <c r="R809" s="13" t="n">
        <v>42</v>
      </c>
      <c r="S809" s="13" t="n">
        <v>0</v>
      </c>
      <c r="T809" s="13" t="n">
        <v>0.5134</v>
      </c>
      <c r="U809" s="13" t="n">
        <v>1.6</v>
      </c>
      <c r="V809" s="13" t="n">
        <f aca="false">M809-SUM(N809:S809)</f>
        <v>0</v>
      </c>
    </row>
    <row r="810" customFormat="false" ht="15" hidden="false" customHeight="true" outlineLevel="0" collapsed="false">
      <c r="A810" s="13" t="n">
        <v>2026</v>
      </c>
      <c r="B810" s="13" t="s">
        <v>1027</v>
      </c>
      <c r="C810" s="13" t="s">
        <v>125</v>
      </c>
      <c r="D810" s="13" t="s">
        <v>1035</v>
      </c>
      <c r="E810" s="13" t="s">
        <v>122</v>
      </c>
      <c r="F810" s="13" t="s">
        <v>357</v>
      </c>
      <c r="G810" s="13" t="n">
        <v>112</v>
      </c>
      <c r="H810" s="13" t="n">
        <v>1</v>
      </c>
      <c r="I810" s="13" t="n">
        <v>111</v>
      </c>
      <c r="J810" s="13" t="n">
        <v>4</v>
      </c>
      <c r="K810" s="13" t="n">
        <v>1</v>
      </c>
      <c r="L810" s="13" t="n">
        <v>67</v>
      </c>
      <c r="M810" s="13" t="n">
        <v>43</v>
      </c>
      <c r="N810" s="13" t="n">
        <v>0</v>
      </c>
      <c r="O810" s="13" t="n">
        <v>1</v>
      </c>
      <c r="P810" s="13" t="n">
        <v>14</v>
      </c>
      <c r="Q810" s="13" t="n">
        <v>21</v>
      </c>
      <c r="R810" s="13" t="n">
        <v>7</v>
      </c>
      <c r="S810" s="13" t="n">
        <v>0</v>
      </c>
      <c r="T810" s="13" t="n">
        <v>0.3874</v>
      </c>
      <c r="U810" s="13" t="n">
        <v>1.24</v>
      </c>
      <c r="V810" s="13" t="n">
        <f aca="false">M810-SUM(N810:S810)</f>
        <v>0</v>
      </c>
    </row>
    <row r="811" customFormat="false" ht="15" hidden="false" customHeight="true" outlineLevel="0" collapsed="false">
      <c r="A811" s="13" t="n">
        <v>2026</v>
      </c>
      <c r="B811" s="13" t="s">
        <v>1027</v>
      </c>
      <c r="C811" s="13" t="s">
        <v>125</v>
      </c>
      <c r="D811" s="13" t="s">
        <v>1035</v>
      </c>
      <c r="E811" s="13" t="s">
        <v>192</v>
      </c>
      <c r="F811" s="13" t="s">
        <v>652</v>
      </c>
      <c r="G811" s="13" t="n">
        <v>505</v>
      </c>
      <c r="H811" s="13" t="n">
        <v>20</v>
      </c>
      <c r="I811" s="13" t="n">
        <v>485</v>
      </c>
      <c r="J811" s="13" t="n">
        <v>96</v>
      </c>
      <c r="K811" s="13" t="n">
        <v>2</v>
      </c>
      <c r="L811" s="13" t="n">
        <v>248</v>
      </c>
      <c r="M811" s="13" t="n">
        <v>235</v>
      </c>
      <c r="N811" s="13" t="n">
        <v>1</v>
      </c>
      <c r="O811" s="13" t="n">
        <v>7</v>
      </c>
      <c r="P811" s="13" t="n">
        <v>62</v>
      </c>
      <c r="Q811" s="13" t="n">
        <v>116</v>
      </c>
      <c r="R811" s="13" t="n">
        <v>49</v>
      </c>
      <c r="S811" s="13" t="n">
        <v>0</v>
      </c>
      <c r="T811" s="13" t="n">
        <v>0.4845</v>
      </c>
      <c r="U811" s="13" t="n">
        <v>1.52</v>
      </c>
      <c r="V811" s="13" t="n">
        <f aca="false">M811-SUM(N811:S811)</f>
        <v>0</v>
      </c>
    </row>
    <row r="812" customFormat="false" ht="15" hidden="false" customHeight="true" outlineLevel="0" collapsed="false">
      <c r="A812" s="13" t="n">
        <v>2026</v>
      </c>
      <c r="B812" s="13" t="s">
        <v>1027</v>
      </c>
      <c r="C812" s="13" t="s">
        <v>125</v>
      </c>
      <c r="D812" s="13" t="s">
        <v>203</v>
      </c>
      <c r="E812" s="13" t="s">
        <v>124</v>
      </c>
      <c r="F812" s="13" t="s">
        <v>357</v>
      </c>
      <c r="G812" s="13" t="n">
        <v>6</v>
      </c>
      <c r="H812" s="13" t="n">
        <v>0</v>
      </c>
      <c r="I812" s="13" t="n">
        <v>6</v>
      </c>
      <c r="J812" s="13" t="n">
        <v>3</v>
      </c>
      <c r="K812" s="13" t="n">
        <v>0</v>
      </c>
      <c r="L812" s="13" t="n">
        <v>4</v>
      </c>
      <c r="M812" s="13" t="n">
        <v>2</v>
      </c>
      <c r="N812" s="13" t="n">
        <v>0</v>
      </c>
      <c r="O812" s="13" t="n">
        <v>0</v>
      </c>
      <c r="P812" s="13" t="n">
        <v>0</v>
      </c>
      <c r="Q812" s="13" t="n">
        <v>0</v>
      </c>
      <c r="R812" s="13" t="n">
        <v>2</v>
      </c>
      <c r="S812" s="13" t="n">
        <v>0</v>
      </c>
      <c r="T812" s="13" t="n">
        <v>0.3333</v>
      </c>
      <c r="U812" s="13" t="n">
        <v>0.67</v>
      </c>
      <c r="V812" s="13" t="n">
        <f aca="false">M812-SUM(N812:S812)</f>
        <v>0</v>
      </c>
    </row>
    <row r="813" customFormat="false" ht="15" hidden="false" customHeight="true" outlineLevel="0" collapsed="false">
      <c r="A813" s="13" t="n">
        <v>2026</v>
      </c>
      <c r="B813" s="13" t="s">
        <v>1027</v>
      </c>
      <c r="C813" s="13" t="s">
        <v>125</v>
      </c>
      <c r="D813" s="13" t="s">
        <v>203</v>
      </c>
      <c r="E813" s="13" t="s">
        <v>192</v>
      </c>
      <c r="F813" s="13" t="s">
        <v>652</v>
      </c>
      <c r="G813" s="13" t="n">
        <v>6</v>
      </c>
      <c r="H813" s="13" t="n">
        <v>0</v>
      </c>
      <c r="I813" s="13" t="n">
        <v>6</v>
      </c>
      <c r="J813" s="13" t="n">
        <v>3</v>
      </c>
      <c r="K813" s="13" t="n">
        <v>0</v>
      </c>
      <c r="L813" s="13" t="n">
        <v>4</v>
      </c>
      <c r="M813" s="13" t="n">
        <v>2</v>
      </c>
      <c r="N813" s="13" t="n">
        <v>0</v>
      </c>
      <c r="O813" s="13" t="n">
        <v>0</v>
      </c>
      <c r="P813" s="13" t="n">
        <v>0</v>
      </c>
      <c r="Q813" s="13" t="n">
        <v>0</v>
      </c>
      <c r="R813" s="13" t="n">
        <v>2</v>
      </c>
      <c r="S813" s="13" t="n">
        <v>0</v>
      </c>
      <c r="T813" s="13" t="n">
        <v>0.3333</v>
      </c>
      <c r="U813" s="13" t="n">
        <v>0.67</v>
      </c>
      <c r="V813" s="13" t="n">
        <f aca="false">M813-SUM(N813:S813)</f>
        <v>0</v>
      </c>
    </row>
    <row r="814" customFormat="false" ht="15" hidden="false" customHeight="true" outlineLevel="0" collapsed="false">
      <c r="A814" s="13" t="n">
        <v>2026</v>
      </c>
      <c r="B814" s="13" t="s">
        <v>1027</v>
      </c>
      <c r="C814" s="13" t="s">
        <v>125</v>
      </c>
      <c r="D814" s="13" t="s">
        <v>1037</v>
      </c>
      <c r="E814" s="13" t="s">
        <v>192</v>
      </c>
      <c r="F814" s="13" t="s">
        <v>1038</v>
      </c>
      <c r="G814" s="13" t="n">
        <v>2764</v>
      </c>
      <c r="H814" s="13" t="n">
        <v>87</v>
      </c>
      <c r="I814" s="13" t="n">
        <v>2677</v>
      </c>
      <c r="J814" s="13" t="n">
        <v>520</v>
      </c>
      <c r="K814" s="13" t="n">
        <v>20</v>
      </c>
      <c r="L814" s="13" t="n">
        <v>939</v>
      </c>
      <c r="M814" s="13" t="n">
        <v>1718</v>
      </c>
      <c r="N814" s="13" t="n">
        <v>318</v>
      </c>
      <c r="O814" s="13" t="n">
        <v>117</v>
      </c>
      <c r="P814" s="13" t="n">
        <v>227</v>
      </c>
      <c r="Q814" s="13" t="n">
        <v>491</v>
      </c>
      <c r="R814" s="13" t="n">
        <v>507</v>
      </c>
      <c r="S814" s="13" t="n">
        <v>50</v>
      </c>
      <c r="T814" s="13" t="n">
        <v>0.6418</v>
      </c>
      <c r="U814" s="13" t="n">
        <v>2.22</v>
      </c>
      <c r="V814" s="13" t="n">
        <f aca="false">M814-SUM(N814:S814)</f>
        <v>8</v>
      </c>
    </row>
    <row r="815" customFormat="false" ht="15" hidden="false" customHeight="true" outlineLevel="0" collapsed="false">
      <c r="A815" s="13" t="n">
        <v>2026</v>
      </c>
      <c r="B815" s="13" t="s">
        <v>1027</v>
      </c>
      <c r="C815" s="13" t="s">
        <v>125</v>
      </c>
      <c r="D815" s="13" t="s">
        <v>1037</v>
      </c>
      <c r="E815" s="13" t="s">
        <v>192</v>
      </c>
      <c r="F815" s="13" t="s">
        <v>137</v>
      </c>
      <c r="G815" s="13" t="n">
        <v>12755</v>
      </c>
      <c r="H815" s="13" t="n">
        <v>152</v>
      </c>
      <c r="I815" s="13" t="n">
        <v>12603</v>
      </c>
      <c r="J815" s="13" t="n">
        <v>527</v>
      </c>
      <c r="K815" s="13" t="n">
        <v>48</v>
      </c>
      <c r="L815" s="13" t="n">
        <v>1933</v>
      </c>
      <c r="M815" s="13" t="n">
        <v>10621</v>
      </c>
      <c r="N815" s="13" t="n">
        <v>1108</v>
      </c>
      <c r="O815" s="13" t="n">
        <v>1469</v>
      </c>
      <c r="P815" s="13" t="n">
        <v>3072</v>
      </c>
      <c r="Q815" s="13" t="n">
        <v>3359</v>
      </c>
      <c r="R815" s="13" t="n">
        <v>1526</v>
      </c>
      <c r="S815" s="13" t="n">
        <v>79</v>
      </c>
      <c r="T815" s="13" t="n">
        <v>0.8795</v>
      </c>
      <c r="U815" s="13" t="n">
        <v>3.27</v>
      </c>
      <c r="V815" s="13" t="n">
        <f aca="false">M815-SUM(N815:S815)</f>
        <v>8</v>
      </c>
    </row>
    <row r="816" customFormat="false" ht="15" hidden="false" customHeight="true" outlineLevel="0" collapsed="false">
      <c r="A816" s="13" t="n">
        <v>2026</v>
      </c>
      <c r="B816" s="13" t="s">
        <v>1028</v>
      </c>
      <c r="C816" s="13" t="s">
        <v>121</v>
      </c>
      <c r="D816" s="13" t="s">
        <v>128</v>
      </c>
      <c r="E816" s="13" t="s">
        <v>124</v>
      </c>
      <c r="F816" s="13" t="s">
        <v>357</v>
      </c>
      <c r="G816" s="13" t="n">
        <v>36</v>
      </c>
      <c r="H816" s="13" t="n">
        <v>2</v>
      </c>
      <c r="I816" s="13" t="n">
        <v>34</v>
      </c>
      <c r="J816" s="13" t="n">
        <v>1</v>
      </c>
      <c r="K816" s="13" t="n">
        <v>0</v>
      </c>
      <c r="L816" s="13" t="n">
        <v>3</v>
      </c>
      <c r="M816" s="13" t="n">
        <v>31</v>
      </c>
      <c r="N816" s="13" t="n">
        <v>0</v>
      </c>
      <c r="O816" s="13" t="n">
        <v>4</v>
      </c>
      <c r="P816" s="13" t="n">
        <v>5</v>
      </c>
      <c r="Q816" s="13" t="n">
        <v>15</v>
      </c>
      <c r="R816" s="13" t="n">
        <v>7</v>
      </c>
      <c r="S816" s="13" t="n">
        <v>0</v>
      </c>
      <c r="T816" s="13" t="n">
        <v>0.9118</v>
      </c>
      <c r="U816" s="13" t="n">
        <v>2.91</v>
      </c>
      <c r="V816" s="13" t="n">
        <f aca="false">M816-SUM(N816:S816)</f>
        <v>0</v>
      </c>
    </row>
    <row r="817" customFormat="false" ht="15" hidden="false" customHeight="true" outlineLevel="0" collapsed="false">
      <c r="A817" s="13" t="n">
        <v>2026</v>
      </c>
      <c r="B817" s="13" t="s">
        <v>1028</v>
      </c>
      <c r="C817" s="13" t="s">
        <v>121</v>
      </c>
      <c r="D817" s="13" t="s">
        <v>128</v>
      </c>
      <c r="E817" s="13" t="s">
        <v>122</v>
      </c>
      <c r="F817" s="13" t="s">
        <v>357</v>
      </c>
      <c r="G817" s="13" t="n">
        <v>125</v>
      </c>
      <c r="H817" s="13" t="n">
        <v>1</v>
      </c>
      <c r="I817" s="13" t="n">
        <v>124</v>
      </c>
      <c r="J817" s="13" t="n">
        <v>4</v>
      </c>
      <c r="K817" s="13" t="n">
        <v>0</v>
      </c>
      <c r="L817" s="13" t="n">
        <v>7</v>
      </c>
      <c r="M817" s="13" t="n">
        <v>117</v>
      </c>
      <c r="N817" s="13" t="n">
        <v>13</v>
      </c>
      <c r="O817" s="13" t="n">
        <v>27</v>
      </c>
      <c r="P817" s="13" t="n">
        <v>44</v>
      </c>
      <c r="Q817" s="13" t="n">
        <v>27</v>
      </c>
      <c r="R817" s="13" t="n">
        <v>6</v>
      </c>
      <c r="S817" s="13" t="n">
        <v>0</v>
      </c>
      <c r="T817" s="13" t="n">
        <v>0.9435</v>
      </c>
      <c r="U817" s="13" t="n">
        <v>3.89</v>
      </c>
      <c r="V817" s="13" t="n">
        <f aca="false">M817-SUM(N817:S817)</f>
        <v>0</v>
      </c>
    </row>
    <row r="818" customFormat="false" ht="15" hidden="false" customHeight="true" outlineLevel="0" collapsed="false">
      <c r="A818" s="13" t="n">
        <v>2026</v>
      </c>
      <c r="B818" s="13" t="s">
        <v>1028</v>
      </c>
      <c r="C818" s="13" t="s">
        <v>121</v>
      </c>
      <c r="D818" s="13" t="s">
        <v>128</v>
      </c>
      <c r="E818" s="13" t="s">
        <v>192</v>
      </c>
      <c r="F818" s="13" t="s">
        <v>652</v>
      </c>
      <c r="G818" s="13" t="n">
        <v>161</v>
      </c>
      <c r="H818" s="13" t="n">
        <v>3</v>
      </c>
      <c r="I818" s="13" t="n">
        <v>158</v>
      </c>
      <c r="J818" s="13" t="n">
        <v>5</v>
      </c>
      <c r="K818" s="13" t="n">
        <v>0</v>
      </c>
      <c r="L818" s="13" t="n">
        <v>10</v>
      </c>
      <c r="M818" s="13" t="n">
        <v>148</v>
      </c>
      <c r="N818" s="13" t="n">
        <v>13</v>
      </c>
      <c r="O818" s="13" t="n">
        <v>31</v>
      </c>
      <c r="P818" s="13" t="n">
        <v>49</v>
      </c>
      <c r="Q818" s="13" t="n">
        <v>42</v>
      </c>
      <c r="R818" s="13" t="n">
        <v>13</v>
      </c>
      <c r="S818" s="13" t="n">
        <v>0</v>
      </c>
      <c r="T818" s="13" t="n">
        <v>0.9367</v>
      </c>
      <c r="U818" s="13" t="n">
        <v>3.68</v>
      </c>
      <c r="V818" s="13" t="n">
        <f aca="false">M818-SUM(N818:S818)</f>
        <v>0</v>
      </c>
    </row>
    <row r="819" customFormat="false" ht="15" hidden="false" customHeight="true" outlineLevel="0" collapsed="false">
      <c r="A819" s="13" t="n">
        <v>2026</v>
      </c>
      <c r="B819" s="13" t="s">
        <v>1028</v>
      </c>
      <c r="C819" s="13" t="s">
        <v>121</v>
      </c>
      <c r="D819" s="13" t="s">
        <v>1033</v>
      </c>
      <c r="E819" s="13" t="s">
        <v>124</v>
      </c>
      <c r="F819" s="13" t="s">
        <v>357</v>
      </c>
      <c r="G819" s="13" t="n">
        <v>235</v>
      </c>
      <c r="H819" s="13" t="n">
        <v>1</v>
      </c>
      <c r="I819" s="13" t="n">
        <v>234</v>
      </c>
      <c r="J819" s="13" t="n">
        <v>4</v>
      </c>
      <c r="K819" s="13" t="n">
        <v>0</v>
      </c>
      <c r="L819" s="13" t="n">
        <v>14</v>
      </c>
      <c r="M819" s="13" t="n">
        <v>220</v>
      </c>
      <c r="N819" s="13" t="n">
        <v>69</v>
      </c>
      <c r="O819" s="13" t="n">
        <v>66</v>
      </c>
      <c r="P819" s="13" t="n">
        <v>48</v>
      </c>
      <c r="Q819" s="13" t="n">
        <v>29</v>
      </c>
      <c r="R819" s="13" t="n">
        <v>8</v>
      </c>
      <c r="S819" s="13" t="n">
        <v>0</v>
      </c>
      <c r="T819" s="13" t="n">
        <v>0.9402</v>
      </c>
      <c r="U819" s="13" t="n">
        <v>4.44</v>
      </c>
      <c r="V819" s="13" t="n">
        <f aca="false">M819-SUM(N819:S819)</f>
        <v>0</v>
      </c>
    </row>
    <row r="820" customFormat="false" ht="15" hidden="false" customHeight="true" outlineLevel="0" collapsed="false">
      <c r="A820" s="13" t="n">
        <v>2026</v>
      </c>
      <c r="B820" s="13" t="s">
        <v>1028</v>
      </c>
      <c r="C820" s="13" t="s">
        <v>121</v>
      </c>
      <c r="D820" s="13" t="s">
        <v>1033</v>
      </c>
      <c r="E820" s="13" t="s">
        <v>122</v>
      </c>
      <c r="F820" s="13" t="s">
        <v>357</v>
      </c>
      <c r="G820" s="13" t="n">
        <v>652</v>
      </c>
      <c r="H820" s="13" t="n">
        <v>1</v>
      </c>
      <c r="I820" s="13" t="n">
        <v>651</v>
      </c>
      <c r="J820" s="13" t="n">
        <v>10</v>
      </c>
      <c r="K820" s="13" t="n">
        <v>0</v>
      </c>
      <c r="L820" s="13" t="n">
        <v>16</v>
      </c>
      <c r="M820" s="13" t="n">
        <v>634</v>
      </c>
      <c r="N820" s="13" t="n">
        <v>235</v>
      </c>
      <c r="O820" s="13" t="n">
        <v>193</v>
      </c>
      <c r="P820" s="13" t="n">
        <v>155</v>
      </c>
      <c r="Q820" s="13" t="n">
        <v>47</v>
      </c>
      <c r="R820" s="13" t="n">
        <v>4</v>
      </c>
      <c r="S820" s="13" t="n">
        <v>0</v>
      </c>
      <c r="T820" s="13" t="n">
        <v>0.9739</v>
      </c>
      <c r="U820" s="13" t="n">
        <v>4.83</v>
      </c>
      <c r="V820" s="13" t="n">
        <f aca="false">M820-SUM(N820:S820)</f>
        <v>0</v>
      </c>
    </row>
    <row r="821" customFormat="false" ht="15" hidden="false" customHeight="true" outlineLevel="0" collapsed="false">
      <c r="A821" s="13" t="n">
        <v>2026</v>
      </c>
      <c r="B821" s="13" t="s">
        <v>1028</v>
      </c>
      <c r="C821" s="13" t="s">
        <v>121</v>
      </c>
      <c r="D821" s="13" t="s">
        <v>1033</v>
      </c>
      <c r="E821" s="13" t="s">
        <v>192</v>
      </c>
      <c r="F821" s="13" t="s">
        <v>652</v>
      </c>
      <c r="G821" s="13" t="n">
        <v>887</v>
      </c>
      <c r="H821" s="13" t="n">
        <v>2</v>
      </c>
      <c r="I821" s="13" t="n">
        <v>885</v>
      </c>
      <c r="J821" s="13" t="n">
        <v>14</v>
      </c>
      <c r="K821" s="13" t="n">
        <v>0</v>
      </c>
      <c r="L821" s="13" t="n">
        <v>30</v>
      </c>
      <c r="M821" s="13" t="n">
        <v>854</v>
      </c>
      <c r="N821" s="13" t="n">
        <v>304</v>
      </c>
      <c r="O821" s="13" t="n">
        <v>259</v>
      </c>
      <c r="P821" s="13" t="n">
        <v>203</v>
      </c>
      <c r="Q821" s="13" t="n">
        <v>76</v>
      </c>
      <c r="R821" s="13" t="n">
        <v>12</v>
      </c>
      <c r="S821" s="13" t="n">
        <v>0</v>
      </c>
      <c r="T821" s="13" t="n">
        <v>0.965</v>
      </c>
      <c r="U821" s="13" t="n">
        <v>4.73</v>
      </c>
      <c r="V821" s="13" t="n">
        <f aca="false">M821-SUM(N821:S821)</f>
        <v>0</v>
      </c>
    </row>
    <row r="822" customFormat="false" ht="15" hidden="false" customHeight="true" outlineLevel="0" collapsed="false">
      <c r="A822" s="13" t="n">
        <v>2026</v>
      </c>
      <c r="B822" s="13" t="s">
        <v>1028</v>
      </c>
      <c r="C822" s="13" t="s">
        <v>121</v>
      </c>
      <c r="D822" s="13" t="s">
        <v>1034</v>
      </c>
      <c r="E822" s="13" t="s">
        <v>124</v>
      </c>
      <c r="F822" s="13" t="s">
        <v>357</v>
      </c>
      <c r="G822" s="13" t="n">
        <v>98</v>
      </c>
      <c r="H822" s="13" t="n">
        <v>0</v>
      </c>
      <c r="I822" s="13" t="n">
        <v>98</v>
      </c>
      <c r="J822" s="13" t="n">
        <v>0</v>
      </c>
      <c r="K822" s="13" t="n">
        <v>0</v>
      </c>
      <c r="L822" s="13" t="n">
        <v>2</v>
      </c>
      <c r="M822" s="13" t="n">
        <v>96</v>
      </c>
      <c r="N822" s="13" t="n">
        <v>34</v>
      </c>
      <c r="O822" s="13" t="n">
        <v>21</v>
      </c>
      <c r="P822" s="13" t="n">
        <v>26</v>
      </c>
      <c r="Q822" s="13" t="n">
        <v>13</v>
      </c>
      <c r="R822" s="13" t="n">
        <v>2</v>
      </c>
      <c r="S822" s="13" t="n">
        <v>0</v>
      </c>
      <c r="T822" s="13" t="n">
        <v>0.9796</v>
      </c>
      <c r="U822" s="13" t="n">
        <v>4.65</v>
      </c>
      <c r="V822" s="13" t="n">
        <f aca="false">M822-SUM(N822:S822)</f>
        <v>0</v>
      </c>
    </row>
    <row r="823" customFormat="false" ht="15" hidden="false" customHeight="true" outlineLevel="0" collapsed="false">
      <c r="A823" s="13" t="n">
        <v>2026</v>
      </c>
      <c r="B823" s="13" t="s">
        <v>1028</v>
      </c>
      <c r="C823" s="13" t="s">
        <v>121</v>
      </c>
      <c r="D823" s="13" t="s">
        <v>1034</v>
      </c>
      <c r="E823" s="13" t="s">
        <v>122</v>
      </c>
      <c r="F823" s="13" t="s">
        <v>357</v>
      </c>
      <c r="G823" s="13" t="n">
        <v>61</v>
      </c>
      <c r="H823" s="13" t="n">
        <v>0</v>
      </c>
      <c r="I823" s="13" t="n">
        <v>61</v>
      </c>
      <c r="J823" s="13" t="n">
        <v>1</v>
      </c>
      <c r="K823" s="13" t="n">
        <v>0</v>
      </c>
      <c r="L823" s="13" t="n">
        <v>4</v>
      </c>
      <c r="M823" s="13" t="n">
        <v>57</v>
      </c>
      <c r="N823" s="13" t="n">
        <v>26</v>
      </c>
      <c r="O823" s="13" t="n">
        <v>17</v>
      </c>
      <c r="P823" s="13" t="n">
        <v>10</v>
      </c>
      <c r="Q823" s="13" t="n">
        <v>3</v>
      </c>
      <c r="R823" s="13" t="n">
        <v>1</v>
      </c>
      <c r="S823" s="13" t="n">
        <v>0</v>
      </c>
      <c r="T823" s="13" t="n">
        <v>0.9344</v>
      </c>
      <c r="U823" s="13" t="n">
        <v>4.79</v>
      </c>
      <c r="V823" s="13" t="n">
        <f aca="false">M823-SUM(N823:S823)</f>
        <v>0</v>
      </c>
    </row>
    <row r="824" customFormat="false" ht="15" hidden="false" customHeight="true" outlineLevel="0" collapsed="false">
      <c r="A824" s="13" t="n">
        <v>2026</v>
      </c>
      <c r="B824" s="13" t="s">
        <v>1028</v>
      </c>
      <c r="C824" s="13" t="s">
        <v>121</v>
      </c>
      <c r="D824" s="13" t="s">
        <v>1034</v>
      </c>
      <c r="E824" s="13" t="s">
        <v>192</v>
      </c>
      <c r="F824" s="13" t="s">
        <v>652</v>
      </c>
      <c r="G824" s="13" t="n">
        <v>159</v>
      </c>
      <c r="H824" s="13" t="n">
        <v>0</v>
      </c>
      <c r="I824" s="13" t="n">
        <v>159</v>
      </c>
      <c r="J824" s="13" t="n">
        <v>1</v>
      </c>
      <c r="K824" s="13" t="n">
        <v>0</v>
      </c>
      <c r="L824" s="13" t="n">
        <v>6</v>
      </c>
      <c r="M824" s="13" t="n">
        <v>153</v>
      </c>
      <c r="N824" s="13" t="n">
        <v>60</v>
      </c>
      <c r="O824" s="13" t="n">
        <v>38</v>
      </c>
      <c r="P824" s="13" t="n">
        <v>36</v>
      </c>
      <c r="Q824" s="13" t="n">
        <v>16</v>
      </c>
      <c r="R824" s="13" t="n">
        <v>3</v>
      </c>
      <c r="S824" s="13" t="n">
        <v>0</v>
      </c>
      <c r="T824" s="13" t="n">
        <v>0.9623</v>
      </c>
      <c r="U824" s="13" t="n">
        <v>4.7</v>
      </c>
      <c r="V824" s="13" t="n">
        <f aca="false">M824-SUM(N824:S824)</f>
        <v>0</v>
      </c>
    </row>
    <row r="825" customFormat="false" ht="15" hidden="false" customHeight="true" outlineLevel="0" collapsed="false">
      <c r="A825" s="13" t="n">
        <v>2026</v>
      </c>
      <c r="B825" s="13" t="s">
        <v>1028</v>
      </c>
      <c r="C825" s="13" t="s">
        <v>121</v>
      </c>
      <c r="D825" s="13" t="s">
        <v>1035</v>
      </c>
      <c r="E825" s="13" t="s">
        <v>124</v>
      </c>
      <c r="F825" s="13" t="s">
        <v>357</v>
      </c>
      <c r="G825" s="13" t="n">
        <v>483</v>
      </c>
      <c r="H825" s="13" t="n">
        <v>3</v>
      </c>
      <c r="I825" s="13" t="n">
        <v>480</v>
      </c>
      <c r="J825" s="13" t="n">
        <v>11</v>
      </c>
      <c r="K825" s="13" t="n">
        <v>0</v>
      </c>
      <c r="L825" s="13" t="n">
        <v>37</v>
      </c>
      <c r="M825" s="13" t="n">
        <v>442</v>
      </c>
      <c r="N825" s="13" t="n">
        <v>42</v>
      </c>
      <c r="O825" s="13" t="n">
        <v>105</v>
      </c>
      <c r="P825" s="13" t="n">
        <v>164</v>
      </c>
      <c r="Q825" s="13" t="n">
        <v>111</v>
      </c>
      <c r="R825" s="13" t="n">
        <v>20</v>
      </c>
      <c r="S825" s="13" t="n">
        <v>0</v>
      </c>
      <c r="T825" s="13" t="n">
        <v>0.9208</v>
      </c>
      <c r="U825" s="13" t="n">
        <v>3.76</v>
      </c>
      <c r="V825" s="13" t="n">
        <f aca="false">M825-SUM(N825:S825)</f>
        <v>0</v>
      </c>
    </row>
    <row r="826" customFormat="false" ht="15" hidden="false" customHeight="true" outlineLevel="0" collapsed="false">
      <c r="A826" s="13" t="n">
        <v>2026</v>
      </c>
      <c r="B826" s="13" t="s">
        <v>1028</v>
      </c>
      <c r="C826" s="13" t="s">
        <v>121</v>
      </c>
      <c r="D826" s="13" t="s">
        <v>1035</v>
      </c>
      <c r="E826" s="13" t="s">
        <v>122</v>
      </c>
      <c r="F826" s="13" t="s">
        <v>357</v>
      </c>
      <c r="G826" s="13" t="n">
        <v>299</v>
      </c>
      <c r="H826" s="13" t="n">
        <v>1</v>
      </c>
      <c r="I826" s="13" t="n">
        <v>298</v>
      </c>
      <c r="J826" s="13" t="n">
        <v>7</v>
      </c>
      <c r="K826" s="13" t="n">
        <v>0</v>
      </c>
      <c r="L826" s="13" t="n">
        <v>25</v>
      </c>
      <c r="M826" s="13" t="n">
        <v>273</v>
      </c>
      <c r="N826" s="13" t="n">
        <v>41</v>
      </c>
      <c r="O826" s="13" t="n">
        <v>94</v>
      </c>
      <c r="P826" s="13" t="n">
        <v>104</v>
      </c>
      <c r="Q826" s="13" t="n">
        <v>34</v>
      </c>
      <c r="R826" s="13" t="n">
        <v>0</v>
      </c>
      <c r="S826" s="13" t="n">
        <v>0</v>
      </c>
      <c r="T826" s="13" t="n">
        <v>0.9161</v>
      </c>
      <c r="U826" s="13" t="n">
        <v>4.14</v>
      </c>
      <c r="V826" s="13" t="n">
        <f aca="false">M826-SUM(N826:S826)</f>
        <v>0</v>
      </c>
    </row>
    <row r="827" customFormat="false" ht="15" hidden="false" customHeight="true" outlineLevel="0" collapsed="false">
      <c r="A827" s="13" t="n">
        <v>2026</v>
      </c>
      <c r="B827" s="13" t="s">
        <v>1028</v>
      </c>
      <c r="C827" s="13" t="s">
        <v>121</v>
      </c>
      <c r="D827" s="13" t="s">
        <v>1035</v>
      </c>
      <c r="E827" s="13" t="s">
        <v>192</v>
      </c>
      <c r="F827" s="13" t="s">
        <v>652</v>
      </c>
      <c r="G827" s="13" t="n">
        <v>782</v>
      </c>
      <c r="H827" s="13" t="n">
        <v>4</v>
      </c>
      <c r="I827" s="13" t="n">
        <v>778</v>
      </c>
      <c r="J827" s="13" t="n">
        <v>18</v>
      </c>
      <c r="K827" s="13" t="n">
        <v>0</v>
      </c>
      <c r="L827" s="13" t="n">
        <v>62</v>
      </c>
      <c r="M827" s="13" t="n">
        <v>715</v>
      </c>
      <c r="N827" s="13" t="n">
        <v>83</v>
      </c>
      <c r="O827" s="13" t="n">
        <v>199</v>
      </c>
      <c r="P827" s="13" t="n">
        <v>268</v>
      </c>
      <c r="Q827" s="13" t="n">
        <v>145</v>
      </c>
      <c r="R827" s="13" t="n">
        <v>20</v>
      </c>
      <c r="S827" s="13" t="n">
        <v>0</v>
      </c>
      <c r="T827" s="13" t="n">
        <v>0.919</v>
      </c>
      <c r="U827" s="13" t="n">
        <v>3.91</v>
      </c>
      <c r="V827" s="13" t="n">
        <f aca="false">M827-SUM(N827:S827)</f>
        <v>0</v>
      </c>
    </row>
    <row r="828" customFormat="false" ht="15" hidden="false" customHeight="true" outlineLevel="0" collapsed="false">
      <c r="A828" s="13" t="n">
        <v>2026</v>
      </c>
      <c r="B828" s="13" t="s">
        <v>1028</v>
      </c>
      <c r="C828" s="13" t="s">
        <v>121</v>
      </c>
      <c r="D828" s="13" t="s">
        <v>203</v>
      </c>
      <c r="E828" s="13" t="s">
        <v>124</v>
      </c>
      <c r="F828" s="13" t="s">
        <v>357</v>
      </c>
      <c r="G828" s="13" t="n">
        <v>320</v>
      </c>
      <c r="H828" s="13" t="n">
        <v>3</v>
      </c>
      <c r="I828" s="13" t="n">
        <v>317</v>
      </c>
      <c r="J828" s="13" t="n">
        <v>17</v>
      </c>
      <c r="K828" s="13" t="n">
        <v>0</v>
      </c>
      <c r="L828" s="13" t="n">
        <v>37</v>
      </c>
      <c r="M828" s="13" t="n">
        <v>280</v>
      </c>
      <c r="N828" s="13" t="n">
        <v>2</v>
      </c>
      <c r="O828" s="13" t="n">
        <v>24</v>
      </c>
      <c r="P828" s="13" t="n">
        <v>68</v>
      </c>
      <c r="Q828" s="13" t="n">
        <v>125</v>
      </c>
      <c r="R828" s="13" t="n">
        <v>61</v>
      </c>
      <c r="S828" s="13" t="n">
        <v>0</v>
      </c>
      <c r="T828" s="13" t="n">
        <v>0.8833</v>
      </c>
      <c r="U828" s="13" t="n">
        <v>2.84</v>
      </c>
      <c r="V828" s="13" t="n">
        <f aca="false">M828-SUM(N828:S828)</f>
        <v>0</v>
      </c>
    </row>
    <row r="829" customFormat="false" ht="15" hidden="false" customHeight="true" outlineLevel="0" collapsed="false">
      <c r="A829" s="13" t="n">
        <v>2026</v>
      </c>
      <c r="B829" s="13" t="s">
        <v>1028</v>
      </c>
      <c r="C829" s="13" t="s">
        <v>121</v>
      </c>
      <c r="D829" s="13" t="s">
        <v>203</v>
      </c>
      <c r="E829" s="13" t="s">
        <v>122</v>
      </c>
      <c r="F829" s="13" t="s">
        <v>357</v>
      </c>
      <c r="G829" s="13" t="n">
        <v>275</v>
      </c>
      <c r="H829" s="13" t="n">
        <v>2</v>
      </c>
      <c r="I829" s="13" t="n">
        <v>273</v>
      </c>
      <c r="J829" s="13" t="n">
        <v>8</v>
      </c>
      <c r="K829" s="13" t="n">
        <v>0</v>
      </c>
      <c r="L829" s="13" t="n">
        <v>25</v>
      </c>
      <c r="M829" s="13" t="n">
        <v>248</v>
      </c>
      <c r="N829" s="13" t="n">
        <v>23</v>
      </c>
      <c r="O829" s="13" t="n">
        <v>57</v>
      </c>
      <c r="P829" s="13" t="n">
        <v>81</v>
      </c>
      <c r="Q829" s="13" t="n">
        <v>72</v>
      </c>
      <c r="R829" s="13" t="n">
        <v>15</v>
      </c>
      <c r="S829" s="13" t="n">
        <v>0</v>
      </c>
      <c r="T829" s="13" t="n">
        <v>0.9084</v>
      </c>
      <c r="U829" s="13" t="n">
        <v>3.64</v>
      </c>
      <c r="V829" s="13" t="n">
        <f aca="false">M829-SUM(N829:S829)</f>
        <v>0</v>
      </c>
    </row>
    <row r="830" customFormat="false" ht="15" hidden="false" customHeight="true" outlineLevel="0" collapsed="false">
      <c r="A830" s="13" t="n">
        <v>2026</v>
      </c>
      <c r="B830" s="13" t="s">
        <v>1028</v>
      </c>
      <c r="C830" s="13" t="s">
        <v>121</v>
      </c>
      <c r="D830" s="13" t="s">
        <v>203</v>
      </c>
      <c r="E830" s="13" t="s">
        <v>192</v>
      </c>
      <c r="F830" s="13" t="s">
        <v>652</v>
      </c>
      <c r="G830" s="13" t="n">
        <v>595</v>
      </c>
      <c r="H830" s="13" t="n">
        <v>5</v>
      </c>
      <c r="I830" s="13" t="n">
        <v>590</v>
      </c>
      <c r="J830" s="13" t="n">
        <v>25</v>
      </c>
      <c r="K830" s="13" t="n">
        <v>0</v>
      </c>
      <c r="L830" s="13" t="n">
        <v>62</v>
      </c>
      <c r="M830" s="13" t="n">
        <v>528</v>
      </c>
      <c r="N830" s="13" t="n">
        <v>25</v>
      </c>
      <c r="O830" s="13" t="n">
        <v>81</v>
      </c>
      <c r="P830" s="13" t="n">
        <v>149</v>
      </c>
      <c r="Q830" s="13" t="n">
        <v>197</v>
      </c>
      <c r="R830" s="13" t="n">
        <v>76</v>
      </c>
      <c r="S830" s="13" t="n">
        <v>0</v>
      </c>
      <c r="T830" s="13" t="n">
        <v>0.8949</v>
      </c>
      <c r="U830" s="13" t="n">
        <v>3.21</v>
      </c>
      <c r="V830" s="13" t="n">
        <f aca="false">M830-SUM(N830:S830)</f>
        <v>0</v>
      </c>
    </row>
    <row r="831" customFormat="false" ht="15" hidden="false" customHeight="true" outlineLevel="0" collapsed="false">
      <c r="A831" s="13" t="n">
        <v>2026</v>
      </c>
      <c r="B831" s="13" t="s">
        <v>1028</v>
      </c>
      <c r="C831" s="13" t="s">
        <v>121</v>
      </c>
      <c r="D831" s="13" t="s">
        <v>1037</v>
      </c>
      <c r="E831" s="13" t="s">
        <v>192</v>
      </c>
      <c r="F831" s="13" t="s">
        <v>1038</v>
      </c>
      <c r="G831" s="13" t="n">
        <v>2584</v>
      </c>
      <c r="H831" s="13" t="n">
        <v>14</v>
      </c>
      <c r="I831" s="13" t="n">
        <v>2570</v>
      </c>
      <c r="J831" s="13" t="n">
        <v>63</v>
      </c>
      <c r="K831" s="13" t="n">
        <v>0</v>
      </c>
      <c r="L831" s="13" t="n">
        <v>170</v>
      </c>
      <c r="M831" s="13" t="n">
        <v>2398</v>
      </c>
      <c r="N831" s="13" t="n">
        <v>485</v>
      </c>
      <c r="O831" s="13" t="n">
        <v>608</v>
      </c>
      <c r="P831" s="13" t="n">
        <v>705</v>
      </c>
      <c r="Q831" s="13" t="n">
        <v>476</v>
      </c>
      <c r="R831" s="13" t="n">
        <v>124</v>
      </c>
      <c r="S831" s="13" t="n">
        <v>0</v>
      </c>
      <c r="T831" s="13" t="n">
        <v>0.9331</v>
      </c>
      <c r="U831" s="13" t="n">
        <v>4.06</v>
      </c>
      <c r="V831" s="13" t="n">
        <f aca="false">M831-SUM(N831:S831)</f>
        <v>0</v>
      </c>
    </row>
    <row r="832" customFormat="false" ht="15" hidden="false" customHeight="true" outlineLevel="0" collapsed="false">
      <c r="A832" s="13" t="n">
        <v>2026</v>
      </c>
      <c r="B832" s="13" t="s">
        <v>1028</v>
      </c>
      <c r="C832" s="13" t="s">
        <v>125</v>
      </c>
      <c r="D832" s="13" t="s">
        <v>128</v>
      </c>
      <c r="E832" s="13" t="s">
        <v>124</v>
      </c>
      <c r="F832" s="13" t="s">
        <v>357</v>
      </c>
      <c r="G832" s="13" t="n">
        <v>33</v>
      </c>
      <c r="H832" s="13" t="n">
        <v>0</v>
      </c>
      <c r="I832" s="13" t="n">
        <v>33</v>
      </c>
      <c r="J832" s="13" t="n">
        <v>5</v>
      </c>
      <c r="K832" s="13" t="n">
        <v>0</v>
      </c>
      <c r="L832" s="13" t="n">
        <v>7</v>
      </c>
      <c r="M832" s="13" t="n">
        <v>26</v>
      </c>
      <c r="N832" s="13" t="n">
        <v>0</v>
      </c>
      <c r="O832" s="13" t="n">
        <v>1</v>
      </c>
      <c r="P832" s="13" t="n">
        <v>5</v>
      </c>
      <c r="Q832" s="13" t="n">
        <v>10</v>
      </c>
      <c r="R832" s="13" t="n">
        <v>4</v>
      </c>
      <c r="S832" s="13" t="n">
        <v>0</v>
      </c>
      <c r="T832" s="13" t="n">
        <v>0.7879</v>
      </c>
      <c r="U832" s="13" t="n">
        <v>1.91</v>
      </c>
      <c r="V832" s="13" t="n">
        <f aca="false">M832-SUM(N832:S832)</f>
        <v>6</v>
      </c>
    </row>
    <row r="833" customFormat="false" ht="15" hidden="false" customHeight="true" outlineLevel="0" collapsed="false">
      <c r="A833" s="13" t="n">
        <v>2026</v>
      </c>
      <c r="B833" s="13" t="s">
        <v>1028</v>
      </c>
      <c r="C833" s="13" t="s">
        <v>125</v>
      </c>
      <c r="D833" s="13" t="s">
        <v>128</v>
      </c>
      <c r="E833" s="13" t="s">
        <v>122</v>
      </c>
      <c r="F833" s="13" t="s">
        <v>357</v>
      </c>
      <c r="G833" s="13" t="n">
        <v>74</v>
      </c>
      <c r="H833" s="13" t="n">
        <v>1</v>
      </c>
      <c r="I833" s="13" t="n">
        <v>73</v>
      </c>
      <c r="J833" s="13" t="n">
        <v>11</v>
      </c>
      <c r="K833" s="13" t="n">
        <v>0</v>
      </c>
      <c r="L833" s="13" t="n">
        <v>16</v>
      </c>
      <c r="M833" s="13" t="n">
        <v>57</v>
      </c>
      <c r="N833" s="13" t="n">
        <v>1</v>
      </c>
      <c r="O833" s="13" t="n">
        <v>10</v>
      </c>
      <c r="P833" s="13" t="n">
        <v>11</v>
      </c>
      <c r="Q833" s="13" t="n">
        <v>17</v>
      </c>
      <c r="R833" s="13" t="n">
        <v>15</v>
      </c>
      <c r="S833" s="13" t="n">
        <v>0</v>
      </c>
      <c r="T833" s="13" t="n">
        <v>0.7808</v>
      </c>
      <c r="U833" s="13" t="n">
        <v>2.48</v>
      </c>
      <c r="V833" s="13" t="n">
        <f aca="false">M833-SUM(N833:S833)</f>
        <v>3</v>
      </c>
    </row>
    <row r="834" customFormat="false" ht="15" hidden="false" customHeight="true" outlineLevel="0" collapsed="false">
      <c r="A834" s="13" t="n">
        <v>2026</v>
      </c>
      <c r="B834" s="13" t="s">
        <v>1028</v>
      </c>
      <c r="C834" s="13" t="s">
        <v>125</v>
      </c>
      <c r="D834" s="13" t="s">
        <v>128</v>
      </c>
      <c r="E834" s="13" t="s">
        <v>192</v>
      </c>
      <c r="F834" s="13" t="s">
        <v>652</v>
      </c>
      <c r="G834" s="13" t="n">
        <v>107</v>
      </c>
      <c r="H834" s="13" t="n">
        <v>1</v>
      </c>
      <c r="I834" s="13" t="n">
        <v>106</v>
      </c>
      <c r="J834" s="13" t="n">
        <v>16</v>
      </c>
      <c r="K834" s="13" t="n">
        <v>0</v>
      </c>
      <c r="L834" s="13" t="n">
        <v>23</v>
      </c>
      <c r="M834" s="13" t="n">
        <v>83</v>
      </c>
      <c r="N834" s="13" t="n">
        <v>1</v>
      </c>
      <c r="O834" s="13" t="n">
        <v>11</v>
      </c>
      <c r="P834" s="13" t="n">
        <v>16</v>
      </c>
      <c r="Q834" s="13" t="n">
        <v>27</v>
      </c>
      <c r="R834" s="13" t="n">
        <v>19</v>
      </c>
      <c r="S834" s="13" t="n">
        <v>0</v>
      </c>
      <c r="T834" s="13" t="n">
        <v>0.783</v>
      </c>
      <c r="U834" s="13" t="n">
        <v>2.3</v>
      </c>
      <c r="V834" s="13" t="n">
        <f aca="false">M834-SUM(N834:S834)</f>
        <v>9</v>
      </c>
    </row>
    <row r="835" customFormat="false" ht="15" hidden="false" customHeight="true" outlineLevel="0" collapsed="false">
      <c r="A835" s="13" t="n">
        <v>2026</v>
      </c>
      <c r="B835" s="13" t="s">
        <v>1028</v>
      </c>
      <c r="C835" s="13" t="s">
        <v>125</v>
      </c>
      <c r="D835" s="13" t="s">
        <v>1033</v>
      </c>
      <c r="E835" s="13" t="s">
        <v>124</v>
      </c>
      <c r="F835" s="13" t="s">
        <v>357</v>
      </c>
      <c r="G835" s="13" t="n">
        <v>27</v>
      </c>
      <c r="H835" s="13" t="n">
        <v>1</v>
      </c>
      <c r="I835" s="13" t="n">
        <v>26</v>
      </c>
      <c r="J835" s="13" t="n">
        <v>4</v>
      </c>
      <c r="K835" s="13" t="n">
        <v>0</v>
      </c>
      <c r="L835" s="13" t="n">
        <v>5</v>
      </c>
      <c r="M835" s="13" t="n">
        <v>21</v>
      </c>
      <c r="N835" s="13" t="n">
        <v>3</v>
      </c>
      <c r="O835" s="13" t="n">
        <v>4</v>
      </c>
      <c r="P835" s="13" t="n">
        <v>5</v>
      </c>
      <c r="Q835" s="13" t="n">
        <v>6</v>
      </c>
      <c r="R835" s="13" t="n">
        <v>3</v>
      </c>
      <c r="S835" s="13" t="n">
        <v>0</v>
      </c>
      <c r="T835" s="13" t="n">
        <v>0.8077</v>
      </c>
      <c r="U835" s="13" t="n">
        <v>3.15</v>
      </c>
      <c r="V835" s="13" t="n">
        <f aca="false">M835-SUM(N835:S835)</f>
        <v>0</v>
      </c>
    </row>
    <row r="836" customFormat="false" ht="15" hidden="false" customHeight="true" outlineLevel="0" collapsed="false">
      <c r="A836" s="13" t="n">
        <v>2026</v>
      </c>
      <c r="B836" s="13" t="s">
        <v>1028</v>
      </c>
      <c r="C836" s="13" t="s">
        <v>125</v>
      </c>
      <c r="D836" s="13" t="s">
        <v>1033</v>
      </c>
      <c r="E836" s="13" t="s">
        <v>122</v>
      </c>
      <c r="F836" s="13" t="s">
        <v>357</v>
      </c>
      <c r="G836" s="13" t="n">
        <v>40</v>
      </c>
      <c r="H836" s="13" t="n">
        <v>2</v>
      </c>
      <c r="I836" s="13" t="n">
        <v>38</v>
      </c>
      <c r="J836" s="13" t="n">
        <v>8</v>
      </c>
      <c r="K836" s="13" t="n">
        <v>0</v>
      </c>
      <c r="L836" s="13" t="n">
        <v>13</v>
      </c>
      <c r="M836" s="13" t="n">
        <v>25</v>
      </c>
      <c r="N836" s="13" t="n">
        <v>5</v>
      </c>
      <c r="O836" s="13" t="n">
        <v>5</v>
      </c>
      <c r="P836" s="13" t="n">
        <v>7</v>
      </c>
      <c r="Q836" s="13" t="n">
        <v>8</v>
      </c>
      <c r="R836" s="13" t="n">
        <v>0</v>
      </c>
      <c r="S836" s="13" t="n">
        <v>0</v>
      </c>
      <c r="T836" s="13" t="n">
        <v>0.6579</v>
      </c>
      <c r="U836" s="13" t="n">
        <v>2.82</v>
      </c>
      <c r="V836" s="13" t="n">
        <f aca="false">M836-SUM(N836:S836)</f>
        <v>0</v>
      </c>
    </row>
    <row r="837" customFormat="false" ht="15" hidden="false" customHeight="true" outlineLevel="0" collapsed="false">
      <c r="A837" s="13" t="n">
        <v>2026</v>
      </c>
      <c r="B837" s="13" t="s">
        <v>1028</v>
      </c>
      <c r="C837" s="13" t="s">
        <v>125</v>
      </c>
      <c r="D837" s="13" t="s">
        <v>1033</v>
      </c>
      <c r="E837" s="13" t="s">
        <v>192</v>
      </c>
      <c r="F837" s="13" t="s">
        <v>652</v>
      </c>
      <c r="G837" s="13" t="n">
        <v>67</v>
      </c>
      <c r="H837" s="13" t="n">
        <v>3</v>
      </c>
      <c r="I837" s="13" t="n">
        <v>64</v>
      </c>
      <c r="J837" s="13" t="n">
        <v>12</v>
      </c>
      <c r="K837" s="13" t="n">
        <v>0</v>
      </c>
      <c r="L837" s="13" t="n">
        <v>18</v>
      </c>
      <c r="M837" s="13" t="n">
        <v>46</v>
      </c>
      <c r="N837" s="13" t="n">
        <v>8</v>
      </c>
      <c r="O837" s="13" t="n">
        <v>9</v>
      </c>
      <c r="P837" s="13" t="n">
        <v>12</v>
      </c>
      <c r="Q837" s="13" t="n">
        <v>14</v>
      </c>
      <c r="R837" s="13" t="n">
        <v>3</v>
      </c>
      <c r="S837" s="13" t="n">
        <v>0</v>
      </c>
      <c r="T837" s="13" t="n">
        <v>0.7188</v>
      </c>
      <c r="U837" s="13" t="n">
        <v>2.95</v>
      </c>
      <c r="V837" s="13" t="n">
        <f aca="false">M837-SUM(N837:S837)</f>
        <v>0</v>
      </c>
    </row>
    <row r="838" customFormat="false" ht="15" hidden="false" customHeight="true" outlineLevel="0" collapsed="false">
      <c r="A838" s="13" t="n">
        <v>2026</v>
      </c>
      <c r="B838" s="13" t="s">
        <v>1028</v>
      </c>
      <c r="C838" s="13" t="s">
        <v>125</v>
      </c>
      <c r="D838" s="13" t="s">
        <v>1034</v>
      </c>
      <c r="E838" s="13" t="s">
        <v>124</v>
      </c>
      <c r="F838" s="13" t="s">
        <v>357</v>
      </c>
      <c r="G838" s="13" t="n">
        <v>8</v>
      </c>
      <c r="H838" s="13" t="n">
        <v>0</v>
      </c>
      <c r="I838" s="13" t="n">
        <v>8</v>
      </c>
      <c r="J838" s="13" t="n">
        <v>1</v>
      </c>
      <c r="K838" s="13" t="n">
        <v>0</v>
      </c>
      <c r="L838" s="13" t="n">
        <v>5</v>
      </c>
      <c r="M838" s="13" t="n">
        <v>3</v>
      </c>
      <c r="N838" s="13" t="n">
        <v>0</v>
      </c>
      <c r="O838" s="13" t="n">
        <v>1</v>
      </c>
      <c r="P838" s="13" t="n">
        <v>0</v>
      </c>
      <c r="Q838" s="13" t="n">
        <v>2</v>
      </c>
      <c r="R838" s="13" t="n">
        <v>0</v>
      </c>
      <c r="S838" s="13" t="n">
        <v>0</v>
      </c>
      <c r="T838" s="13" t="n">
        <v>0.375</v>
      </c>
      <c r="U838" s="13" t="n">
        <v>1.38</v>
      </c>
      <c r="V838" s="13" t="n">
        <f aca="false">M838-SUM(N838:S838)</f>
        <v>0</v>
      </c>
    </row>
    <row r="839" customFormat="false" ht="15" hidden="false" customHeight="true" outlineLevel="0" collapsed="false">
      <c r="A839" s="13" t="n">
        <v>2026</v>
      </c>
      <c r="B839" s="13" t="s">
        <v>1028</v>
      </c>
      <c r="C839" s="13" t="s">
        <v>125</v>
      </c>
      <c r="D839" s="13" t="s">
        <v>1034</v>
      </c>
      <c r="E839" s="13" t="s">
        <v>122</v>
      </c>
      <c r="F839" s="13" t="s">
        <v>357</v>
      </c>
      <c r="G839" s="13" t="n">
        <v>3</v>
      </c>
      <c r="H839" s="13" t="n">
        <v>0</v>
      </c>
      <c r="I839" s="13" t="n">
        <v>3</v>
      </c>
      <c r="J839" s="13" t="n">
        <v>0</v>
      </c>
      <c r="K839" s="13" t="n">
        <v>0</v>
      </c>
      <c r="L839" s="13" t="n">
        <v>1</v>
      </c>
      <c r="M839" s="13" t="n">
        <v>2</v>
      </c>
      <c r="N839" s="13" t="n">
        <v>0</v>
      </c>
      <c r="O839" s="13" t="n">
        <v>0</v>
      </c>
      <c r="P839" s="13" t="n">
        <v>1</v>
      </c>
      <c r="Q839" s="13" t="n">
        <v>1</v>
      </c>
      <c r="R839" s="13" t="n">
        <v>0</v>
      </c>
      <c r="S839" s="13" t="n">
        <v>0</v>
      </c>
      <c r="T839" s="13" t="n">
        <v>0.6667</v>
      </c>
      <c r="U839" s="13" t="n">
        <v>2.33</v>
      </c>
      <c r="V839" s="13" t="n">
        <f aca="false">M839-SUM(N839:S839)</f>
        <v>0</v>
      </c>
    </row>
    <row r="840" customFormat="false" ht="15" hidden="false" customHeight="true" outlineLevel="0" collapsed="false">
      <c r="A840" s="13" t="n">
        <v>2026</v>
      </c>
      <c r="B840" s="13" t="s">
        <v>1028</v>
      </c>
      <c r="C840" s="13" t="s">
        <v>125</v>
      </c>
      <c r="D840" s="13" t="s">
        <v>1034</v>
      </c>
      <c r="E840" s="13" t="s">
        <v>192</v>
      </c>
      <c r="F840" s="13" t="s">
        <v>652</v>
      </c>
      <c r="G840" s="13" t="n">
        <v>11</v>
      </c>
      <c r="H840" s="13" t="n">
        <v>0</v>
      </c>
      <c r="I840" s="13" t="n">
        <v>11</v>
      </c>
      <c r="J840" s="13" t="n">
        <v>1</v>
      </c>
      <c r="K840" s="13" t="n">
        <v>0</v>
      </c>
      <c r="L840" s="13" t="n">
        <v>6</v>
      </c>
      <c r="M840" s="13" t="n">
        <v>5</v>
      </c>
      <c r="N840" s="13" t="n">
        <v>0</v>
      </c>
      <c r="O840" s="13" t="n">
        <v>1</v>
      </c>
      <c r="P840" s="13" t="n">
        <v>1</v>
      </c>
      <c r="Q840" s="13" t="n">
        <v>3</v>
      </c>
      <c r="R840" s="13" t="n">
        <v>0</v>
      </c>
      <c r="S840" s="13" t="n">
        <v>0</v>
      </c>
      <c r="T840" s="13" t="n">
        <v>0.4545</v>
      </c>
      <c r="U840" s="13" t="n">
        <v>1.64</v>
      </c>
      <c r="V840" s="13" t="n">
        <f aca="false">M840-SUM(N840:S840)</f>
        <v>0</v>
      </c>
    </row>
    <row r="841" customFormat="false" ht="15" hidden="false" customHeight="true" outlineLevel="0" collapsed="false">
      <c r="A841" s="13" t="n">
        <v>2026</v>
      </c>
      <c r="B841" s="13" t="s">
        <v>1028</v>
      </c>
      <c r="C841" s="13" t="s">
        <v>125</v>
      </c>
      <c r="D841" s="13" t="s">
        <v>1035</v>
      </c>
      <c r="E841" s="13" t="s">
        <v>124</v>
      </c>
      <c r="F841" s="13" t="s">
        <v>357</v>
      </c>
      <c r="G841" s="13" t="n">
        <v>65</v>
      </c>
      <c r="H841" s="13" t="n">
        <v>2</v>
      </c>
      <c r="I841" s="13" t="n">
        <v>63</v>
      </c>
      <c r="J841" s="13" t="n">
        <v>16</v>
      </c>
      <c r="K841" s="13" t="n">
        <v>0</v>
      </c>
      <c r="L841" s="13" t="n">
        <v>30</v>
      </c>
      <c r="M841" s="13" t="n">
        <v>33</v>
      </c>
      <c r="N841" s="13" t="n">
        <v>0</v>
      </c>
      <c r="O841" s="13" t="n">
        <v>0</v>
      </c>
      <c r="P841" s="13" t="n">
        <v>9</v>
      </c>
      <c r="Q841" s="13" t="n">
        <v>18</v>
      </c>
      <c r="R841" s="13" t="n">
        <v>6</v>
      </c>
      <c r="S841" s="13" t="n">
        <v>0</v>
      </c>
      <c r="T841" s="13" t="n">
        <v>0.5238</v>
      </c>
      <c r="U841" s="13" t="n">
        <v>1.62</v>
      </c>
      <c r="V841" s="13" t="n">
        <f aca="false">M841-SUM(N841:S841)</f>
        <v>0</v>
      </c>
    </row>
    <row r="842" customFormat="false" ht="15" hidden="false" customHeight="true" outlineLevel="0" collapsed="false">
      <c r="A842" s="13" t="n">
        <v>2026</v>
      </c>
      <c r="B842" s="13" t="s">
        <v>1028</v>
      </c>
      <c r="C842" s="13" t="s">
        <v>125</v>
      </c>
      <c r="D842" s="13" t="s">
        <v>1035</v>
      </c>
      <c r="E842" s="13" t="s">
        <v>122</v>
      </c>
      <c r="F842" s="13" t="s">
        <v>357</v>
      </c>
      <c r="G842" s="13" t="n">
        <v>29</v>
      </c>
      <c r="H842" s="13" t="n">
        <v>0</v>
      </c>
      <c r="I842" s="13" t="n">
        <v>29</v>
      </c>
      <c r="J842" s="13" t="n">
        <v>7</v>
      </c>
      <c r="K842" s="13" t="n">
        <v>0</v>
      </c>
      <c r="L842" s="13" t="n">
        <v>15</v>
      </c>
      <c r="M842" s="13" t="n">
        <v>14</v>
      </c>
      <c r="N842" s="13" t="n">
        <v>2</v>
      </c>
      <c r="O842" s="13" t="n">
        <v>2</v>
      </c>
      <c r="P842" s="13" t="n">
        <v>3</v>
      </c>
      <c r="Q842" s="13" t="n">
        <v>5</v>
      </c>
      <c r="R842" s="13" t="n">
        <v>2</v>
      </c>
      <c r="S842" s="13" t="n">
        <v>0</v>
      </c>
      <c r="T842" s="13" t="n">
        <v>0.4828</v>
      </c>
      <c r="U842" s="13" t="n">
        <v>1.83</v>
      </c>
      <c r="V842" s="13" t="n">
        <f aca="false">M842-SUM(N842:S842)</f>
        <v>0</v>
      </c>
    </row>
    <row r="843" customFormat="false" ht="15" hidden="false" customHeight="true" outlineLevel="0" collapsed="false">
      <c r="A843" s="13" t="n">
        <v>2026</v>
      </c>
      <c r="B843" s="13" t="s">
        <v>1028</v>
      </c>
      <c r="C843" s="13" t="s">
        <v>125</v>
      </c>
      <c r="D843" s="13" t="s">
        <v>1035</v>
      </c>
      <c r="E843" s="13" t="s">
        <v>192</v>
      </c>
      <c r="F843" s="13" t="s">
        <v>652</v>
      </c>
      <c r="G843" s="13" t="n">
        <v>94</v>
      </c>
      <c r="H843" s="13" t="n">
        <v>2</v>
      </c>
      <c r="I843" s="13" t="n">
        <v>92</v>
      </c>
      <c r="J843" s="13" t="n">
        <v>23</v>
      </c>
      <c r="K843" s="13" t="n">
        <v>0</v>
      </c>
      <c r="L843" s="13" t="n">
        <v>45</v>
      </c>
      <c r="M843" s="13" t="n">
        <v>47</v>
      </c>
      <c r="N843" s="13" t="n">
        <v>2</v>
      </c>
      <c r="O843" s="13" t="n">
        <v>2</v>
      </c>
      <c r="P843" s="13" t="n">
        <v>12</v>
      </c>
      <c r="Q843" s="13" t="n">
        <v>23</v>
      </c>
      <c r="R843" s="13" t="n">
        <v>8</v>
      </c>
      <c r="S843" s="13" t="n">
        <v>0</v>
      </c>
      <c r="T843" s="13" t="n">
        <v>0.5109</v>
      </c>
      <c r="U843" s="13" t="n">
        <v>1.68</v>
      </c>
      <c r="V843" s="13" t="n">
        <f aca="false">M843-SUM(N843:S843)</f>
        <v>0</v>
      </c>
    </row>
    <row r="844" customFormat="false" ht="15" hidden="false" customHeight="true" outlineLevel="0" collapsed="false">
      <c r="A844" s="13" t="n">
        <v>2026</v>
      </c>
      <c r="B844" s="13" t="s">
        <v>1028</v>
      </c>
      <c r="C844" s="13" t="s">
        <v>125</v>
      </c>
      <c r="D844" s="13" t="s">
        <v>203</v>
      </c>
      <c r="E844" s="13" t="s">
        <v>124</v>
      </c>
      <c r="F844" s="13" t="s">
        <v>357</v>
      </c>
      <c r="G844" s="13" t="n">
        <v>120</v>
      </c>
      <c r="H844" s="13" t="n">
        <v>1</v>
      </c>
      <c r="I844" s="13" t="n">
        <v>119</v>
      </c>
      <c r="J844" s="13" t="n">
        <v>18</v>
      </c>
      <c r="K844" s="13" t="n">
        <v>1</v>
      </c>
      <c r="L844" s="13" t="n">
        <v>41</v>
      </c>
      <c r="M844" s="13" t="n">
        <v>77</v>
      </c>
      <c r="N844" s="13" t="n">
        <v>0</v>
      </c>
      <c r="O844" s="13" t="n">
        <v>2</v>
      </c>
      <c r="P844" s="13" t="n">
        <v>17</v>
      </c>
      <c r="Q844" s="13" t="n">
        <v>28</v>
      </c>
      <c r="R844" s="13" t="n">
        <v>30</v>
      </c>
      <c r="S844" s="13" t="n">
        <v>0</v>
      </c>
      <c r="T844" s="13" t="n">
        <v>0.6471</v>
      </c>
      <c r="U844" s="13" t="n">
        <v>1.87</v>
      </c>
      <c r="V844" s="13" t="n">
        <f aca="false">M844-SUM(N844:S844)</f>
        <v>0</v>
      </c>
    </row>
    <row r="845" customFormat="false" ht="15" hidden="false" customHeight="true" outlineLevel="0" collapsed="false">
      <c r="A845" s="13" t="n">
        <v>2026</v>
      </c>
      <c r="B845" s="13" t="s">
        <v>1028</v>
      </c>
      <c r="C845" s="13" t="s">
        <v>125</v>
      </c>
      <c r="D845" s="13" t="s">
        <v>203</v>
      </c>
      <c r="E845" s="13" t="s">
        <v>122</v>
      </c>
      <c r="F845" s="13" t="s">
        <v>357</v>
      </c>
      <c r="G845" s="13" t="n">
        <v>61</v>
      </c>
      <c r="H845" s="13" t="n">
        <v>1</v>
      </c>
      <c r="I845" s="13" t="n">
        <v>60</v>
      </c>
      <c r="J845" s="13" t="n">
        <v>15</v>
      </c>
      <c r="K845" s="13" t="n">
        <v>1</v>
      </c>
      <c r="L845" s="13" t="n">
        <v>16</v>
      </c>
      <c r="M845" s="13" t="n">
        <v>43</v>
      </c>
      <c r="N845" s="13" t="n">
        <v>2</v>
      </c>
      <c r="O845" s="13" t="n">
        <v>3</v>
      </c>
      <c r="P845" s="13" t="n">
        <v>19</v>
      </c>
      <c r="Q845" s="13" t="n">
        <v>13</v>
      </c>
      <c r="R845" s="13" t="n">
        <v>6</v>
      </c>
      <c r="S845" s="13" t="n">
        <v>0</v>
      </c>
      <c r="T845" s="13" t="n">
        <v>0.7167</v>
      </c>
      <c r="U845" s="13" t="n">
        <v>2.57</v>
      </c>
      <c r="V845" s="13" t="n">
        <f aca="false">M845-SUM(N845:S845)</f>
        <v>0</v>
      </c>
    </row>
    <row r="846" customFormat="false" ht="15" hidden="false" customHeight="true" outlineLevel="0" collapsed="false">
      <c r="A846" s="13" t="n">
        <v>2026</v>
      </c>
      <c r="B846" s="13" t="s">
        <v>1028</v>
      </c>
      <c r="C846" s="13" t="s">
        <v>125</v>
      </c>
      <c r="D846" s="13" t="s">
        <v>203</v>
      </c>
      <c r="E846" s="13" t="s">
        <v>192</v>
      </c>
      <c r="F846" s="13" t="s">
        <v>652</v>
      </c>
      <c r="G846" s="13" t="n">
        <v>181</v>
      </c>
      <c r="H846" s="13" t="n">
        <v>2</v>
      </c>
      <c r="I846" s="13" t="n">
        <v>179</v>
      </c>
      <c r="J846" s="13" t="n">
        <v>33</v>
      </c>
      <c r="K846" s="13" t="n">
        <v>2</v>
      </c>
      <c r="L846" s="13" t="n">
        <v>57</v>
      </c>
      <c r="M846" s="13" t="n">
        <v>120</v>
      </c>
      <c r="N846" s="13" t="n">
        <v>2</v>
      </c>
      <c r="O846" s="13" t="n">
        <v>5</v>
      </c>
      <c r="P846" s="13" t="n">
        <v>36</v>
      </c>
      <c r="Q846" s="13" t="n">
        <v>41</v>
      </c>
      <c r="R846" s="13" t="n">
        <v>36</v>
      </c>
      <c r="S846" s="13" t="n">
        <v>0</v>
      </c>
      <c r="T846" s="13" t="n">
        <v>0.6704</v>
      </c>
      <c r="U846" s="13" t="n">
        <v>2.1</v>
      </c>
      <c r="V846" s="13" t="n">
        <f aca="false">M846-SUM(N846:S846)</f>
        <v>0</v>
      </c>
    </row>
    <row r="847" customFormat="false" ht="15" hidden="false" customHeight="true" outlineLevel="0" collapsed="false">
      <c r="A847" s="13" t="n">
        <v>2026</v>
      </c>
      <c r="B847" s="13" t="s">
        <v>1028</v>
      </c>
      <c r="C847" s="13" t="s">
        <v>125</v>
      </c>
      <c r="D847" s="13" t="s">
        <v>1037</v>
      </c>
      <c r="E847" s="13" t="s">
        <v>192</v>
      </c>
      <c r="F847" s="13" t="s">
        <v>1038</v>
      </c>
      <c r="G847" s="13" t="n">
        <v>460</v>
      </c>
      <c r="H847" s="13" t="n">
        <v>8</v>
      </c>
      <c r="I847" s="13" t="n">
        <v>452</v>
      </c>
      <c r="J847" s="13" t="n">
        <v>85</v>
      </c>
      <c r="K847" s="13" t="n">
        <v>2</v>
      </c>
      <c r="L847" s="13" t="n">
        <v>149</v>
      </c>
      <c r="M847" s="13" t="n">
        <v>301</v>
      </c>
      <c r="N847" s="13" t="n">
        <v>13</v>
      </c>
      <c r="O847" s="13" t="n">
        <v>28</v>
      </c>
      <c r="P847" s="13" t="n">
        <v>77</v>
      </c>
      <c r="Q847" s="13" t="n">
        <v>108</v>
      </c>
      <c r="R847" s="13" t="n">
        <v>66</v>
      </c>
      <c r="S847" s="13" t="n">
        <v>0</v>
      </c>
      <c r="T847" s="13" t="n">
        <v>0.6659</v>
      </c>
      <c r="U847" s="13" t="n">
        <v>2.17</v>
      </c>
      <c r="V847" s="13" t="n">
        <f aca="false">M847-SUM(N847:S847)</f>
        <v>9</v>
      </c>
    </row>
    <row r="848" customFormat="false" ht="15" hidden="false" customHeight="true" outlineLevel="0" collapsed="false">
      <c r="A848" s="13" t="n">
        <v>2026</v>
      </c>
      <c r="B848" s="13" t="s">
        <v>1028</v>
      </c>
      <c r="C848" s="13" t="s">
        <v>125</v>
      </c>
      <c r="D848" s="13" t="s">
        <v>1037</v>
      </c>
      <c r="E848" s="13" t="s">
        <v>192</v>
      </c>
      <c r="F848" s="13" t="s">
        <v>137</v>
      </c>
      <c r="G848" s="13" t="n">
        <v>3044</v>
      </c>
      <c r="H848" s="13" t="n">
        <v>22</v>
      </c>
      <c r="I848" s="13" t="n">
        <v>3022</v>
      </c>
      <c r="J848" s="13" t="n">
        <v>148</v>
      </c>
      <c r="K848" s="13" t="n">
        <v>2</v>
      </c>
      <c r="L848" s="13" t="n">
        <v>319</v>
      </c>
      <c r="M848" s="13" t="n">
        <v>2699</v>
      </c>
      <c r="N848" s="13" t="n">
        <v>498</v>
      </c>
      <c r="O848" s="13" t="n">
        <v>636</v>
      </c>
      <c r="P848" s="13" t="n">
        <v>782</v>
      </c>
      <c r="Q848" s="13" t="n">
        <v>584</v>
      </c>
      <c r="R848" s="13" t="n">
        <v>190</v>
      </c>
      <c r="S848" s="13" t="n">
        <v>0</v>
      </c>
      <c r="T848" s="13" t="n">
        <v>0.9391</v>
      </c>
      <c r="U848" s="13" t="n">
        <v>3.98</v>
      </c>
      <c r="V848" s="13" t="n">
        <f aca="false">M848-SUM(N848:S848)</f>
        <v>9</v>
      </c>
    </row>
    <row r="849" customFormat="false" ht="15" hidden="false" customHeight="true" outlineLevel="0" collapsed="false">
      <c r="A849" s="13" t="n">
        <v>2026</v>
      </c>
      <c r="B849" s="13" t="s">
        <v>1029</v>
      </c>
      <c r="C849" s="13" t="s">
        <v>121</v>
      </c>
      <c r="D849" s="13" t="s">
        <v>128</v>
      </c>
      <c r="E849" s="13" t="s">
        <v>124</v>
      </c>
      <c r="F849" s="13" t="s">
        <v>357</v>
      </c>
      <c r="G849" s="13" t="n">
        <v>37</v>
      </c>
      <c r="H849" s="13" t="n">
        <v>0</v>
      </c>
      <c r="I849" s="13" t="n">
        <v>37</v>
      </c>
      <c r="J849" s="13" t="n">
        <v>1</v>
      </c>
      <c r="K849" s="13" t="n">
        <v>0</v>
      </c>
      <c r="L849" s="13" t="n">
        <v>1</v>
      </c>
      <c r="M849" s="13" t="n">
        <v>36</v>
      </c>
      <c r="N849" s="13" t="n">
        <v>0</v>
      </c>
      <c r="O849" s="13" t="n">
        <v>2</v>
      </c>
      <c r="P849" s="13" t="n">
        <v>14</v>
      </c>
      <c r="Q849" s="13" t="n">
        <v>17</v>
      </c>
      <c r="R849" s="13" t="n">
        <v>3</v>
      </c>
      <c r="S849" s="13" t="n">
        <v>0</v>
      </c>
      <c r="T849" s="13" t="n">
        <v>0.973</v>
      </c>
      <c r="U849" s="13" t="n">
        <v>3.32</v>
      </c>
      <c r="V849" s="13" t="n">
        <f aca="false">M849-SUM(N849:S849)</f>
        <v>0</v>
      </c>
    </row>
    <row r="850" customFormat="false" ht="15" hidden="false" customHeight="true" outlineLevel="0" collapsed="false">
      <c r="A850" s="13" t="n">
        <v>2026</v>
      </c>
      <c r="B850" s="13" t="s">
        <v>1029</v>
      </c>
      <c r="C850" s="13" t="s">
        <v>121</v>
      </c>
      <c r="D850" s="13" t="s">
        <v>128</v>
      </c>
      <c r="E850" s="13" t="s">
        <v>122</v>
      </c>
      <c r="F850" s="13" t="s">
        <v>357</v>
      </c>
      <c r="G850" s="13" t="n">
        <v>51</v>
      </c>
      <c r="H850" s="13" t="n">
        <v>0</v>
      </c>
      <c r="I850" s="13" t="n">
        <v>51</v>
      </c>
      <c r="J850" s="13" t="n">
        <v>0</v>
      </c>
      <c r="K850" s="13" t="n">
        <v>0</v>
      </c>
      <c r="L850" s="13" t="n">
        <v>5</v>
      </c>
      <c r="M850" s="13" t="n">
        <v>46</v>
      </c>
      <c r="N850" s="13" t="n">
        <v>0</v>
      </c>
      <c r="O850" s="13" t="n">
        <v>5</v>
      </c>
      <c r="P850" s="13" t="n">
        <v>25</v>
      </c>
      <c r="Q850" s="13" t="n">
        <v>13</v>
      </c>
      <c r="R850" s="13" t="n">
        <v>3</v>
      </c>
      <c r="S850" s="13" t="n">
        <v>0</v>
      </c>
      <c r="T850" s="13" t="n">
        <v>0.902</v>
      </c>
      <c r="U850" s="13" t="n">
        <v>3.33</v>
      </c>
      <c r="V850" s="13" t="n">
        <f aca="false">M850-SUM(N850:S850)</f>
        <v>0</v>
      </c>
    </row>
    <row r="851" customFormat="false" ht="15" hidden="false" customHeight="true" outlineLevel="0" collapsed="false">
      <c r="A851" s="13" t="n">
        <v>2026</v>
      </c>
      <c r="B851" s="13" t="s">
        <v>1029</v>
      </c>
      <c r="C851" s="13" t="s">
        <v>121</v>
      </c>
      <c r="D851" s="13" t="s">
        <v>128</v>
      </c>
      <c r="E851" s="13" t="s">
        <v>192</v>
      </c>
      <c r="F851" s="13" t="s">
        <v>652</v>
      </c>
      <c r="G851" s="13" t="n">
        <v>88</v>
      </c>
      <c r="H851" s="13" t="n">
        <v>0</v>
      </c>
      <c r="I851" s="13" t="n">
        <v>88</v>
      </c>
      <c r="J851" s="13" t="n">
        <v>1</v>
      </c>
      <c r="K851" s="13" t="n">
        <v>0</v>
      </c>
      <c r="L851" s="13" t="n">
        <v>6</v>
      </c>
      <c r="M851" s="13" t="n">
        <v>82</v>
      </c>
      <c r="N851" s="13" t="n">
        <v>0</v>
      </c>
      <c r="O851" s="13" t="n">
        <v>7</v>
      </c>
      <c r="P851" s="13" t="n">
        <v>39</v>
      </c>
      <c r="Q851" s="13" t="n">
        <v>30</v>
      </c>
      <c r="R851" s="13" t="n">
        <v>6</v>
      </c>
      <c r="S851" s="13" t="n">
        <v>0</v>
      </c>
      <c r="T851" s="13" t="n">
        <v>0.9318</v>
      </c>
      <c r="U851" s="13" t="n">
        <v>3.33</v>
      </c>
      <c r="V851" s="13" t="n">
        <f aca="false">M851-SUM(N851:S851)</f>
        <v>0</v>
      </c>
    </row>
    <row r="852" customFormat="false" ht="15" hidden="false" customHeight="true" outlineLevel="0" collapsed="false">
      <c r="A852" s="13" t="n">
        <v>2026</v>
      </c>
      <c r="B852" s="13" t="s">
        <v>1029</v>
      </c>
      <c r="C852" s="13" t="s">
        <v>121</v>
      </c>
      <c r="D852" s="13" t="s">
        <v>1033</v>
      </c>
      <c r="E852" s="13" t="s">
        <v>124</v>
      </c>
      <c r="F852" s="13" t="s">
        <v>357</v>
      </c>
      <c r="G852" s="13" t="n">
        <v>147</v>
      </c>
      <c r="H852" s="13" t="n">
        <v>0</v>
      </c>
      <c r="I852" s="13" t="n">
        <v>147</v>
      </c>
      <c r="J852" s="13" t="n">
        <v>0</v>
      </c>
      <c r="K852" s="13" t="n">
        <v>0</v>
      </c>
      <c r="L852" s="13" t="n">
        <v>0</v>
      </c>
      <c r="M852" s="13" t="n">
        <v>147</v>
      </c>
      <c r="N852" s="13" t="n">
        <v>53</v>
      </c>
      <c r="O852" s="13" t="n">
        <v>38</v>
      </c>
      <c r="P852" s="13" t="n">
        <v>43</v>
      </c>
      <c r="Q852" s="13" t="n">
        <v>12</v>
      </c>
      <c r="R852" s="13" t="n">
        <v>1</v>
      </c>
      <c r="S852" s="13" t="n">
        <v>0</v>
      </c>
      <c r="T852" s="13" t="n">
        <v>1</v>
      </c>
      <c r="U852" s="13" t="n">
        <v>4.88</v>
      </c>
      <c r="V852" s="13" t="n">
        <f aca="false">M852-SUM(N852:S852)</f>
        <v>0</v>
      </c>
    </row>
    <row r="853" customFormat="false" ht="15" hidden="false" customHeight="true" outlineLevel="0" collapsed="false">
      <c r="A853" s="13" t="n">
        <v>2026</v>
      </c>
      <c r="B853" s="13" t="s">
        <v>1029</v>
      </c>
      <c r="C853" s="13" t="s">
        <v>121</v>
      </c>
      <c r="D853" s="13" t="s">
        <v>1033</v>
      </c>
      <c r="E853" s="13" t="s">
        <v>122</v>
      </c>
      <c r="F853" s="13" t="s">
        <v>357</v>
      </c>
      <c r="G853" s="13" t="n">
        <v>399</v>
      </c>
      <c r="H853" s="13" t="n">
        <v>0</v>
      </c>
      <c r="I853" s="13" t="n">
        <v>399</v>
      </c>
      <c r="J853" s="13" t="n">
        <v>1</v>
      </c>
      <c r="K853" s="13" t="n">
        <v>0</v>
      </c>
      <c r="L853" s="13" t="n">
        <v>8</v>
      </c>
      <c r="M853" s="13" t="n">
        <v>391</v>
      </c>
      <c r="N853" s="13" t="n">
        <v>200</v>
      </c>
      <c r="O853" s="13" t="n">
        <v>96</v>
      </c>
      <c r="P853" s="13" t="n">
        <v>75</v>
      </c>
      <c r="Q853" s="13" t="n">
        <v>20</v>
      </c>
      <c r="R853" s="13" t="n">
        <v>0</v>
      </c>
      <c r="S853" s="13" t="n">
        <v>0</v>
      </c>
      <c r="T853" s="13" t="n">
        <v>0.9799</v>
      </c>
      <c r="U853" s="13" t="n">
        <v>5.11</v>
      </c>
      <c r="V853" s="13" t="n">
        <f aca="false">M853-SUM(N853:S853)</f>
        <v>0</v>
      </c>
    </row>
    <row r="854" customFormat="false" ht="15" hidden="false" customHeight="true" outlineLevel="0" collapsed="false">
      <c r="A854" s="13" t="n">
        <v>2026</v>
      </c>
      <c r="B854" s="13" t="s">
        <v>1029</v>
      </c>
      <c r="C854" s="13" t="s">
        <v>121</v>
      </c>
      <c r="D854" s="13" t="s">
        <v>1033</v>
      </c>
      <c r="E854" s="13" t="s">
        <v>192</v>
      </c>
      <c r="F854" s="13" t="s">
        <v>652</v>
      </c>
      <c r="G854" s="13" t="n">
        <v>546</v>
      </c>
      <c r="H854" s="13" t="n">
        <v>0</v>
      </c>
      <c r="I854" s="13" t="n">
        <v>546</v>
      </c>
      <c r="J854" s="13" t="n">
        <v>1</v>
      </c>
      <c r="K854" s="13" t="n">
        <v>0</v>
      </c>
      <c r="L854" s="13" t="n">
        <v>8</v>
      </c>
      <c r="M854" s="13" t="n">
        <v>538</v>
      </c>
      <c r="N854" s="13" t="n">
        <v>253</v>
      </c>
      <c r="O854" s="13" t="n">
        <v>134</v>
      </c>
      <c r="P854" s="13" t="n">
        <v>118</v>
      </c>
      <c r="Q854" s="13" t="n">
        <v>32</v>
      </c>
      <c r="R854" s="13" t="n">
        <v>1</v>
      </c>
      <c r="S854" s="13" t="n">
        <v>0</v>
      </c>
      <c r="T854" s="13" t="n">
        <v>0.9853</v>
      </c>
      <c r="U854" s="13" t="n">
        <v>5.05</v>
      </c>
      <c r="V854" s="13" t="n">
        <f aca="false">M854-SUM(N854:S854)</f>
        <v>0</v>
      </c>
    </row>
    <row r="855" customFormat="false" ht="15" hidden="false" customHeight="true" outlineLevel="0" collapsed="false">
      <c r="A855" s="13" t="n">
        <v>2026</v>
      </c>
      <c r="B855" s="13" t="s">
        <v>1029</v>
      </c>
      <c r="C855" s="13" t="s">
        <v>121</v>
      </c>
      <c r="D855" s="13" t="s">
        <v>1034</v>
      </c>
      <c r="E855" s="13" t="s">
        <v>124</v>
      </c>
      <c r="F855" s="13" t="s">
        <v>357</v>
      </c>
      <c r="G855" s="13" t="n">
        <v>57</v>
      </c>
      <c r="H855" s="13" t="n">
        <v>1</v>
      </c>
      <c r="I855" s="13" t="n">
        <v>56</v>
      </c>
      <c r="J855" s="13" t="n">
        <v>0</v>
      </c>
      <c r="K855" s="13" t="n">
        <v>0</v>
      </c>
      <c r="L855" s="13" t="n">
        <v>1</v>
      </c>
      <c r="M855" s="13" t="n">
        <v>55</v>
      </c>
      <c r="N855" s="13" t="n">
        <v>20</v>
      </c>
      <c r="O855" s="13" t="n">
        <v>22</v>
      </c>
      <c r="P855" s="13" t="n">
        <v>13</v>
      </c>
      <c r="Q855" s="13" t="n">
        <v>0</v>
      </c>
      <c r="R855" s="13" t="n">
        <v>0</v>
      </c>
      <c r="S855" s="13" t="n">
        <v>0</v>
      </c>
      <c r="T855" s="13" t="n">
        <v>0.9821</v>
      </c>
      <c r="U855" s="13" t="n">
        <v>5.04</v>
      </c>
      <c r="V855" s="13" t="n">
        <f aca="false">M855-SUM(N855:S855)</f>
        <v>0</v>
      </c>
    </row>
    <row r="856" customFormat="false" ht="15" hidden="false" customHeight="true" outlineLevel="0" collapsed="false">
      <c r="A856" s="13" t="n">
        <v>2026</v>
      </c>
      <c r="B856" s="13" t="s">
        <v>1029</v>
      </c>
      <c r="C856" s="13" t="s">
        <v>121</v>
      </c>
      <c r="D856" s="13" t="s">
        <v>1034</v>
      </c>
      <c r="E856" s="13" t="s">
        <v>122</v>
      </c>
      <c r="F856" s="13" t="s">
        <v>357</v>
      </c>
      <c r="G856" s="13" t="n">
        <v>24</v>
      </c>
      <c r="H856" s="13" t="n">
        <v>0</v>
      </c>
      <c r="I856" s="13" t="n">
        <v>24</v>
      </c>
      <c r="J856" s="13" t="n">
        <v>0</v>
      </c>
      <c r="K856" s="13" t="n">
        <v>0</v>
      </c>
      <c r="L856" s="13" t="n">
        <v>1</v>
      </c>
      <c r="M856" s="13" t="n">
        <v>23</v>
      </c>
      <c r="N856" s="13" t="n">
        <v>16</v>
      </c>
      <c r="O856" s="13" t="n">
        <v>4</v>
      </c>
      <c r="P856" s="13" t="n">
        <v>2</v>
      </c>
      <c r="Q856" s="13" t="n">
        <v>1</v>
      </c>
      <c r="R856" s="13" t="n">
        <v>0</v>
      </c>
      <c r="S856" s="13" t="n">
        <v>0</v>
      </c>
      <c r="T856" s="13" t="n">
        <v>0.9583</v>
      </c>
      <c r="U856" s="13" t="n">
        <v>5.29</v>
      </c>
      <c r="V856" s="13" t="n">
        <f aca="false">M856-SUM(N856:S856)</f>
        <v>0</v>
      </c>
    </row>
    <row r="857" customFormat="false" ht="15" hidden="false" customHeight="true" outlineLevel="0" collapsed="false">
      <c r="A857" s="13" t="n">
        <v>2026</v>
      </c>
      <c r="B857" s="13" t="s">
        <v>1029</v>
      </c>
      <c r="C857" s="13" t="s">
        <v>121</v>
      </c>
      <c r="D857" s="13" t="s">
        <v>1034</v>
      </c>
      <c r="E857" s="13" t="s">
        <v>192</v>
      </c>
      <c r="F857" s="13" t="s">
        <v>652</v>
      </c>
      <c r="G857" s="13" t="n">
        <v>81</v>
      </c>
      <c r="H857" s="13" t="n">
        <v>1</v>
      </c>
      <c r="I857" s="13" t="n">
        <v>80</v>
      </c>
      <c r="J857" s="13" t="n">
        <v>0</v>
      </c>
      <c r="K857" s="13" t="n">
        <v>0</v>
      </c>
      <c r="L857" s="13" t="n">
        <v>2</v>
      </c>
      <c r="M857" s="13" t="n">
        <v>78</v>
      </c>
      <c r="N857" s="13" t="n">
        <v>36</v>
      </c>
      <c r="O857" s="13" t="n">
        <v>26</v>
      </c>
      <c r="P857" s="13" t="n">
        <v>15</v>
      </c>
      <c r="Q857" s="13" t="n">
        <v>1</v>
      </c>
      <c r="R857" s="13" t="n">
        <v>0</v>
      </c>
      <c r="S857" s="13" t="n">
        <v>0</v>
      </c>
      <c r="T857" s="13" t="n">
        <v>0.975</v>
      </c>
      <c r="U857" s="13" t="n">
        <v>5.11</v>
      </c>
      <c r="V857" s="13" t="n">
        <f aca="false">M857-SUM(N857:S857)</f>
        <v>0</v>
      </c>
    </row>
    <row r="858" customFormat="false" ht="15" hidden="false" customHeight="true" outlineLevel="0" collapsed="false">
      <c r="A858" s="13" t="n">
        <v>2026</v>
      </c>
      <c r="B858" s="13" t="s">
        <v>1029</v>
      </c>
      <c r="C858" s="13" t="s">
        <v>121</v>
      </c>
      <c r="D858" s="13" t="s">
        <v>1035</v>
      </c>
      <c r="E858" s="13" t="s">
        <v>124</v>
      </c>
      <c r="F858" s="13" t="s">
        <v>357</v>
      </c>
      <c r="G858" s="13" t="n">
        <v>276</v>
      </c>
      <c r="H858" s="13" t="n">
        <v>0</v>
      </c>
      <c r="I858" s="13" t="n">
        <v>276</v>
      </c>
      <c r="J858" s="13" t="n">
        <v>0</v>
      </c>
      <c r="K858" s="13" t="n">
        <v>0</v>
      </c>
      <c r="L858" s="13" t="n">
        <v>34</v>
      </c>
      <c r="M858" s="13" t="n">
        <v>242</v>
      </c>
      <c r="N858" s="13" t="n">
        <v>26</v>
      </c>
      <c r="O858" s="13" t="n">
        <v>53</v>
      </c>
      <c r="P858" s="13" t="n">
        <v>93</v>
      </c>
      <c r="Q858" s="13" t="n">
        <v>66</v>
      </c>
      <c r="R858" s="13" t="n">
        <v>4</v>
      </c>
      <c r="S858" s="13" t="n">
        <v>0</v>
      </c>
      <c r="T858" s="13" t="n">
        <v>0.8768</v>
      </c>
      <c r="U858" s="13" t="n">
        <v>3.62</v>
      </c>
      <c r="V858" s="13" t="n">
        <f aca="false">M858-SUM(N858:S858)</f>
        <v>0</v>
      </c>
    </row>
    <row r="859" customFormat="false" ht="15" hidden="false" customHeight="true" outlineLevel="0" collapsed="false">
      <c r="A859" s="13" t="n">
        <v>2026</v>
      </c>
      <c r="B859" s="13" t="s">
        <v>1029</v>
      </c>
      <c r="C859" s="13" t="s">
        <v>121</v>
      </c>
      <c r="D859" s="13" t="s">
        <v>1035</v>
      </c>
      <c r="E859" s="13" t="s">
        <v>122</v>
      </c>
      <c r="F859" s="13" t="s">
        <v>357</v>
      </c>
      <c r="G859" s="13" t="n">
        <v>157</v>
      </c>
      <c r="H859" s="13" t="n">
        <v>0</v>
      </c>
      <c r="I859" s="13" t="n">
        <v>157</v>
      </c>
      <c r="J859" s="13" t="n">
        <v>0</v>
      </c>
      <c r="K859" s="13" t="n">
        <v>0</v>
      </c>
      <c r="L859" s="13" t="n">
        <v>10</v>
      </c>
      <c r="M859" s="13" t="n">
        <v>147</v>
      </c>
      <c r="N859" s="13" t="n">
        <v>43</v>
      </c>
      <c r="O859" s="13" t="n">
        <v>48</v>
      </c>
      <c r="P859" s="13" t="n">
        <v>50</v>
      </c>
      <c r="Q859" s="13" t="n">
        <v>6</v>
      </c>
      <c r="R859" s="13" t="n">
        <v>0</v>
      </c>
      <c r="S859" s="13" t="n">
        <v>0</v>
      </c>
      <c r="T859" s="13" t="n">
        <v>0.9363</v>
      </c>
      <c r="U859" s="13" t="n">
        <v>4.56</v>
      </c>
      <c r="V859" s="13" t="n">
        <f aca="false">M859-SUM(N859:S859)</f>
        <v>0</v>
      </c>
    </row>
    <row r="860" customFormat="false" ht="15" hidden="false" customHeight="true" outlineLevel="0" collapsed="false">
      <c r="A860" s="13" t="n">
        <v>2026</v>
      </c>
      <c r="B860" s="13" t="s">
        <v>1029</v>
      </c>
      <c r="C860" s="13" t="s">
        <v>121</v>
      </c>
      <c r="D860" s="13" t="s">
        <v>1035</v>
      </c>
      <c r="E860" s="13" t="s">
        <v>192</v>
      </c>
      <c r="F860" s="13" t="s">
        <v>652</v>
      </c>
      <c r="G860" s="13" t="n">
        <v>433</v>
      </c>
      <c r="H860" s="13" t="n">
        <v>0</v>
      </c>
      <c r="I860" s="13" t="n">
        <v>433</v>
      </c>
      <c r="J860" s="13" t="n">
        <v>0</v>
      </c>
      <c r="K860" s="13" t="n">
        <v>0</v>
      </c>
      <c r="L860" s="13" t="n">
        <v>44</v>
      </c>
      <c r="M860" s="13" t="n">
        <v>389</v>
      </c>
      <c r="N860" s="13" t="n">
        <v>69</v>
      </c>
      <c r="O860" s="13" t="n">
        <v>101</v>
      </c>
      <c r="P860" s="13" t="n">
        <v>143</v>
      </c>
      <c r="Q860" s="13" t="n">
        <v>72</v>
      </c>
      <c r="R860" s="13" t="n">
        <v>4</v>
      </c>
      <c r="S860" s="13" t="n">
        <v>0</v>
      </c>
      <c r="T860" s="13" t="n">
        <v>0.8984</v>
      </c>
      <c r="U860" s="13" t="n">
        <v>3.96</v>
      </c>
      <c r="V860" s="13" t="n">
        <f aca="false">M860-SUM(N860:S860)</f>
        <v>0</v>
      </c>
    </row>
    <row r="861" customFormat="false" ht="15" hidden="false" customHeight="true" outlineLevel="0" collapsed="false">
      <c r="A861" s="13" t="n">
        <v>2026</v>
      </c>
      <c r="B861" s="13" t="s">
        <v>1029</v>
      </c>
      <c r="C861" s="13" t="s">
        <v>121</v>
      </c>
      <c r="D861" s="13" t="s">
        <v>203</v>
      </c>
      <c r="E861" s="13" t="s">
        <v>124</v>
      </c>
      <c r="F861" s="13" t="s">
        <v>357</v>
      </c>
      <c r="G861" s="13" t="n">
        <v>4</v>
      </c>
      <c r="H861" s="13" t="n">
        <v>0</v>
      </c>
      <c r="I861" s="13" t="n">
        <v>4</v>
      </c>
      <c r="J861" s="13" t="n">
        <v>0</v>
      </c>
      <c r="K861" s="13" t="n">
        <v>0</v>
      </c>
      <c r="L861" s="13" t="n">
        <v>0</v>
      </c>
      <c r="M861" s="13" t="n">
        <v>4</v>
      </c>
      <c r="N861" s="13" t="n">
        <v>0</v>
      </c>
      <c r="O861" s="13" t="n">
        <v>1</v>
      </c>
      <c r="P861" s="13" t="n">
        <v>3</v>
      </c>
      <c r="Q861" s="13" t="n">
        <v>0</v>
      </c>
      <c r="R861" s="13" t="n">
        <v>0</v>
      </c>
      <c r="S861" s="13" t="n">
        <v>0</v>
      </c>
      <c r="T861" s="13" t="n">
        <v>1</v>
      </c>
      <c r="U861" s="13" t="n">
        <v>4.25</v>
      </c>
      <c r="V861" s="13" t="n">
        <f aca="false">M861-SUM(N861:S861)</f>
        <v>0</v>
      </c>
    </row>
    <row r="862" customFormat="false" ht="15" hidden="false" customHeight="true" outlineLevel="0" collapsed="false">
      <c r="A862" s="13" t="n">
        <v>2026</v>
      </c>
      <c r="B862" s="13" t="s">
        <v>1029</v>
      </c>
      <c r="C862" s="13" t="s">
        <v>121</v>
      </c>
      <c r="D862" s="13" t="s">
        <v>203</v>
      </c>
      <c r="E862" s="13" t="s">
        <v>192</v>
      </c>
      <c r="F862" s="13" t="s">
        <v>652</v>
      </c>
      <c r="G862" s="13" t="n">
        <v>4</v>
      </c>
      <c r="H862" s="13" t="n">
        <v>0</v>
      </c>
      <c r="I862" s="13" t="n">
        <v>4</v>
      </c>
      <c r="J862" s="13" t="n">
        <v>0</v>
      </c>
      <c r="K862" s="13" t="n">
        <v>0</v>
      </c>
      <c r="L862" s="13" t="n">
        <v>0</v>
      </c>
      <c r="M862" s="13" t="n">
        <v>4</v>
      </c>
      <c r="N862" s="13" t="n">
        <v>0</v>
      </c>
      <c r="O862" s="13" t="n">
        <v>1</v>
      </c>
      <c r="P862" s="13" t="n">
        <v>3</v>
      </c>
      <c r="Q862" s="13" t="n">
        <v>0</v>
      </c>
      <c r="R862" s="13" t="n">
        <v>0</v>
      </c>
      <c r="S862" s="13" t="n">
        <v>0</v>
      </c>
      <c r="T862" s="13" t="n">
        <v>1</v>
      </c>
      <c r="U862" s="13" t="n">
        <v>4.25</v>
      </c>
      <c r="V862" s="13" t="n">
        <f aca="false">M862-SUM(N862:S862)</f>
        <v>0</v>
      </c>
    </row>
    <row r="863" customFormat="false" ht="15" hidden="false" customHeight="true" outlineLevel="0" collapsed="false">
      <c r="A863" s="13" t="n">
        <v>2026</v>
      </c>
      <c r="B863" s="13" t="s">
        <v>1029</v>
      </c>
      <c r="C863" s="13" t="s">
        <v>121</v>
      </c>
      <c r="D863" s="13" t="s">
        <v>1037</v>
      </c>
      <c r="E863" s="13" t="s">
        <v>192</v>
      </c>
      <c r="F863" s="13" t="s">
        <v>1038</v>
      </c>
      <c r="G863" s="13" t="n">
        <v>1152</v>
      </c>
      <c r="H863" s="13" t="n">
        <v>1</v>
      </c>
      <c r="I863" s="13" t="n">
        <v>1151</v>
      </c>
      <c r="J863" s="13" t="n">
        <v>2</v>
      </c>
      <c r="K863" s="13" t="n">
        <v>0</v>
      </c>
      <c r="L863" s="13" t="n">
        <v>60</v>
      </c>
      <c r="M863" s="13" t="n">
        <v>1091</v>
      </c>
      <c r="N863" s="13" t="n">
        <v>358</v>
      </c>
      <c r="O863" s="13" t="n">
        <v>269</v>
      </c>
      <c r="P863" s="13" t="n">
        <v>318</v>
      </c>
      <c r="Q863" s="13" t="n">
        <v>135</v>
      </c>
      <c r="R863" s="13" t="n">
        <v>11</v>
      </c>
      <c r="S863" s="13" t="n">
        <v>0</v>
      </c>
      <c r="T863" s="13" t="n">
        <v>0.9479</v>
      </c>
      <c r="U863" s="13" t="n">
        <v>4.51</v>
      </c>
      <c r="V863" s="13" t="n">
        <f aca="false">M863-SUM(N863:S863)</f>
        <v>0</v>
      </c>
    </row>
    <row r="864" customFormat="false" ht="15" hidden="false" customHeight="true" outlineLevel="0" collapsed="false">
      <c r="A864" s="13" t="n">
        <v>2026</v>
      </c>
      <c r="B864" s="13" t="s">
        <v>1029</v>
      </c>
      <c r="C864" s="13" t="s">
        <v>125</v>
      </c>
      <c r="D864" s="13" t="s">
        <v>128</v>
      </c>
      <c r="E864" s="13" t="s">
        <v>124</v>
      </c>
      <c r="F864" s="13" t="s">
        <v>357</v>
      </c>
      <c r="G864" s="13" t="n">
        <v>13</v>
      </c>
      <c r="H864" s="13" t="n">
        <v>2</v>
      </c>
      <c r="I864" s="13" t="n">
        <v>11</v>
      </c>
      <c r="J864" s="13" t="n">
        <v>1</v>
      </c>
      <c r="K864" s="13" t="n">
        <v>0</v>
      </c>
      <c r="L864" s="13" t="n">
        <v>3</v>
      </c>
      <c r="M864" s="13" t="n">
        <v>8</v>
      </c>
      <c r="N864" s="13" t="n">
        <v>0</v>
      </c>
      <c r="O864" s="13" t="n">
        <v>2</v>
      </c>
      <c r="P864" s="13" t="n">
        <v>1</v>
      </c>
      <c r="Q864" s="13" t="n">
        <v>1</v>
      </c>
      <c r="R864" s="13" t="n">
        <v>2</v>
      </c>
      <c r="S864" s="13" t="n">
        <v>1</v>
      </c>
      <c r="T864" s="13" t="n">
        <v>0.7273</v>
      </c>
      <c r="U864" s="13" t="n">
        <v>2</v>
      </c>
      <c r="V864" s="13" t="n">
        <f aca="false">M864-SUM(N864:S864)</f>
        <v>1</v>
      </c>
    </row>
    <row r="865" customFormat="false" ht="15" hidden="false" customHeight="true" outlineLevel="0" collapsed="false">
      <c r="A865" s="13" t="n">
        <v>2026</v>
      </c>
      <c r="B865" s="13" t="s">
        <v>1029</v>
      </c>
      <c r="C865" s="13" t="s">
        <v>125</v>
      </c>
      <c r="D865" s="13" t="s">
        <v>128</v>
      </c>
      <c r="E865" s="13" t="s">
        <v>122</v>
      </c>
      <c r="F865" s="13" t="s">
        <v>357</v>
      </c>
      <c r="G865" s="13" t="n">
        <v>9</v>
      </c>
      <c r="H865" s="13" t="n">
        <v>0</v>
      </c>
      <c r="I865" s="13" t="n">
        <v>9</v>
      </c>
      <c r="J865" s="13" t="n">
        <v>0</v>
      </c>
      <c r="K865" s="13" t="n">
        <v>0</v>
      </c>
      <c r="L865" s="13" t="n">
        <v>3</v>
      </c>
      <c r="M865" s="13" t="n">
        <v>6</v>
      </c>
      <c r="N865" s="13" t="n">
        <v>0</v>
      </c>
      <c r="O865" s="13" t="n">
        <v>1</v>
      </c>
      <c r="P865" s="13" t="n">
        <v>1</v>
      </c>
      <c r="Q865" s="13" t="n">
        <v>1</v>
      </c>
      <c r="R865" s="13" t="n">
        <v>0</v>
      </c>
      <c r="S865" s="13" t="n">
        <v>0</v>
      </c>
      <c r="T865" s="13" t="n">
        <v>0.6667</v>
      </c>
      <c r="U865" s="13" t="n">
        <v>1.33</v>
      </c>
      <c r="V865" s="13" t="n">
        <f aca="false">M865-SUM(N865:S865)</f>
        <v>3</v>
      </c>
    </row>
    <row r="866" customFormat="false" ht="15" hidden="false" customHeight="true" outlineLevel="0" collapsed="false">
      <c r="A866" s="13" t="n">
        <v>2026</v>
      </c>
      <c r="B866" s="13" t="s">
        <v>1029</v>
      </c>
      <c r="C866" s="13" t="s">
        <v>125</v>
      </c>
      <c r="D866" s="13" t="s">
        <v>128</v>
      </c>
      <c r="E866" s="13" t="s">
        <v>192</v>
      </c>
      <c r="F866" s="13" t="s">
        <v>652</v>
      </c>
      <c r="G866" s="13" t="n">
        <v>22</v>
      </c>
      <c r="H866" s="13" t="n">
        <v>2</v>
      </c>
      <c r="I866" s="13" t="n">
        <v>20</v>
      </c>
      <c r="J866" s="13" t="n">
        <v>1</v>
      </c>
      <c r="K866" s="13" t="n">
        <v>0</v>
      </c>
      <c r="L866" s="13" t="n">
        <v>6</v>
      </c>
      <c r="M866" s="13" t="n">
        <v>14</v>
      </c>
      <c r="N866" s="13" t="n">
        <v>0</v>
      </c>
      <c r="O866" s="13" t="n">
        <v>3</v>
      </c>
      <c r="P866" s="13" t="n">
        <v>2</v>
      </c>
      <c r="Q866" s="13" t="n">
        <v>2</v>
      </c>
      <c r="R866" s="13" t="n">
        <v>2</v>
      </c>
      <c r="S866" s="13" t="n">
        <v>1</v>
      </c>
      <c r="T866" s="13" t="n">
        <v>0.7</v>
      </c>
      <c r="U866" s="13" t="n">
        <v>1.7</v>
      </c>
      <c r="V866" s="13" t="n">
        <f aca="false">M866-SUM(N866:S866)</f>
        <v>4</v>
      </c>
    </row>
    <row r="867" customFormat="false" ht="15" hidden="false" customHeight="true" outlineLevel="0" collapsed="false">
      <c r="A867" s="13" t="n">
        <v>2026</v>
      </c>
      <c r="B867" s="13" t="s">
        <v>1029</v>
      </c>
      <c r="C867" s="13" t="s">
        <v>125</v>
      </c>
      <c r="D867" s="13" t="s">
        <v>1033</v>
      </c>
      <c r="E867" s="13" t="s">
        <v>124</v>
      </c>
      <c r="F867" s="13" t="s">
        <v>357</v>
      </c>
      <c r="G867" s="13" t="n">
        <v>28</v>
      </c>
      <c r="H867" s="13" t="n">
        <v>3</v>
      </c>
      <c r="I867" s="13" t="n">
        <v>25</v>
      </c>
      <c r="J867" s="13" t="n">
        <v>0</v>
      </c>
      <c r="K867" s="13" t="n">
        <v>0</v>
      </c>
      <c r="L867" s="13" t="n">
        <v>0</v>
      </c>
      <c r="M867" s="13" t="n">
        <v>25</v>
      </c>
      <c r="N867" s="13" t="n">
        <v>13</v>
      </c>
      <c r="O867" s="13" t="n">
        <v>4</v>
      </c>
      <c r="P867" s="13" t="n">
        <v>4</v>
      </c>
      <c r="Q867" s="13" t="n">
        <v>3</v>
      </c>
      <c r="R867" s="13" t="n">
        <v>1</v>
      </c>
      <c r="S867" s="13" t="n">
        <v>0</v>
      </c>
      <c r="T867" s="13" t="n">
        <v>1</v>
      </c>
      <c r="U867" s="13" t="n">
        <v>5</v>
      </c>
      <c r="V867" s="13" t="n">
        <f aca="false">M867-SUM(N867:S867)</f>
        <v>0</v>
      </c>
    </row>
    <row r="868" customFormat="false" ht="15" hidden="false" customHeight="true" outlineLevel="0" collapsed="false">
      <c r="A868" s="13" t="n">
        <v>2026</v>
      </c>
      <c r="B868" s="13" t="s">
        <v>1029</v>
      </c>
      <c r="C868" s="13" t="s">
        <v>125</v>
      </c>
      <c r="D868" s="13" t="s">
        <v>1033</v>
      </c>
      <c r="E868" s="13" t="s">
        <v>122</v>
      </c>
      <c r="F868" s="13" t="s">
        <v>357</v>
      </c>
      <c r="G868" s="13" t="n">
        <v>84</v>
      </c>
      <c r="H868" s="13" t="n">
        <v>7</v>
      </c>
      <c r="I868" s="13" t="n">
        <v>77</v>
      </c>
      <c r="J868" s="13" t="n">
        <v>0</v>
      </c>
      <c r="K868" s="13" t="n">
        <v>0</v>
      </c>
      <c r="L868" s="13" t="n">
        <v>11</v>
      </c>
      <c r="M868" s="13" t="n">
        <v>66</v>
      </c>
      <c r="N868" s="13" t="n">
        <v>56</v>
      </c>
      <c r="O868" s="13" t="n">
        <v>6</v>
      </c>
      <c r="P868" s="13" t="n">
        <v>2</v>
      </c>
      <c r="Q868" s="13" t="n">
        <v>2</v>
      </c>
      <c r="R868" s="13" t="n">
        <v>0</v>
      </c>
      <c r="S868" s="13" t="n">
        <v>0</v>
      </c>
      <c r="T868" s="13" t="n">
        <v>0.8571</v>
      </c>
      <c r="U868" s="13" t="n">
        <v>4.94</v>
      </c>
      <c r="V868" s="13" t="n">
        <f aca="false">M868-SUM(N868:S868)</f>
        <v>0</v>
      </c>
    </row>
    <row r="869" customFormat="false" ht="15" hidden="false" customHeight="true" outlineLevel="0" collapsed="false">
      <c r="A869" s="13" t="n">
        <v>2026</v>
      </c>
      <c r="B869" s="13" t="s">
        <v>1029</v>
      </c>
      <c r="C869" s="13" t="s">
        <v>125</v>
      </c>
      <c r="D869" s="13" t="s">
        <v>1033</v>
      </c>
      <c r="E869" s="13" t="s">
        <v>192</v>
      </c>
      <c r="F869" s="13" t="s">
        <v>652</v>
      </c>
      <c r="G869" s="13" t="n">
        <v>112</v>
      </c>
      <c r="H869" s="13" t="n">
        <v>10</v>
      </c>
      <c r="I869" s="13" t="n">
        <v>102</v>
      </c>
      <c r="J869" s="13" t="n">
        <v>0</v>
      </c>
      <c r="K869" s="13" t="n">
        <v>0</v>
      </c>
      <c r="L869" s="13" t="n">
        <v>11</v>
      </c>
      <c r="M869" s="13" t="n">
        <v>91</v>
      </c>
      <c r="N869" s="13" t="n">
        <v>69</v>
      </c>
      <c r="O869" s="13" t="n">
        <v>10</v>
      </c>
      <c r="P869" s="13" t="n">
        <v>6</v>
      </c>
      <c r="Q869" s="13" t="n">
        <v>5</v>
      </c>
      <c r="R869" s="13" t="n">
        <v>1</v>
      </c>
      <c r="S869" s="13" t="n">
        <v>0</v>
      </c>
      <c r="T869" s="13" t="n">
        <v>0.8922</v>
      </c>
      <c r="U869" s="13" t="n">
        <v>4.95</v>
      </c>
      <c r="V869" s="13" t="n">
        <f aca="false">M869-SUM(N869:S869)</f>
        <v>0</v>
      </c>
    </row>
    <row r="870" customFormat="false" ht="15" hidden="false" customHeight="true" outlineLevel="0" collapsed="false">
      <c r="A870" s="13" t="n">
        <v>2026</v>
      </c>
      <c r="B870" s="13" t="s">
        <v>1029</v>
      </c>
      <c r="C870" s="13" t="s">
        <v>125</v>
      </c>
      <c r="D870" s="13" t="s">
        <v>1034</v>
      </c>
      <c r="E870" s="13" t="s">
        <v>124</v>
      </c>
      <c r="F870" s="13" t="s">
        <v>357</v>
      </c>
      <c r="G870" s="13" t="n">
        <v>2</v>
      </c>
      <c r="H870" s="13" t="n">
        <v>1</v>
      </c>
      <c r="I870" s="13" t="n">
        <v>1</v>
      </c>
      <c r="J870" s="13" t="n">
        <v>0</v>
      </c>
      <c r="K870" s="13" t="n">
        <v>0</v>
      </c>
      <c r="L870" s="13" t="n">
        <v>1</v>
      </c>
      <c r="M870" s="13" t="n">
        <v>0</v>
      </c>
      <c r="N870" s="13" t="n">
        <v>0</v>
      </c>
      <c r="O870" s="13" t="n">
        <v>0</v>
      </c>
      <c r="P870" s="13" t="n">
        <v>0</v>
      </c>
      <c r="Q870" s="13" t="n">
        <v>0</v>
      </c>
      <c r="R870" s="13" t="n">
        <v>0</v>
      </c>
      <c r="S870" s="13" t="n">
        <v>0</v>
      </c>
      <c r="T870" s="13" t="n">
        <v>0</v>
      </c>
      <c r="U870" s="13" t="n">
        <v>0</v>
      </c>
      <c r="V870" s="13" t="n">
        <f aca="false">M870-SUM(N870:S870)</f>
        <v>0</v>
      </c>
    </row>
    <row r="871" customFormat="false" ht="15" hidden="false" customHeight="true" outlineLevel="0" collapsed="false">
      <c r="A871" s="13" t="n">
        <v>2026</v>
      </c>
      <c r="B871" s="13" t="s">
        <v>1029</v>
      </c>
      <c r="C871" s="13" t="s">
        <v>125</v>
      </c>
      <c r="D871" s="13" t="s">
        <v>1034</v>
      </c>
      <c r="E871" s="13" t="s">
        <v>122</v>
      </c>
      <c r="F871" s="13" t="s">
        <v>357</v>
      </c>
      <c r="G871" s="13" t="n">
        <v>4</v>
      </c>
      <c r="H871" s="13" t="n">
        <v>1</v>
      </c>
      <c r="I871" s="13" t="n">
        <v>3</v>
      </c>
      <c r="J871" s="13" t="n">
        <v>0</v>
      </c>
      <c r="K871" s="13" t="n">
        <v>0</v>
      </c>
      <c r="L871" s="13" t="n">
        <v>0</v>
      </c>
      <c r="M871" s="13" t="n">
        <v>3</v>
      </c>
      <c r="N871" s="13" t="n">
        <v>0</v>
      </c>
      <c r="O871" s="13" t="n">
        <v>1</v>
      </c>
      <c r="P871" s="13" t="n">
        <v>1</v>
      </c>
      <c r="Q871" s="13" t="n">
        <v>1</v>
      </c>
      <c r="R871" s="13" t="n">
        <v>0</v>
      </c>
      <c r="S871" s="13" t="n">
        <v>0</v>
      </c>
      <c r="T871" s="13" t="n">
        <v>1</v>
      </c>
      <c r="U871" s="13" t="n">
        <v>4</v>
      </c>
      <c r="V871" s="13" t="n">
        <f aca="false">M871-SUM(N871:S871)</f>
        <v>0</v>
      </c>
    </row>
    <row r="872" customFormat="false" ht="15" hidden="false" customHeight="true" outlineLevel="0" collapsed="false">
      <c r="A872" s="13" t="n">
        <v>2026</v>
      </c>
      <c r="B872" s="13" t="s">
        <v>1029</v>
      </c>
      <c r="C872" s="13" t="s">
        <v>125</v>
      </c>
      <c r="D872" s="13" t="s">
        <v>1034</v>
      </c>
      <c r="E872" s="13" t="s">
        <v>192</v>
      </c>
      <c r="F872" s="13" t="s">
        <v>652</v>
      </c>
      <c r="G872" s="13" t="n">
        <v>6</v>
      </c>
      <c r="H872" s="13" t="n">
        <v>2</v>
      </c>
      <c r="I872" s="13" t="n">
        <v>4</v>
      </c>
      <c r="J872" s="13" t="n">
        <v>0</v>
      </c>
      <c r="K872" s="13" t="n">
        <v>0</v>
      </c>
      <c r="L872" s="13" t="n">
        <v>1</v>
      </c>
      <c r="M872" s="13" t="n">
        <v>3</v>
      </c>
      <c r="N872" s="13" t="n">
        <v>0</v>
      </c>
      <c r="O872" s="13" t="n">
        <v>1</v>
      </c>
      <c r="P872" s="13" t="n">
        <v>1</v>
      </c>
      <c r="Q872" s="13" t="n">
        <v>1</v>
      </c>
      <c r="R872" s="13" t="n">
        <v>0</v>
      </c>
      <c r="S872" s="13" t="n">
        <v>0</v>
      </c>
      <c r="T872" s="13" t="n">
        <v>0.75</v>
      </c>
      <c r="U872" s="13" t="n">
        <v>3</v>
      </c>
      <c r="V872" s="13" t="n">
        <f aca="false">M872-SUM(N872:S872)</f>
        <v>0</v>
      </c>
    </row>
    <row r="873" customFormat="false" ht="15" hidden="false" customHeight="true" outlineLevel="0" collapsed="false">
      <c r="A873" s="13" t="n">
        <v>2026</v>
      </c>
      <c r="B873" s="13" t="s">
        <v>1029</v>
      </c>
      <c r="C873" s="13" t="s">
        <v>125</v>
      </c>
      <c r="D873" s="13" t="s">
        <v>1035</v>
      </c>
      <c r="E873" s="13" t="s">
        <v>124</v>
      </c>
      <c r="F873" s="13" t="s">
        <v>357</v>
      </c>
      <c r="G873" s="13" t="n">
        <v>72</v>
      </c>
      <c r="H873" s="13" t="n">
        <v>2</v>
      </c>
      <c r="I873" s="13" t="n">
        <v>70</v>
      </c>
      <c r="J873" s="13" t="n">
        <v>5</v>
      </c>
      <c r="K873" s="13" t="n">
        <v>0</v>
      </c>
      <c r="L873" s="13" t="n">
        <v>52</v>
      </c>
      <c r="M873" s="13" t="n">
        <v>18</v>
      </c>
      <c r="N873" s="13" t="n">
        <v>0</v>
      </c>
      <c r="O873" s="13" t="n">
        <v>1</v>
      </c>
      <c r="P873" s="13" t="n">
        <v>2</v>
      </c>
      <c r="Q873" s="13" t="n">
        <v>9</v>
      </c>
      <c r="R873" s="13" t="n">
        <v>6</v>
      </c>
      <c r="S873" s="13" t="n">
        <v>0</v>
      </c>
      <c r="T873" s="13" t="n">
        <v>0.2571</v>
      </c>
      <c r="U873" s="13" t="n">
        <v>0.74</v>
      </c>
      <c r="V873" s="13" t="n">
        <f aca="false">M873-SUM(N873:S873)</f>
        <v>0</v>
      </c>
    </row>
    <row r="874" customFormat="false" ht="15" hidden="false" customHeight="true" outlineLevel="0" collapsed="false">
      <c r="A874" s="13" t="n">
        <v>2026</v>
      </c>
      <c r="B874" s="13" t="s">
        <v>1029</v>
      </c>
      <c r="C874" s="13" t="s">
        <v>125</v>
      </c>
      <c r="D874" s="13" t="s">
        <v>1035</v>
      </c>
      <c r="E874" s="13" t="s">
        <v>122</v>
      </c>
      <c r="F874" s="13" t="s">
        <v>357</v>
      </c>
      <c r="G874" s="13" t="n">
        <v>17</v>
      </c>
      <c r="H874" s="13" t="n">
        <v>0</v>
      </c>
      <c r="I874" s="13" t="n">
        <v>17</v>
      </c>
      <c r="J874" s="13" t="n">
        <v>0</v>
      </c>
      <c r="K874" s="13" t="n">
        <v>0</v>
      </c>
      <c r="L874" s="13" t="n">
        <v>12</v>
      </c>
      <c r="M874" s="13" t="n">
        <v>5</v>
      </c>
      <c r="N874" s="13" t="n">
        <v>0</v>
      </c>
      <c r="O874" s="13" t="n">
        <v>0</v>
      </c>
      <c r="P874" s="13" t="n">
        <v>2</v>
      </c>
      <c r="Q874" s="13" t="n">
        <v>2</v>
      </c>
      <c r="R874" s="13" t="n">
        <v>1</v>
      </c>
      <c r="S874" s="13" t="n">
        <v>0</v>
      </c>
      <c r="T874" s="13" t="n">
        <v>0.2941</v>
      </c>
      <c r="U874" s="13" t="n">
        <v>0.94</v>
      </c>
      <c r="V874" s="13" t="n">
        <f aca="false">M874-SUM(N874:S874)</f>
        <v>0</v>
      </c>
    </row>
    <row r="875" customFormat="false" ht="15" hidden="false" customHeight="true" outlineLevel="0" collapsed="false">
      <c r="A875" s="13" t="n">
        <v>2026</v>
      </c>
      <c r="B875" s="13" t="s">
        <v>1029</v>
      </c>
      <c r="C875" s="13" t="s">
        <v>125</v>
      </c>
      <c r="D875" s="13" t="s">
        <v>1035</v>
      </c>
      <c r="E875" s="13" t="s">
        <v>192</v>
      </c>
      <c r="F875" s="13" t="s">
        <v>652</v>
      </c>
      <c r="G875" s="13" t="n">
        <v>89</v>
      </c>
      <c r="H875" s="13" t="n">
        <v>2</v>
      </c>
      <c r="I875" s="13" t="n">
        <v>87</v>
      </c>
      <c r="J875" s="13" t="n">
        <v>5</v>
      </c>
      <c r="K875" s="13" t="n">
        <v>0</v>
      </c>
      <c r="L875" s="13" t="n">
        <v>64</v>
      </c>
      <c r="M875" s="13" t="n">
        <v>23</v>
      </c>
      <c r="N875" s="13" t="n">
        <v>0</v>
      </c>
      <c r="O875" s="13" t="n">
        <v>1</v>
      </c>
      <c r="P875" s="13" t="n">
        <v>4</v>
      </c>
      <c r="Q875" s="13" t="n">
        <v>11</v>
      </c>
      <c r="R875" s="13" t="n">
        <v>7</v>
      </c>
      <c r="S875" s="13" t="n">
        <v>0</v>
      </c>
      <c r="T875" s="13" t="n">
        <v>0.2644</v>
      </c>
      <c r="U875" s="13" t="n">
        <v>0.78</v>
      </c>
      <c r="V875" s="13" t="n">
        <f aca="false">M875-SUM(N875:S875)</f>
        <v>0</v>
      </c>
    </row>
    <row r="876" customFormat="false" ht="15" hidden="false" customHeight="true" outlineLevel="0" collapsed="false">
      <c r="A876" s="13" t="n">
        <v>2026</v>
      </c>
      <c r="B876" s="13" t="s">
        <v>1029</v>
      </c>
      <c r="C876" s="13" t="s">
        <v>125</v>
      </c>
      <c r="D876" s="13" t="s">
        <v>203</v>
      </c>
      <c r="E876" s="13" t="s">
        <v>122</v>
      </c>
      <c r="F876" s="13" t="s">
        <v>357</v>
      </c>
      <c r="G876" s="13" t="n">
        <v>3</v>
      </c>
      <c r="H876" s="13" t="n">
        <v>0</v>
      </c>
      <c r="I876" s="13" t="n">
        <v>3</v>
      </c>
      <c r="J876" s="13" t="n">
        <v>3</v>
      </c>
      <c r="K876" s="13" t="n">
        <v>0</v>
      </c>
      <c r="L876" s="13" t="n">
        <v>3</v>
      </c>
      <c r="M876" s="13" t="n">
        <v>0</v>
      </c>
      <c r="N876" s="13" t="n">
        <v>0</v>
      </c>
      <c r="O876" s="13" t="n">
        <v>0</v>
      </c>
      <c r="P876" s="13" t="n">
        <v>0</v>
      </c>
      <c r="Q876" s="13" t="n">
        <v>0</v>
      </c>
      <c r="R876" s="13" t="n">
        <v>0</v>
      </c>
      <c r="S876" s="13" t="n">
        <v>0</v>
      </c>
      <c r="T876" s="13" t="n">
        <v>0</v>
      </c>
      <c r="U876" s="13" t="n">
        <v>0</v>
      </c>
      <c r="V876" s="13" t="n">
        <f aca="false">M876-SUM(N876:S876)</f>
        <v>0</v>
      </c>
    </row>
    <row r="877" customFormat="false" ht="15" hidden="false" customHeight="true" outlineLevel="0" collapsed="false">
      <c r="A877" s="13" t="n">
        <v>2026</v>
      </c>
      <c r="B877" s="13" t="s">
        <v>1029</v>
      </c>
      <c r="C877" s="13" t="s">
        <v>125</v>
      </c>
      <c r="D877" s="13" t="s">
        <v>203</v>
      </c>
      <c r="E877" s="13" t="s">
        <v>192</v>
      </c>
      <c r="F877" s="13" t="s">
        <v>652</v>
      </c>
      <c r="G877" s="13" t="n">
        <v>3</v>
      </c>
      <c r="H877" s="13" t="n">
        <v>0</v>
      </c>
      <c r="I877" s="13" t="n">
        <v>3</v>
      </c>
      <c r="J877" s="13" t="n">
        <v>3</v>
      </c>
      <c r="K877" s="13" t="n">
        <v>0</v>
      </c>
      <c r="L877" s="13" t="n">
        <v>3</v>
      </c>
      <c r="M877" s="13" t="n">
        <v>0</v>
      </c>
      <c r="N877" s="13" t="n">
        <v>0</v>
      </c>
      <c r="O877" s="13" t="n">
        <v>0</v>
      </c>
      <c r="P877" s="13" t="n">
        <v>0</v>
      </c>
      <c r="Q877" s="13" t="n">
        <v>0</v>
      </c>
      <c r="R877" s="13" t="n">
        <v>0</v>
      </c>
      <c r="S877" s="13" t="n">
        <v>0</v>
      </c>
      <c r="T877" s="13" t="n">
        <v>0</v>
      </c>
      <c r="U877" s="13" t="n">
        <v>0</v>
      </c>
      <c r="V877" s="13" t="n">
        <f aca="false">M877-SUM(N877:S877)</f>
        <v>0</v>
      </c>
    </row>
    <row r="878" customFormat="false" ht="15" hidden="false" customHeight="true" outlineLevel="0" collapsed="false">
      <c r="A878" s="13" t="n">
        <v>2026</v>
      </c>
      <c r="B878" s="13" t="s">
        <v>1029</v>
      </c>
      <c r="C878" s="13" t="s">
        <v>125</v>
      </c>
      <c r="D878" s="13" t="s">
        <v>1037</v>
      </c>
      <c r="E878" s="13" t="s">
        <v>192</v>
      </c>
      <c r="F878" s="13" t="s">
        <v>1038</v>
      </c>
      <c r="G878" s="13" t="n">
        <v>232</v>
      </c>
      <c r="H878" s="13" t="n">
        <v>16</v>
      </c>
      <c r="I878" s="13" t="n">
        <v>216</v>
      </c>
      <c r="J878" s="13" t="n">
        <v>9</v>
      </c>
      <c r="K878" s="13" t="n">
        <v>0</v>
      </c>
      <c r="L878" s="13" t="n">
        <v>85</v>
      </c>
      <c r="M878" s="13" t="n">
        <v>131</v>
      </c>
      <c r="N878" s="13" t="n">
        <v>69</v>
      </c>
      <c r="O878" s="13" t="n">
        <v>15</v>
      </c>
      <c r="P878" s="13" t="n">
        <v>13</v>
      </c>
      <c r="Q878" s="13" t="n">
        <v>19</v>
      </c>
      <c r="R878" s="13" t="n">
        <v>10</v>
      </c>
      <c r="S878" s="13" t="n">
        <v>1</v>
      </c>
      <c r="T878" s="13" t="n">
        <v>0.6065</v>
      </c>
      <c r="U878" s="13" t="n">
        <v>2.87</v>
      </c>
      <c r="V878" s="13" t="n">
        <f aca="false">M878-SUM(N878:S878)</f>
        <v>4</v>
      </c>
    </row>
    <row r="879" customFormat="false" ht="15" hidden="false" customHeight="true" outlineLevel="0" collapsed="false">
      <c r="A879" s="13" t="n">
        <v>2026</v>
      </c>
      <c r="B879" s="13" t="s">
        <v>1029</v>
      </c>
      <c r="C879" s="13" t="s">
        <v>125</v>
      </c>
      <c r="D879" s="13" t="s">
        <v>1037</v>
      </c>
      <c r="E879" s="13" t="s">
        <v>192</v>
      </c>
      <c r="F879" s="13" t="s">
        <v>137</v>
      </c>
      <c r="G879" s="13" t="n">
        <v>1384</v>
      </c>
      <c r="H879" s="13" t="n">
        <v>17</v>
      </c>
      <c r="I879" s="13" t="n">
        <v>1367</v>
      </c>
      <c r="J879" s="13" t="n">
        <v>11</v>
      </c>
      <c r="K879" s="13" t="n">
        <v>0</v>
      </c>
      <c r="L879" s="13" t="n">
        <v>145</v>
      </c>
      <c r="M879" s="13" t="n">
        <v>1222</v>
      </c>
      <c r="N879" s="13" t="n">
        <v>427</v>
      </c>
      <c r="O879" s="13" t="n">
        <v>284</v>
      </c>
      <c r="P879" s="13" t="n">
        <v>331</v>
      </c>
      <c r="Q879" s="13" t="n">
        <v>154</v>
      </c>
      <c r="R879" s="13" t="n">
        <v>21</v>
      </c>
      <c r="S879" s="13" t="n">
        <v>1</v>
      </c>
      <c r="T879" s="13" t="n">
        <v>0.9012</v>
      </c>
      <c r="U879" s="13" t="n">
        <v>4.29</v>
      </c>
      <c r="V879" s="13" t="n">
        <f aca="false">M879-SUM(N879:S879)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40"/>
  </cols>
  <sheetData>
    <row r="1" customFormat="false" ht="17.25" hidden="false" customHeight="true" outlineLevel="0" collapsed="false">
      <c r="A1" s="17" t="s">
        <v>1039</v>
      </c>
    </row>
    <row r="2" customFormat="false" ht="15" hidden="false" customHeight="true" outlineLevel="0" collapsed="false">
      <c r="A2" s="13" t="s">
        <v>1040</v>
      </c>
    </row>
    <row r="3" customFormat="false" ht="15" hidden="false" customHeight="true" outlineLevel="0" collapsed="false">
      <c r="A3" s="13" t="s">
        <v>1041</v>
      </c>
    </row>
    <row r="4" customFormat="false" ht="15" hidden="false" customHeight="true" outlineLevel="0" collapsed="false">
      <c r="A4" s="13" t="s">
        <v>1042</v>
      </c>
    </row>
    <row r="5" customFormat="false" ht="15" hidden="false" customHeight="true" outlineLevel="0" collapsed="false">
      <c r="A5" s="13" t="s">
        <v>1043</v>
      </c>
    </row>
    <row r="6" customFormat="false" ht="15" hidden="false" customHeight="true" outlineLevel="0" collapsed="false">
      <c r="A6" s="13" t="s">
        <v>1044</v>
      </c>
    </row>
    <row r="7" customFormat="false" ht="15" hidden="false" customHeight="true" outlineLevel="0" collapsed="false">
      <c r="A7" s="13" t="s">
        <v>1045</v>
      </c>
    </row>
    <row r="8" customFormat="false" ht="15" hidden="false" customHeight="true" outlineLevel="0" collapsed="false">
      <c r="A8" s="13" t="s">
        <v>1046</v>
      </c>
    </row>
    <row r="9" customFormat="false" ht="15" hidden="false" customHeight="true" outlineLevel="0" collapsed="false">
      <c r="A9" s="13" t="s">
        <v>1047</v>
      </c>
    </row>
    <row r="10" customFormat="false" ht="15" hidden="false" customHeight="true" outlineLevel="0" collapsed="false">
      <c r="A10" s="13" t="s">
        <v>1048</v>
      </c>
    </row>
    <row r="11" customFormat="false" ht="15" hidden="false" customHeight="true" outlineLevel="0" collapsed="false">
      <c r="A11" s="13" t="s">
        <v>1049</v>
      </c>
    </row>
    <row r="12" customFormat="false" ht="15" hidden="false" customHeight="true" outlineLevel="0" collapsed="false">
      <c r="A12" s="13" t="s">
        <v>1050</v>
      </c>
    </row>
    <row r="13" customFormat="false" ht="15" hidden="false" customHeight="true" outlineLevel="0" collapsed="false">
      <c r="A13" s="13" t="s">
        <v>1051</v>
      </c>
    </row>
    <row r="14" customFormat="false" ht="15" hidden="false" customHeight="true" outlineLevel="0" collapsed="false">
      <c r="A14" s="13" t="s">
        <v>1052</v>
      </c>
    </row>
    <row r="15" customFormat="false" ht="15" hidden="false" customHeight="true" outlineLevel="0" collapsed="false">
      <c r="A15" s="13" t="s">
        <v>1053</v>
      </c>
    </row>
    <row r="16" customFormat="false" ht="15" hidden="false" customHeight="true" outlineLevel="0" collapsed="false">
      <c r="A16" s="13" t="s">
        <v>1054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0"/>
    <col collapsed="false" customWidth="true" hidden="false" outlineLevel="0" max="2" min="2" style="13" width="32"/>
    <col collapsed="false" customWidth="true" hidden="false" outlineLevel="0" max="3" min="3" style="13" width="16"/>
    <col collapsed="false" customWidth="true" hidden="false" outlineLevel="0" max="7" min="4" style="13" width="13"/>
  </cols>
  <sheetData>
    <row r="1" customFormat="false" ht="15" hidden="false" customHeight="true" outlineLevel="0" collapsed="false">
      <c r="A1" s="13" t="s">
        <v>1055</v>
      </c>
    </row>
    <row r="2" customFormat="false" ht="15" hidden="false" customHeight="true" outlineLevel="0" collapsed="false">
      <c r="A2" s="13" t="s">
        <v>1056</v>
      </c>
    </row>
    <row r="4" customFormat="false" ht="15" hidden="false" customHeight="true" outlineLevel="0" collapsed="false">
      <c r="A4" s="13" t="s">
        <v>3</v>
      </c>
      <c r="B4" s="13" t="s">
        <v>344</v>
      </c>
      <c r="C4" s="13" t="s">
        <v>4</v>
      </c>
      <c r="D4" s="13" t="s">
        <v>5</v>
      </c>
      <c r="E4" s="13" t="s">
        <v>345</v>
      </c>
      <c r="F4" s="13" t="s">
        <v>6</v>
      </c>
      <c r="G4" s="13" t="s">
        <v>8</v>
      </c>
    </row>
    <row r="5" customFormat="false" ht="15" hidden="false" customHeight="true" outlineLevel="0" collapsed="false">
      <c r="A5" s="13" t="n">
        <v>2025</v>
      </c>
      <c r="B5" s="13" t="s">
        <v>349</v>
      </c>
      <c r="C5" s="14" t="n">
        <v>34012</v>
      </c>
      <c r="D5" s="14" t="n">
        <v>10899</v>
      </c>
      <c r="E5" s="14" t="n">
        <f aca="false">C5-D5</f>
        <v>23113</v>
      </c>
      <c r="F5" s="16" t="n">
        <f aca="false">ROUND(D5/C5*100,2)</f>
        <v>32.04</v>
      </c>
      <c r="G5" s="13" t="n">
        <v>32.04</v>
      </c>
    </row>
    <row r="6" customFormat="false" ht="15" hidden="false" customHeight="true" outlineLevel="0" collapsed="false">
      <c r="A6" s="13" t="n">
        <v>2025</v>
      </c>
      <c r="B6" s="13" t="s">
        <v>347</v>
      </c>
      <c r="C6" s="14" t="n">
        <v>29496</v>
      </c>
      <c r="D6" s="14" t="n">
        <v>16808</v>
      </c>
      <c r="E6" s="14" t="n">
        <f aca="false">C6-D6</f>
        <v>12688</v>
      </c>
      <c r="F6" s="16" t="n">
        <f aca="false">ROUND(D6/C6*100,2)</f>
        <v>56.98</v>
      </c>
      <c r="G6" s="13" t="n">
        <v>56.98</v>
      </c>
    </row>
    <row r="7" customFormat="false" ht="15" hidden="false" customHeight="true" outlineLevel="0" collapsed="false">
      <c r="A7" s="13" t="n">
        <v>2025</v>
      </c>
      <c r="B7" s="13" t="s">
        <v>348</v>
      </c>
      <c r="C7" s="14" t="n">
        <v>63508</v>
      </c>
      <c r="D7" s="14" t="n">
        <v>27707</v>
      </c>
      <c r="E7" s="14" t="n">
        <f aca="false">C7-D7</f>
        <v>35801</v>
      </c>
      <c r="F7" s="16" t="n">
        <f aca="false">ROUND(D7/C7*100,2)</f>
        <v>43.63</v>
      </c>
      <c r="G7" s="13" t="n">
        <v>43.62</v>
      </c>
    </row>
    <row r="8" customFormat="false" ht="15" hidden="false" customHeight="true" outlineLevel="0" collapsed="false">
      <c r="A8" s="13" t="n">
        <v>2026</v>
      </c>
      <c r="B8" s="13" t="s">
        <v>349</v>
      </c>
      <c r="C8" s="14" t="n">
        <v>22728</v>
      </c>
      <c r="D8" s="14" t="n">
        <v>6138</v>
      </c>
      <c r="E8" s="14" t="n">
        <f aca="false">C8-D8</f>
        <v>16590</v>
      </c>
      <c r="F8" s="16" t="n">
        <f aca="false">ROUND(D8/C8*100,2)</f>
        <v>27.01</v>
      </c>
      <c r="G8" s="13" t="n">
        <v>27.01</v>
      </c>
    </row>
    <row r="9" customFormat="false" ht="15" hidden="false" customHeight="true" outlineLevel="0" collapsed="false">
      <c r="A9" s="13" t="n">
        <v>2026</v>
      </c>
      <c r="B9" s="13" t="s">
        <v>347</v>
      </c>
      <c r="C9" s="14" t="n">
        <v>31496</v>
      </c>
      <c r="D9" s="14" t="n">
        <v>9724</v>
      </c>
      <c r="E9" s="14" t="n">
        <f aca="false">C9-D9</f>
        <v>21772</v>
      </c>
      <c r="F9" s="16" t="n">
        <f aca="false">ROUND(D9/C9*100,2)</f>
        <v>30.87</v>
      </c>
      <c r="G9" s="13" t="n">
        <v>30.87</v>
      </c>
    </row>
    <row r="10" customFormat="false" ht="15" hidden="false" customHeight="true" outlineLevel="0" collapsed="false">
      <c r="A10" s="13" t="n">
        <v>2026</v>
      </c>
      <c r="B10" s="13" t="s">
        <v>348</v>
      </c>
      <c r="C10" s="14" t="n">
        <v>54224</v>
      </c>
      <c r="D10" s="14" t="n">
        <v>15862</v>
      </c>
      <c r="E10" s="14" t="n">
        <f aca="false">C10-D10</f>
        <v>38362</v>
      </c>
      <c r="F10" s="16" t="n">
        <f aca="false">ROUND(D10/C10*100,2)</f>
        <v>29.25</v>
      </c>
      <c r="G10" s="13" t="n">
        <v>29.25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8"/>
    <col collapsed="false" customWidth="true" hidden="false" outlineLevel="0" max="2" min="2" style="13" width="20"/>
    <col collapsed="false" customWidth="true" hidden="false" outlineLevel="0" max="3" min="3" style="13" width="28"/>
    <col collapsed="false" customWidth="true" hidden="false" outlineLevel="0" max="4" min="4" style="13" width="18"/>
    <col collapsed="false" customWidth="true" hidden="false" outlineLevel="0" max="5" min="5" style="13" width="13"/>
    <col collapsed="false" customWidth="true" hidden="false" outlineLevel="0" max="7" min="6" style="13" width="11"/>
    <col collapsed="false" customWidth="true" hidden="false" outlineLevel="0" max="9" min="8" style="13" width="12"/>
    <col collapsed="false" customWidth="true" hidden="false" outlineLevel="0" max="15" min="10" style="13" width="8"/>
  </cols>
  <sheetData>
    <row r="1" customFormat="false" ht="15" hidden="false" customHeight="true" outlineLevel="0" collapsed="false">
      <c r="A1" s="13" t="s">
        <v>1057</v>
      </c>
    </row>
    <row r="2" customFormat="false" ht="15" hidden="false" customHeight="true" outlineLevel="0" collapsed="false">
      <c r="A2" s="13" t="s">
        <v>1058</v>
      </c>
    </row>
    <row r="4" customFormat="false" ht="15" hidden="false" customHeight="true" outlineLevel="0" collapsed="false">
      <c r="A4" s="13" t="s">
        <v>3</v>
      </c>
      <c r="B4" s="13" t="s">
        <v>344</v>
      </c>
      <c r="C4" s="13" t="s">
        <v>114</v>
      </c>
      <c r="D4" s="13" t="s">
        <v>187</v>
      </c>
      <c r="E4" s="13" t="s">
        <v>352</v>
      </c>
      <c r="F4" s="13" t="s">
        <v>4</v>
      </c>
      <c r="G4" s="13" t="s">
        <v>5</v>
      </c>
      <c r="H4" s="13" t="s">
        <v>353</v>
      </c>
      <c r="I4" s="13" t="s">
        <v>354</v>
      </c>
      <c r="J4" s="13" t="s">
        <v>1059</v>
      </c>
      <c r="K4" s="13" t="s">
        <v>116</v>
      </c>
      <c r="L4" s="13" t="s">
        <v>117</v>
      </c>
      <c r="M4" s="13" t="s">
        <v>118</v>
      </c>
      <c r="N4" s="13" t="s">
        <v>119</v>
      </c>
      <c r="O4" s="13" t="s">
        <v>120</v>
      </c>
    </row>
    <row r="5" customFormat="false" ht="15" hidden="false" customHeight="true" outlineLevel="0" collapsed="false">
      <c r="A5" s="13" t="n">
        <v>2025</v>
      </c>
      <c r="B5" s="13" t="s">
        <v>356</v>
      </c>
      <c r="C5" s="13" t="s">
        <v>200</v>
      </c>
      <c r="D5" s="13" t="s">
        <v>366</v>
      </c>
      <c r="E5" s="14" t="s">
        <v>357</v>
      </c>
      <c r="F5" s="14" t="n">
        <v>10226</v>
      </c>
      <c r="G5" s="14" t="n">
        <v>4972</v>
      </c>
      <c r="H5" s="16" t="n">
        <v>48.62</v>
      </c>
      <c r="I5" s="16" t="n">
        <f aca="false">ROUND(G5/F5*100,2)</f>
        <v>48.62</v>
      </c>
      <c r="J5" s="14" t="n">
        <v>679</v>
      </c>
      <c r="K5" s="14" t="n">
        <v>1525</v>
      </c>
      <c r="L5" s="14" t="n">
        <v>1949</v>
      </c>
      <c r="M5" s="14" t="n">
        <v>790</v>
      </c>
      <c r="N5" s="14" t="n">
        <v>29</v>
      </c>
      <c r="O5" s="14" t="n">
        <v>0</v>
      </c>
    </row>
    <row r="6" customFormat="false" ht="15" hidden="false" customHeight="true" outlineLevel="0" collapsed="false">
      <c r="A6" s="13" t="n">
        <v>2025</v>
      </c>
      <c r="B6" s="13" t="s">
        <v>356</v>
      </c>
      <c r="C6" s="13" t="s">
        <v>200</v>
      </c>
      <c r="D6" s="13" t="s">
        <v>367</v>
      </c>
      <c r="E6" s="14" t="s">
        <v>357</v>
      </c>
      <c r="F6" s="14" t="n">
        <v>5787</v>
      </c>
      <c r="G6" s="14" t="n">
        <v>5061</v>
      </c>
      <c r="H6" s="16" t="n">
        <v>87.45</v>
      </c>
      <c r="I6" s="16" t="n">
        <f aca="false">ROUND(G6/F6*100,2)</f>
        <v>87.45</v>
      </c>
      <c r="J6" s="14" t="n">
        <v>1818</v>
      </c>
      <c r="K6" s="14" t="n">
        <v>1913</v>
      </c>
      <c r="L6" s="14" t="n">
        <v>1048</v>
      </c>
      <c r="M6" s="14" t="n">
        <v>276</v>
      </c>
      <c r="N6" s="14" t="n">
        <v>6</v>
      </c>
      <c r="O6" s="14" t="n">
        <v>0</v>
      </c>
    </row>
    <row r="7" customFormat="false" ht="15" hidden="false" customHeight="true" outlineLevel="0" collapsed="false">
      <c r="A7" s="13" t="n">
        <v>2025</v>
      </c>
      <c r="B7" s="13" t="s">
        <v>356</v>
      </c>
      <c r="C7" s="13" t="s">
        <v>200</v>
      </c>
      <c r="D7" s="13" t="s">
        <v>368</v>
      </c>
      <c r="E7" s="14" t="s">
        <v>357</v>
      </c>
      <c r="F7" s="14" t="n">
        <v>821</v>
      </c>
      <c r="G7" s="14" t="n">
        <v>669</v>
      </c>
      <c r="H7" s="16" t="n">
        <v>81.49</v>
      </c>
      <c r="I7" s="16" t="n">
        <f aca="false">ROUND(G7/F7*100,2)</f>
        <v>81.49</v>
      </c>
      <c r="J7" s="14" t="n">
        <v>435</v>
      </c>
      <c r="K7" s="14" t="n">
        <v>117</v>
      </c>
      <c r="L7" s="14" t="n">
        <v>70</v>
      </c>
      <c r="M7" s="14" t="n">
        <v>35</v>
      </c>
      <c r="N7" s="14" t="n">
        <v>12</v>
      </c>
      <c r="O7" s="14" t="n">
        <v>0</v>
      </c>
    </row>
    <row r="8" customFormat="false" ht="15" hidden="false" customHeight="true" outlineLevel="0" collapsed="false">
      <c r="A8" s="13" t="n">
        <v>2025</v>
      </c>
      <c r="B8" s="13" t="s">
        <v>356</v>
      </c>
      <c r="C8" s="13" t="s">
        <v>200</v>
      </c>
      <c r="D8" s="13" t="s">
        <v>369</v>
      </c>
      <c r="E8" s="14" t="s">
        <v>357</v>
      </c>
      <c r="F8" s="14" t="n">
        <v>427</v>
      </c>
      <c r="G8" s="14" t="n">
        <v>399</v>
      </c>
      <c r="H8" s="16" t="n">
        <v>93.44</v>
      </c>
      <c r="I8" s="16" t="n">
        <f aca="false">ROUND(G8/F8*100,2)</f>
        <v>93.44</v>
      </c>
      <c r="J8" s="14" t="n">
        <v>275</v>
      </c>
      <c r="K8" s="14" t="n">
        <v>71</v>
      </c>
      <c r="L8" s="14" t="n">
        <v>38</v>
      </c>
      <c r="M8" s="14" t="n">
        <v>14</v>
      </c>
      <c r="N8" s="14" t="n">
        <v>1</v>
      </c>
      <c r="O8" s="14" t="n">
        <v>0</v>
      </c>
    </row>
    <row r="9" customFormat="false" ht="15" hidden="false" customHeight="true" outlineLevel="0" collapsed="false">
      <c r="A9" s="13" t="n">
        <v>2025</v>
      </c>
      <c r="B9" s="13" t="s">
        <v>356</v>
      </c>
      <c r="C9" s="13" t="s">
        <v>200</v>
      </c>
      <c r="D9" s="13" t="s">
        <v>192</v>
      </c>
      <c r="E9" s="14" t="s">
        <v>652</v>
      </c>
      <c r="F9" s="14" t="n">
        <v>17261</v>
      </c>
      <c r="G9" s="14" t="n">
        <v>11101</v>
      </c>
      <c r="H9" s="16" t="n">
        <v>64.31</v>
      </c>
      <c r="I9" s="16" t="n">
        <f aca="false">ROUND(G9/F9*100,2)</f>
        <v>64.31</v>
      </c>
      <c r="J9" s="14" t="n">
        <v>3207</v>
      </c>
      <c r="K9" s="14" t="n">
        <v>3626</v>
      </c>
      <c r="L9" s="14" t="n">
        <v>3105</v>
      </c>
      <c r="M9" s="14" t="n">
        <v>1115</v>
      </c>
      <c r="N9" s="14" t="n">
        <v>48</v>
      </c>
      <c r="O9" s="14" t="n">
        <v>0</v>
      </c>
    </row>
    <row r="10" customFormat="false" ht="15" hidden="false" customHeight="true" outlineLevel="0" collapsed="false">
      <c r="A10" s="13" t="n">
        <v>2025</v>
      </c>
      <c r="B10" s="13" t="s">
        <v>356</v>
      </c>
      <c r="C10" s="13" t="s">
        <v>201</v>
      </c>
      <c r="D10" s="13" t="s">
        <v>366</v>
      </c>
      <c r="E10" s="14" t="s">
        <v>357</v>
      </c>
      <c r="F10" s="14" t="n">
        <v>1593</v>
      </c>
      <c r="G10" s="14" t="n">
        <v>610</v>
      </c>
      <c r="H10" s="16" t="n">
        <v>38.29</v>
      </c>
      <c r="I10" s="16" t="n">
        <f aca="false">ROUND(G10/F10*100,2)</f>
        <v>38.29</v>
      </c>
      <c r="J10" s="14" t="n">
        <v>106</v>
      </c>
      <c r="K10" s="14" t="n">
        <v>212</v>
      </c>
      <c r="L10" s="14" t="n">
        <v>227</v>
      </c>
      <c r="M10" s="14" t="n">
        <v>61</v>
      </c>
      <c r="N10" s="14" t="n">
        <v>4</v>
      </c>
      <c r="O10" s="14" t="n">
        <v>0</v>
      </c>
    </row>
    <row r="11" customFormat="false" ht="15" hidden="false" customHeight="true" outlineLevel="0" collapsed="false">
      <c r="A11" s="13" t="n">
        <v>2025</v>
      </c>
      <c r="B11" s="13" t="s">
        <v>356</v>
      </c>
      <c r="C11" s="13" t="s">
        <v>201</v>
      </c>
      <c r="D11" s="13" t="s">
        <v>367</v>
      </c>
      <c r="E11" s="14" t="s">
        <v>357</v>
      </c>
      <c r="F11" s="14" t="n">
        <v>167</v>
      </c>
      <c r="G11" s="14" t="n">
        <v>149</v>
      </c>
      <c r="H11" s="16" t="n">
        <v>89.22</v>
      </c>
      <c r="I11" s="16" t="n">
        <f aca="false">ROUND(G11/F11*100,2)</f>
        <v>89.22</v>
      </c>
      <c r="J11" s="14" t="n">
        <v>68</v>
      </c>
      <c r="K11" s="14" t="n">
        <v>48</v>
      </c>
      <c r="L11" s="14" t="n">
        <v>23</v>
      </c>
      <c r="M11" s="14" t="n">
        <v>10</v>
      </c>
      <c r="N11" s="14" t="n">
        <v>0</v>
      </c>
      <c r="O11" s="14" t="n">
        <v>0</v>
      </c>
    </row>
    <row r="12" customFormat="false" ht="15" hidden="false" customHeight="true" outlineLevel="0" collapsed="false">
      <c r="A12" s="13" t="n">
        <v>2025</v>
      </c>
      <c r="B12" s="13" t="s">
        <v>356</v>
      </c>
      <c r="C12" s="13" t="s">
        <v>201</v>
      </c>
      <c r="D12" s="13" t="s">
        <v>368</v>
      </c>
      <c r="E12" s="14" t="s">
        <v>357</v>
      </c>
      <c r="F12" s="14" t="n">
        <v>148</v>
      </c>
      <c r="G12" s="14" t="n">
        <v>25</v>
      </c>
      <c r="H12" s="16" t="n">
        <v>16.89</v>
      </c>
      <c r="I12" s="16" t="n">
        <f aca="false">ROUND(G12/F12*100,2)</f>
        <v>16.89</v>
      </c>
      <c r="J12" s="14" t="n">
        <v>5</v>
      </c>
      <c r="K12" s="14" t="n">
        <v>7</v>
      </c>
      <c r="L12" s="14" t="n">
        <v>6</v>
      </c>
      <c r="M12" s="14" t="n">
        <v>3</v>
      </c>
      <c r="N12" s="14" t="n">
        <v>3</v>
      </c>
      <c r="O12" s="14" t="n">
        <v>1</v>
      </c>
    </row>
    <row r="13" customFormat="false" ht="15" hidden="false" customHeight="true" outlineLevel="0" collapsed="false">
      <c r="A13" s="13" t="n">
        <v>2025</v>
      </c>
      <c r="B13" s="13" t="s">
        <v>356</v>
      </c>
      <c r="C13" s="13" t="s">
        <v>201</v>
      </c>
      <c r="D13" s="13" t="s">
        <v>369</v>
      </c>
      <c r="E13" s="14" t="s">
        <v>357</v>
      </c>
      <c r="F13" s="14" t="n">
        <v>21</v>
      </c>
      <c r="G13" s="14" t="n">
        <v>4</v>
      </c>
      <c r="H13" s="16" t="n">
        <v>19.05</v>
      </c>
      <c r="I13" s="16" t="n">
        <f aca="false">ROUND(G13/F13*100,2)</f>
        <v>19.05</v>
      </c>
      <c r="J13" s="14" t="n">
        <v>0</v>
      </c>
      <c r="K13" s="14" t="n">
        <v>3</v>
      </c>
      <c r="L13" s="14" t="n">
        <v>1</v>
      </c>
      <c r="M13" s="14" t="n">
        <v>0</v>
      </c>
      <c r="N13" s="14" t="n">
        <v>0</v>
      </c>
      <c r="O13" s="14" t="n">
        <v>0</v>
      </c>
    </row>
    <row r="14" customFormat="false" ht="15" hidden="false" customHeight="true" outlineLevel="0" collapsed="false">
      <c r="A14" s="13" t="n">
        <v>2025</v>
      </c>
      <c r="B14" s="13" t="s">
        <v>356</v>
      </c>
      <c r="C14" s="13" t="s">
        <v>201</v>
      </c>
      <c r="D14" s="13" t="s">
        <v>192</v>
      </c>
      <c r="E14" s="14" t="s">
        <v>652</v>
      </c>
      <c r="F14" s="14" t="n">
        <v>1929</v>
      </c>
      <c r="G14" s="14" t="n">
        <v>788</v>
      </c>
      <c r="H14" s="16" t="n">
        <v>40.85</v>
      </c>
      <c r="I14" s="16" t="n">
        <f aca="false">ROUND(G14/F14*100,2)</f>
        <v>40.85</v>
      </c>
      <c r="J14" s="14" t="n">
        <v>179</v>
      </c>
      <c r="K14" s="14" t="n">
        <v>270</v>
      </c>
      <c r="L14" s="14" t="n">
        <v>257</v>
      </c>
      <c r="M14" s="14" t="n">
        <v>74</v>
      </c>
      <c r="N14" s="14" t="n">
        <v>7</v>
      </c>
      <c r="O14" s="14" t="n">
        <v>1</v>
      </c>
    </row>
    <row r="15" customFormat="false" ht="15" hidden="false" customHeight="true" outlineLevel="0" collapsed="false">
      <c r="A15" s="13" t="n">
        <v>2025</v>
      </c>
      <c r="B15" s="13" t="s">
        <v>356</v>
      </c>
      <c r="C15" s="13" t="s">
        <v>778</v>
      </c>
      <c r="D15" s="13" t="s">
        <v>366</v>
      </c>
      <c r="E15" s="14" t="s">
        <v>357</v>
      </c>
      <c r="F15" s="14" t="n">
        <v>5121</v>
      </c>
      <c r="G15" s="14" t="n">
        <v>1926</v>
      </c>
      <c r="H15" s="16" t="n">
        <v>37.61</v>
      </c>
      <c r="I15" s="16" t="n">
        <f aca="false">ROUND(G15/F15*100,2)</f>
        <v>37.61</v>
      </c>
      <c r="J15" s="14" t="n">
        <v>351</v>
      </c>
      <c r="K15" s="14" t="n">
        <v>588</v>
      </c>
      <c r="L15" s="14" t="n">
        <v>737</v>
      </c>
      <c r="M15" s="14" t="n">
        <v>217</v>
      </c>
      <c r="N15" s="14" t="n">
        <v>33</v>
      </c>
      <c r="O15" s="14" t="n">
        <v>0</v>
      </c>
    </row>
    <row r="16" customFormat="false" ht="15" hidden="false" customHeight="true" outlineLevel="0" collapsed="false">
      <c r="A16" s="13" t="n">
        <v>2025</v>
      </c>
      <c r="B16" s="13" t="s">
        <v>356</v>
      </c>
      <c r="C16" s="13" t="s">
        <v>778</v>
      </c>
      <c r="D16" s="13" t="s">
        <v>367</v>
      </c>
      <c r="E16" s="14" t="s">
        <v>357</v>
      </c>
      <c r="F16" s="14" t="n">
        <v>220</v>
      </c>
      <c r="G16" s="14" t="n">
        <v>157</v>
      </c>
      <c r="H16" s="16" t="n">
        <v>71.36</v>
      </c>
      <c r="I16" s="16" t="n">
        <f aca="false">ROUND(G16/F16*100,2)</f>
        <v>71.36</v>
      </c>
      <c r="J16" s="14" t="n">
        <v>40</v>
      </c>
      <c r="K16" s="14" t="n">
        <v>62</v>
      </c>
      <c r="L16" s="14" t="n">
        <v>52</v>
      </c>
      <c r="M16" s="14" t="n">
        <v>3</v>
      </c>
      <c r="N16" s="14" t="n">
        <v>0</v>
      </c>
      <c r="O16" s="14" t="n">
        <v>0</v>
      </c>
    </row>
    <row r="17" customFormat="false" ht="15" hidden="false" customHeight="true" outlineLevel="0" collapsed="false">
      <c r="A17" s="13" t="n">
        <v>2025</v>
      </c>
      <c r="B17" s="13" t="s">
        <v>356</v>
      </c>
      <c r="C17" s="13" t="s">
        <v>778</v>
      </c>
      <c r="D17" s="13" t="s">
        <v>368</v>
      </c>
      <c r="E17" s="14" t="s">
        <v>357</v>
      </c>
      <c r="F17" s="14" t="n">
        <v>100</v>
      </c>
      <c r="G17" s="14" t="n">
        <v>69</v>
      </c>
      <c r="H17" s="16" t="n">
        <v>69</v>
      </c>
      <c r="I17" s="16" t="n">
        <f aca="false">ROUND(G17/F17*100,2)</f>
        <v>69</v>
      </c>
      <c r="J17" s="14" t="n">
        <v>8</v>
      </c>
      <c r="K17" s="14" t="n">
        <v>22</v>
      </c>
      <c r="L17" s="14" t="n">
        <v>17</v>
      </c>
      <c r="M17" s="14" t="n">
        <v>19</v>
      </c>
      <c r="N17" s="14" t="n">
        <v>3</v>
      </c>
      <c r="O17" s="14" t="n">
        <v>0</v>
      </c>
    </row>
    <row r="18" customFormat="false" ht="15" hidden="false" customHeight="true" outlineLevel="0" collapsed="false">
      <c r="A18" s="13" t="n">
        <v>2025</v>
      </c>
      <c r="B18" s="13" t="s">
        <v>356</v>
      </c>
      <c r="C18" s="13" t="s">
        <v>778</v>
      </c>
      <c r="D18" s="13" t="s">
        <v>369</v>
      </c>
      <c r="E18" s="14" t="s">
        <v>357</v>
      </c>
      <c r="F18" s="14" t="n">
        <v>12</v>
      </c>
      <c r="G18" s="14" t="n">
        <v>9</v>
      </c>
      <c r="H18" s="16" t="n">
        <v>75</v>
      </c>
      <c r="I18" s="16" t="n">
        <f aca="false">ROUND(G18/F18*100,2)</f>
        <v>75</v>
      </c>
      <c r="J18" s="14" t="n">
        <v>1</v>
      </c>
      <c r="K18" s="14" t="n">
        <v>5</v>
      </c>
      <c r="L18" s="14" t="n">
        <v>3</v>
      </c>
      <c r="M18" s="14" t="n">
        <v>0</v>
      </c>
      <c r="N18" s="14" t="n">
        <v>0</v>
      </c>
      <c r="O18" s="14" t="n">
        <v>0</v>
      </c>
    </row>
    <row r="19" customFormat="false" ht="15" hidden="false" customHeight="true" outlineLevel="0" collapsed="false">
      <c r="A19" s="13" t="n">
        <v>2025</v>
      </c>
      <c r="B19" s="13" t="s">
        <v>356</v>
      </c>
      <c r="C19" s="13" t="s">
        <v>778</v>
      </c>
      <c r="D19" s="13" t="s">
        <v>192</v>
      </c>
      <c r="E19" s="14" t="s">
        <v>652</v>
      </c>
      <c r="F19" s="14" t="n">
        <v>5453</v>
      </c>
      <c r="G19" s="14" t="n">
        <v>2161</v>
      </c>
      <c r="H19" s="16" t="n">
        <v>39.63</v>
      </c>
      <c r="I19" s="16" t="n">
        <f aca="false">ROUND(G19/F19*100,2)</f>
        <v>39.63</v>
      </c>
      <c r="J19" s="14" t="n">
        <v>400</v>
      </c>
      <c r="K19" s="14" t="n">
        <v>677</v>
      </c>
      <c r="L19" s="14" t="n">
        <v>809</v>
      </c>
      <c r="M19" s="14" t="n">
        <v>239</v>
      </c>
      <c r="N19" s="14" t="n">
        <v>36</v>
      </c>
      <c r="O19" s="14" t="n">
        <v>0</v>
      </c>
    </row>
    <row r="20" customFormat="false" ht="15" hidden="false" customHeight="true" outlineLevel="0" collapsed="false">
      <c r="A20" s="13" t="n">
        <v>2025</v>
      </c>
      <c r="B20" s="13" t="s">
        <v>356</v>
      </c>
      <c r="C20" s="13" t="s">
        <v>128</v>
      </c>
      <c r="D20" s="13" t="s">
        <v>366</v>
      </c>
      <c r="E20" s="14" t="s">
        <v>357</v>
      </c>
      <c r="F20" s="14" t="n">
        <v>695</v>
      </c>
      <c r="G20" s="14" t="n">
        <v>251</v>
      </c>
      <c r="H20" s="16" t="n">
        <v>36.12</v>
      </c>
      <c r="I20" s="16" t="n">
        <f aca="false">ROUND(G20/F20*100,2)</f>
        <v>36.12</v>
      </c>
      <c r="J20" s="14" t="n">
        <v>1</v>
      </c>
      <c r="K20" s="14" t="n">
        <v>10</v>
      </c>
      <c r="L20" s="14" t="n">
        <v>105</v>
      </c>
      <c r="M20" s="14" t="n">
        <v>115</v>
      </c>
      <c r="N20" s="14" t="n">
        <v>20</v>
      </c>
      <c r="O20" s="14" t="n">
        <v>0</v>
      </c>
    </row>
    <row r="21" customFormat="false" ht="15" hidden="false" customHeight="true" outlineLevel="0" collapsed="false">
      <c r="A21" s="13" t="n">
        <v>2025</v>
      </c>
      <c r="B21" s="13" t="s">
        <v>356</v>
      </c>
      <c r="C21" s="13" t="s">
        <v>128</v>
      </c>
      <c r="D21" s="13" t="s">
        <v>367</v>
      </c>
      <c r="E21" s="14" t="s">
        <v>357</v>
      </c>
      <c r="F21" s="14" t="n">
        <v>1365</v>
      </c>
      <c r="G21" s="14" t="n">
        <v>1021</v>
      </c>
      <c r="H21" s="16" t="n">
        <v>74.8</v>
      </c>
      <c r="I21" s="16" t="n">
        <f aca="false">ROUND(G21/F21*100,2)</f>
        <v>74.8</v>
      </c>
      <c r="J21" s="14" t="n">
        <v>31</v>
      </c>
      <c r="K21" s="14" t="n">
        <v>310</v>
      </c>
      <c r="L21" s="14" t="n">
        <v>479</v>
      </c>
      <c r="M21" s="14" t="n">
        <v>191</v>
      </c>
      <c r="N21" s="14" t="n">
        <v>10</v>
      </c>
      <c r="O21" s="14" t="n">
        <v>0</v>
      </c>
    </row>
    <row r="22" customFormat="false" ht="15" hidden="false" customHeight="true" outlineLevel="0" collapsed="false">
      <c r="A22" s="13" t="n">
        <v>2025</v>
      </c>
      <c r="B22" s="13" t="s">
        <v>356</v>
      </c>
      <c r="C22" s="13" t="s">
        <v>128</v>
      </c>
      <c r="D22" s="13" t="s">
        <v>368</v>
      </c>
      <c r="E22" s="14" t="s">
        <v>357</v>
      </c>
      <c r="F22" s="14" t="n">
        <v>1826</v>
      </c>
      <c r="G22" s="14" t="n">
        <v>764</v>
      </c>
      <c r="H22" s="16" t="n">
        <v>41.84</v>
      </c>
      <c r="I22" s="16" t="n">
        <f aca="false">ROUND(G22/F22*100,2)</f>
        <v>41.84</v>
      </c>
      <c r="J22" s="14" t="n">
        <v>2</v>
      </c>
      <c r="K22" s="14" t="n">
        <v>106</v>
      </c>
      <c r="L22" s="14" t="n">
        <v>254</v>
      </c>
      <c r="M22" s="14" t="n">
        <v>316</v>
      </c>
      <c r="N22" s="14" t="n">
        <v>84</v>
      </c>
      <c r="O22" s="14" t="n">
        <v>2</v>
      </c>
    </row>
    <row r="23" customFormat="false" ht="15" hidden="false" customHeight="true" outlineLevel="0" collapsed="false">
      <c r="A23" s="13" t="n">
        <v>2025</v>
      </c>
      <c r="B23" s="13" t="s">
        <v>356</v>
      </c>
      <c r="C23" s="13" t="s">
        <v>128</v>
      </c>
      <c r="D23" s="13" t="s">
        <v>369</v>
      </c>
      <c r="E23" s="14" t="s">
        <v>357</v>
      </c>
      <c r="F23" s="14" t="n">
        <v>944</v>
      </c>
      <c r="G23" s="14" t="n">
        <v>704</v>
      </c>
      <c r="H23" s="16" t="n">
        <v>74.58</v>
      </c>
      <c r="I23" s="16" t="n">
        <f aca="false">ROUND(G23/F23*100,2)</f>
        <v>74.58</v>
      </c>
      <c r="J23" s="14" t="n">
        <v>9</v>
      </c>
      <c r="K23" s="14" t="n">
        <v>229</v>
      </c>
      <c r="L23" s="14" t="n">
        <v>330</v>
      </c>
      <c r="M23" s="14" t="n">
        <v>122</v>
      </c>
      <c r="N23" s="14" t="n">
        <v>13</v>
      </c>
      <c r="O23" s="14" t="n">
        <v>1</v>
      </c>
    </row>
    <row r="24" customFormat="false" ht="15" hidden="false" customHeight="true" outlineLevel="0" collapsed="false">
      <c r="A24" s="13" t="n">
        <v>2025</v>
      </c>
      <c r="B24" s="13" t="s">
        <v>356</v>
      </c>
      <c r="C24" s="13" t="s">
        <v>128</v>
      </c>
      <c r="D24" s="13" t="s">
        <v>192</v>
      </c>
      <c r="E24" s="14" t="s">
        <v>652</v>
      </c>
      <c r="F24" s="14" t="n">
        <v>4830</v>
      </c>
      <c r="G24" s="14" t="n">
        <v>2740</v>
      </c>
      <c r="H24" s="16" t="n">
        <v>56.73</v>
      </c>
      <c r="I24" s="16" t="n">
        <f aca="false">ROUND(G24/F24*100,2)</f>
        <v>56.73</v>
      </c>
      <c r="J24" s="14" t="n">
        <v>43</v>
      </c>
      <c r="K24" s="14" t="n">
        <v>655</v>
      </c>
      <c r="L24" s="14" t="n">
        <v>1168</v>
      </c>
      <c r="M24" s="14" t="n">
        <v>744</v>
      </c>
      <c r="N24" s="14" t="n">
        <v>127</v>
      </c>
      <c r="O24" s="14" t="n">
        <v>3</v>
      </c>
    </row>
    <row r="25" customFormat="false" ht="15" hidden="false" customHeight="true" outlineLevel="0" collapsed="false">
      <c r="A25" s="13" t="n">
        <v>2025</v>
      </c>
      <c r="B25" s="13" t="s">
        <v>356</v>
      </c>
      <c r="C25" s="13" t="s">
        <v>130</v>
      </c>
      <c r="D25" s="13" t="s">
        <v>366</v>
      </c>
      <c r="E25" s="14" t="s">
        <v>357</v>
      </c>
      <c r="F25" s="14" t="n">
        <v>16</v>
      </c>
      <c r="G25" s="14" t="n">
        <v>13</v>
      </c>
      <c r="H25" s="16" t="n">
        <v>81.25</v>
      </c>
      <c r="I25" s="16" t="n">
        <f aca="false">ROUND(G25/F25*100,2)</f>
        <v>81.25</v>
      </c>
      <c r="J25" s="14" t="n">
        <v>0</v>
      </c>
      <c r="K25" s="14" t="n">
        <v>4</v>
      </c>
      <c r="L25" s="14" t="n">
        <v>8</v>
      </c>
      <c r="M25" s="14" t="n">
        <v>1</v>
      </c>
      <c r="N25" s="14" t="n">
        <v>0</v>
      </c>
      <c r="O25" s="14" t="n">
        <v>0</v>
      </c>
    </row>
    <row r="26" customFormat="false" ht="15" hidden="false" customHeight="true" outlineLevel="0" collapsed="false">
      <c r="A26" s="13" t="n">
        <v>2025</v>
      </c>
      <c r="B26" s="13" t="s">
        <v>356</v>
      </c>
      <c r="C26" s="13" t="s">
        <v>130</v>
      </c>
      <c r="D26" s="13" t="s">
        <v>367</v>
      </c>
      <c r="E26" s="14" t="s">
        <v>357</v>
      </c>
      <c r="F26" s="14" t="n">
        <v>6</v>
      </c>
      <c r="G26" s="14" t="n">
        <v>5</v>
      </c>
      <c r="H26" s="16" t="n">
        <v>83.33</v>
      </c>
      <c r="I26" s="16" t="n">
        <f aca="false">ROUND(G26/F26*100,2)</f>
        <v>83.33</v>
      </c>
      <c r="J26" s="14" t="n">
        <v>0</v>
      </c>
      <c r="K26" s="14" t="n">
        <v>1</v>
      </c>
      <c r="L26" s="14" t="n">
        <v>3</v>
      </c>
      <c r="M26" s="14" t="n">
        <v>1</v>
      </c>
      <c r="N26" s="14" t="n">
        <v>0</v>
      </c>
      <c r="O26" s="14" t="n">
        <v>0</v>
      </c>
    </row>
    <row r="27" customFormat="false" ht="15" hidden="false" customHeight="true" outlineLevel="0" collapsed="false">
      <c r="A27" s="13" t="n">
        <v>2025</v>
      </c>
      <c r="B27" s="13" t="s">
        <v>356</v>
      </c>
      <c r="C27" s="13" t="s">
        <v>130</v>
      </c>
      <c r="D27" s="13" t="s">
        <v>192</v>
      </c>
      <c r="E27" s="14" t="s">
        <v>652</v>
      </c>
      <c r="F27" s="14" t="n">
        <v>22</v>
      </c>
      <c r="G27" s="14" t="n">
        <v>18</v>
      </c>
      <c r="H27" s="16" t="n">
        <v>81.82</v>
      </c>
      <c r="I27" s="16" t="n">
        <f aca="false">ROUND(G27/F27*100,2)</f>
        <v>81.82</v>
      </c>
      <c r="J27" s="14" t="n">
        <v>0</v>
      </c>
      <c r="K27" s="14" t="n">
        <v>5</v>
      </c>
      <c r="L27" s="14" t="n">
        <v>11</v>
      </c>
      <c r="M27" s="14" t="n">
        <v>2</v>
      </c>
      <c r="N27" s="14" t="n">
        <v>0</v>
      </c>
      <c r="O27" s="14" t="n">
        <v>0</v>
      </c>
    </row>
    <row r="28" customFormat="false" ht="15" hidden="false" customHeight="true" outlineLevel="0" collapsed="false">
      <c r="A28" s="13" t="n">
        <v>2025</v>
      </c>
      <c r="B28" s="13" t="s">
        <v>356</v>
      </c>
      <c r="C28" s="13" t="s">
        <v>980</v>
      </c>
      <c r="D28" s="13" t="s">
        <v>1060</v>
      </c>
      <c r="E28" s="14" t="s">
        <v>137</v>
      </c>
      <c r="F28" s="14" t="n">
        <v>29496</v>
      </c>
      <c r="G28" s="14" t="n">
        <v>16808</v>
      </c>
      <c r="H28" s="16" t="n">
        <v>56.98</v>
      </c>
      <c r="I28" s="16" t="n">
        <f aca="false">ROUND(G28/F28*100,2)</f>
        <v>56.98</v>
      </c>
      <c r="J28" s="14" t="n">
        <v>3829</v>
      </c>
      <c r="K28" s="14" t="n">
        <v>5233</v>
      </c>
      <c r="L28" s="14" t="n">
        <v>5350</v>
      </c>
      <c r="M28" s="14" t="n">
        <v>2174</v>
      </c>
      <c r="N28" s="14" t="n">
        <v>218</v>
      </c>
      <c r="O28" s="14" t="n">
        <v>4</v>
      </c>
    </row>
    <row r="29" customFormat="false" ht="15" hidden="false" customHeight="true" outlineLevel="0" collapsed="false">
      <c r="A29" s="13" t="n">
        <v>2025</v>
      </c>
      <c r="B29" s="13" t="s">
        <v>349</v>
      </c>
      <c r="C29" s="13" t="s">
        <v>200</v>
      </c>
      <c r="D29" s="13" t="s">
        <v>366</v>
      </c>
      <c r="E29" s="14" t="s">
        <v>357</v>
      </c>
      <c r="F29" s="14" t="n">
        <v>12076</v>
      </c>
      <c r="G29" s="14" t="n">
        <v>2458</v>
      </c>
      <c r="H29" s="16" t="n">
        <v>20.35</v>
      </c>
      <c r="I29" s="16" t="n">
        <f aca="false">ROUND(G29/F29*100,2)</f>
        <v>20.35</v>
      </c>
      <c r="J29" s="14"/>
      <c r="K29" s="14"/>
      <c r="L29" s="14"/>
      <c r="M29" s="14"/>
      <c r="N29" s="14"/>
      <c r="O29" s="14"/>
    </row>
    <row r="30" customFormat="false" ht="15" hidden="false" customHeight="true" outlineLevel="0" collapsed="false">
      <c r="A30" s="13" t="n">
        <v>2025</v>
      </c>
      <c r="B30" s="13" t="s">
        <v>349</v>
      </c>
      <c r="C30" s="13" t="s">
        <v>200</v>
      </c>
      <c r="D30" s="13" t="s">
        <v>367</v>
      </c>
      <c r="E30" s="14" t="s">
        <v>357</v>
      </c>
      <c r="F30" s="14" t="n">
        <v>7109</v>
      </c>
      <c r="G30" s="14" t="n">
        <v>4573</v>
      </c>
      <c r="H30" s="16" t="n">
        <v>64.33</v>
      </c>
      <c r="I30" s="16" t="n">
        <f aca="false">ROUND(G30/F30*100,2)</f>
        <v>64.33</v>
      </c>
      <c r="J30" s="14"/>
      <c r="K30" s="14"/>
      <c r="L30" s="14"/>
      <c r="M30" s="14"/>
      <c r="N30" s="14"/>
      <c r="O30" s="14"/>
    </row>
    <row r="31" customFormat="false" ht="15" hidden="false" customHeight="true" outlineLevel="0" collapsed="false">
      <c r="A31" s="13" t="n">
        <v>2025</v>
      </c>
      <c r="B31" s="13" t="s">
        <v>349</v>
      </c>
      <c r="C31" s="13" t="s">
        <v>200</v>
      </c>
      <c r="D31" s="13" t="s">
        <v>192</v>
      </c>
      <c r="E31" s="14" t="s">
        <v>652</v>
      </c>
      <c r="F31" s="14" t="n">
        <v>19185</v>
      </c>
      <c r="G31" s="14" t="n">
        <v>7031</v>
      </c>
      <c r="H31" s="16" t="n">
        <v>36.65</v>
      </c>
      <c r="I31" s="16" t="n">
        <f aca="false">ROUND(G31/F31*100,2)</f>
        <v>36.65</v>
      </c>
      <c r="J31" s="14"/>
      <c r="K31" s="14"/>
      <c r="L31" s="14"/>
      <c r="M31" s="14"/>
      <c r="N31" s="14"/>
      <c r="O31" s="14"/>
    </row>
    <row r="32" customFormat="false" ht="15" hidden="false" customHeight="true" outlineLevel="0" collapsed="false">
      <c r="A32" s="13" t="n">
        <v>2025</v>
      </c>
      <c r="B32" s="13" t="s">
        <v>349</v>
      </c>
      <c r="C32" s="13" t="s">
        <v>201</v>
      </c>
      <c r="D32" s="13" t="s">
        <v>366</v>
      </c>
      <c r="E32" s="14" t="s">
        <v>357</v>
      </c>
      <c r="F32" s="14" t="n">
        <v>1885</v>
      </c>
      <c r="G32" s="14" t="n">
        <v>338</v>
      </c>
      <c r="H32" s="16" t="n">
        <v>17.93</v>
      </c>
      <c r="I32" s="16" t="n">
        <f aca="false">ROUND(G32/F32*100,2)</f>
        <v>17.93</v>
      </c>
      <c r="J32" s="14"/>
      <c r="K32" s="14"/>
      <c r="L32" s="14"/>
      <c r="M32" s="14"/>
      <c r="N32" s="14"/>
      <c r="O32" s="14"/>
    </row>
    <row r="33" customFormat="false" ht="15" hidden="false" customHeight="true" outlineLevel="0" collapsed="false">
      <c r="A33" s="13" t="n">
        <v>2025</v>
      </c>
      <c r="B33" s="13" t="s">
        <v>349</v>
      </c>
      <c r="C33" s="13" t="s">
        <v>201</v>
      </c>
      <c r="D33" s="13" t="s">
        <v>367</v>
      </c>
      <c r="E33" s="14" t="s">
        <v>357</v>
      </c>
      <c r="F33" s="14" t="n">
        <v>167</v>
      </c>
      <c r="G33" s="14" t="n">
        <v>98</v>
      </c>
      <c r="H33" s="16" t="n">
        <v>58.68</v>
      </c>
      <c r="I33" s="16" t="n">
        <f aca="false">ROUND(G33/F33*100,2)</f>
        <v>58.68</v>
      </c>
      <c r="J33" s="14"/>
      <c r="K33" s="14"/>
      <c r="L33" s="14"/>
      <c r="M33" s="14"/>
      <c r="N33" s="14"/>
      <c r="O33" s="14"/>
    </row>
    <row r="34" customFormat="false" ht="15" hidden="false" customHeight="true" outlineLevel="0" collapsed="false">
      <c r="A34" s="13" t="n">
        <v>2025</v>
      </c>
      <c r="B34" s="13" t="s">
        <v>349</v>
      </c>
      <c r="C34" s="13" t="s">
        <v>201</v>
      </c>
      <c r="D34" s="13" t="s">
        <v>192</v>
      </c>
      <c r="E34" s="14" t="s">
        <v>652</v>
      </c>
      <c r="F34" s="14" t="n">
        <v>2052</v>
      </c>
      <c r="G34" s="14" t="n">
        <v>436</v>
      </c>
      <c r="H34" s="16" t="n">
        <v>21.25</v>
      </c>
      <c r="I34" s="16" t="n">
        <f aca="false">ROUND(G34/F34*100,2)</f>
        <v>21.25</v>
      </c>
      <c r="J34" s="14"/>
      <c r="K34" s="14"/>
      <c r="L34" s="14"/>
      <c r="M34" s="14"/>
      <c r="N34" s="14"/>
      <c r="O34" s="14"/>
    </row>
    <row r="35" customFormat="false" ht="15" hidden="false" customHeight="true" outlineLevel="0" collapsed="false">
      <c r="A35" s="13" t="n">
        <v>2025</v>
      </c>
      <c r="B35" s="13" t="s">
        <v>349</v>
      </c>
      <c r="C35" s="13" t="s">
        <v>778</v>
      </c>
      <c r="D35" s="13" t="s">
        <v>366</v>
      </c>
      <c r="E35" s="14" t="s">
        <v>357</v>
      </c>
      <c r="F35" s="14" t="n">
        <v>7229</v>
      </c>
      <c r="G35" s="14" t="n">
        <v>1432</v>
      </c>
      <c r="H35" s="16" t="n">
        <v>19.81</v>
      </c>
      <c r="I35" s="16" t="n">
        <f aca="false">ROUND(G35/F35*100,2)</f>
        <v>19.81</v>
      </c>
      <c r="J35" s="14"/>
      <c r="K35" s="14"/>
      <c r="L35" s="14"/>
      <c r="M35" s="14"/>
      <c r="N35" s="14"/>
      <c r="O35" s="14"/>
    </row>
    <row r="36" customFormat="false" ht="15" hidden="false" customHeight="true" outlineLevel="0" collapsed="false">
      <c r="A36" s="13" t="n">
        <v>2025</v>
      </c>
      <c r="B36" s="13" t="s">
        <v>349</v>
      </c>
      <c r="C36" s="13" t="s">
        <v>778</v>
      </c>
      <c r="D36" s="13" t="s">
        <v>367</v>
      </c>
      <c r="E36" s="14" t="s">
        <v>357</v>
      </c>
      <c r="F36" s="14" t="n">
        <v>413</v>
      </c>
      <c r="G36" s="14" t="n">
        <v>259</v>
      </c>
      <c r="H36" s="16" t="n">
        <v>62.71</v>
      </c>
      <c r="I36" s="16" t="n">
        <f aca="false">ROUND(G36/F36*100,2)</f>
        <v>62.71</v>
      </c>
      <c r="J36" s="14"/>
      <c r="K36" s="14"/>
      <c r="L36" s="14"/>
      <c r="M36" s="14"/>
      <c r="N36" s="14"/>
      <c r="O36" s="14"/>
    </row>
    <row r="37" customFormat="false" ht="15" hidden="false" customHeight="true" outlineLevel="0" collapsed="false">
      <c r="A37" s="13" t="n">
        <v>2025</v>
      </c>
      <c r="B37" s="13" t="s">
        <v>349</v>
      </c>
      <c r="C37" s="13" t="s">
        <v>778</v>
      </c>
      <c r="D37" s="13" t="s">
        <v>192</v>
      </c>
      <c r="E37" s="14" t="s">
        <v>652</v>
      </c>
      <c r="F37" s="14" t="n">
        <v>7642</v>
      </c>
      <c r="G37" s="14" t="n">
        <v>1691</v>
      </c>
      <c r="H37" s="16" t="n">
        <v>22.13</v>
      </c>
      <c r="I37" s="16" t="n">
        <f aca="false">ROUND(G37/F37*100,2)</f>
        <v>22.13</v>
      </c>
      <c r="J37" s="14"/>
      <c r="K37" s="14"/>
      <c r="L37" s="14"/>
      <c r="M37" s="14"/>
      <c r="N37" s="14"/>
      <c r="O37" s="14"/>
    </row>
    <row r="38" customFormat="false" ht="15" hidden="false" customHeight="true" outlineLevel="0" collapsed="false">
      <c r="A38" s="13" t="n">
        <v>2025</v>
      </c>
      <c r="B38" s="13" t="s">
        <v>349</v>
      </c>
      <c r="C38" s="13" t="s">
        <v>128</v>
      </c>
      <c r="D38" s="13" t="s">
        <v>366</v>
      </c>
      <c r="E38" s="14" t="s">
        <v>357</v>
      </c>
      <c r="F38" s="14" t="n">
        <v>774</v>
      </c>
      <c r="G38" s="14" t="n">
        <v>94</v>
      </c>
      <c r="H38" s="16" t="n">
        <v>12.14</v>
      </c>
      <c r="I38" s="16" t="n">
        <f aca="false">ROUND(G38/F38*100,2)</f>
        <v>12.14</v>
      </c>
      <c r="J38" s="14"/>
      <c r="K38" s="14"/>
      <c r="L38" s="14"/>
      <c r="M38" s="14"/>
      <c r="N38" s="14"/>
      <c r="O38" s="14"/>
    </row>
    <row r="39" customFormat="false" ht="15" hidden="false" customHeight="true" outlineLevel="0" collapsed="false">
      <c r="A39" s="13" t="n">
        <v>2025</v>
      </c>
      <c r="B39" s="13" t="s">
        <v>349</v>
      </c>
      <c r="C39" s="13" t="s">
        <v>128</v>
      </c>
      <c r="D39" s="13" t="s">
        <v>367</v>
      </c>
      <c r="E39" s="14" t="s">
        <v>357</v>
      </c>
      <c r="F39" s="14" t="n">
        <v>1651</v>
      </c>
      <c r="G39" s="14" t="n">
        <v>912</v>
      </c>
      <c r="H39" s="16" t="n">
        <v>55.24</v>
      </c>
      <c r="I39" s="16" t="n">
        <f aca="false">ROUND(G39/F39*100,2)</f>
        <v>55.24</v>
      </c>
      <c r="J39" s="14"/>
      <c r="K39" s="14"/>
      <c r="L39" s="14"/>
      <c r="M39" s="14"/>
      <c r="N39" s="14"/>
      <c r="O39" s="14"/>
    </row>
    <row r="40" customFormat="false" ht="15" hidden="false" customHeight="true" outlineLevel="0" collapsed="false">
      <c r="A40" s="13" t="n">
        <v>2025</v>
      </c>
      <c r="B40" s="13" t="s">
        <v>349</v>
      </c>
      <c r="C40" s="13" t="s">
        <v>128</v>
      </c>
      <c r="D40" s="13" t="s">
        <v>368</v>
      </c>
      <c r="E40" s="14" t="s">
        <v>357</v>
      </c>
      <c r="F40" s="14" t="n">
        <v>1913</v>
      </c>
      <c r="G40" s="14" t="n">
        <v>315</v>
      </c>
      <c r="H40" s="16" t="n">
        <v>16.47</v>
      </c>
      <c r="I40" s="16" t="n">
        <f aca="false">ROUND(G40/F40*100,2)</f>
        <v>16.47</v>
      </c>
      <c r="J40" s="14"/>
      <c r="K40" s="14"/>
      <c r="L40" s="14"/>
      <c r="M40" s="14"/>
      <c r="N40" s="14"/>
      <c r="O40" s="14"/>
    </row>
    <row r="41" customFormat="false" ht="15" hidden="false" customHeight="true" outlineLevel="0" collapsed="false">
      <c r="A41" s="13" t="n">
        <v>2025</v>
      </c>
      <c r="B41" s="13" t="s">
        <v>349</v>
      </c>
      <c r="C41" s="13" t="s">
        <v>128</v>
      </c>
      <c r="D41" s="13" t="s">
        <v>369</v>
      </c>
      <c r="E41" s="14" t="s">
        <v>357</v>
      </c>
      <c r="F41" s="14" t="n">
        <v>756</v>
      </c>
      <c r="G41" s="14" t="n">
        <v>399</v>
      </c>
      <c r="H41" s="16" t="n">
        <v>52.78</v>
      </c>
      <c r="I41" s="16" t="n">
        <f aca="false">ROUND(G41/F41*100,2)</f>
        <v>52.78</v>
      </c>
      <c r="J41" s="14"/>
      <c r="K41" s="14"/>
      <c r="L41" s="14"/>
      <c r="M41" s="14"/>
      <c r="N41" s="14"/>
      <c r="O41" s="14"/>
    </row>
    <row r="42" customFormat="false" ht="15" hidden="false" customHeight="true" outlineLevel="0" collapsed="false">
      <c r="A42" s="13" t="n">
        <v>2025</v>
      </c>
      <c r="B42" s="13" t="s">
        <v>349</v>
      </c>
      <c r="C42" s="13" t="s">
        <v>128</v>
      </c>
      <c r="D42" s="13" t="s">
        <v>192</v>
      </c>
      <c r="E42" s="14" t="s">
        <v>652</v>
      </c>
      <c r="F42" s="14" t="n">
        <v>5094</v>
      </c>
      <c r="G42" s="14" t="n">
        <v>1720</v>
      </c>
      <c r="H42" s="16" t="n">
        <v>33.77</v>
      </c>
      <c r="I42" s="16" t="n">
        <f aca="false">ROUND(G42/F42*100,2)</f>
        <v>33.77</v>
      </c>
      <c r="J42" s="14"/>
      <c r="K42" s="14"/>
      <c r="L42" s="14"/>
      <c r="M42" s="14"/>
      <c r="N42" s="14"/>
      <c r="O42" s="14"/>
    </row>
    <row r="43" customFormat="false" ht="15" hidden="false" customHeight="true" outlineLevel="0" collapsed="false">
      <c r="A43" s="13" t="n">
        <v>2025</v>
      </c>
      <c r="B43" s="13" t="s">
        <v>349</v>
      </c>
      <c r="C43" s="13" t="s">
        <v>130</v>
      </c>
      <c r="D43" s="13" t="s">
        <v>367</v>
      </c>
      <c r="E43" s="14" t="s">
        <v>357</v>
      </c>
      <c r="F43" s="14" t="n">
        <v>39</v>
      </c>
      <c r="G43" s="14" t="n">
        <v>21</v>
      </c>
      <c r="H43" s="16" t="n">
        <v>53.85</v>
      </c>
      <c r="I43" s="16" t="n">
        <f aca="false">ROUND(G43/F43*100,2)</f>
        <v>53.85</v>
      </c>
      <c r="J43" s="14"/>
      <c r="K43" s="14"/>
      <c r="L43" s="14"/>
      <c r="M43" s="14"/>
      <c r="N43" s="14"/>
      <c r="O43" s="14"/>
    </row>
    <row r="44" customFormat="false" ht="15" hidden="false" customHeight="true" outlineLevel="0" collapsed="false">
      <c r="A44" s="13" t="n">
        <v>2025</v>
      </c>
      <c r="B44" s="13" t="s">
        <v>349</v>
      </c>
      <c r="C44" s="13" t="s">
        <v>980</v>
      </c>
      <c r="D44" s="13" t="s">
        <v>1061</v>
      </c>
      <c r="E44" s="14" t="s">
        <v>137</v>
      </c>
      <c r="F44" s="14" t="n">
        <v>34012</v>
      </c>
      <c r="G44" s="14" t="n">
        <v>10899</v>
      </c>
      <c r="H44" s="16" t="n">
        <v>32.04</v>
      </c>
      <c r="I44" s="16" t="n">
        <f aca="false">ROUND(G44/F44*100,2)</f>
        <v>32.04</v>
      </c>
      <c r="J44" s="14"/>
      <c r="K44" s="14"/>
      <c r="L44" s="14"/>
      <c r="M44" s="14"/>
      <c r="N44" s="14"/>
      <c r="O44" s="14"/>
    </row>
    <row r="45" customFormat="false" ht="15" hidden="false" customHeight="true" outlineLevel="0" collapsed="false">
      <c r="A45" s="13" t="n">
        <v>2026</v>
      </c>
      <c r="B45" s="13" t="s">
        <v>356</v>
      </c>
      <c r="C45" s="13" t="s">
        <v>200</v>
      </c>
      <c r="D45" s="13" t="s">
        <v>366</v>
      </c>
      <c r="E45" s="14" t="s">
        <v>357</v>
      </c>
      <c r="F45" s="14" t="n">
        <v>8866</v>
      </c>
      <c r="G45" s="14" t="n">
        <v>1790</v>
      </c>
      <c r="H45" s="16" t="n">
        <v>20.19</v>
      </c>
      <c r="I45" s="16" t="n">
        <f aca="false">ROUND(G45/F45*100,2)</f>
        <v>20.19</v>
      </c>
      <c r="J45" s="14" t="n">
        <v>238</v>
      </c>
      <c r="K45" s="14" t="n">
        <v>328</v>
      </c>
      <c r="L45" s="14" t="n">
        <v>610</v>
      </c>
      <c r="M45" s="14" t="n">
        <v>545</v>
      </c>
      <c r="N45" s="14" t="n">
        <v>67</v>
      </c>
      <c r="O45" s="14" t="n">
        <v>2</v>
      </c>
    </row>
    <row r="46" customFormat="false" ht="15" hidden="false" customHeight="true" outlineLevel="0" collapsed="false">
      <c r="A46" s="13" t="n">
        <v>2026</v>
      </c>
      <c r="B46" s="13" t="s">
        <v>356</v>
      </c>
      <c r="C46" s="13" t="s">
        <v>200</v>
      </c>
      <c r="D46" s="13" t="s">
        <v>367</v>
      </c>
      <c r="E46" s="14" t="s">
        <v>357</v>
      </c>
      <c r="F46" s="14" t="n">
        <v>6678</v>
      </c>
      <c r="G46" s="14" t="n">
        <v>2937</v>
      </c>
      <c r="H46" s="16" t="n">
        <v>43.98</v>
      </c>
      <c r="I46" s="16" t="n">
        <f aca="false">ROUND(G46/F46*100,2)</f>
        <v>43.98</v>
      </c>
      <c r="J46" s="14" t="n">
        <v>571</v>
      </c>
      <c r="K46" s="14" t="n">
        <v>1029</v>
      </c>
      <c r="L46" s="14" t="n">
        <v>1134</v>
      </c>
      <c r="M46" s="14" t="n">
        <v>198</v>
      </c>
      <c r="N46" s="14" t="n">
        <v>5</v>
      </c>
      <c r="O46" s="14" t="n">
        <v>0</v>
      </c>
    </row>
    <row r="47" customFormat="false" ht="15" hidden="false" customHeight="true" outlineLevel="0" collapsed="false">
      <c r="A47" s="13" t="n">
        <v>2026</v>
      </c>
      <c r="B47" s="13" t="s">
        <v>356</v>
      </c>
      <c r="C47" s="13" t="s">
        <v>200</v>
      </c>
      <c r="D47" s="13" t="s">
        <v>368</v>
      </c>
      <c r="E47" s="14" t="s">
        <v>357</v>
      </c>
      <c r="F47" s="14" t="n">
        <v>2168</v>
      </c>
      <c r="G47" s="14" t="n">
        <v>1149</v>
      </c>
      <c r="H47" s="16" t="n">
        <v>53</v>
      </c>
      <c r="I47" s="16" t="n">
        <f aca="false">ROUND(G47/F47*100,2)</f>
        <v>53</v>
      </c>
      <c r="J47" s="14" t="n">
        <v>334</v>
      </c>
      <c r="K47" s="14" t="n">
        <v>198</v>
      </c>
      <c r="L47" s="14" t="n">
        <v>337</v>
      </c>
      <c r="M47" s="14" t="n">
        <v>265</v>
      </c>
      <c r="N47" s="14" t="n">
        <v>15</v>
      </c>
      <c r="O47" s="14" t="n">
        <v>0</v>
      </c>
    </row>
    <row r="48" customFormat="false" ht="15" hidden="false" customHeight="true" outlineLevel="0" collapsed="false">
      <c r="A48" s="13" t="n">
        <v>2026</v>
      </c>
      <c r="B48" s="13" t="s">
        <v>356</v>
      </c>
      <c r="C48" s="13" t="s">
        <v>200</v>
      </c>
      <c r="D48" s="13" t="s">
        <v>369</v>
      </c>
      <c r="E48" s="14" t="s">
        <v>357</v>
      </c>
      <c r="F48" s="14" t="n">
        <v>733</v>
      </c>
      <c r="G48" s="14" t="n">
        <v>593</v>
      </c>
      <c r="H48" s="16" t="n">
        <v>80.9</v>
      </c>
      <c r="I48" s="16" t="n">
        <f aca="false">ROUND(G48/F48*100,2)</f>
        <v>80.9</v>
      </c>
      <c r="J48" s="14" t="n">
        <v>452</v>
      </c>
      <c r="K48" s="14" t="n">
        <v>68</v>
      </c>
      <c r="L48" s="14" t="n">
        <v>47</v>
      </c>
      <c r="M48" s="14" t="n">
        <v>24</v>
      </c>
      <c r="N48" s="14" t="n">
        <v>2</v>
      </c>
      <c r="O48" s="14" t="n">
        <v>0</v>
      </c>
    </row>
    <row r="49" customFormat="false" ht="15" hidden="false" customHeight="true" outlineLevel="0" collapsed="false">
      <c r="A49" s="13" t="n">
        <v>2026</v>
      </c>
      <c r="B49" s="13" t="s">
        <v>356</v>
      </c>
      <c r="C49" s="13" t="s">
        <v>200</v>
      </c>
      <c r="D49" s="13" t="s">
        <v>192</v>
      </c>
      <c r="E49" s="14" t="s">
        <v>652</v>
      </c>
      <c r="F49" s="14" t="n">
        <v>18446</v>
      </c>
      <c r="G49" s="14" t="n">
        <v>6469</v>
      </c>
      <c r="H49" s="16" t="n">
        <v>35.07</v>
      </c>
      <c r="I49" s="16" t="n">
        <f aca="false">ROUND(G49/F49*100,2)</f>
        <v>35.07</v>
      </c>
      <c r="J49" s="14" t="n">
        <v>1595</v>
      </c>
      <c r="K49" s="14" t="n">
        <v>1623</v>
      </c>
      <c r="L49" s="14" t="n">
        <v>2128</v>
      </c>
      <c r="M49" s="14" t="n">
        <v>1032</v>
      </c>
      <c r="N49" s="14" t="n">
        <v>89</v>
      </c>
      <c r="O49" s="14" t="n">
        <v>2</v>
      </c>
    </row>
    <row r="50" customFormat="false" ht="15" hidden="false" customHeight="true" outlineLevel="0" collapsed="false">
      <c r="A50" s="13" t="n">
        <v>2026</v>
      </c>
      <c r="B50" s="13" t="s">
        <v>356</v>
      </c>
      <c r="C50" s="13" t="s">
        <v>201</v>
      </c>
      <c r="D50" s="13" t="s">
        <v>366</v>
      </c>
      <c r="E50" s="14" t="s">
        <v>357</v>
      </c>
      <c r="F50" s="14" t="n">
        <v>1378</v>
      </c>
      <c r="G50" s="14" t="n">
        <v>299</v>
      </c>
      <c r="H50" s="16" t="n">
        <v>21.7</v>
      </c>
      <c r="I50" s="16" t="n">
        <f aca="false">ROUND(G50/F50*100,2)</f>
        <v>21.7</v>
      </c>
      <c r="J50" s="14" t="n">
        <v>67</v>
      </c>
      <c r="K50" s="14" t="n">
        <v>35</v>
      </c>
      <c r="L50" s="14" t="n">
        <v>98</v>
      </c>
      <c r="M50" s="14" t="n">
        <v>84</v>
      </c>
      <c r="N50" s="14" t="n">
        <v>15</v>
      </c>
      <c r="O50" s="14" t="n">
        <v>0</v>
      </c>
    </row>
    <row r="51" customFormat="false" ht="15" hidden="false" customHeight="true" outlineLevel="0" collapsed="false">
      <c r="A51" s="13" t="n">
        <v>2026</v>
      </c>
      <c r="B51" s="13" t="s">
        <v>356</v>
      </c>
      <c r="C51" s="13" t="s">
        <v>201</v>
      </c>
      <c r="D51" s="13" t="s">
        <v>367</v>
      </c>
      <c r="E51" s="14" t="s">
        <v>357</v>
      </c>
      <c r="F51" s="14" t="n">
        <v>149</v>
      </c>
      <c r="G51" s="14" t="n">
        <v>80</v>
      </c>
      <c r="H51" s="16" t="n">
        <v>53.69</v>
      </c>
      <c r="I51" s="16" t="n">
        <f aca="false">ROUND(G51/F51*100,2)</f>
        <v>53.69</v>
      </c>
      <c r="J51" s="14" t="n">
        <v>18</v>
      </c>
      <c r="K51" s="14" t="n">
        <v>47</v>
      </c>
      <c r="L51" s="14" t="n">
        <v>12</v>
      </c>
      <c r="M51" s="14" t="n">
        <v>3</v>
      </c>
      <c r="N51" s="14" t="n">
        <v>0</v>
      </c>
      <c r="O51" s="14" t="n">
        <v>0</v>
      </c>
    </row>
    <row r="52" customFormat="false" ht="15" hidden="false" customHeight="true" outlineLevel="0" collapsed="false">
      <c r="A52" s="13" t="n">
        <v>2026</v>
      </c>
      <c r="B52" s="13" t="s">
        <v>356</v>
      </c>
      <c r="C52" s="13" t="s">
        <v>201</v>
      </c>
      <c r="D52" s="13" t="s">
        <v>368</v>
      </c>
      <c r="E52" s="14" t="s">
        <v>357</v>
      </c>
      <c r="F52" s="14" t="n">
        <v>445</v>
      </c>
      <c r="G52" s="14" t="n">
        <v>146</v>
      </c>
      <c r="H52" s="16" t="n">
        <v>32.81</v>
      </c>
      <c r="I52" s="16" t="n">
        <f aca="false">ROUND(G52/F52*100,2)</f>
        <v>32.81</v>
      </c>
      <c r="J52" s="14" t="n">
        <v>5</v>
      </c>
      <c r="K52" s="14" t="n">
        <v>35</v>
      </c>
      <c r="L52" s="14" t="n">
        <v>71</v>
      </c>
      <c r="M52" s="14" t="n">
        <v>30</v>
      </c>
      <c r="N52" s="14" t="n">
        <v>5</v>
      </c>
      <c r="O52" s="14" t="n">
        <v>0</v>
      </c>
    </row>
    <row r="53" customFormat="false" ht="15" hidden="false" customHeight="true" outlineLevel="0" collapsed="false">
      <c r="A53" s="13" t="n">
        <v>2026</v>
      </c>
      <c r="B53" s="13" t="s">
        <v>356</v>
      </c>
      <c r="C53" s="13" t="s">
        <v>201</v>
      </c>
      <c r="D53" s="13" t="s">
        <v>369</v>
      </c>
      <c r="E53" s="14" t="s">
        <v>357</v>
      </c>
      <c r="F53" s="14" t="n">
        <v>24</v>
      </c>
      <c r="G53" s="14" t="n">
        <v>6</v>
      </c>
      <c r="H53" s="16" t="n">
        <v>25</v>
      </c>
      <c r="I53" s="16" t="n">
        <f aca="false">ROUND(G53/F53*100,2)</f>
        <v>25</v>
      </c>
      <c r="J53" s="14" t="n">
        <v>0</v>
      </c>
      <c r="K53" s="14" t="n">
        <v>3</v>
      </c>
      <c r="L53" s="14" t="n">
        <v>2</v>
      </c>
      <c r="M53" s="14" t="n">
        <v>1</v>
      </c>
      <c r="N53" s="14" t="n">
        <v>0</v>
      </c>
      <c r="O53" s="14" t="n">
        <v>0</v>
      </c>
    </row>
    <row r="54" customFormat="false" ht="15" hidden="false" customHeight="true" outlineLevel="0" collapsed="false">
      <c r="A54" s="13" t="n">
        <v>2026</v>
      </c>
      <c r="B54" s="13" t="s">
        <v>356</v>
      </c>
      <c r="C54" s="13" t="s">
        <v>201</v>
      </c>
      <c r="D54" s="13" t="s">
        <v>192</v>
      </c>
      <c r="E54" s="14" t="s">
        <v>652</v>
      </c>
      <c r="F54" s="14" t="n">
        <v>1996</v>
      </c>
      <c r="G54" s="14" t="n">
        <v>531</v>
      </c>
      <c r="H54" s="16" t="n">
        <v>26.6</v>
      </c>
      <c r="I54" s="16" t="n">
        <f aca="false">ROUND(G54/F54*100,2)</f>
        <v>26.6</v>
      </c>
      <c r="J54" s="14" t="n">
        <v>90</v>
      </c>
      <c r="K54" s="14" t="n">
        <v>120</v>
      </c>
      <c r="L54" s="14" t="n">
        <v>183</v>
      </c>
      <c r="M54" s="14" t="n">
        <v>118</v>
      </c>
      <c r="N54" s="14" t="n">
        <v>20</v>
      </c>
      <c r="O54" s="14" t="n">
        <v>0</v>
      </c>
    </row>
    <row r="55" customFormat="false" ht="15" hidden="false" customHeight="true" outlineLevel="0" collapsed="false">
      <c r="A55" s="13" t="n">
        <v>2026</v>
      </c>
      <c r="B55" s="13" t="s">
        <v>356</v>
      </c>
      <c r="C55" s="13" t="s">
        <v>778</v>
      </c>
      <c r="D55" s="13" t="s">
        <v>366</v>
      </c>
      <c r="E55" s="14" t="s">
        <v>357</v>
      </c>
      <c r="F55" s="14" t="n">
        <v>5442</v>
      </c>
      <c r="G55" s="14" t="n">
        <v>656</v>
      </c>
      <c r="H55" s="16" t="n">
        <v>12.05</v>
      </c>
      <c r="I55" s="16" t="n">
        <f aca="false">ROUND(G55/F55*100,2)</f>
        <v>12.05</v>
      </c>
      <c r="J55" s="14" t="n">
        <v>93</v>
      </c>
      <c r="K55" s="14" t="n">
        <v>106</v>
      </c>
      <c r="L55" s="14" t="n">
        <v>196</v>
      </c>
      <c r="M55" s="14" t="n">
        <v>229</v>
      </c>
      <c r="N55" s="14" t="n">
        <v>32</v>
      </c>
      <c r="O55" s="14" t="n">
        <v>0</v>
      </c>
    </row>
    <row r="56" customFormat="false" ht="15" hidden="false" customHeight="true" outlineLevel="0" collapsed="false">
      <c r="A56" s="13" t="n">
        <v>2026</v>
      </c>
      <c r="B56" s="13" t="s">
        <v>356</v>
      </c>
      <c r="C56" s="13" t="s">
        <v>778</v>
      </c>
      <c r="D56" s="13" t="s">
        <v>367</v>
      </c>
      <c r="E56" s="14" t="s">
        <v>357</v>
      </c>
      <c r="F56" s="14" t="n">
        <v>394</v>
      </c>
      <c r="G56" s="14" t="n">
        <v>186</v>
      </c>
      <c r="H56" s="16" t="n">
        <v>47.21</v>
      </c>
      <c r="I56" s="16" t="n">
        <f aca="false">ROUND(G56/F56*100,2)</f>
        <v>47.21</v>
      </c>
      <c r="J56" s="14" t="n">
        <v>39</v>
      </c>
      <c r="K56" s="14" t="n">
        <v>78</v>
      </c>
      <c r="L56" s="14" t="n">
        <v>55</v>
      </c>
      <c r="M56" s="14" t="n">
        <v>14</v>
      </c>
      <c r="N56" s="14" t="n">
        <v>0</v>
      </c>
      <c r="O56" s="14" t="n">
        <v>0</v>
      </c>
    </row>
    <row r="57" customFormat="false" ht="15" hidden="false" customHeight="true" outlineLevel="0" collapsed="false">
      <c r="A57" s="13" t="n">
        <v>2026</v>
      </c>
      <c r="B57" s="13" t="s">
        <v>356</v>
      </c>
      <c r="C57" s="13" t="s">
        <v>778</v>
      </c>
      <c r="D57" s="13" t="s">
        <v>368</v>
      </c>
      <c r="E57" s="14" t="s">
        <v>357</v>
      </c>
      <c r="F57" s="14" t="n">
        <v>1200</v>
      </c>
      <c r="G57" s="14" t="n">
        <v>402</v>
      </c>
      <c r="H57" s="16" t="n">
        <v>33.5</v>
      </c>
      <c r="I57" s="16" t="n">
        <f aca="false">ROUND(G57/F57*100,2)</f>
        <v>33.5</v>
      </c>
      <c r="J57" s="14" t="n">
        <v>20</v>
      </c>
      <c r="K57" s="14" t="n">
        <v>88</v>
      </c>
      <c r="L57" s="14" t="n">
        <v>193</v>
      </c>
      <c r="M57" s="14" t="n">
        <v>95</v>
      </c>
      <c r="N57" s="14" t="n">
        <v>6</v>
      </c>
      <c r="O57" s="14" t="n">
        <v>0</v>
      </c>
    </row>
    <row r="58" customFormat="false" ht="15" hidden="false" customHeight="true" outlineLevel="0" collapsed="false">
      <c r="A58" s="13" t="n">
        <v>2026</v>
      </c>
      <c r="B58" s="13" t="s">
        <v>356</v>
      </c>
      <c r="C58" s="13" t="s">
        <v>778</v>
      </c>
      <c r="D58" s="13" t="s">
        <v>369</v>
      </c>
      <c r="E58" s="14" t="s">
        <v>357</v>
      </c>
      <c r="F58" s="14" t="n">
        <v>16</v>
      </c>
      <c r="G58" s="14" t="n">
        <v>7</v>
      </c>
      <c r="H58" s="16" t="n">
        <v>43.75</v>
      </c>
      <c r="I58" s="16" t="n">
        <f aca="false">ROUND(G58/F58*100,2)</f>
        <v>43.75</v>
      </c>
      <c r="J58" s="14" t="n">
        <v>0</v>
      </c>
      <c r="K58" s="14" t="n">
        <v>1</v>
      </c>
      <c r="L58" s="14" t="n">
        <v>4</v>
      </c>
      <c r="M58" s="14" t="n">
        <v>2</v>
      </c>
      <c r="N58" s="14" t="n">
        <v>0</v>
      </c>
      <c r="O58" s="14" t="n">
        <v>0</v>
      </c>
    </row>
    <row r="59" customFormat="false" ht="15" hidden="false" customHeight="true" outlineLevel="0" collapsed="false">
      <c r="A59" s="13" t="n">
        <v>2026</v>
      </c>
      <c r="B59" s="13" t="s">
        <v>356</v>
      </c>
      <c r="C59" s="13" t="s">
        <v>778</v>
      </c>
      <c r="D59" s="13" t="s">
        <v>192</v>
      </c>
      <c r="E59" s="14" t="s">
        <v>652</v>
      </c>
      <c r="F59" s="14" t="n">
        <v>7053</v>
      </c>
      <c r="G59" s="14" t="n">
        <v>1251</v>
      </c>
      <c r="H59" s="16" t="n">
        <v>17.74</v>
      </c>
      <c r="I59" s="16" t="n">
        <f aca="false">ROUND(G59/F59*100,2)</f>
        <v>17.74</v>
      </c>
      <c r="J59" s="14" t="n">
        <v>152</v>
      </c>
      <c r="K59" s="14" t="n">
        <v>273</v>
      </c>
      <c r="L59" s="14" t="n">
        <v>448</v>
      </c>
      <c r="M59" s="14" t="n">
        <v>340</v>
      </c>
      <c r="N59" s="14" t="n">
        <v>38</v>
      </c>
      <c r="O59" s="14" t="n">
        <v>0</v>
      </c>
    </row>
    <row r="60" customFormat="false" ht="15" hidden="false" customHeight="true" outlineLevel="0" collapsed="false">
      <c r="A60" s="13" t="n">
        <v>2026</v>
      </c>
      <c r="B60" s="13" t="s">
        <v>356</v>
      </c>
      <c r="C60" s="13" t="s">
        <v>128</v>
      </c>
      <c r="D60" s="13" t="s">
        <v>366</v>
      </c>
      <c r="E60" s="14" t="s">
        <v>357</v>
      </c>
      <c r="F60" s="14" t="n">
        <v>461</v>
      </c>
      <c r="G60" s="14" t="n">
        <v>37</v>
      </c>
      <c r="H60" s="16" t="n">
        <v>8.03</v>
      </c>
      <c r="I60" s="16" t="n">
        <f aca="false">ROUND(G60/F60*100,2)</f>
        <v>8.03</v>
      </c>
      <c r="J60" s="14" t="n">
        <v>0</v>
      </c>
      <c r="K60" s="14" t="n">
        <v>0</v>
      </c>
      <c r="L60" s="14" t="n">
        <v>9</v>
      </c>
      <c r="M60" s="14" t="n">
        <v>19</v>
      </c>
      <c r="N60" s="14" t="n">
        <v>9</v>
      </c>
      <c r="O60" s="14" t="n">
        <v>0</v>
      </c>
    </row>
    <row r="61" customFormat="false" ht="15" hidden="false" customHeight="true" outlineLevel="0" collapsed="false">
      <c r="A61" s="13" t="n">
        <v>2026</v>
      </c>
      <c r="B61" s="13" t="s">
        <v>356</v>
      </c>
      <c r="C61" s="13" t="s">
        <v>128</v>
      </c>
      <c r="D61" s="13" t="s">
        <v>367</v>
      </c>
      <c r="E61" s="14" t="s">
        <v>357</v>
      </c>
      <c r="F61" s="14" t="n">
        <v>1551</v>
      </c>
      <c r="G61" s="14" t="n">
        <v>851</v>
      </c>
      <c r="H61" s="16" t="n">
        <v>54.87</v>
      </c>
      <c r="I61" s="16" t="n">
        <f aca="false">ROUND(G61/F61*100,2)</f>
        <v>54.87</v>
      </c>
      <c r="J61" s="14" t="n">
        <v>13</v>
      </c>
      <c r="K61" s="14" t="n">
        <v>167</v>
      </c>
      <c r="L61" s="14" t="n">
        <v>390</v>
      </c>
      <c r="M61" s="14" t="n">
        <v>263</v>
      </c>
      <c r="N61" s="14" t="n">
        <v>18</v>
      </c>
      <c r="O61" s="14" t="n">
        <v>0</v>
      </c>
    </row>
    <row r="62" customFormat="false" ht="15" hidden="false" customHeight="true" outlineLevel="0" collapsed="false">
      <c r="A62" s="13" t="n">
        <v>2026</v>
      </c>
      <c r="B62" s="13" t="s">
        <v>356</v>
      </c>
      <c r="C62" s="13" t="s">
        <v>128</v>
      </c>
      <c r="D62" s="13" t="s">
        <v>368</v>
      </c>
      <c r="E62" s="14" t="s">
        <v>357</v>
      </c>
      <c r="F62" s="14" t="n">
        <v>1194</v>
      </c>
      <c r="G62" s="14" t="n">
        <v>266</v>
      </c>
      <c r="H62" s="16" t="n">
        <v>22.28</v>
      </c>
      <c r="I62" s="16" t="n">
        <f aca="false">ROUND(G62/F62*100,2)</f>
        <v>22.28</v>
      </c>
      <c r="J62" s="14" t="n">
        <v>1</v>
      </c>
      <c r="K62" s="14" t="n">
        <v>16</v>
      </c>
      <c r="L62" s="14" t="n">
        <v>71</v>
      </c>
      <c r="M62" s="14" t="n">
        <v>132</v>
      </c>
      <c r="N62" s="14" t="n">
        <v>45</v>
      </c>
      <c r="O62" s="14" t="n">
        <v>1</v>
      </c>
    </row>
    <row r="63" customFormat="false" ht="15" hidden="false" customHeight="true" outlineLevel="0" collapsed="false">
      <c r="A63" s="13" t="n">
        <v>2026</v>
      </c>
      <c r="B63" s="13" t="s">
        <v>356</v>
      </c>
      <c r="C63" s="13" t="s">
        <v>128</v>
      </c>
      <c r="D63" s="13" t="s">
        <v>369</v>
      </c>
      <c r="E63" s="14" t="s">
        <v>357</v>
      </c>
      <c r="F63" s="14" t="n">
        <v>755</v>
      </c>
      <c r="G63" s="14" t="n">
        <v>298</v>
      </c>
      <c r="H63" s="16" t="n">
        <v>39.47</v>
      </c>
      <c r="I63" s="16" t="n">
        <f aca="false">ROUND(G63/F63*100,2)</f>
        <v>39.47</v>
      </c>
      <c r="J63" s="14" t="n">
        <v>6</v>
      </c>
      <c r="K63" s="14" t="n">
        <v>47</v>
      </c>
      <c r="L63" s="14" t="n">
        <v>142</v>
      </c>
      <c r="M63" s="14" t="n">
        <v>95</v>
      </c>
      <c r="N63" s="14" t="n">
        <v>8</v>
      </c>
      <c r="O63" s="14" t="n">
        <v>0</v>
      </c>
    </row>
    <row r="64" customFormat="false" ht="15" hidden="false" customHeight="true" outlineLevel="0" collapsed="false">
      <c r="A64" s="13" t="n">
        <v>2026</v>
      </c>
      <c r="B64" s="13" t="s">
        <v>356</v>
      </c>
      <c r="C64" s="13" t="s">
        <v>128</v>
      </c>
      <c r="D64" s="13" t="s">
        <v>192</v>
      </c>
      <c r="E64" s="14" t="s">
        <v>652</v>
      </c>
      <c r="F64" s="14" t="n">
        <v>3961</v>
      </c>
      <c r="G64" s="14" t="n">
        <v>1452</v>
      </c>
      <c r="H64" s="16" t="n">
        <v>36.66</v>
      </c>
      <c r="I64" s="16" t="n">
        <f aca="false">ROUND(G64/F64*100,2)</f>
        <v>36.66</v>
      </c>
      <c r="J64" s="14" t="n">
        <v>20</v>
      </c>
      <c r="K64" s="14" t="n">
        <v>230</v>
      </c>
      <c r="L64" s="14" t="n">
        <v>612</v>
      </c>
      <c r="M64" s="14" t="n">
        <v>509</v>
      </c>
      <c r="N64" s="14" t="n">
        <v>80</v>
      </c>
      <c r="O64" s="14" t="n">
        <v>1</v>
      </c>
    </row>
    <row r="65" customFormat="false" ht="15" hidden="false" customHeight="true" outlineLevel="0" collapsed="false">
      <c r="A65" s="13" t="n">
        <v>2026</v>
      </c>
      <c r="B65" s="13" t="s">
        <v>356</v>
      </c>
      <c r="C65" s="13" t="s">
        <v>130</v>
      </c>
      <c r="D65" s="13" t="s">
        <v>367</v>
      </c>
      <c r="E65" s="14" t="s">
        <v>357</v>
      </c>
      <c r="F65" s="14" t="n">
        <v>37</v>
      </c>
      <c r="G65" s="14" t="n">
        <v>20</v>
      </c>
      <c r="H65" s="16" t="n">
        <v>54.05</v>
      </c>
      <c r="I65" s="16" t="n">
        <f aca="false">ROUND(G65/F65*100,2)</f>
        <v>54.05</v>
      </c>
      <c r="J65" s="14" t="n">
        <v>0</v>
      </c>
      <c r="K65" s="14" t="n">
        <v>9</v>
      </c>
      <c r="L65" s="14" t="n">
        <v>11</v>
      </c>
      <c r="M65" s="14" t="n">
        <v>0</v>
      </c>
      <c r="N65" s="14" t="n">
        <v>0</v>
      </c>
      <c r="O65" s="14" t="n">
        <v>0</v>
      </c>
    </row>
    <row r="66" customFormat="false" ht="15" hidden="false" customHeight="true" outlineLevel="0" collapsed="false">
      <c r="A66" s="13" t="n">
        <v>2026</v>
      </c>
      <c r="B66" s="13" t="s">
        <v>356</v>
      </c>
      <c r="C66" s="13" t="s">
        <v>130</v>
      </c>
      <c r="D66" s="13" t="s">
        <v>369</v>
      </c>
      <c r="E66" s="14" t="s">
        <v>357</v>
      </c>
      <c r="F66" s="14" t="n">
        <v>3</v>
      </c>
      <c r="G66" s="14" t="n">
        <v>1</v>
      </c>
      <c r="H66" s="16" t="n">
        <v>33.33</v>
      </c>
      <c r="I66" s="16" t="n">
        <f aca="false">ROUND(G66/F66*100,2)</f>
        <v>33.33</v>
      </c>
      <c r="J66" s="14" t="n">
        <v>0</v>
      </c>
      <c r="K66" s="14" t="n">
        <v>0</v>
      </c>
      <c r="L66" s="14" t="n">
        <v>1</v>
      </c>
      <c r="M66" s="14" t="n">
        <v>0</v>
      </c>
      <c r="N66" s="14" t="n">
        <v>0</v>
      </c>
      <c r="O66" s="14" t="n">
        <v>0</v>
      </c>
    </row>
    <row r="67" customFormat="false" ht="15" hidden="false" customHeight="true" outlineLevel="0" collapsed="false">
      <c r="A67" s="13" t="n">
        <v>2026</v>
      </c>
      <c r="B67" s="13" t="s">
        <v>356</v>
      </c>
      <c r="C67" s="13" t="s">
        <v>130</v>
      </c>
      <c r="D67" s="13" t="s">
        <v>192</v>
      </c>
      <c r="E67" s="14" t="s">
        <v>652</v>
      </c>
      <c r="F67" s="14" t="n">
        <v>40</v>
      </c>
      <c r="G67" s="14" t="n">
        <v>21</v>
      </c>
      <c r="H67" s="16" t="n">
        <v>52.5</v>
      </c>
      <c r="I67" s="16" t="n">
        <f aca="false">ROUND(G67/F67*100,2)</f>
        <v>52.5</v>
      </c>
      <c r="J67" s="14" t="n">
        <v>0</v>
      </c>
      <c r="K67" s="14" t="n">
        <v>9</v>
      </c>
      <c r="L67" s="14" t="n">
        <v>12</v>
      </c>
      <c r="M67" s="14" t="n">
        <v>0</v>
      </c>
      <c r="N67" s="14" t="n">
        <v>0</v>
      </c>
      <c r="O67" s="14" t="n">
        <v>0</v>
      </c>
    </row>
    <row r="68" customFormat="false" ht="15" hidden="false" customHeight="true" outlineLevel="0" collapsed="false">
      <c r="A68" s="13" t="n">
        <v>2026</v>
      </c>
      <c r="B68" s="13" t="s">
        <v>356</v>
      </c>
      <c r="C68" s="13" t="s">
        <v>980</v>
      </c>
      <c r="D68" s="13" t="s">
        <v>1060</v>
      </c>
      <c r="E68" s="14" t="s">
        <v>137</v>
      </c>
      <c r="F68" s="14" t="n">
        <v>31496</v>
      </c>
      <c r="G68" s="14" t="n">
        <v>9724</v>
      </c>
      <c r="H68" s="16" t="n">
        <v>30.87</v>
      </c>
      <c r="I68" s="16" t="n">
        <f aca="false">ROUND(G68/F68*100,2)</f>
        <v>30.87</v>
      </c>
      <c r="J68" s="14" t="n">
        <v>1857</v>
      </c>
      <c r="K68" s="14" t="n">
        <v>2255</v>
      </c>
      <c r="L68" s="14" t="n">
        <v>3383</v>
      </c>
      <c r="M68" s="14" t="n">
        <v>1999</v>
      </c>
      <c r="N68" s="14" t="n">
        <v>227</v>
      </c>
      <c r="O68" s="14" t="n">
        <v>3</v>
      </c>
    </row>
    <row r="69" customFormat="false" ht="15" hidden="false" customHeight="true" outlineLevel="0" collapsed="false">
      <c r="A69" s="13" t="n">
        <v>2026</v>
      </c>
      <c r="B69" s="13" t="s">
        <v>349</v>
      </c>
      <c r="C69" s="13" t="s">
        <v>200</v>
      </c>
      <c r="D69" s="13" t="s">
        <v>366</v>
      </c>
      <c r="E69" s="14" t="s">
        <v>357</v>
      </c>
      <c r="F69" s="14" t="n">
        <v>6380</v>
      </c>
      <c r="G69" s="14" t="n">
        <v>1441</v>
      </c>
      <c r="H69" s="16" t="n">
        <v>22.59</v>
      </c>
      <c r="I69" s="16" t="n">
        <f aca="false">ROUND(G69/F69*100,2)</f>
        <v>22.59</v>
      </c>
      <c r="J69" s="14"/>
      <c r="K69" s="14"/>
      <c r="L69" s="14"/>
      <c r="M69" s="14"/>
      <c r="N69" s="14"/>
      <c r="O69" s="14"/>
    </row>
    <row r="70" customFormat="false" ht="15" hidden="false" customHeight="true" outlineLevel="0" collapsed="false">
      <c r="A70" s="13" t="n">
        <v>2026</v>
      </c>
      <c r="B70" s="13" t="s">
        <v>349</v>
      </c>
      <c r="C70" s="13" t="s">
        <v>200</v>
      </c>
      <c r="D70" s="13" t="s">
        <v>367</v>
      </c>
      <c r="E70" s="14" t="s">
        <v>357</v>
      </c>
      <c r="F70" s="14" t="n">
        <v>6103</v>
      </c>
      <c r="G70" s="14" t="n">
        <v>2026</v>
      </c>
      <c r="H70" s="16" t="n">
        <v>33.2</v>
      </c>
      <c r="I70" s="16" t="n">
        <f aca="false">ROUND(G70/F70*100,2)</f>
        <v>33.2</v>
      </c>
      <c r="J70" s="14"/>
      <c r="K70" s="14"/>
      <c r="L70" s="14"/>
      <c r="M70" s="14"/>
      <c r="N70" s="14"/>
      <c r="O70" s="14"/>
    </row>
    <row r="71" customFormat="false" ht="15" hidden="false" customHeight="true" outlineLevel="0" collapsed="false">
      <c r="A71" s="13" t="n">
        <v>2026</v>
      </c>
      <c r="B71" s="13" t="s">
        <v>349</v>
      </c>
      <c r="C71" s="13" t="s">
        <v>200</v>
      </c>
      <c r="D71" s="13" t="s">
        <v>192</v>
      </c>
      <c r="E71" s="14" t="s">
        <v>652</v>
      </c>
      <c r="F71" s="14" t="n">
        <v>12483</v>
      </c>
      <c r="G71" s="14" t="n">
        <v>3467</v>
      </c>
      <c r="H71" s="16" t="n">
        <v>27.77</v>
      </c>
      <c r="I71" s="16" t="n">
        <f aca="false">ROUND(G71/F71*100,2)</f>
        <v>27.77</v>
      </c>
      <c r="J71" s="14"/>
      <c r="K71" s="14"/>
      <c r="L71" s="14"/>
      <c r="M71" s="14"/>
      <c r="N71" s="14"/>
      <c r="O71" s="14"/>
    </row>
    <row r="72" customFormat="false" ht="15" hidden="false" customHeight="true" outlineLevel="0" collapsed="false">
      <c r="A72" s="13" t="n">
        <v>2026</v>
      </c>
      <c r="B72" s="13" t="s">
        <v>349</v>
      </c>
      <c r="C72" s="13" t="s">
        <v>201</v>
      </c>
      <c r="D72" s="13" t="s">
        <v>366</v>
      </c>
      <c r="E72" s="14" t="s">
        <v>357</v>
      </c>
      <c r="F72" s="14" t="n">
        <v>1138</v>
      </c>
      <c r="G72" s="14" t="n">
        <v>258</v>
      </c>
      <c r="H72" s="16" t="n">
        <v>22.67</v>
      </c>
      <c r="I72" s="16" t="n">
        <f aca="false">ROUND(G72/F72*100,2)</f>
        <v>22.67</v>
      </c>
      <c r="J72" s="14"/>
      <c r="K72" s="14"/>
      <c r="L72" s="14"/>
      <c r="M72" s="14"/>
      <c r="N72" s="14"/>
      <c r="O72" s="14"/>
    </row>
    <row r="73" customFormat="false" ht="15" hidden="false" customHeight="true" outlineLevel="0" collapsed="false">
      <c r="A73" s="13" t="n">
        <v>2026</v>
      </c>
      <c r="B73" s="13" t="s">
        <v>349</v>
      </c>
      <c r="C73" s="13" t="s">
        <v>201</v>
      </c>
      <c r="D73" s="13" t="s">
        <v>367</v>
      </c>
      <c r="E73" s="14" t="s">
        <v>357</v>
      </c>
      <c r="F73" s="14" t="n">
        <v>160</v>
      </c>
      <c r="G73" s="14" t="n">
        <v>59</v>
      </c>
      <c r="H73" s="16" t="n">
        <v>36.88</v>
      </c>
      <c r="I73" s="16" t="n">
        <f aca="false">ROUND(G73/F73*100,2)</f>
        <v>36.88</v>
      </c>
      <c r="J73" s="14"/>
      <c r="K73" s="14"/>
      <c r="L73" s="14"/>
      <c r="M73" s="14"/>
      <c r="N73" s="14"/>
      <c r="O73" s="14"/>
    </row>
    <row r="74" customFormat="false" ht="15" hidden="false" customHeight="true" outlineLevel="0" collapsed="false">
      <c r="A74" s="13" t="n">
        <v>2026</v>
      </c>
      <c r="B74" s="13" t="s">
        <v>349</v>
      </c>
      <c r="C74" s="13" t="s">
        <v>201</v>
      </c>
      <c r="D74" s="13" t="s">
        <v>192</v>
      </c>
      <c r="E74" s="14" t="s">
        <v>652</v>
      </c>
      <c r="F74" s="14" t="n">
        <v>1298</v>
      </c>
      <c r="G74" s="14" t="n">
        <v>317</v>
      </c>
      <c r="H74" s="16" t="n">
        <v>24.42</v>
      </c>
      <c r="I74" s="16" t="n">
        <f aca="false">ROUND(G74/F74*100,2)</f>
        <v>24.42</v>
      </c>
      <c r="J74" s="14"/>
      <c r="K74" s="14"/>
      <c r="L74" s="14"/>
      <c r="M74" s="14"/>
      <c r="N74" s="14"/>
      <c r="O74" s="14"/>
    </row>
    <row r="75" customFormat="false" ht="15" hidden="false" customHeight="true" outlineLevel="0" collapsed="false">
      <c r="A75" s="13" t="n">
        <v>2026</v>
      </c>
      <c r="B75" s="13" t="s">
        <v>349</v>
      </c>
      <c r="C75" s="13" t="s">
        <v>778</v>
      </c>
      <c r="D75" s="13" t="s">
        <v>366</v>
      </c>
      <c r="E75" s="14" t="s">
        <v>357</v>
      </c>
      <c r="F75" s="14" t="n">
        <v>5060</v>
      </c>
      <c r="G75" s="14" t="n">
        <v>701</v>
      </c>
      <c r="H75" s="16" t="n">
        <v>13.85</v>
      </c>
      <c r="I75" s="16" t="n">
        <f aca="false">ROUND(G75/F75*100,2)</f>
        <v>13.85</v>
      </c>
      <c r="J75" s="14"/>
      <c r="K75" s="14"/>
      <c r="L75" s="14"/>
      <c r="M75" s="14"/>
      <c r="N75" s="14"/>
      <c r="O75" s="14"/>
    </row>
    <row r="76" customFormat="false" ht="15" hidden="false" customHeight="true" outlineLevel="0" collapsed="false">
      <c r="A76" s="13" t="n">
        <v>2026</v>
      </c>
      <c r="B76" s="13" t="s">
        <v>349</v>
      </c>
      <c r="C76" s="13" t="s">
        <v>778</v>
      </c>
      <c r="D76" s="13" t="s">
        <v>367</v>
      </c>
      <c r="E76" s="14" t="s">
        <v>357</v>
      </c>
      <c r="F76" s="14" t="n">
        <v>501</v>
      </c>
      <c r="G76" s="14" t="n">
        <v>163</v>
      </c>
      <c r="H76" s="16" t="n">
        <v>32.53</v>
      </c>
      <c r="I76" s="16" t="n">
        <f aca="false">ROUND(G76/F76*100,2)</f>
        <v>32.53</v>
      </c>
      <c r="J76" s="14"/>
      <c r="K76" s="14"/>
      <c r="L76" s="14"/>
      <c r="M76" s="14"/>
      <c r="N76" s="14"/>
      <c r="O76" s="14"/>
    </row>
    <row r="77" customFormat="false" ht="15" hidden="false" customHeight="true" outlineLevel="0" collapsed="false">
      <c r="A77" s="13" t="n">
        <v>2026</v>
      </c>
      <c r="B77" s="13" t="s">
        <v>349</v>
      </c>
      <c r="C77" s="13" t="s">
        <v>778</v>
      </c>
      <c r="D77" s="13" t="s">
        <v>192</v>
      </c>
      <c r="E77" s="14" t="s">
        <v>652</v>
      </c>
      <c r="F77" s="14" t="n">
        <v>5561</v>
      </c>
      <c r="G77" s="14" t="n">
        <v>864</v>
      </c>
      <c r="H77" s="16" t="n">
        <v>15.54</v>
      </c>
      <c r="I77" s="16" t="n">
        <f aca="false">ROUND(G77/F77*100,2)</f>
        <v>15.54</v>
      </c>
      <c r="J77" s="14"/>
      <c r="K77" s="14"/>
      <c r="L77" s="14"/>
      <c r="M77" s="14"/>
      <c r="N77" s="14"/>
      <c r="O77" s="14"/>
    </row>
    <row r="78" customFormat="false" ht="15" hidden="false" customHeight="true" outlineLevel="0" collapsed="false">
      <c r="A78" s="13" t="n">
        <v>2026</v>
      </c>
      <c r="B78" s="13" t="s">
        <v>349</v>
      </c>
      <c r="C78" s="13" t="s">
        <v>128</v>
      </c>
      <c r="D78" s="13" t="s">
        <v>366</v>
      </c>
      <c r="E78" s="14" t="s">
        <v>357</v>
      </c>
      <c r="F78" s="14" t="n">
        <v>416</v>
      </c>
      <c r="G78" s="14" t="n">
        <v>68</v>
      </c>
      <c r="H78" s="16" t="n">
        <v>16.35</v>
      </c>
      <c r="I78" s="16" t="n">
        <f aca="false">ROUND(G78/F78*100,2)</f>
        <v>16.35</v>
      </c>
      <c r="J78" s="14"/>
      <c r="K78" s="14"/>
      <c r="L78" s="14"/>
      <c r="M78" s="14"/>
      <c r="N78" s="14"/>
      <c r="O78" s="14"/>
    </row>
    <row r="79" customFormat="false" ht="15" hidden="false" customHeight="true" outlineLevel="0" collapsed="false">
      <c r="A79" s="13" t="n">
        <v>2026</v>
      </c>
      <c r="B79" s="13" t="s">
        <v>349</v>
      </c>
      <c r="C79" s="13" t="s">
        <v>128</v>
      </c>
      <c r="D79" s="13" t="s">
        <v>367</v>
      </c>
      <c r="E79" s="14" t="s">
        <v>357</v>
      </c>
      <c r="F79" s="14" t="n">
        <v>1443</v>
      </c>
      <c r="G79" s="14" t="n">
        <v>960</v>
      </c>
      <c r="H79" s="16" t="n">
        <v>66.53</v>
      </c>
      <c r="I79" s="16" t="n">
        <f aca="false">ROUND(G79/F79*100,2)</f>
        <v>66.53</v>
      </c>
      <c r="J79" s="14"/>
      <c r="K79" s="14"/>
      <c r="L79" s="14"/>
      <c r="M79" s="14"/>
      <c r="N79" s="14"/>
      <c r="O79" s="14"/>
    </row>
    <row r="80" customFormat="false" ht="15" hidden="false" customHeight="true" outlineLevel="0" collapsed="false">
      <c r="A80" s="13" t="n">
        <v>2026</v>
      </c>
      <c r="B80" s="13" t="s">
        <v>349</v>
      </c>
      <c r="C80" s="13" t="s">
        <v>128</v>
      </c>
      <c r="D80" s="13" t="s">
        <v>368</v>
      </c>
      <c r="E80" s="14" t="s">
        <v>357</v>
      </c>
      <c r="F80" s="14" t="n">
        <v>1068</v>
      </c>
      <c r="G80" s="14" t="n">
        <v>247</v>
      </c>
      <c r="H80" s="16" t="n">
        <v>23.13</v>
      </c>
      <c r="I80" s="16" t="n">
        <f aca="false">ROUND(G80/F80*100,2)</f>
        <v>23.13</v>
      </c>
      <c r="J80" s="14"/>
      <c r="K80" s="14"/>
      <c r="L80" s="14"/>
      <c r="M80" s="14"/>
      <c r="N80" s="14"/>
      <c r="O80" s="14"/>
    </row>
    <row r="81" customFormat="false" ht="15" hidden="false" customHeight="true" outlineLevel="0" collapsed="false">
      <c r="A81" s="13" t="n">
        <v>2026</v>
      </c>
      <c r="B81" s="13" t="s">
        <v>349</v>
      </c>
      <c r="C81" s="13" t="s">
        <v>128</v>
      </c>
      <c r="D81" s="13" t="s">
        <v>369</v>
      </c>
      <c r="E81" s="14" t="s">
        <v>357</v>
      </c>
      <c r="F81" s="14" t="n">
        <v>459</v>
      </c>
      <c r="G81" s="14" t="n">
        <v>215</v>
      </c>
      <c r="H81" s="16" t="n">
        <v>46.84</v>
      </c>
      <c r="I81" s="16" t="n">
        <f aca="false">ROUND(G81/F81*100,2)</f>
        <v>46.84</v>
      </c>
      <c r="J81" s="14"/>
      <c r="K81" s="14"/>
      <c r="L81" s="14"/>
      <c r="M81" s="14"/>
      <c r="N81" s="14"/>
      <c r="O81" s="14"/>
    </row>
    <row r="82" customFormat="false" ht="15" hidden="false" customHeight="true" outlineLevel="0" collapsed="false">
      <c r="A82" s="13" t="n">
        <v>2026</v>
      </c>
      <c r="B82" s="13" t="s">
        <v>349</v>
      </c>
      <c r="C82" s="13" t="s">
        <v>128</v>
      </c>
      <c r="D82" s="13" t="s">
        <v>192</v>
      </c>
      <c r="E82" s="14" t="s">
        <v>652</v>
      </c>
      <c r="F82" s="14" t="n">
        <v>3386</v>
      </c>
      <c r="G82" s="14" t="n">
        <v>1490</v>
      </c>
      <c r="H82" s="16" t="n">
        <v>44</v>
      </c>
      <c r="I82" s="16" t="n">
        <f aca="false">ROUND(G82/F82*100,2)</f>
        <v>44</v>
      </c>
      <c r="J82" s="14"/>
      <c r="K82" s="14"/>
      <c r="L82" s="14"/>
      <c r="M82" s="14"/>
      <c r="N82" s="14"/>
      <c r="O82" s="14"/>
    </row>
    <row r="83" customFormat="false" ht="15" hidden="false" customHeight="true" outlineLevel="0" collapsed="false">
      <c r="A83" s="13" t="n">
        <v>2026</v>
      </c>
      <c r="B83" s="13" t="s">
        <v>349</v>
      </c>
      <c r="C83" s="13" t="s">
        <v>980</v>
      </c>
      <c r="D83" s="13" t="s">
        <v>1061</v>
      </c>
      <c r="E83" s="14" t="s">
        <v>137</v>
      </c>
      <c r="F83" s="14" t="n">
        <v>22728</v>
      </c>
      <c r="G83" s="14" t="n">
        <v>6138</v>
      </c>
      <c r="H83" s="16" t="n">
        <v>27.01</v>
      </c>
      <c r="I83" s="16" t="n">
        <f aca="false">ROUND(G83/F83*100,2)</f>
        <v>27.01</v>
      </c>
      <c r="J83" s="14"/>
      <c r="K83" s="14"/>
      <c r="L83" s="14"/>
      <c r="M83" s="14"/>
      <c r="N83" s="14"/>
      <c r="O8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8"/>
    <col collapsed="false" customWidth="true" hidden="false" outlineLevel="0" max="2" min="2" style="13" width="10"/>
    <col collapsed="false" customWidth="true" hidden="false" outlineLevel="0" max="3" min="3" style="13" width="38"/>
    <col collapsed="false" customWidth="true" hidden="false" outlineLevel="0" max="5" min="4" style="13" width="12"/>
    <col collapsed="false" customWidth="true" hidden="false" outlineLevel="0" max="7" min="6" style="13" width="16"/>
  </cols>
  <sheetData>
    <row r="1" customFormat="false" ht="15" hidden="false" customHeight="true" outlineLevel="0" collapsed="false">
      <c r="A1" s="13" t="s">
        <v>1062</v>
      </c>
    </row>
    <row r="2" customFormat="false" ht="15" hidden="false" customHeight="true" outlineLevel="0" collapsed="false">
      <c r="A2" s="13" t="s">
        <v>1063</v>
      </c>
    </row>
    <row r="4" customFormat="false" ht="15" hidden="false" customHeight="true" outlineLevel="0" collapsed="false">
      <c r="A4" s="13" t="s">
        <v>3</v>
      </c>
      <c r="B4" s="13" t="s">
        <v>344</v>
      </c>
      <c r="C4" s="13" t="s">
        <v>141</v>
      </c>
      <c r="D4" s="13" t="s">
        <v>4</v>
      </c>
      <c r="E4" s="13" t="s">
        <v>5</v>
      </c>
      <c r="F4" s="13" t="s">
        <v>353</v>
      </c>
      <c r="G4" s="13" t="s">
        <v>354</v>
      </c>
    </row>
    <row r="5" customFormat="false" ht="15" hidden="false" customHeight="true" outlineLevel="0" collapsed="false">
      <c r="A5" s="13" t="n">
        <v>2025</v>
      </c>
      <c r="B5" s="13" t="s">
        <v>774</v>
      </c>
      <c r="C5" s="13" t="s">
        <v>142</v>
      </c>
      <c r="D5" s="14" t="n">
        <v>28767</v>
      </c>
      <c r="E5" s="14" t="n">
        <v>23965</v>
      </c>
      <c r="F5" s="18" t="n">
        <v>83</v>
      </c>
      <c r="G5" s="16" t="n">
        <f aca="false">ROUND(E5/D5*100,2)</f>
        <v>83.31</v>
      </c>
    </row>
    <row r="6" customFormat="false" ht="15" hidden="false" customHeight="true" outlineLevel="0" collapsed="false">
      <c r="A6" s="13" t="n">
        <v>2025</v>
      </c>
      <c r="B6" s="13" t="s">
        <v>774</v>
      </c>
      <c r="C6" s="13" t="s">
        <v>410</v>
      </c>
      <c r="D6" s="14" t="n">
        <v>28535</v>
      </c>
      <c r="E6" s="14" t="n">
        <v>25246</v>
      </c>
      <c r="F6" s="18" t="n">
        <v>88</v>
      </c>
      <c r="G6" s="16" t="n">
        <f aca="false">ROUND(E6/D6*100,2)</f>
        <v>88.47</v>
      </c>
    </row>
    <row r="7" customFormat="false" ht="15" hidden="false" customHeight="true" outlineLevel="0" collapsed="false">
      <c r="A7" s="13" t="n">
        <v>2025</v>
      </c>
      <c r="B7" s="13" t="s">
        <v>774</v>
      </c>
      <c r="C7" s="13" t="s">
        <v>149</v>
      </c>
      <c r="D7" s="14" t="n">
        <v>28424</v>
      </c>
      <c r="E7" s="14" t="n">
        <v>23190</v>
      </c>
      <c r="F7" s="18" t="n">
        <v>82</v>
      </c>
      <c r="G7" s="16" t="n">
        <f aca="false">ROUND(E7/D7*100,2)</f>
        <v>81.59</v>
      </c>
    </row>
    <row r="8" customFormat="false" ht="15" hidden="false" customHeight="true" outlineLevel="0" collapsed="false">
      <c r="A8" s="13" t="n">
        <v>2025</v>
      </c>
      <c r="B8" s="13" t="s">
        <v>774</v>
      </c>
      <c r="C8" s="13" t="s">
        <v>1064</v>
      </c>
      <c r="D8" s="14" t="n">
        <v>28029</v>
      </c>
      <c r="E8" s="14" t="n">
        <v>26742</v>
      </c>
      <c r="F8" s="18" t="n">
        <v>95</v>
      </c>
      <c r="G8" s="16" t="n">
        <f aca="false">ROUND(E8/D8*100,2)</f>
        <v>95.41</v>
      </c>
    </row>
    <row r="9" customFormat="false" ht="15" hidden="false" customHeight="true" outlineLevel="0" collapsed="false">
      <c r="A9" s="13" t="n">
        <v>2025</v>
      </c>
      <c r="B9" s="13" t="s">
        <v>774</v>
      </c>
      <c r="C9" s="13" t="s">
        <v>165</v>
      </c>
      <c r="D9" s="14" t="n">
        <v>23488</v>
      </c>
      <c r="E9" s="14" t="n">
        <v>19000</v>
      </c>
      <c r="F9" s="18" t="n">
        <v>81</v>
      </c>
      <c r="G9" s="16" t="n">
        <f aca="false">ROUND(E9/D9*100,2)</f>
        <v>80.89</v>
      </c>
    </row>
    <row r="10" customFormat="false" ht="15" hidden="false" customHeight="true" outlineLevel="0" collapsed="false">
      <c r="A10" s="13" t="n">
        <v>2025</v>
      </c>
      <c r="B10" s="13" t="s">
        <v>774</v>
      </c>
      <c r="C10" s="13" t="s">
        <v>166</v>
      </c>
      <c r="D10" s="14" t="n">
        <v>18604</v>
      </c>
      <c r="E10" s="14" t="n">
        <v>14761</v>
      </c>
      <c r="F10" s="18" t="n">
        <v>79</v>
      </c>
      <c r="G10" s="16" t="n">
        <f aca="false">ROUND(E10/D10*100,2)</f>
        <v>79.34</v>
      </c>
    </row>
    <row r="11" customFormat="false" ht="15" hidden="false" customHeight="true" outlineLevel="0" collapsed="false">
      <c r="A11" s="13" t="n">
        <v>2025</v>
      </c>
      <c r="B11" s="13" t="s">
        <v>774</v>
      </c>
      <c r="C11" s="13" t="s">
        <v>167</v>
      </c>
      <c r="D11" s="14" t="n">
        <v>16819</v>
      </c>
      <c r="E11" s="14" t="n">
        <v>13702</v>
      </c>
      <c r="F11" s="18" t="n">
        <v>81</v>
      </c>
      <c r="G11" s="16" t="n">
        <f aca="false">ROUND(E11/D11*100,2)</f>
        <v>81.47</v>
      </c>
    </row>
    <row r="12" customFormat="false" ht="15" hidden="false" customHeight="true" outlineLevel="0" collapsed="false">
      <c r="A12" s="13" t="n">
        <v>2025</v>
      </c>
      <c r="B12" s="13" t="s">
        <v>774</v>
      </c>
      <c r="C12" s="13" t="s">
        <v>156</v>
      </c>
      <c r="D12" s="14" t="n">
        <v>7066</v>
      </c>
      <c r="E12" s="14" t="n">
        <v>4135</v>
      </c>
      <c r="F12" s="18" t="n">
        <v>59</v>
      </c>
      <c r="G12" s="16" t="n">
        <f aca="false">ROUND(E12/D12*100,2)</f>
        <v>58.52</v>
      </c>
    </row>
    <row r="13" customFormat="false" ht="15" hidden="false" customHeight="true" outlineLevel="0" collapsed="false">
      <c r="A13" s="13" t="n">
        <v>2025</v>
      </c>
      <c r="B13" s="13" t="s">
        <v>774</v>
      </c>
      <c r="C13" s="13" t="s">
        <v>170</v>
      </c>
      <c r="D13" s="14" t="n">
        <v>5400</v>
      </c>
      <c r="E13" s="14" t="n">
        <v>4907</v>
      </c>
      <c r="F13" s="18" t="n">
        <v>91</v>
      </c>
      <c r="G13" s="16" t="n">
        <f aca="false">ROUND(E13/D13*100,2)</f>
        <v>90.87</v>
      </c>
    </row>
    <row r="14" customFormat="false" ht="15" hidden="false" customHeight="true" outlineLevel="0" collapsed="false">
      <c r="A14" s="13" t="n">
        <v>2025</v>
      </c>
      <c r="B14" s="13" t="s">
        <v>774</v>
      </c>
      <c r="C14" s="13" t="s">
        <v>419</v>
      </c>
      <c r="D14" s="14" t="n">
        <v>4125</v>
      </c>
      <c r="E14" s="14" t="n">
        <v>3954</v>
      </c>
      <c r="F14" s="18" t="n">
        <v>96</v>
      </c>
      <c r="G14" s="16" t="n">
        <f aca="false">ROUND(E14/D14*100,2)</f>
        <v>95.85</v>
      </c>
    </row>
    <row r="15" customFormat="false" ht="15" hidden="false" customHeight="true" outlineLevel="0" collapsed="false">
      <c r="A15" s="13" t="n">
        <v>2025</v>
      </c>
      <c r="B15" s="13" t="s">
        <v>774</v>
      </c>
      <c r="C15" s="13" t="s">
        <v>154</v>
      </c>
      <c r="D15" s="14" t="n">
        <v>3970</v>
      </c>
      <c r="E15" s="14" t="n">
        <v>3358</v>
      </c>
      <c r="F15" s="18" t="n">
        <v>85</v>
      </c>
      <c r="G15" s="16" t="n">
        <f aca="false">ROUND(E15/D15*100,2)</f>
        <v>84.58</v>
      </c>
    </row>
    <row r="16" customFormat="false" ht="15" hidden="false" customHeight="true" outlineLevel="0" collapsed="false">
      <c r="A16" s="13" t="n">
        <v>2025</v>
      </c>
      <c r="B16" s="13" t="s">
        <v>774</v>
      </c>
      <c r="C16" s="13" t="s">
        <v>151</v>
      </c>
      <c r="D16" s="14" t="n">
        <v>2735</v>
      </c>
      <c r="E16" s="14" t="n">
        <v>2507</v>
      </c>
      <c r="F16" s="18" t="n">
        <v>92</v>
      </c>
      <c r="G16" s="16" t="n">
        <f aca="false">ROUND(E16/D16*100,2)</f>
        <v>91.66</v>
      </c>
    </row>
    <row r="17" customFormat="false" ht="15" hidden="false" customHeight="true" outlineLevel="0" collapsed="false">
      <c r="A17" s="13" t="n">
        <v>2025</v>
      </c>
      <c r="B17" s="13" t="s">
        <v>774</v>
      </c>
      <c r="C17" s="13" t="s">
        <v>158</v>
      </c>
      <c r="D17" s="14" t="n">
        <v>1537</v>
      </c>
      <c r="E17" s="14" t="n">
        <v>1410</v>
      </c>
      <c r="F17" s="18" t="n">
        <v>92</v>
      </c>
      <c r="G17" s="16" t="n">
        <f aca="false">ROUND(E17/D17*100,2)</f>
        <v>91.74</v>
      </c>
    </row>
    <row r="18" customFormat="false" ht="15" hidden="false" customHeight="true" outlineLevel="0" collapsed="false">
      <c r="A18" s="13" t="n">
        <v>2025</v>
      </c>
      <c r="B18" s="13" t="s">
        <v>774</v>
      </c>
      <c r="C18" s="13" t="s">
        <v>152</v>
      </c>
      <c r="D18" s="14" t="n">
        <v>453</v>
      </c>
      <c r="E18" s="14" t="n">
        <v>435</v>
      </c>
      <c r="F18" s="18" t="n">
        <v>96</v>
      </c>
      <c r="G18" s="16" t="n">
        <f aca="false">ROUND(E18/D18*100,2)</f>
        <v>96.03</v>
      </c>
    </row>
    <row r="19" customFormat="false" ht="15" hidden="false" customHeight="true" outlineLevel="0" collapsed="false">
      <c r="A19" s="13" t="n">
        <v>2025</v>
      </c>
      <c r="B19" s="13" t="s">
        <v>774</v>
      </c>
      <c r="C19" s="13" t="s">
        <v>155</v>
      </c>
      <c r="D19" s="14" t="n">
        <v>452</v>
      </c>
      <c r="E19" s="14" t="n">
        <v>407</v>
      </c>
      <c r="F19" s="18" t="n">
        <v>90</v>
      </c>
      <c r="G19" s="16" t="n">
        <f aca="false">ROUND(E19/D19*100,2)</f>
        <v>90.04</v>
      </c>
    </row>
    <row r="20" customFormat="false" ht="15" hidden="false" customHeight="true" outlineLevel="0" collapsed="false">
      <c r="A20" s="13" t="n">
        <v>2025</v>
      </c>
      <c r="B20" s="13" t="s">
        <v>774</v>
      </c>
      <c r="C20" s="13" t="s">
        <v>168</v>
      </c>
      <c r="D20" s="14" t="n">
        <v>214</v>
      </c>
      <c r="E20" s="14" t="n">
        <v>203</v>
      </c>
      <c r="F20" s="18" t="n">
        <v>95</v>
      </c>
      <c r="G20" s="16" t="n">
        <f aca="false">ROUND(E20/D20*100,2)</f>
        <v>94.86</v>
      </c>
    </row>
    <row r="21" customFormat="false" ht="15" hidden="false" customHeight="true" outlineLevel="0" collapsed="false">
      <c r="A21" s="13" t="n">
        <v>2025</v>
      </c>
      <c r="B21" s="13" t="s">
        <v>774</v>
      </c>
      <c r="C21" s="13" t="s">
        <v>153</v>
      </c>
      <c r="D21" s="14" t="n">
        <v>201</v>
      </c>
      <c r="E21" s="14" t="n">
        <v>193</v>
      </c>
      <c r="F21" s="18" t="n">
        <v>96</v>
      </c>
      <c r="G21" s="16" t="n">
        <f aca="false">ROUND(E21/D21*100,2)</f>
        <v>96.02</v>
      </c>
    </row>
    <row r="22" customFormat="false" ht="15" hidden="false" customHeight="true" outlineLevel="0" collapsed="false">
      <c r="A22" s="13" t="n">
        <v>2025</v>
      </c>
      <c r="B22" s="13" t="s">
        <v>774</v>
      </c>
      <c r="C22" s="13" t="s">
        <v>161</v>
      </c>
      <c r="D22" s="14" t="n">
        <v>190</v>
      </c>
      <c r="E22" s="14" t="n">
        <v>189</v>
      </c>
      <c r="F22" s="18" t="n">
        <v>99</v>
      </c>
      <c r="G22" s="16" t="n">
        <f aca="false">ROUND(E22/D22*100,2)</f>
        <v>99.47</v>
      </c>
    </row>
    <row r="23" customFormat="false" ht="15" hidden="false" customHeight="true" outlineLevel="0" collapsed="false">
      <c r="A23" s="13" t="n">
        <v>2025</v>
      </c>
      <c r="B23" s="13" t="s">
        <v>774</v>
      </c>
      <c r="C23" s="13" t="s">
        <v>163</v>
      </c>
      <c r="D23" s="14" t="n">
        <v>187</v>
      </c>
      <c r="E23" s="14" t="n">
        <v>174</v>
      </c>
      <c r="F23" s="18" t="n">
        <v>93</v>
      </c>
      <c r="G23" s="16" t="n">
        <f aca="false">ROUND(E23/D23*100,2)</f>
        <v>93.05</v>
      </c>
    </row>
    <row r="24" customFormat="false" ht="15" hidden="false" customHeight="true" outlineLevel="0" collapsed="false">
      <c r="A24" s="13" t="n">
        <v>2025</v>
      </c>
      <c r="B24" s="13" t="s">
        <v>774</v>
      </c>
      <c r="C24" s="13" t="s">
        <v>525</v>
      </c>
      <c r="D24" s="14" t="n">
        <v>140</v>
      </c>
      <c r="E24" s="14" t="n">
        <v>138</v>
      </c>
      <c r="F24" s="18" t="n">
        <v>99</v>
      </c>
      <c r="G24" s="16" t="n">
        <f aca="false">ROUND(E24/D24*100,2)</f>
        <v>98.57</v>
      </c>
    </row>
    <row r="25" customFormat="false" ht="15" hidden="false" customHeight="true" outlineLevel="0" collapsed="false">
      <c r="A25" s="13" t="n">
        <v>2025</v>
      </c>
      <c r="B25" s="13" t="s">
        <v>774</v>
      </c>
      <c r="C25" s="13" t="s">
        <v>162</v>
      </c>
      <c r="D25" s="14" t="n">
        <v>135</v>
      </c>
      <c r="E25" s="14" t="n">
        <v>130</v>
      </c>
      <c r="F25" s="18" t="n">
        <v>96</v>
      </c>
      <c r="G25" s="16" t="n">
        <f aca="false">ROUND(E25/D25*100,2)</f>
        <v>96.3</v>
      </c>
    </row>
    <row r="26" customFormat="false" ht="15" hidden="false" customHeight="true" outlineLevel="0" collapsed="false">
      <c r="A26" s="13" t="n">
        <v>2025</v>
      </c>
      <c r="B26" s="13" t="s">
        <v>774</v>
      </c>
      <c r="C26" s="13" t="s">
        <v>1065</v>
      </c>
      <c r="D26" s="14" t="n">
        <v>79</v>
      </c>
      <c r="E26" s="14" t="n">
        <v>78</v>
      </c>
      <c r="F26" s="18" t="n">
        <v>99</v>
      </c>
      <c r="G26" s="16" t="n">
        <f aca="false">ROUND(E26/D26*100,2)</f>
        <v>98.73</v>
      </c>
    </row>
    <row r="27" customFormat="false" ht="15" hidden="false" customHeight="true" outlineLevel="0" collapsed="false">
      <c r="A27" s="13" t="n">
        <v>2025</v>
      </c>
      <c r="B27" s="13" t="s">
        <v>774</v>
      </c>
      <c r="C27" s="13" t="s">
        <v>1066</v>
      </c>
      <c r="D27" s="14" t="n">
        <v>51</v>
      </c>
      <c r="E27" s="14" t="n">
        <v>44</v>
      </c>
      <c r="F27" s="18" t="n">
        <v>86</v>
      </c>
      <c r="G27" s="16" t="n">
        <f aca="false">ROUND(E27/D27*100,2)</f>
        <v>86.27</v>
      </c>
    </row>
    <row r="28" customFormat="false" ht="15" hidden="false" customHeight="true" outlineLevel="0" collapsed="false">
      <c r="A28" s="13" t="n">
        <v>2025</v>
      </c>
      <c r="B28" s="13" t="s">
        <v>774</v>
      </c>
      <c r="C28" s="13" t="s">
        <v>150</v>
      </c>
      <c r="D28" s="14" t="n">
        <v>35</v>
      </c>
      <c r="E28" s="14" t="n">
        <v>33</v>
      </c>
      <c r="F28" s="18" t="n">
        <v>94</v>
      </c>
      <c r="G28" s="16" t="n">
        <f aca="false">ROUND(E28/D28*100,2)</f>
        <v>94.29</v>
      </c>
    </row>
    <row r="29" customFormat="false" ht="15" hidden="false" customHeight="true" outlineLevel="0" collapsed="false">
      <c r="A29" s="13" t="n">
        <v>2025</v>
      </c>
      <c r="B29" s="13" t="s">
        <v>774</v>
      </c>
      <c r="C29" s="13" t="s">
        <v>159</v>
      </c>
      <c r="D29" s="14" t="n">
        <v>34</v>
      </c>
      <c r="E29" s="14" t="n">
        <v>33</v>
      </c>
      <c r="F29" s="18" t="n">
        <v>97</v>
      </c>
      <c r="G29" s="16" t="n">
        <f aca="false">ROUND(E29/D29*100,2)</f>
        <v>97.06</v>
      </c>
    </row>
    <row r="30" customFormat="false" ht="15" hidden="false" customHeight="true" outlineLevel="0" collapsed="false">
      <c r="A30" s="13" t="n">
        <v>2025</v>
      </c>
      <c r="B30" s="13" t="s">
        <v>774</v>
      </c>
      <c r="C30" s="13" t="s">
        <v>1067</v>
      </c>
      <c r="D30" s="14" t="n">
        <v>26</v>
      </c>
      <c r="E30" s="14" t="n">
        <v>26</v>
      </c>
      <c r="F30" s="18" t="n">
        <v>100</v>
      </c>
      <c r="G30" s="16" t="n">
        <f aca="false">ROUND(E30/D30*100,2)</f>
        <v>100</v>
      </c>
    </row>
    <row r="31" customFormat="false" ht="15" hidden="false" customHeight="true" outlineLevel="0" collapsed="false">
      <c r="A31" s="13" t="n">
        <v>2025</v>
      </c>
      <c r="B31" s="13" t="s">
        <v>774</v>
      </c>
      <c r="C31" s="13" t="s">
        <v>1068</v>
      </c>
      <c r="D31" s="14" t="n">
        <v>21</v>
      </c>
      <c r="E31" s="14" t="n">
        <v>19</v>
      </c>
      <c r="F31" s="18" t="n">
        <v>90</v>
      </c>
      <c r="G31" s="16" t="n">
        <f aca="false">ROUND(E31/D31*100,2)</f>
        <v>90.48</v>
      </c>
    </row>
    <row r="32" customFormat="false" ht="15" hidden="false" customHeight="true" outlineLevel="0" collapsed="false">
      <c r="A32" s="13" t="n">
        <v>2025</v>
      </c>
      <c r="B32" s="13" t="s">
        <v>774</v>
      </c>
      <c r="C32" s="13" t="s">
        <v>146</v>
      </c>
      <c r="D32" s="14" t="n">
        <v>21</v>
      </c>
      <c r="E32" s="14" t="n">
        <v>20</v>
      </c>
      <c r="F32" s="18" t="n">
        <v>95</v>
      </c>
      <c r="G32" s="16" t="n">
        <f aca="false">ROUND(E32/D32*100,2)</f>
        <v>95.24</v>
      </c>
    </row>
    <row r="33" customFormat="false" ht="15" hidden="false" customHeight="true" outlineLevel="0" collapsed="false">
      <c r="A33" s="13" t="n">
        <v>2025</v>
      </c>
      <c r="B33" s="13" t="s">
        <v>774</v>
      </c>
      <c r="C33" s="13" t="s">
        <v>542</v>
      </c>
      <c r="D33" s="14" t="n">
        <v>20</v>
      </c>
      <c r="E33" s="14" t="n">
        <v>19</v>
      </c>
      <c r="F33" s="18" t="n">
        <v>95</v>
      </c>
      <c r="G33" s="16" t="n">
        <f aca="false">ROUND(E33/D33*100,2)</f>
        <v>95</v>
      </c>
    </row>
    <row r="34" customFormat="false" ht="15" hidden="false" customHeight="true" outlineLevel="0" collapsed="false">
      <c r="A34" s="13" t="n">
        <v>2025</v>
      </c>
      <c r="B34" s="13" t="s">
        <v>774</v>
      </c>
      <c r="C34" s="13" t="s">
        <v>1069</v>
      </c>
      <c r="D34" s="14" t="n">
        <v>18</v>
      </c>
      <c r="E34" s="14" t="n">
        <v>18</v>
      </c>
      <c r="F34" s="18" t="n">
        <v>100</v>
      </c>
      <c r="G34" s="16" t="n">
        <f aca="false">ROUND(E34/D34*100,2)</f>
        <v>100</v>
      </c>
    </row>
    <row r="35" customFormat="false" ht="15" hidden="false" customHeight="true" outlineLevel="0" collapsed="false">
      <c r="A35" s="13" t="n">
        <v>2025</v>
      </c>
      <c r="B35" s="13" t="s">
        <v>774</v>
      </c>
      <c r="C35" s="13" t="s">
        <v>143</v>
      </c>
      <c r="D35" s="14" t="n">
        <v>12</v>
      </c>
      <c r="E35" s="14" t="n">
        <v>12</v>
      </c>
      <c r="F35" s="18" t="n">
        <v>100</v>
      </c>
      <c r="G35" s="16" t="n">
        <f aca="false">ROUND(E35/D35*100,2)</f>
        <v>100</v>
      </c>
    </row>
    <row r="36" customFormat="false" ht="15" hidden="false" customHeight="true" outlineLevel="0" collapsed="false">
      <c r="A36" s="13" t="n">
        <v>2025</v>
      </c>
      <c r="B36" s="13" t="s">
        <v>774</v>
      </c>
      <c r="C36" s="13" t="s">
        <v>799</v>
      </c>
      <c r="D36" s="14" t="n">
        <v>2</v>
      </c>
      <c r="E36" s="14" t="n">
        <v>0</v>
      </c>
      <c r="F36" s="18" t="n">
        <v>0</v>
      </c>
      <c r="G36" s="16" t="n">
        <f aca="false">ROUND(E36/D36*100,2)</f>
        <v>0</v>
      </c>
    </row>
    <row r="37" customFormat="false" ht="15" hidden="false" customHeight="true" outlineLevel="0" collapsed="false">
      <c r="A37" s="13" t="n">
        <v>2025</v>
      </c>
      <c r="B37" s="13" t="s">
        <v>773</v>
      </c>
      <c r="C37" s="13" t="s">
        <v>142</v>
      </c>
      <c r="D37" s="14" t="n">
        <v>35141</v>
      </c>
      <c r="E37" s="14" t="n">
        <v>21034</v>
      </c>
      <c r="F37" s="18" t="n">
        <v>60</v>
      </c>
      <c r="G37" s="16" t="n">
        <f aca="false">ROUND(E37/D37*100,2)</f>
        <v>59.86</v>
      </c>
    </row>
    <row r="38" customFormat="false" ht="15" hidden="false" customHeight="true" outlineLevel="0" collapsed="false">
      <c r="A38" s="13" t="n">
        <v>2025</v>
      </c>
      <c r="B38" s="13" t="s">
        <v>773</v>
      </c>
      <c r="C38" s="13" t="s">
        <v>410</v>
      </c>
      <c r="D38" s="14" t="n">
        <v>34920</v>
      </c>
      <c r="E38" s="14" t="n">
        <v>27982</v>
      </c>
      <c r="F38" s="18" t="n">
        <v>80</v>
      </c>
      <c r="G38" s="16" t="n">
        <f aca="false">ROUND(E38/D38*100,2)</f>
        <v>80.13</v>
      </c>
    </row>
    <row r="39" customFormat="false" ht="15" hidden="false" customHeight="true" outlineLevel="0" collapsed="false">
      <c r="A39" s="13" t="n">
        <v>2025</v>
      </c>
      <c r="B39" s="13" t="s">
        <v>773</v>
      </c>
      <c r="C39" s="13" t="s">
        <v>265</v>
      </c>
      <c r="D39" s="14" t="n">
        <v>34551</v>
      </c>
      <c r="E39" s="14" t="n">
        <v>30806</v>
      </c>
      <c r="F39" s="18" t="n">
        <v>89</v>
      </c>
      <c r="G39" s="16" t="n">
        <f aca="false">ROUND(E39/D39*100,2)</f>
        <v>89.16</v>
      </c>
    </row>
    <row r="40" customFormat="false" ht="15" hidden="false" customHeight="true" outlineLevel="0" collapsed="false">
      <c r="A40" s="13" t="n">
        <v>2025</v>
      </c>
      <c r="B40" s="13" t="s">
        <v>773</v>
      </c>
      <c r="C40" s="13" t="s">
        <v>1064</v>
      </c>
      <c r="D40" s="14" t="n">
        <v>34525</v>
      </c>
      <c r="E40" s="14" t="n">
        <v>30241</v>
      </c>
      <c r="F40" s="18" t="n">
        <v>88</v>
      </c>
      <c r="G40" s="16" t="n">
        <f aca="false">ROUND(E40/D40*100,2)</f>
        <v>87.59</v>
      </c>
    </row>
    <row r="41" customFormat="false" ht="15" hidden="false" customHeight="true" outlineLevel="0" collapsed="false">
      <c r="A41" s="13" t="n">
        <v>2025</v>
      </c>
      <c r="B41" s="13" t="s">
        <v>773</v>
      </c>
      <c r="C41" s="13" t="s">
        <v>165</v>
      </c>
      <c r="D41" s="14" t="n">
        <v>29322</v>
      </c>
      <c r="E41" s="14" t="n">
        <v>16577</v>
      </c>
      <c r="F41" s="18" t="n">
        <v>57</v>
      </c>
      <c r="G41" s="16" t="n">
        <f aca="false">ROUND(E41/D41*100,2)</f>
        <v>56.53</v>
      </c>
    </row>
    <row r="42" customFormat="false" ht="15" hidden="false" customHeight="true" outlineLevel="0" collapsed="false">
      <c r="A42" s="13" t="n">
        <v>2025</v>
      </c>
      <c r="B42" s="13" t="s">
        <v>773</v>
      </c>
      <c r="C42" s="13" t="s">
        <v>166</v>
      </c>
      <c r="D42" s="14" t="n">
        <v>22193</v>
      </c>
      <c r="E42" s="14" t="n">
        <v>11238</v>
      </c>
      <c r="F42" s="18" t="n">
        <v>51</v>
      </c>
      <c r="G42" s="16" t="n">
        <f aca="false">ROUND(E42/D42*100,2)</f>
        <v>50.64</v>
      </c>
    </row>
    <row r="43" customFormat="false" ht="15" hidden="false" customHeight="true" outlineLevel="0" collapsed="false">
      <c r="A43" s="13" t="n">
        <v>2025</v>
      </c>
      <c r="B43" s="13" t="s">
        <v>773</v>
      </c>
      <c r="C43" s="13" t="s">
        <v>167</v>
      </c>
      <c r="D43" s="14" t="n">
        <v>20328</v>
      </c>
      <c r="E43" s="14" t="n">
        <v>13055</v>
      </c>
      <c r="F43" s="18" t="n">
        <v>64</v>
      </c>
      <c r="G43" s="16" t="n">
        <f aca="false">ROUND(E43/D43*100,2)</f>
        <v>64.22</v>
      </c>
    </row>
    <row r="44" customFormat="false" ht="15" hidden="false" customHeight="true" outlineLevel="0" collapsed="false">
      <c r="A44" s="13" t="n">
        <v>2025</v>
      </c>
      <c r="B44" s="13" t="s">
        <v>773</v>
      </c>
      <c r="C44" s="13" t="s">
        <v>156</v>
      </c>
      <c r="D44" s="14" t="n">
        <v>9729</v>
      </c>
      <c r="E44" s="14" t="n">
        <v>3637</v>
      </c>
      <c r="F44" s="18" t="n">
        <v>37</v>
      </c>
      <c r="G44" s="16" t="n">
        <f aca="false">ROUND(E44/D44*100,2)</f>
        <v>37.38</v>
      </c>
    </row>
    <row r="45" customFormat="false" ht="15" hidden="false" customHeight="true" outlineLevel="0" collapsed="false">
      <c r="A45" s="13" t="n">
        <v>2025</v>
      </c>
      <c r="B45" s="13" t="s">
        <v>773</v>
      </c>
      <c r="C45" s="13" t="s">
        <v>170</v>
      </c>
      <c r="D45" s="14" t="n">
        <v>7823</v>
      </c>
      <c r="E45" s="14" t="n">
        <v>5761</v>
      </c>
      <c r="F45" s="18" t="n">
        <v>74</v>
      </c>
      <c r="G45" s="16" t="n">
        <f aca="false">ROUND(E45/D45*100,2)</f>
        <v>73.64</v>
      </c>
    </row>
    <row r="46" customFormat="false" ht="15" hidden="false" customHeight="true" outlineLevel="0" collapsed="false">
      <c r="A46" s="13" t="n">
        <v>2025</v>
      </c>
      <c r="B46" s="13" t="s">
        <v>773</v>
      </c>
      <c r="C46" s="13" t="s">
        <v>419</v>
      </c>
      <c r="D46" s="14" t="n">
        <v>4472</v>
      </c>
      <c r="E46" s="14" t="n">
        <v>3804</v>
      </c>
      <c r="F46" s="18" t="n">
        <v>85</v>
      </c>
      <c r="G46" s="16" t="n">
        <f aca="false">ROUND(E46/D46*100,2)</f>
        <v>85.06</v>
      </c>
    </row>
    <row r="47" customFormat="false" ht="15" hidden="false" customHeight="true" outlineLevel="0" collapsed="false">
      <c r="A47" s="13" t="n">
        <v>2025</v>
      </c>
      <c r="B47" s="13" t="s">
        <v>773</v>
      </c>
      <c r="C47" s="13" t="s">
        <v>154</v>
      </c>
      <c r="D47" s="14" t="n">
        <v>4396</v>
      </c>
      <c r="E47" s="14" t="n">
        <v>3111</v>
      </c>
      <c r="F47" s="18" t="n">
        <v>71</v>
      </c>
      <c r="G47" s="16" t="n">
        <f aca="false">ROUND(E47/D47*100,2)</f>
        <v>70.77</v>
      </c>
    </row>
    <row r="48" customFormat="false" ht="15" hidden="false" customHeight="true" outlineLevel="0" collapsed="false">
      <c r="A48" s="13" t="n">
        <v>2025</v>
      </c>
      <c r="B48" s="13" t="s">
        <v>773</v>
      </c>
      <c r="C48" s="13" t="s">
        <v>151</v>
      </c>
      <c r="D48" s="14" t="n">
        <v>2951</v>
      </c>
      <c r="E48" s="14" t="n">
        <v>2329</v>
      </c>
      <c r="F48" s="18" t="n">
        <v>79</v>
      </c>
      <c r="G48" s="16" t="n">
        <f aca="false">ROUND(E48/D48*100,2)</f>
        <v>78.92</v>
      </c>
    </row>
    <row r="49" customFormat="false" ht="15" hidden="false" customHeight="true" outlineLevel="0" collapsed="false">
      <c r="A49" s="13" t="n">
        <v>2025</v>
      </c>
      <c r="B49" s="13" t="s">
        <v>773</v>
      </c>
      <c r="C49" s="13" t="s">
        <v>158</v>
      </c>
      <c r="D49" s="14" t="n">
        <v>1890</v>
      </c>
      <c r="E49" s="14" t="n">
        <v>1696</v>
      </c>
      <c r="F49" s="18" t="n">
        <v>90</v>
      </c>
      <c r="G49" s="16" t="n">
        <f aca="false">ROUND(E49/D49*100,2)</f>
        <v>89.74</v>
      </c>
    </row>
    <row r="50" customFormat="false" ht="15" hidden="false" customHeight="true" outlineLevel="0" collapsed="false">
      <c r="A50" s="13" t="n">
        <v>2025</v>
      </c>
      <c r="B50" s="13" t="s">
        <v>773</v>
      </c>
      <c r="C50" s="13" t="s">
        <v>152</v>
      </c>
      <c r="D50" s="14" t="n">
        <v>638</v>
      </c>
      <c r="E50" s="14" t="n">
        <v>533</v>
      </c>
      <c r="F50" s="18" t="n">
        <v>84</v>
      </c>
      <c r="G50" s="16" t="n">
        <f aca="false">ROUND(E50/D50*100,2)</f>
        <v>83.54</v>
      </c>
    </row>
    <row r="51" customFormat="false" ht="15" hidden="false" customHeight="true" outlineLevel="0" collapsed="false">
      <c r="A51" s="13" t="n">
        <v>2025</v>
      </c>
      <c r="B51" s="13" t="s">
        <v>773</v>
      </c>
      <c r="C51" s="13" t="s">
        <v>155</v>
      </c>
      <c r="D51" s="14" t="n">
        <v>636</v>
      </c>
      <c r="E51" s="14" t="n">
        <v>452</v>
      </c>
      <c r="F51" s="18" t="n">
        <v>71</v>
      </c>
      <c r="G51" s="16" t="n">
        <f aca="false">ROUND(E51/D51*100,2)</f>
        <v>71.07</v>
      </c>
    </row>
    <row r="52" customFormat="false" ht="15" hidden="false" customHeight="true" outlineLevel="0" collapsed="false">
      <c r="A52" s="13" t="n">
        <v>2025</v>
      </c>
      <c r="B52" s="13" t="s">
        <v>773</v>
      </c>
      <c r="C52" s="13" t="s">
        <v>168</v>
      </c>
      <c r="D52" s="14" t="n">
        <v>311</v>
      </c>
      <c r="E52" s="14" t="n">
        <v>261</v>
      </c>
      <c r="F52" s="18" t="n">
        <v>84</v>
      </c>
      <c r="G52" s="16" t="n">
        <f aca="false">ROUND(E52/D52*100,2)</f>
        <v>83.92</v>
      </c>
    </row>
    <row r="53" customFormat="false" ht="15" hidden="false" customHeight="true" outlineLevel="0" collapsed="false">
      <c r="A53" s="13" t="n">
        <v>2025</v>
      </c>
      <c r="B53" s="13" t="s">
        <v>773</v>
      </c>
      <c r="C53" s="13" t="s">
        <v>153</v>
      </c>
      <c r="D53" s="14" t="n">
        <v>295</v>
      </c>
      <c r="E53" s="14" t="n">
        <v>270</v>
      </c>
      <c r="F53" s="18" t="n">
        <v>92</v>
      </c>
      <c r="G53" s="16" t="n">
        <f aca="false">ROUND(E53/D53*100,2)</f>
        <v>91.53</v>
      </c>
    </row>
    <row r="54" customFormat="false" ht="15" hidden="false" customHeight="true" outlineLevel="0" collapsed="false">
      <c r="A54" s="13" t="n">
        <v>2025</v>
      </c>
      <c r="B54" s="13" t="s">
        <v>773</v>
      </c>
      <c r="C54" s="13" t="s">
        <v>525</v>
      </c>
      <c r="D54" s="14" t="n">
        <v>248</v>
      </c>
      <c r="E54" s="14" t="n">
        <v>237</v>
      </c>
      <c r="F54" s="18" t="n">
        <v>96</v>
      </c>
      <c r="G54" s="16" t="n">
        <f aca="false">ROUND(E54/D54*100,2)</f>
        <v>95.56</v>
      </c>
    </row>
    <row r="55" customFormat="false" ht="15" hidden="false" customHeight="true" outlineLevel="0" collapsed="false">
      <c r="A55" s="13" t="n">
        <v>2025</v>
      </c>
      <c r="B55" s="13" t="s">
        <v>773</v>
      </c>
      <c r="C55" s="13" t="s">
        <v>163</v>
      </c>
      <c r="D55" s="14" t="n">
        <v>235</v>
      </c>
      <c r="E55" s="14" t="n">
        <v>220</v>
      </c>
      <c r="F55" s="18" t="n">
        <v>94</v>
      </c>
      <c r="G55" s="16" t="n">
        <f aca="false">ROUND(E55/D55*100,2)</f>
        <v>93.62</v>
      </c>
    </row>
    <row r="56" customFormat="false" ht="15" hidden="false" customHeight="true" outlineLevel="0" collapsed="false">
      <c r="A56" s="13" t="n">
        <v>2025</v>
      </c>
      <c r="B56" s="13" t="s">
        <v>773</v>
      </c>
      <c r="C56" s="13" t="s">
        <v>161</v>
      </c>
      <c r="D56" s="14" t="n">
        <v>142</v>
      </c>
      <c r="E56" s="14" t="n">
        <v>140</v>
      </c>
      <c r="F56" s="18" t="n">
        <v>99</v>
      </c>
      <c r="G56" s="16" t="n">
        <f aca="false">ROUND(E56/D56*100,2)</f>
        <v>98.59</v>
      </c>
    </row>
    <row r="57" customFormat="false" ht="15" hidden="false" customHeight="true" outlineLevel="0" collapsed="false">
      <c r="A57" s="13" t="n">
        <v>2025</v>
      </c>
      <c r="B57" s="13" t="s">
        <v>773</v>
      </c>
      <c r="C57" s="13" t="s">
        <v>162</v>
      </c>
      <c r="D57" s="14" t="n">
        <v>104</v>
      </c>
      <c r="E57" s="14" t="n">
        <v>98</v>
      </c>
      <c r="F57" s="18" t="n">
        <v>94</v>
      </c>
      <c r="G57" s="16" t="n">
        <f aca="false">ROUND(E57/D57*100,2)</f>
        <v>94.23</v>
      </c>
    </row>
    <row r="58" customFormat="false" ht="15" hidden="false" customHeight="true" outlineLevel="0" collapsed="false">
      <c r="A58" s="13" t="n">
        <v>2025</v>
      </c>
      <c r="B58" s="13" t="s">
        <v>773</v>
      </c>
      <c r="C58" s="13" t="s">
        <v>1066</v>
      </c>
      <c r="D58" s="14" t="n">
        <v>79</v>
      </c>
      <c r="E58" s="14" t="n">
        <v>47</v>
      </c>
      <c r="F58" s="18" t="n">
        <v>59</v>
      </c>
      <c r="G58" s="16" t="n">
        <f aca="false">ROUND(E58/D58*100,2)</f>
        <v>59.49</v>
      </c>
    </row>
    <row r="59" customFormat="false" ht="15" hidden="false" customHeight="true" outlineLevel="0" collapsed="false">
      <c r="A59" s="13" t="n">
        <v>2025</v>
      </c>
      <c r="B59" s="13" t="s">
        <v>773</v>
      </c>
      <c r="C59" s="13" t="s">
        <v>150</v>
      </c>
      <c r="D59" s="14" t="n">
        <v>75</v>
      </c>
      <c r="E59" s="14" t="n">
        <v>62</v>
      </c>
      <c r="F59" s="18" t="n">
        <v>83</v>
      </c>
      <c r="G59" s="16" t="n">
        <f aca="false">ROUND(E59/D59*100,2)</f>
        <v>82.67</v>
      </c>
    </row>
    <row r="60" customFormat="false" ht="15" hidden="false" customHeight="true" outlineLevel="0" collapsed="false">
      <c r="A60" s="13" t="n">
        <v>2025</v>
      </c>
      <c r="B60" s="13" t="s">
        <v>773</v>
      </c>
      <c r="C60" s="13" t="s">
        <v>159</v>
      </c>
      <c r="D60" s="14" t="n">
        <v>46</v>
      </c>
      <c r="E60" s="14" t="n">
        <v>44</v>
      </c>
      <c r="F60" s="18" t="n">
        <v>96</v>
      </c>
      <c r="G60" s="16" t="n">
        <f aca="false">ROUND(E60/D60*100,2)</f>
        <v>95.65</v>
      </c>
    </row>
    <row r="61" customFormat="false" ht="15" hidden="false" customHeight="true" outlineLevel="0" collapsed="false">
      <c r="A61" s="13" t="n">
        <v>2025</v>
      </c>
      <c r="B61" s="13" t="s">
        <v>773</v>
      </c>
      <c r="C61" s="13" t="s">
        <v>1068</v>
      </c>
      <c r="D61" s="14" t="n">
        <v>41</v>
      </c>
      <c r="E61" s="14" t="n">
        <v>37</v>
      </c>
      <c r="F61" s="18" t="n">
        <v>90</v>
      </c>
      <c r="G61" s="16" t="n">
        <f aca="false">ROUND(E61/D61*100,2)</f>
        <v>90.24</v>
      </c>
    </row>
    <row r="62" customFormat="false" ht="15" hidden="false" customHeight="true" outlineLevel="0" collapsed="false">
      <c r="A62" s="13" t="n">
        <v>2025</v>
      </c>
      <c r="B62" s="13" t="s">
        <v>773</v>
      </c>
      <c r="C62" s="13" t="s">
        <v>1070</v>
      </c>
      <c r="D62" s="14" t="n">
        <v>41</v>
      </c>
      <c r="E62" s="14" t="n">
        <v>41</v>
      </c>
      <c r="F62" s="18" t="n">
        <v>100</v>
      </c>
      <c r="G62" s="16" t="n">
        <f aca="false">ROUND(E62/D62*100,2)</f>
        <v>100</v>
      </c>
    </row>
    <row r="63" customFormat="false" ht="15" hidden="false" customHeight="true" outlineLevel="0" collapsed="false">
      <c r="A63" s="13" t="n">
        <v>2025</v>
      </c>
      <c r="B63" s="13" t="s">
        <v>773</v>
      </c>
      <c r="C63" s="13" t="s">
        <v>146</v>
      </c>
      <c r="D63" s="14" t="n">
        <v>39</v>
      </c>
      <c r="E63" s="14" t="n">
        <v>37</v>
      </c>
      <c r="F63" s="18" t="n">
        <v>95</v>
      </c>
      <c r="G63" s="16" t="n">
        <f aca="false">ROUND(E63/D63*100,2)</f>
        <v>94.87</v>
      </c>
    </row>
    <row r="64" customFormat="false" ht="15" hidden="false" customHeight="true" outlineLevel="0" collapsed="false">
      <c r="A64" s="13" t="n">
        <v>2025</v>
      </c>
      <c r="B64" s="13" t="s">
        <v>773</v>
      </c>
      <c r="C64" s="13" t="s">
        <v>1065</v>
      </c>
      <c r="D64" s="14" t="n">
        <v>23</v>
      </c>
      <c r="E64" s="14" t="n">
        <v>22</v>
      </c>
      <c r="F64" s="18" t="n">
        <v>96</v>
      </c>
      <c r="G64" s="16" t="n">
        <f aca="false">ROUND(E64/D64*100,2)</f>
        <v>95.65</v>
      </c>
    </row>
    <row r="65" customFormat="false" ht="15" hidden="false" customHeight="true" outlineLevel="0" collapsed="false">
      <c r="A65" s="13" t="n">
        <v>2025</v>
      </c>
      <c r="B65" s="13" t="s">
        <v>773</v>
      </c>
      <c r="C65" s="13" t="s">
        <v>143</v>
      </c>
      <c r="D65" s="14" t="n">
        <v>19</v>
      </c>
      <c r="E65" s="14" t="n">
        <v>18</v>
      </c>
      <c r="F65" s="18" t="n">
        <v>95</v>
      </c>
      <c r="G65" s="16" t="n">
        <f aca="false">ROUND(E65/D65*100,2)</f>
        <v>94.74</v>
      </c>
    </row>
    <row r="66" customFormat="false" ht="15" hidden="false" customHeight="true" outlineLevel="0" collapsed="false">
      <c r="A66" s="13" t="n">
        <v>2025</v>
      </c>
      <c r="B66" s="13" t="s">
        <v>773</v>
      </c>
      <c r="C66" s="13" t="s">
        <v>507</v>
      </c>
      <c r="D66" s="14" t="n">
        <v>18</v>
      </c>
      <c r="E66" s="14" t="n">
        <v>17</v>
      </c>
      <c r="F66" s="18" t="n">
        <v>94</v>
      </c>
      <c r="G66" s="16" t="n">
        <f aca="false">ROUND(E66/D66*100,2)</f>
        <v>94.44</v>
      </c>
    </row>
    <row r="67" customFormat="false" ht="15" hidden="false" customHeight="true" outlineLevel="0" collapsed="false">
      <c r="A67" s="13" t="n">
        <v>2025</v>
      </c>
      <c r="B67" s="13" t="s">
        <v>773</v>
      </c>
      <c r="C67" s="13" t="s">
        <v>293</v>
      </c>
      <c r="D67" s="14" t="n">
        <v>16</v>
      </c>
      <c r="E67" s="14" t="n">
        <v>16</v>
      </c>
      <c r="F67" s="18" t="n">
        <v>100</v>
      </c>
      <c r="G67" s="16" t="n">
        <f aca="false">ROUND(E67/D67*100,2)</f>
        <v>100</v>
      </c>
    </row>
    <row r="68" customFormat="false" ht="15" hidden="false" customHeight="true" outlineLevel="0" collapsed="false">
      <c r="A68" s="13" t="n">
        <v>2025</v>
      </c>
      <c r="B68" s="13" t="s">
        <v>773</v>
      </c>
      <c r="C68" s="13" t="s">
        <v>1067</v>
      </c>
      <c r="D68" s="14" t="n">
        <v>14</v>
      </c>
      <c r="E68" s="14" t="n">
        <v>14</v>
      </c>
      <c r="F68" s="18" t="n">
        <v>100</v>
      </c>
      <c r="G68" s="16" t="n">
        <f aca="false">ROUND(E68/D68*100,2)</f>
        <v>100</v>
      </c>
    </row>
    <row r="69" customFormat="false" ht="15" hidden="false" customHeight="true" outlineLevel="0" collapsed="false">
      <c r="A69" s="13" t="n">
        <v>2025</v>
      </c>
      <c r="B69" s="13" t="s">
        <v>773</v>
      </c>
      <c r="C69" s="13" t="s">
        <v>145</v>
      </c>
      <c r="D69" s="14" t="n">
        <v>2</v>
      </c>
      <c r="E69" s="14" t="n">
        <v>1</v>
      </c>
      <c r="F69" s="18" t="n">
        <v>50</v>
      </c>
      <c r="G69" s="16" t="n">
        <f aca="false">ROUND(E69/D69*100,2)</f>
        <v>50</v>
      </c>
    </row>
    <row r="70" customFormat="false" ht="15" hidden="false" customHeight="true" outlineLevel="0" collapsed="false">
      <c r="A70" s="13" t="n">
        <v>2025</v>
      </c>
      <c r="B70" s="13" t="s">
        <v>773</v>
      </c>
      <c r="C70" s="13" t="s">
        <v>799</v>
      </c>
      <c r="D70" s="14" t="n">
        <v>2</v>
      </c>
      <c r="E70" s="14" t="n">
        <v>0</v>
      </c>
      <c r="F70" s="18" t="n">
        <v>0</v>
      </c>
      <c r="G70" s="16" t="n">
        <f aca="false">ROUND(E70/D70*100,2)</f>
        <v>0</v>
      </c>
    </row>
    <row r="71" customFormat="false" ht="15" hidden="false" customHeight="true" outlineLevel="0" collapsed="false">
      <c r="A71" s="13" t="n">
        <v>2025</v>
      </c>
      <c r="B71" s="13" t="s">
        <v>773</v>
      </c>
      <c r="C71" s="13" t="s">
        <v>1071</v>
      </c>
      <c r="D71" s="14" t="n">
        <v>1</v>
      </c>
      <c r="E71" s="14" t="n">
        <v>0</v>
      </c>
      <c r="F71" s="18" t="n">
        <v>0</v>
      </c>
      <c r="G71" s="16" t="n">
        <f aca="false">ROUND(E71/D71*100,2)</f>
        <v>0</v>
      </c>
    </row>
    <row r="72" customFormat="false" ht="15" hidden="false" customHeight="true" outlineLevel="0" collapsed="false">
      <c r="A72" s="13" t="n">
        <v>2026</v>
      </c>
      <c r="B72" s="13" t="s">
        <v>774</v>
      </c>
      <c r="C72" s="13" t="s">
        <v>149</v>
      </c>
      <c r="D72" s="14" t="n">
        <v>28539</v>
      </c>
      <c r="E72" s="14" t="n">
        <v>14818</v>
      </c>
      <c r="F72" s="18" t="n">
        <v>52</v>
      </c>
      <c r="G72" s="16" t="n">
        <f aca="false">ROUND(E72/D72*100,2)</f>
        <v>51.92</v>
      </c>
    </row>
    <row r="73" customFormat="false" ht="15" hidden="false" customHeight="true" outlineLevel="0" collapsed="false">
      <c r="A73" s="13" t="n">
        <v>2026</v>
      </c>
      <c r="B73" s="13" t="s">
        <v>774</v>
      </c>
      <c r="C73" s="13" t="s">
        <v>142</v>
      </c>
      <c r="D73" s="14" t="n">
        <v>28519</v>
      </c>
      <c r="E73" s="14" t="n">
        <v>22073</v>
      </c>
      <c r="F73" s="18" t="n">
        <v>77</v>
      </c>
      <c r="G73" s="16" t="n">
        <f aca="false">ROUND(E73/D73*100,2)</f>
        <v>77.4</v>
      </c>
    </row>
    <row r="74" customFormat="false" ht="15" hidden="false" customHeight="true" outlineLevel="0" collapsed="false">
      <c r="A74" s="13" t="n">
        <v>2026</v>
      </c>
      <c r="B74" s="13" t="s">
        <v>774</v>
      </c>
      <c r="C74" s="13" t="s">
        <v>410</v>
      </c>
      <c r="D74" s="14" t="n">
        <v>28076</v>
      </c>
      <c r="E74" s="14" t="n">
        <v>25549</v>
      </c>
      <c r="F74" s="18" t="n">
        <v>91</v>
      </c>
      <c r="G74" s="16" t="n">
        <f aca="false">ROUND(E74/D74*100,2)</f>
        <v>91</v>
      </c>
    </row>
    <row r="75" customFormat="false" ht="15" hidden="false" customHeight="true" outlineLevel="0" collapsed="false">
      <c r="A75" s="13" t="n">
        <v>2026</v>
      </c>
      <c r="B75" s="13" t="s">
        <v>774</v>
      </c>
      <c r="C75" s="13" t="s">
        <v>1064</v>
      </c>
      <c r="D75" s="14" t="n">
        <v>27368</v>
      </c>
      <c r="E75" s="14" t="n">
        <v>24442</v>
      </c>
      <c r="F75" s="18" t="n">
        <v>89</v>
      </c>
      <c r="G75" s="16" t="n">
        <f aca="false">ROUND(E75/D75*100,2)</f>
        <v>89.31</v>
      </c>
    </row>
    <row r="76" customFormat="false" ht="15" hidden="false" customHeight="true" outlineLevel="0" collapsed="false">
      <c r="A76" s="13" t="n">
        <v>2026</v>
      </c>
      <c r="B76" s="13" t="s">
        <v>774</v>
      </c>
      <c r="C76" s="13" t="s">
        <v>165</v>
      </c>
      <c r="D76" s="14" t="n">
        <v>24313</v>
      </c>
      <c r="E76" s="14" t="n">
        <v>12524</v>
      </c>
      <c r="F76" s="18" t="n">
        <v>52</v>
      </c>
      <c r="G76" s="16" t="n">
        <f aca="false">ROUND(E76/D76*100,2)</f>
        <v>51.51</v>
      </c>
    </row>
    <row r="77" customFormat="false" ht="15" hidden="false" customHeight="true" outlineLevel="0" collapsed="false">
      <c r="A77" s="13" t="n">
        <v>2026</v>
      </c>
      <c r="B77" s="13" t="s">
        <v>774</v>
      </c>
      <c r="C77" s="13" t="s">
        <v>166</v>
      </c>
      <c r="D77" s="14" t="n">
        <v>18940</v>
      </c>
      <c r="E77" s="14" t="n">
        <v>9975</v>
      </c>
      <c r="F77" s="18" t="n">
        <v>53</v>
      </c>
      <c r="G77" s="16" t="n">
        <f aca="false">ROUND(E77/D77*100,2)</f>
        <v>52.67</v>
      </c>
    </row>
    <row r="78" customFormat="false" ht="15" hidden="false" customHeight="true" outlineLevel="0" collapsed="false">
      <c r="A78" s="13" t="n">
        <v>2026</v>
      </c>
      <c r="B78" s="13" t="s">
        <v>774</v>
      </c>
      <c r="C78" s="13" t="s">
        <v>167</v>
      </c>
      <c r="D78" s="14" t="n">
        <v>17329</v>
      </c>
      <c r="E78" s="14" t="n">
        <v>9965</v>
      </c>
      <c r="F78" s="18" t="n">
        <v>58</v>
      </c>
      <c r="G78" s="16" t="n">
        <f aca="false">ROUND(E78/D78*100,2)</f>
        <v>57.5</v>
      </c>
    </row>
    <row r="79" customFormat="false" ht="15" hidden="false" customHeight="true" outlineLevel="0" collapsed="false">
      <c r="A79" s="13" t="n">
        <v>2026</v>
      </c>
      <c r="B79" s="13" t="s">
        <v>774</v>
      </c>
      <c r="C79" s="13" t="s">
        <v>156</v>
      </c>
      <c r="D79" s="14" t="n">
        <v>8470</v>
      </c>
      <c r="E79" s="14" t="n">
        <v>3978</v>
      </c>
      <c r="F79" s="18" t="n">
        <v>47</v>
      </c>
      <c r="G79" s="16" t="n">
        <f aca="false">ROUND(E79/D79*100,2)</f>
        <v>46.97</v>
      </c>
    </row>
    <row r="80" customFormat="false" ht="15" hidden="false" customHeight="true" outlineLevel="0" collapsed="false">
      <c r="A80" s="13" t="n">
        <v>2026</v>
      </c>
      <c r="B80" s="13" t="s">
        <v>774</v>
      </c>
      <c r="C80" s="13" t="s">
        <v>170</v>
      </c>
      <c r="D80" s="14" t="n">
        <v>6170</v>
      </c>
      <c r="E80" s="14" t="n">
        <v>3781</v>
      </c>
      <c r="F80" s="18" t="n">
        <v>61</v>
      </c>
      <c r="G80" s="16" t="n">
        <f aca="false">ROUND(E80/D80*100,2)</f>
        <v>61.28</v>
      </c>
    </row>
    <row r="81" customFormat="false" ht="15" hidden="false" customHeight="true" outlineLevel="0" collapsed="false">
      <c r="A81" s="13" t="n">
        <v>2026</v>
      </c>
      <c r="B81" s="13" t="s">
        <v>774</v>
      </c>
      <c r="C81" s="13" t="s">
        <v>419</v>
      </c>
      <c r="D81" s="14" t="n">
        <v>2907</v>
      </c>
      <c r="E81" s="14" t="n">
        <v>2637</v>
      </c>
      <c r="F81" s="18" t="n">
        <v>91</v>
      </c>
      <c r="G81" s="16" t="n">
        <f aca="false">ROUND(E81/D81*100,2)</f>
        <v>90.71</v>
      </c>
    </row>
    <row r="82" customFormat="false" ht="15" hidden="false" customHeight="true" outlineLevel="0" collapsed="false">
      <c r="A82" s="13" t="n">
        <v>2026</v>
      </c>
      <c r="B82" s="13" t="s">
        <v>774</v>
      </c>
      <c r="C82" s="13" t="s">
        <v>154</v>
      </c>
      <c r="D82" s="14" t="n">
        <v>2893</v>
      </c>
      <c r="E82" s="14" t="n">
        <v>2334</v>
      </c>
      <c r="F82" s="18" t="n">
        <v>81</v>
      </c>
      <c r="G82" s="16" t="n">
        <f aca="false">ROUND(E82/D82*100,2)</f>
        <v>80.68</v>
      </c>
    </row>
    <row r="83" customFormat="false" ht="15" hidden="false" customHeight="true" outlineLevel="0" collapsed="false">
      <c r="A83" s="13" t="n">
        <v>2026</v>
      </c>
      <c r="B83" s="13" t="s">
        <v>774</v>
      </c>
      <c r="C83" s="13" t="s">
        <v>151</v>
      </c>
      <c r="D83" s="14" t="n">
        <v>1728</v>
      </c>
      <c r="E83" s="14" t="n">
        <v>1506</v>
      </c>
      <c r="F83" s="18" t="n">
        <v>87</v>
      </c>
      <c r="G83" s="16" t="n">
        <f aca="false">ROUND(E83/D83*100,2)</f>
        <v>87.15</v>
      </c>
    </row>
    <row r="84" customFormat="false" ht="15" hidden="false" customHeight="true" outlineLevel="0" collapsed="false">
      <c r="A84" s="13" t="n">
        <v>2026</v>
      </c>
      <c r="B84" s="13" t="s">
        <v>774</v>
      </c>
      <c r="C84" s="13" t="s">
        <v>158</v>
      </c>
      <c r="D84" s="14" t="n">
        <v>1528</v>
      </c>
      <c r="E84" s="14" t="n">
        <v>1156</v>
      </c>
      <c r="F84" s="18" t="n">
        <v>76</v>
      </c>
      <c r="G84" s="16" t="n">
        <f aca="false">ROUND(E84/D84*100,2)</f>
        <v>75.65</v>
      </c>
    </row>
    <row r="85" customFormat="false" ht="15" hidden="false" customHeight="true" outlineLevel="0" collapsed="false">
      <c r="A85" s="13" t="n">
        <v>2026</v>
      </c>
      <c r="B85" s="13" t="s">
        <v>774</v>
      </c>
      <c r="C85" s="13" t="s">
        <v>155</v>
      </c>
      <c r="D85" s="14" t="n">
        <v>516</v>
      </c>
      <c r="E85" s="14" t="n">
        <v>460</v>
      </c>
      <c r="F85" s="18" t="n">
        <v>89</v>
      </c>
      <c r="G85" s="16" t="n">
        <f aca="false">ROUND(E85/D85*100,2)</f>
        <v>89.15</v>
      </c>
    </row>
    <row r="86" customFormat="false" ht="15" hidden="false" customHeight="true" outlineLevel="0" collapsed="false">
      <c r="A86" s="13" t="n">
        <v>2026</v>
      </c>
      <c r="B86" s="13" t="s">
        <v>774</v>
      </c>
      <c r="C86" s="13" t="s">
        <v>152</v>
      </c>
      <c r="D86" s="14" t="n">
        <v>495</v>
      </c>
      <c r="E86" s="14" t="n">
        <v>419</v>
      </c>
      <c r="F86" s="18" t="n">
        <v>85</v>
      </c>
      <c r="G86" s="16" t="n">
        <f aca="false">ROUND(E86/D86*100,2)</f>
        <v>84.65</v>
      </c>
    </row>
    <row r="87" customFormat="false" ht="15" hidden="false" customHeight="true" outlineLevel="0" collapsed="false">
      <c r="A87" s="13" t="n">
        <v>2026</v>
      </c>
      <c r="B87" s="13" t="s">
        <v>774</v>
      </c>
      <c r="C87" s="13" t="s">
        <v>153</v>
      </c>
      <c r="D87" s="14" t="n">
        <v>287</v>
      </c>
      <c r="E87" s="14" t="n">
        <v>272</v>
      </c>
      <c r="F87" s="18" t="n">
        <v>95</v>
      </c>
      <c r="G87" s="16" t="n">
        <f aca="false">ROUND(E87/D87*100,2)</f>
        <v>94.77</v>
      </c>
    </row>
    <row r="88" customFormat="false" ht="15" hidden="false" customHeight="true" outlineLevel="0" collapsed="false">
      <c r="A88" s="13" t="n">
        <v>2026</v>
      </c>
      <c r="B88" s="13" t="s">
        <v>774</v>
      </c>
      <c r="C88" s="13" t="s">
        <v>525</v>
      </c>
      <c r="D88" s="14" t="n">
        <v>227</v>
      </c>
      <c r="E88" s="14" t="n">
        <v>219</v>
      </c>
      <c r="F88" s="18" t="n">
        <v>96</v>
      </c>
      <c r="G88" s="16" t="n">
        <f aca="false">ROUND(E88/D88*100,2)</f>
        <v>96.48</v>
      </c>
    </row>
    <row r="89" customFormat="false" ht="15" hidden="false" customHeight="true" outlineLevel="0" collapsed="false">
      <c r="A89" s="13" t="n">
        <v>2026</v>
      </c>
      <c r="B89" s="13" t="s">
        <v>774</v>
      </c>
      <c r="C89" s="13" t="s">
        <v>163</v>
      </c>
      <c r="D89" s="14" t="n">
        <v>142</v>
      </c>
      <c r="E89" s="14" t="n">
        <v>131</v>
      </c>
      <c r="F89" s="18" t="n">
        <v>92</v>
      </c>
      <c r="G89" s="16" t="n">
        <f aca="false">ROUND(E89/D89*100,2)</f>
        <v>92.25</v>
      </c>
    </row>
    <row r="90" customFormat="false" ht="15" hidden="false" customHeight="true" outlineLevel="0" collapsed="false">
      <c r="A90" s="13" t="n">
        <v>2026</v>
      </c>
      <c r="B90" s="13" t="s">
        <v>774</v>
      </c>
      <c r="C90" s="13" t="s">
        <v>161</v>
      </c>
      <c r="D90" s="14" t="n">
        <v>137</v>
      </c>
      <c r="E90" s="14" t="n">
        <v>129</v>
      </c>
      <c r="F90" s="18" t="n">
        <v>94</v>
      </c>
      <c r="G90" s="16" t="n">
        <f aca="false">ROUND(E90/D90*100,2)</f>
        <v>94.16</v>
      </c>
    </row>
    <row r="91" customFormat="false" ht="15" hidden="false" customHeight="true" outlineLevel="0" collapsed="false">
      <c r="A91" s="13" t="n">
        <v>2026</v>
      </c>
      <c r="B91" s="13" t="s">
        <v>774</v>
      </c>
      <c r="C91" s="13" t="s">
        <v>168</v>
      </c>
      <c r="D91" s="14" t="n">
        <v>127</v>
      </c>
      <c r="E91" s="14" t="n">
        <v>117</v>
      </c>
      <c r="F91" s="18" t="n">
        <v>92</v>
      </c>
      <c r="G91" s="16" t="n">
        <f aca="false">ROUND(E91/D91*100,2)</f>
        <v>92.13</v>
      </c>
    </row>
    <row r="92" customFormat="false" ht="15" hidden="false" customHeight="true" outlineLevel="0" collapsed="false">
      <c r="A92" s="13" t="n">
        <v>2026</v>
      </c>
      <c r="B92" s="13" t="s">
        <v>774</v>
      </c>
      <c r="C92" s="13" t="s">
        <v>150</v>
      </c>
      <c r="D92" s="14" t="n">
        <v>51</v>
      </c>
      <c r="E92" s="14" t="n">
        <v>44</v>
      </c>
      <c r="F92" s="18" t="n">
        <v>86</v>
      </c>
      <c r="G92" s="16" t="n">
        <f aca="false">ROUND(E92/D92*100,2)</f>
        <v>86.27</v>
      </c>
    </row>
    <row r="93" customFormat="false" ht="15" hidden="false" customHeight="true" outlineLevel="0" collapsed="false">
      <c r="A93" s="13" t="n">
        <v>2026</v>
      </c>
      <c r="B93" s="13" t="s">
        <v>774</v>
      </c>
      <c r="C93" s="13" t="s">
        <v>162</v>
      </c>
      <c r="D93" s="14" t="n">
        <v>51</v>
      </c>
      <c r="E93" s="14" t="n">
        <v>47</v>
      </c>
      <c r="F93" s="18" t="n">
        <v>92</v>
      </c>
      <c r="G93" s="16" t="n">
        <f aca="false">ROUND(E93/D93*100,2)</f>
        <v>92.16</v>
      </c>
    </row>
    <row r="94" customFormat="false" ht="15" hidden="false" customHeight="true" outlineLevel="0" collapsed="false">
      <c r="A94" s="13" t="n">
        <v>2026</v>
      </c>
      <c r="B94" s="13" t="s">
        <v>774</v>
      </c>
      <c r="C94" s="13" t="s">
        <v>1066</v>
      </c>
      <c r="D94" s="14" t="n">
        <v>42</v>
      </c>
      <c r="E94" s="14" t="n">
        <v>30</v>
      </c>
      <c r="F94" s="18" t="n">
        <v>71</v>
      </c>
      <c r="G94" s="16" t="n">
        <f aca="false">ROUND(E94/D94*100,2)</f>
        <v>71.43</v>
      </c>
    </row>
    <row r="95" customFormat="false" ht="15" hidden="false" customHeight="true" outlineLevel="0" collapsed="false">
      <c r="A95" s="13" t="n">
        <v>2026</v>
      </c>
      <c r="B95" s="13" t="s">
        <v>774</v>
      </c>
      <c r="C95" s="13" t="s">
        <v>542</v>
      </c>
      <c r="D95" s="14" t="n">
        <v>38</v>
      </c>
      <c r="E95" s="14" t="n">
        <v>38</v>
      </c>
      <c r="F95" s="18" t="n">
        <v>100</v>
      </c>
      <c r="G95" s="16" t="n">
        <f aca="false">ROUND(E95/D95*100,2)</f>
        <v>100</v>
      </c>
    </row>
    <row r="96" customFormat="false" ht="15" hidden="false" customHeight="true" outlineLevel="0" collapsed="false">
      <c r="A96" s="13" t="n">
        <v>2026</v>
      </c>
      <c r="B96" s="13" t="s">
        <v>774</v>
      </c>
      <c r="C96" s="13" t="s">
        <v>159</v>
      </c>
      <c r="D96" s="14" t="n">
        <v>38</v>
      </c>
      <c r="E96" s="14" t="n">
        <v>38</v>
      </c>
      <c r="F96" s="18" t="n">
        <v>100</v>
      </c>
      <c r="G96" s="16" t="n">
        <f aca="false">ROUND(E96/D96*100,2)</f>
        <v>100</v>
      </c>
    </row>
    <row r="97" customFormat="false" ht="15" hidden="false" customHeight="true" outlineLevel="0" collapsed="false">
      <c r="A97" s="13" t="n">
        <v>2026</v>
      </c>
      <c r="B97" s="13" t="s">
        <v>774</v>
      </c>
      <c r="C97" s="13" t="s">
        <v>1068</v>
      </c>
      <c r="D97" s="14" t="n">
        <v>37</v>
      </c>
      <c r="E97" s="14" t="n">
        <v>35</v>
      </c>
      <c r="F97" s="18" t="n">
        <v>95</v>
      </c>
      <c r="G97" s="16" t="n">
        <f aca="false">ROUND(E97/D97*100,2)</f>
        <v>94.59</v>
      </c>
    </row>
    <row r="98" customFormat="false" ht="15" hidden="false" customHeight="true" outlineLevel="0" collapsed="false">
      <c r="A98" s="13" t="n">
        <v>2026</v>
      </c>
      <c r="B98" s="13" t="s">
        <v>774</v>
      </c>
      <c r="C98" s="13" t="s">
        <v>146</v>
      </c>
      <c r="D98" s="14" t="n">
        <v>37</v>
      </c>
      <c r="E98" s="14" t="n">
        <v>35</v>
      </c>
      <c r="F98" s="18" t="n">
        <v>95</v>
      </c>
      <c r="G98" s="16" t="n">
        <f aca="false">ROUND(E98/D98*100,2)</f>
        <v>94.59</v>
      </c>
    </row>
    <row r="99" customFormat="false" ht="15" hidden="false" customHeight="true" outlineLevel="0" collapsed="false">
      <c r="A99" s="13" t="n">
        <v>2026</v>
      </c>
      <c r="B99" s="13" t="s">
        <v>774</v>
      </c>
      <c r="C99" s="13" t="s">
        <v>1065</v>
      </c>
      <c r="D99" s="14" t="n">
        <v>25</v>
      </c>
      <c r="E99" s="14" t="n">
        <v>20</v>
      </c>
      <c r="F99" s="18" t="n">
        <v>80</v>
      </c>
      <c r="G99" s="16" t="n">
        <f aca="false">ROUND(E99/D99*100,2)</f>
        <v>80</v>
      </c>
    </row>
    <row r="100" customFormat="false" ht="15" hidden="false" customHeight="true" outlineLevel="0" collapsed="false">
      <c r="A100" s="13" t="n">
        <v>2026</v>
      </c>
      <c r="B100" s="13" t="s">
        <v>774</v>
      </c>
      <c r="C100" s="13" t="s">
        <v>143</v>
      </c>
      <c r="D100" s="14" t="n">
        <v>16</v>
      </c>
      <c r="E100" s="14" t="n">
        <v>16</v>
      </c>
      <c r="F100" s="18" t="n">
        <v>100</v>
      </c>
      <c r="G100" s="16" t="n">
        <f aca="false">ROUND(E100/D100*100,2)</f>
        <v>100</v>
      </c>
    </row>
    <row r="101" customFormat="false" ht="15" hidden="false" customHeight="true" outlineLevel="0" collapsed="false">
      <c r="A101" s="13" t="n">
        <v>2026</v>
      </c>
      <c r="B101" s="13" t="s">
        <v>774</v>
      </c>
      <c r="C101" s="13" t="s">
        <v>507</v>
      </c>
      <c r="D101" s="14" t="n">
        <v>16</v>
      </c>
      <c r="E101" s="14" t="n">
        <v>0</v>
      </c>
      <c r="F101" s="18" t="n">
        <v>0</v>
      </c>
      <c r="G101" s="16" t="n">
        <f aca="false">ROUND(E101/D101*100,2)</f>
        <v>0</v>
      </c>
    </row>
    <row r="102" customFormat="false" ht="15" hidden="false" customHeight="true" outlineLevel="0" collapsed="false">
      <c r="A102" s="13" t="n">
        <v>2026</v>
      </c>
      <c r="B102" s="13" t="s">
        <v>774</v>
      </c>
      <c r="C102" s="13" t="s">
        <v>1067</v>
      </c>
      <c r="D102" s="14" t="n">
        <v>14</v>
      </c>
      <c r="E102" s="14" t="n">
        <v>14</v>
      </c>
      <c r="F102" s="18" t="n">
        <v>100</v>
      </c>
      <c r="G102" s="16" t="n">
        <f aca="false">ROUND(E102/D102*100,2)</f>
        <v>100</v>
      </c>
    </row>
    <row r="103" customFormat="false" ht="15" hidden="false" customHeight="true" outlineLevel="0" collapsed="false">
      <c r="A103" s="13" t="n">
        <v>2026</v>
      </c>
      <c r="B103" s="13" t="s">
        <v>774</v>
      </c>
      <c r="C103" s="13" t="s">
        <v>1069</v>
      </c>
      <c r="D103" s="14" t="n">
        <v>14</v>
      </c>
      <c r="E103" s="14" t="n">
        <v>14</v>
      </c>
      <c r="F103" s="18" t="n">
        <v>100</v>
      </c>
      <c r="G103" s="16" t="n">
        <f aca="false">ROUND(E103/D103*100,2)</f>
        <v>100</v>
      </c>
    </row>
    <row r="104" customFormat="false" ht="15" hidden="false" customHeight="true" outlineLevel="0" collapsed="false">
      <c r="A104" s="13" t="n">
        <v>2026</v>
      </c>
      <c r="B104" s="13" t="s">
        <v>774</v>
      </c>
      <c r="C104" s="13" t="s">
        <v>145</v>
      </c>
      <c r="D104" s="14" t="n">
        <v>1</v>
      </c>
      <c r="E104" s="14" t="n">
        <v>1</v>
      </c>
      <c r="F104" s="18" t="n">
        <v>100</v>
      </c>
      <c r="G104" s="16" t="n">
        <f aca="false">ROUND(E104/D104*100,2)</f>
        <v>100</v>
      </c>
    </row>
    <row r="105" customFormat="false" ht="15" hidden="false" customHeight="true" outlineLevel="0" collapsed="false">
      <c r="A105" s="13" t="n">
        <v>2026</v>
      </c>
      <c r="B105" s="13" t="s">
        <v>773</v>
      </c>
      <c r="C105" s="13" t="s">
        <v>142</v>
      </c>
      <c r="D105" s="14" t="n">
        <v>28868</v>
      </c>
      <c r="E105" s="14" t="n">
        <v>21327</v>
      </c>
      <c r="F105" s="18" t="n">
        <v>74</v>
      </c>
      <c r="G105" s="16" t="n">
        <f aca="false">ROUND(E105/D105*100,2)</f>
        <v>73.88</v>
      </c>
    </row>
    <row r="106" customFormat="false" ht="15" hidden="false" customHeight="true" outlineLevel="0" collapsed="false">
      <c r="A106" s="13" t="n">
        <v>2026</v>
      </c>
      <c r="B106" s="13" t="s">
        <v>773</v>
      </c>
      <c r="C106" s="13" t="s">
        <v>165</v>
      </c>
      <c r="D106" s="14" t="n">
        <v>26545</v>
      </c>
      <c r="E106" s="14" t="n">
        <v>10155</v>
      </c>
      <c r="F106" s="18" t="n">
        <v>38</v>
      </c>
      <c r="G106" s="16" t="n">
        <f aca="false">ROUND(E106/D106*100,2)</f>
        <v>38.26</v>
      </c>
    </row>
    <row r="107" customFormat="false" ht="15" hidden="false" customHeight="true" outlineLevel="0" collapsed="false">
      <c r="A107" s="13" t="n">
        <v>2026</v>
      </c>
      <c r="B107" s="13" t="s">
        <v>773</v>
      </c>
      <c r="C107" s="13" t="s">
        <v>410</v>
      </c>
      <c r="D107" s="14" t="n">
        <v>26289</v>
      </c>
      <c r="E107" s="14" t="n">
        <v>22550</v>
      </c>
      <c r="F107" s="18" t="n">
        <v>86</v>
      </c>
      <c r="G107" s="16" t="n">
        <f aca="false">ROUND(E107/D107*100,2)</f>
        <v>85.78</v>
      </c>
    </row>
    <row r="108" customFormat="false" ht="15" hidden="false" customHeight="true" outlineLevel="0" collapsed="false">
      <c r="A108" s="13" t="n">
        <v>2026</v>
      </c>
      <c r="B108" s="13" t="s">
        <v>773</v>
      </c>
      <c r="C108" s="13" t="s">
        <v>265</v>
      </c>
      <c r="D108" s="14" t="n">
        <v>24461</v>
      </c>
      <c r="E108" s="14" t="n">
        <v>19110</v>
      </c>
      <c r="F108" s="18" t="n">
        <v>78</v>
      </c>
      <c r="G108" s="16" t="n">
        <f aca="false">ROUND(E108/D108*100,2)</f>
        <v>78.12</v>
      </c>
    </row>
    <row r="109" customFormat="false" ht="15" hidden="false" customHeight="true" outlineLevel="0" collapsed="false">
      <c r="A109" s="13" t="n">
        <v>2026</v>
      </c>
      <c r="B109" s="13" t="s">
        <v>773</v>
      </c>
      <c r="C109" s="13" t="s">
        <v>1064</v>
      </c>
      <c r="D109" s="14" t="n">
        <v>24165</v>
      </c>
      <c r="E109" s="14" t="n">
        <v>19298</v>
      </c>
      <c r="F109" s="18" t="n">
        <v>80</v>
      </c>
      <c r="G109" s="16" t="n">
        <f aca="false">ROUND(E109/D109*100,2)</f>
        <v>79.86</v>
      </c>
    </row>
    <row r="110" customFormat="false" ht="15" hidden="false" customHeight="true" outlineLevel="0" collapsed="false">
      <c r="A110" s="13" t="n">
        <v>2026</v>
      </c>
      <c r="B110" s="13" t="s">
        <v>773</v>
      </c>
      <c r="C110" s="13" t="s">
        <v>166</v>
      </c>
      <c r="D110" s="14" t="n">
        <v>19624</v>
      </c>
      <c r="E110" s="14" t="n">
        <v>8398</v>
      </c>
      <c r="F110" s="18" t="n">
        <v>43</v>
      </c>
      <c r="G110" s="16" t="n">
        <f aca="false">ROUND(E110/D110*100,2)</f>
        <v>42.79</v>
      </c>
    </row>
    <row r="111" customFormat="false" ht="15" hidden="false" customHeight="true" outlineLevel="0" collapsed="false">
      <c r="A111" s="13" t="n">
        <v>2026</v>
      </c>
      <c r="B111" s="13" t="s">
        <v>773</v>
      </c>
      <c r="C111" s="13" t="s">
        <v>167</v>
      </c>
      <c r="D111" s="14" t="n">
        <v>17516</v>
      </c>
      <c r="E111" s="14" t="n">
        <v>7463</v>
      </c>
      <c r="F111" s="18" t="n">
        <v>43</v>
      </c>
      <c r="G111" s="16" t="n">
        <f aca="false">ROUND(E111/D111*100,2)</f>
        <v>42.61</v>
      </c>
    </row>
    <row r="112" customFormat="false" ht="15" hidden="false" customHeight="true" outlineLevel="0" collapsed="false">
      <c r="A112" s="13" t="n">
        <v>2026</v>
      </c>
      <c r="B112" s="13" t="s">
        <v>773</v>
      </c>
      <c r="C112" s="13" t="s">
        <v>156</v>
      </c>
      <c r="D112" s="14" t="n">
        <v>10623</v>
      </c>
      <c r="E112" s="14" t="n">
        <v>2497</v>
      </c>
      <c r="F112" s="18" t="n">
        <v>24</v>
      </c>
      <c r="G112" s="16" t="n">
        <f aca="false">ROUND(E112/D112*100,2)</f>
        <v>23.51</v>
      </c>
    </row>
    <row r="113" customFormat="false" ht="15" hidden="false" customHeight="true" outlineLevel="0" collapsed="false">
      <c r="A113" s="13" t="n">
        <v>2026</v>
      </c>
      <c r="B113" s="13" t="s">
        <v>773</v>
      </c>
      <c r="C113" s="13" t="s">
        <v>170</v>
      </c>
      <c r="D113" s="14" t="n">
        <v>6311</v>
      </c>
      <c r="E113" s="14" t="n">
        <v>4084</v>
      </c>
      <c r="F113" s="18" t="n">
        <v>65</v>
      </c>
      <c r="G113" s="16" t="n">
        <f aca="false">ROUND(E113/D113*100,2)</f>
        <v>64.71</v>
      </c>
    </row>
    <row r="114" customFormat="false" ht="15" hidden="false" customHeight="true" outlineLevel="0" collapsed="false">
      <c r="A114" s="13" t="n">
        <v>2026</v>
      </c>
      <c r="B114" s="13" t="s">
        <v>773</v>
      </c>
      <c r="C114" s="13" t="s">
        <v>154</v>
      </c>
      <c r="D114" s="14" t="n">
        <v>3202</v>
      </c>
      <c r="E114" s="14" t="n">
        <v>2299</v>
      </c>
      <c r="F114" s="18" t="n">
        <v>72</v>
      </c>
      <c r="G114" s="16" t="n">
        <f aca="false">ROUND(E114/D114*100,2)</f>
        <v>71.8</v>
      </c>
    </row>
    <row r="115" customFormat="false" ht="15" hidden="false" customHeight="true" outlineLevel="0" collapsed="false">
      <c r="A115" s="13" t="n">
        <v>2026</v>
      </c>
      <c r="B115" s="13" t="s">
        <v>773</v>
      </c>
      <c r="C115" s="13" t="s">
        <v>419</v>
      </c>
      <c r="D115" s="14" t="n">
        <v>2882</v>
      </c>
      <c r="E115" s="14" t="n">
        <v>2492</v>
      </c>
      <c r="F115" s="18" t="n">
        <v>86</v>
      </c>
      <c r="G115" s="16" t="n">
        <f aca="false">ROUND(E115/D115*100,2)</f>
        <v>86.47</v>
      </c>
    </row>
    <row r="116" customFormat="false" ht="15" hidden="false" customHeight="true" outlineLevel="0" collapsed="false">
      <c r="A116" s="13" t="n">
        <v>2026</v>
      </c>
      <c r="B116" s="13" t="s">
        <v>773</v>
      </c>
      <c r="C116" s="13" t="s">
        <v>151</v>
      </c>
      <c r="D116" s="14" t="n">
        <v>1651</v>
      </c>
      <c r="E116" s="14" t="n">
        <v>1188</v>
      </c>
      <c r="F116" s="18" t="n">
        <v>72</v>
      </c>
      <c r="G116" s="16" t="n">
        <f aca="false">ROUND(E116/D116*100,2)</f>
        <v>71.96</v>
      </c>
    </row>
    <row r="117" customFormat="false" ht="15" hidden="false" customHeight="true" outlineLevel="0" collapsed="false">
      <c r="A117" s="13" t="n">
        <v>2026</v>
      </c>
      <c r="B117" s="13" t="s">
        <v>773</v>
      </c>
      <c r="C117" s="13" t="s">
        <v>158</v>
      </c>
      <c r="D117" s="14" t="n">
        <v>1514</v>
      </c>
      <c r="E117" s="14" t="n">
        <v>1421</v>
      </c>
      <c r="F117" s="18" t="n">
        <v>94</v>
      </c>
      <c r="G117" s="16" t="n">
        <f aca="false">ROUND(E117/D117*100,2)</f>
        <v>93.86</v>
      </c>
    </row>
    <row r="118" customFormat="false" ht="15" hidden="false" customHeight="true" outlineLevel="0" collapsed="false">
      <c r="A118" s="13" t="n">
        <v>2026</v>
      </c>
      <c r="B118" s="13" t="s">
        <v>773</v>
      </c>
      <c r="C118" s="13" t="s">
        <v>155</v>
      </c>
      <c r="D118" s="14" t="n">
        <v>601</v>
      </c>
      <c r="E118" s="14" t="n">
        <v>486</v>
      </c>
      <c r="F118" s="18" t="n">
        <v>81</v>
      </c>
      <c r="G118" s="16" t="n">
        <f aca="false">ROUND(E118/D118*100,2)</f>
        <v>80.87</v>
      </c>
    </row>
    <row r="119" customFormat="false" ht="15" hidden="false" customHeight="true" outlineLevel="0" collapsed="false">
      <c r="A119" s="13" t="n">
        <v>2026</v>
      </c>
      <c r="B119" s="13" t="s">
        <v>773</v>
      </c>
      <c r="C119" s="13" t="s">
        <v>152</v>
      </c>
      <c r="D119" s="14" t="n">
        <v>567</v>
      </c>
      <c r="E119" s="14" t="n">
        <v>434</v>
      </c>
      <c r="F119" s="18" t="n">
        <v>77</v>
      </c>
      <c r="G119" s="16" t="n">
        <f aca="false">ROUND(E119/D119*100,2)</f>
        <v>76.54</v>
      </c>
    </row>
    <row r="120" customFormat="false" ht="15" hidden="false" customHeight="true" outlineLevel="0" collapsed="false">
      <c r="A120" s="13" t="n">
        <v>2026</v>
      </c>
      <c r="B120" s="13" t="s">
        <v>773</v>
      </c>
      <c r="C120" s="13" t="s">
        <v>153</v>
      </c>
      <c r="D120" s="14" t="n">
        <v>298</v>
      </c>
      <c r="E120" s="14" t="n">
        <v>209</v>
      </c>
      <c r="F120" s="18" t="n">
        <v>70</v>
      </c>
      <c r="G120" s="16" t="n">
        <f aca="false">ROUND(E120/D120*100,2)</f>
        <v>70.13</v>
      </c>
    </row>
    <row r="121" customFormat="false" ht="15" hidden="false" customHeight="true" outlineLevel="0" collapsed="false">
      <c r="A121" s="13" t="n">
        <v>2026</v>
      </c>
      <c r="B121" s="13" t="s">
        <v>773</v>
      </c>
      <c r="C121" s="13" t="s">
        <v>525</v>
      </c>
      <c r="D121" s="14" t="n">
        <v>205</v>
      </c>
      <c r="E121" s="14" t="n">
        <v>184</v>
      </c>
      <c r="F121" s="18" t="n">
        <v>90</v>
      </c>
      <c r="G121" s="16" t="n">
        <f aca="false">ROUND(E121/D121*100,2)</f>
        <v>89.76</v>
      </c>
    </row>
    <row r="122" customFormat="false" ht="15" hidden="false" customHeight="true" outlineLevel="0" collapsed="false">
      <c r="A122" s="13" t="n">
        <v>2026</v>
      </c>
      <c r="B122" s="13" t="s">
        <v>773</v>
      </c>
      <c r="C122" s="13" t="s">
        <v>161</v>
      </c>
      <c r="D122" s="14" t="n">
        <v>192</v>
      </c>
      <c r="E122" s="14" t="n">
        <v>169</v>
      </c>
      <c r="F122" s="18" t="n">
        <v>88</v>
      </c>
      <c r="G122" s="16" t="n">
        <f aca="false">ROUND(E122/D122*100,2)</f>
        <v>88.02</v>
      </c>
    </row>
    <row r="123" customFormat="false" ht="15" hidden="false" customHeight="true" outlineLevel="0" collapsed="false">
      <c r="A123" s="13" t="n">
        <v>2026</v>
      </c>
      <c r="B123" s="13" t="s">
        <v>773</v>
      </c>
      <c r="C123" s="13" t="s">
        <v>163</v>
      </c>
      <c r="D123" s="14" t="n">
        <v>189</v>
      </c>
      <c r="E123" s="14" t="n">
        <v>163</v>
      </c>
      <c r="F123" s="18" t="n">
        <v>86</v>
      </c>
      <c r="G123" s="16" t="n">
        <f aca="false">ROUND(E123/D123*100,2)</f>
        <v>86.24</v>
      </c>
    </row>
    <row r="124" customFormat="false" ht="15" hidden="false" customHeight="true" outlineLevel="0" collapsed="false">
      <c r="A124" s="13" t="n">
        <v>2026</v>
      </c>
      <c r="B124" s="13" t="s">
        <v>773</v>
      </c>
      <c r="C124" s="13" t="s">
        <v>1066</v>
      </c>
      <c r="D124" s="14" t="n">
        <v>121</v>
      </c>
      <c r="E124" s="14" t="n">
        <v>89</v>
      </c>
      <c r="F124" s="18" t="n">
        <v>74</v>
      </c>
      <c r="G124" s="16" t="n">
        <f aca="false">ROUND(E124/D124*100,2)</f>
        <v>73.55</v>
      </c>
    </row>
    <row r="125" customFormat="false" ht="15" hidden="false" customHeight="true" outlineLevel="0" collapsed="false">
      <c r="A125" s="13" t="n">
        <v>2026</v>
      </c>
      <c r="B125" s="13" t="s">
        <v>773</v>
      </c>
      <c r="C125" s="13" t="s">
        <v>168</v>
      </c>
      <c r="D125" s="14" t="n">
        <v>112</v>
      </c>
      <c r="E125" s="14" t="n">
        <v>101</v>
      </c>
      <c r="F125" s="18" t="n">
        <v>90</v>
      </c>
      <c r="G125" s="16" t="n">
        <f aca="false">ROUND(E125/D125*100,2)</f>
        <v>90.18</v>
      </c>
    </row>
    <row r="126" customFormat="false" ht="15" hidden="false" customHeight="true" outlineLevel="0" collapsed="false">
      <c r="A126" s="13" t="n">
        <v>2026</v>
      </c>
      <c r="B126" s="13" t="s">
        <v>773</v>
      </c>
      <c r="C126" s="13" t="s">
        <v>150</v>
      </c>
      <c r="D126" s="14" t="n">
        <v>85</v>
      </c>
      <c r="E126" s="14" t="n">
        <v>69</v>
      </c>
      <c r="F126" s="18" t="n">
        <v>81</v>
      </c>
      <c r="G126" s="16" t="n">
        <f aca="false">ROUND(E126/D126*100,2)</f>
        <v>81.18</v>
      </c>
    </row>
    <row r="127" customFormat="false" ht="15" hidden="false" customHeight="true" outlineLevel="0" collapsed="false">
      <c r="A127" s="13" t="n">
        <v>2026</v>
      </c>
      <c r="B127" s="13" t="s">
        <v>773</v>
      </c>
      <c r="C127" s="13" t="s">
        <v>159</v>
      </c>
      <c r="D127" s="14" t="n">
        <v>45</v>
      </c>
      <c r="E127" s="14" t="n">
        <v>44</v>
      </c>
      <c r="F127" s="18" t="n">
        <v>98</v>
      </c>
      <c r="G127" s="16" t="n">
        <f aca="false">ROUND(E127/D127*100,2)</f>
        <v>97.78</v>
      </c>
    </row>
    <row r="128" customFormat="false" ht="15" hidden="false" customHeight="true" outlineLevel="0" collapsed="false">
      <c r="A128" s="13" t="n">
        <v>2026</v>
      </c>
      <c r="B128" s="13" t="s">
        <v>773</v>
      </c>
      <c r="C128" s="13" t="s">
        <v>1065</v>
      </c>
      <c r="D128" s="14" t="n">
        <v>36</v>
      </c>
      <c r="E128" s="14" t="n">
        <v>27</v>
      </c>
      <c r="F128" s="18" t="n">
        <v>75</v>
      </c>
      <c r="G128" s="16" t="n">
        <f aca="false">ROUND(E128/D128*100,2)</f>
        <v>75</v>
      </c>
    </row>
    <row r="129" customFormat="false" ht="15" hidden="false" customHeight="true" outlineLevel="0" collapsed="false">
      <c r="A129" s="13" t="n">
        <v>2026</v>
      </c>
      <c r="B129" s="13" t="s">
        <v>773</v>
      </c>
      <c r="C129" s="13" t="s">
        <v>162</v>
      </c>
      <c r="D129" s="14" t="n">
        <v>35</v>
      </c>
      <c r="E129" s="14" t="n">
        <v>30</v>
      </c>
      <c r="F129" s="18" t="n">
        <v>86</v>
      </c>
      <c r="G129" s="16" t="n">
        <f aca="false">ROUND(E129/D129*100,2)</f>
        <v>85.71</v>
      </c>
    </row>
    <row r="130" customFormat="false" ht="15" hidden="false" customHeight="true" outlineLevel="0" collapsed="false">
      <c r="A130" s="13" t="n">
        <v>2026</v>
      </c>
      <c r="B130" s="13" t="s">
        <v>773</v>
      </c>
      <c r="C130" s="13" t="s">
        <v>507</v>
      </c>
      <c r="D130" s="14" t="n">
        <v>32</v>
      </c>
      <c r="E130" s="14" t="n">
        <v>0</v>
      </c>
      <c r="F130" s="18" t="n">
        <v>0</v>
      </c>
      <c r="G130" s="16" t="n">
        <f aca="false">ROUND(E130/D130*100,2)</f>
        <v>0</v>
      </c>
    </row>
    <row r="131" customFormat="false" ht="15" hidden="false" customHeight="true" outlineLevel="0" collapsed="false">
      <c r="A131" s="13" t="n">
        <v>2026</v>
      </c>
      <c r="B131" s="13" t="s">
        <v>773</v>
      </c>
      <c r="C131" s="13" t="s">
        <v>1067</v>
      </c>
      <c r="D131" s="14" t="n">
        <v>23</v>
      </c>
      <c r="E131" s="14" t="n">
        <v>23</v>
      </c>
      <c r="F131" s="18" t="n">
        <v>100</v>
      </c>
      <c r="G131" s="16" t="n">
        <f aca="false">ROUND(E131/D131*100,2)</f>
        <v>100</v>
      </c>
    </row>
    <row r="132" customFormat="false" ht="15" hidden="false" customHeight="true" outlineLevel="0" collapsed="false">
      <c r="A132" s="13" t="n">
        <v>2026</v>
      </c>
      <c r="B132" s="13" t="s">
        <v>773</v>
      </c>
      <c r="C132" s="13" t="s">
        <v>143</v>
      </c>
      <c r="D132" s="14" t="n">
        <v>17</v>
      </c>
      <c r="E132" s="14" t="n">
        <v>15</v>
      </c>
      <c r="F132" s="18" t="n">
        <v>88</v>
      </c>
      <c r="G132" s="16" t="n">
        <f aca="false">ROUND(E132/D132*100,2)</f>
        <v>88.24</v>
      </c>
    </row>
    <row r="133" customFormat="false" ht="15" hidden="false" customHeight="true" outlineLevel="0" collapsed="false">
      <c r="A133" s="13" t="n">
        <v>2026</v>
      </c>
      <c r="B133" s="13" t="s">
        <v>773</v>
      </c>
      <c r="C133" s="13" t="s">
        <v>799</v>
      </c>
      <c r="D133" s="14" t="n">
        <v>7</v>
      </c>
      <c r="E133" s="14" t="n">
        <v>0</v>
      </c>
      <c r="F133" s="18" t="n">
        <v>0</v>
      </c>
      <c r="G133" s="16" t="n">
        <f aca="false">ROUND(E133/D133*100,2)</f>
        <v>0</v>
      </c>
    </row>
    <row r="134" customFormat="false" ht="15" hidden="false" customHeight="true" outlineLevel="0" collapsed="false">
      <c r="A134" s="13" t="n">
        <v>2026</v>
      </c>
      <c r="B134" s="13" t="s">
        <v>773</v>
      </c>
      <c r="C134" s="13" t="s">
        <v>293</v>
      </c>
      <c r="D134" s="14" t="n">
        <v>6</v>
      </c>
      <c r="E134" s="14" t="n">
        <v>6</v>
      </c>
      <c r="F134" s="18" t="n">
        <v>100</v>
      </c>
      <c r="G134" s="16" t="n">
        <f aca="false">ROUND(E134/D134*100,2)</f>
        <v>100</v>
      </c>
    </row>
    <row r="135" customFormat="false" ht="15" hidden="false" customHeight="true" outlineLevel="0" collapsed="false">
      <c r="A135" s="13" t="n">
        <v>2026</v>
      </c>
      <c r="B135" s="13" t="s">
        <v>773</v>
      </c>
      <c r="C135" s="13" t="s">
        <v>1068</v>
      </c>
      <c r="D135" s="14" t="n">
        <v>1</v>
      </c>
      <c r="E135" s="14" t="n">
        <v>1</v>
      </c>
      <c r="F135" s="18" t="n">
        <v>100</v>
      </c>
      <c r="G135" s="16" t="n">
        <f aca="false">ROUND(E135/D135*100,2)</f>
        <v>100</v>
      </c>
    </row>
    <row r="136" customFormat="false" ht="15" hidden="false" customHeight="true" outlineLevel="0" collapsed="false">
      <c r="A136" s="13" t="n">
        <v>2026</v>
      </c>
      <c r="B136" s="13" t="s">
        <v>773</v>
      </c>
      <c r="C136" s="13" t="s">
        <v>146</v>
      </c>
      <c r="D136" s="14" t="n">
        <v>1</v>
      </c>
      <c r="E136" s="14" t="n">
        <v>1</v>
      </c>
      <c r="F136" s="18" t="n">
        <v>100</v>
      </c>
      <c r="G136" s="16" t="n">
        <f aca="false">ROUND(E136/D136*100,2)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2026-10-02T10:06:07Z</dcterms:created>
  <dc:creator>openpyxl</dc:creator>
  <dc:description/>
  <dc:language>en-US</dc:language>
  <cp:lastModifiedBy/>
  <dcterms:modified xsi:type="dcterms:W3CDTF">2026-10-06T11:39:57Z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